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480" windowHeight="8625"/>
  </bookViews>
  <sheets>
    <sheet name="MAIN DIV 1 AIR JNGKAT" sheetId="1" r:id="rId1"/>
    <sheet name="PANEN AIR JANGKAT 1" sheetId="3" r:id="rId2"/>
    <sheet name="BRI" sheetId="13" r:id="rId3"/>
    <sheet name="OPERATOR" sheetId="20" r:id="rId4"/>
  </sheets>
  <externalReferences>
    <externalReference r:id="rId5"/>
  </externalReferences>
  <definedNames>
    <definedName name="_xlnm.Print_Area" localSheetId="0">'MAIN DIV 1 AIR JNGKAT'!$A$1:$BK$39</definedName>
    <definedName name="_xlnm.Print_Area" localSheetId="3">OPERATOR!$A$1:$Q$34</definedName>
  </definedNames>
  <calcPr calcId="144525"/>
  <fileRecoveryPr autoRecover="0"/>
</workbook>
</file>

<file path=xl/calcChain.xml><?xml version="1.0" encoding="utf-8"?>
<calcChain xmlns="http://schemas.openxmlformats.org/spreadsheetml/2006/main">
  <c r="P31" i="1" l="1"/>
  <c r="N32" i="1"/>
  <c r="O32" i="1"/>
  <c r="H42" i="3"/>
  <c r="K42" i="3"/>
  <c r="L42" i="3"/>
  <c r="M42" i="3"/>
  <c r="O42" i="3"/>
  <c r="P42" i="3"/>
  <c r="F42" i="3"/>
  <c r="D35" i="13"/>
  <c r="Q10" i="3" l="1"/>
  <c r="N10" i="3"/>
  <c r="J10" i="3"/>
  <c r="E35" i="13" l="1"/>
  <c r="H10" i="3"/>
  <c r="D49" i="13" l="1"/>
  <c r="D48" i="13"/>
  <c r="D47" i="13"/>
  <c r="D46" i="13"/>
  <c r="D45" i="13"/>
  <c r="D44" i="13"/>
  <c r="D43" i="13"/>
  <c r="D42" i="13"/>
  <c r="D41" i="13"/>
  <c r="D40" i="13"/>
  <c r="D39" i="13"/>
  <c r="D38" i="13"/>
  <c r="D37" i="13"/>
  <c r="D29" i="13"/>
  <c r="D28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27" i="13" l="1"/>
  <c r="D32" i="13"/>
  <c r="D68" i="13" l="1"/>
  <c r="J12" i="3" l="1"/>
  <c r="J13" i="3"/>
  <c r="J14" i="3"/>
  <c r="J15" i="3"/>
  <c r="J16" i="3"/>
  <c r="J17" i="3"/>
  <c r="J18" i="3"/>
  <c r="J19" i="3"/>
  <c r="J20" i="3"/>
  <c r="J21" i="3"/>
  <c r="J22" i="3"/>
  <c r="J23" i="3"/>
  <c r="J42" i="3" s="1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H12" i="3" l="1"/>
  <c r="N12" i="3" s="1"/>
  <c r="Q12" i="3" s="1"/>
  <c r="E37" i="13" s="1"/>
  <c r="H13" i="3"/>
  <c r="N13" i="3" s="1"/>
  <c r="Q13" i="3" s="1"/>
  <c r="E38" i="13" s="1"/>
  <c r="H14" i="3"/>
  <c r="N14" i="3" s="1"/>
  <c r="Q14" i="3" s="1"/>
  <c r="E39" i="13" s="1"/>
  <c r="H15" i="3"/>
  <c r="N15" i="3" s="1"/>
  <c r="Q15" i="3" s="1"/>
  <c r="E40" i="13" s="1"/>
  <c r="H16" i="3"/>
  <c r="N16" i="3" s="1"/>
  <c r="Q16" i="3" s="1"/>
  <c r="E41" i="13" s="1"/>
  <c r="H17" i="3"/>
  <c r="N17" i="3" s="1"/>
  <c r="Q17" i="3" s="1"/>
  <c r="E42" i="13" s="1"/>
  <c r="H18" i="3"/>
  <c r="N18" i="3" s="1"/>
  <c r="Q18" i="3" s="1"/>
  <c r="E43" i="13" s="1"/>
  <c r="H19" i="3"/>
  <c r="N19" i="3" s="1"/>
  <c r="Q19" i="3" s="1"/>
  <c r="E44" i="13" s="1"/>
  <c r="H20" i="3"/>
  <c r="N20" i="3" s="1"/>
  <c r="Q20" i="3" s="1"/>
  <c r="E45" i="13" s="1"/>
  <c r="H21" i="3"/>
  <c r="N21" i="3" s="1"/>
  <c r="Q21" i="3" s="1"/>
  <c r="E46" i="13" s="1"/>
  <c r="H22" i="3"/>
  <c r="N22" i="3" s="1"/>
  <c r="Q22" i="3" s="1"/>
  <c r="E47" i="13" s="1"/>
  <c r="H23" i="3"/>
  <c r="N23" i="3" s="1"/>
  <c r="H24" i="3"/>
  <c r="N24" i="3" s="1"/>
  <c r="Q24" i="3" s="1"/>
  <c r="E49" i="13" s="1"/>
  <c r="H25" i="3"/>
  <c r="N25" i="3" s="1"/>
  <c r="Q25" i="3" s="1"/>
  <c r="E50" i="13" s="1"/>
  <c r="H26" i="3"/>
  <c r="N26" i="3" s="1"/>
  <c r="Q26" i="3" s="1"/>
  <c r="E51" i="13" s="1"/>
  <c r="H27" i="3"/>
  <c r="N27" i="3" s="1"/>
  <c r="Q27" i="3" s="1"/>
  <c r="E52" i="13" s="1"/>
  <c r="H28" i="3"/>
  <c r="N28" i="3" s="1"/>
  <c r="Q28" i="3" s="1"/>
  <c r="E53" i="13" s="1"/>
  <c r="H29" i="3"/>
  <c r="N29" i="3" s="1"/>
  <c r="Q29" i="3" s="1"/>
  <c r="E54" i="13" s="1"/>
  <c r="H30" i="3"/>
  <c r="N30" i="3" s="1"/>
  <c r="Q30" i="3" s="1"/>
  <c r="E55" i="13" s="1"/>
  <c r="H31" i="3"/>
  <c r="N31" i="3" s="1"/>
  <c r="Q31" i="3" s="1"/>
  <c r="E56" i="13" s="1"/>
  <c r="H32" i="3"/>
  <c r="N32" i="3" s="1"/>
  <c r="Q32" i="3" s="1"/>
  <c r="E57" i="13" s="1"/>
  <c r="H33" i="3"/>
  <c r="N33" i="3" s="1"/>
  <c r="Q33" i="3" s="1"/>
  <c r="E58" i="13" s="1"/>
  <c r="H34" i="3"/>
  <c r="N34" i="3" s="1"/>
  <c r="Q34" i="3" s="1"/>
  <c r="E59" i="13" s="1"/>
  <c r="H35" i="3"/>
  <c r="N35" i="3" s="1"/>
  <c r="Q35" i="3" s="1"/>
  <c r="E60" i="13" s="1"/>
  <c r="H36" i="3"/>
  <c r="N36" i="3" s="1"/>
  <c r="Q36" i="3" s="1"/>
  <c r="E61" i="13" s="1"/>
  <c r="H37" i="3"/>
  <c r="N37" i="3" s="1"/>
  <c r="Q37" i="3" s="1"/>
  <c r="E62" i="13" s="1"/>
  <c r="H38" i="3"/>
  <c r="N38" i="3" s="1"/>
  <c r="Q38" i="3" s="1"/>
  <c r="E63" i="13" s="1"/>
  <c r="H39" i="3"/>
  <c r="N39" i="3" s="1"/>
  <c r="Q39" i="3" s="1"/>
  <c r="E64" i="13" s="1"/>
  <c r="H40" i="3"/>
  <c r="N40" i="3" s="1"/>
  <c r="Q40" i="3" s="1"/>
  <c r="E65" i="13" s="1"/>
  <c r="H41" i="3"/>
  <c r="N41" i="3" s="1"/>
  <c r="Q41" i="3" s="1"/>
  <c r="E66" i="13" s="1"/>
  <c r="Q23" i="3" l="1"/>
  <c r="E48" i="13" s="1"/>
  <c r="N42" i="3"/>
  <c r="J11" i="3"/>
  <c r="H11" i="3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10" i="1"/>
  <c r="N11" i="3" l="1"/>
  <c r="Q11" i="3"/>
  <c r="E36" i="13" l="1"/>
  <c r="E67" i="13" s="1"/>
  <c r="Q42" i="3"/>
  <c r="G32" i="1"/>
  <c r="K32" i="1"/>
  <c r="L32" i="1"/>
  <c r="F32" i="1"/>
  <c r="R42" i="3" l="1"/>
  <c r="J12" i="20" l="1"/>
  <c r="J13" i="20"/>
  <c r="J14" i="20"/>
  <c r="J11" i="20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10" i="1"/>
  <c r="J32" i="1" l="1"/>
  <c r="H11" i="1"/>
  <c r="M11" i="1" s="1"/>
  <c r="H12" i="1"/>
  <c r="M12" i="1" s="1"/>
  <c r="H13" i="1"/>
  <c r="M13" i="1" s="1"/>
  <c r="H14" i="1"/>
  <c r="M14" i="1" s="1"/>
  <c r="H15" i="1"/>
  <c r="M15" i="1" s="1"/>
  <c r="H16" i="1"/>
  <c r="M16" i="1" s="1"/>
  <c r="H17" i="1"/>
  <c r="M17" i="1" s="1"/>
  <c r="H18" i="1"/>
  <c r="M18" i="1" s="1"/>
  <c r="H19" i="1"/>
  <c r="M19" i="1" s="1"/>
  <c r="H20" i="1"/>
  <c r="M20" i="1" s="1"/>
  <c r="H21" i="1"/>
  <c r="M21" i="1" s="1"/>
  <c r="H22" i="1"/>
  <c r="M22" i="1" s="1"/>
  <c r="H23" i="1"/>
  <c r="M23" i="1" s="1"/>
  <c r="H24" i="1"/>
  <c r="M24" i="1" s="1"/>
  <c r="H25" i="1"/>
  <c r="M25" i="1" s="1"/>
  <c r="H26" i="1"/>
  <c r="M26" i="1" s="1"/>
  <c r="H27" i="1"/>
  <c r="M27" i="1" s="1"/>
  <c r="H28" i="1"/>
  <c r="M28" i="1" s="1"/>
  <c r="H29" i="1"/>
  <c r="M29" i="1" s="1"/>
  <c r="H30" i="1"/>
  <c r="M30" i="1" s="1"/>
  <c r="H31" i="1"/>
  <c r="M31" i="1" s="1"/>
  <c r="H10" i="1"/>
  <c r="M10" i="1" l="1"/>
  <c r="H32" i="1"/>
  <c r="P29" i="1"/>
  <c r="E24" i="13" s="1"/>
  <c r="P13" i="1"/>
  <c r="E8" i="13" s="1"/>
  <c r="P27" i="1"/>
  <c r="E22" i="13" s="1"/>
  <c r="P22" i="1"/>
  <c r="E17" i="13" s="1"/>
  <c r="P19" i="1"/>
  <c r="E14" i="13" s="1"/>
  <c r="P15" i="1"/>
  <c r="E10" i="13" s="1"/>
  <c r="P16" i="1"/>
  <c r="E11" i="13" s="1"/>
  <c r="P26" i="1"/>
  <c r="E21" i="13" s="1"/>
  <c r="P24" i="1"/>
  <c r="E19" i="13" s="1"/>
  <c r="P21" i="1"/>
  <c r="E16" i="13" s="1"/>
  <c r="P18" i="1"/>
  <c r="E13" i="13" s="1"/>
  <c r="P25" i="1"/>
  <c r="E20" i="13" s="1"/>
  <c r="P23" i="1"/>
  <c r="E18" i="13" s="1"/>
  <c r="P20" i="1"/>
  <c r="E15" i="13" s="1"/>
  <c r="P17" i="1"/>
  <c r="E12" i="13" s="1"/>
  <c r="P14" i="1"/>
  <c r="E9" i="13" s="1"/>
  <c r="P12" i="1"/>
  <c r="E7" i="13" s="1"/>
  <c r="P11" i="1"/>
  <c r="E6" i="13" s="1"/>
  <c r="M32" i="1" l="1"/>
  <c r="E26" i="13"/>
  <c r="P30" i="1"/>
  <c r="E25" i="13" s="1"/>
  <c r="P28" i="1"/>
  <c r="E23" i="13" s="1"/>
  <c r="Q32" i="1" l="1"/>
  <c r="N47" i="20" l="1"/>
  <c r="N40" i="20" l="1"/>
  <c r="N39" i="20"/>
  <c r="P15" i="20" l="1"/>
  <c r="G15" i="20" l="1"/>
  <c r="F15" i="20"/>
  <c r="I62" i="3" l="1"/>
  <c r="N65" i="3" l="1"/>
  <c r="N66" i="3" s="1"/>
  <c r="H14" i="20" l="1"/>
  <c r="N14" i="20" s="1"/>
  <c r="H13" i="20"/>
  <c r="N13" i="20" s="1"/>
  <c r="H12" i="20"/>
  <c r="N12" i="20" s="1"/>
  <c r="H11" i="20"/>
  <c r="N11" i="20" s="1"/>
  <c r="M15" i="20" l="1"/>
  <c r="H15" i="20"/>
  <c r="Q13" i="20" l="1"/>
  <c r="E30" i="13" s="1"/>
  <c r="Q14" i="20"/>
  <c r="E31" i="13" s="1"/>
  <c r="J15" i="20"/>
  <c r="N15" i="20" l="1"/>
  <c r="Q12" i="20" l="1"/>
  <c r="E29" i="13" s="1"/>
  <c r="Q11" i="20" l="1"/>
  <c r="E28" i="13" s="1"/>
  <c r="E32" i="13" s="1"/>
  <c r="O15" i="20" l="1"/>
  <c r="Q15" i="20" l="1"/>
  <c r="P10" i="1" l="1"/>
  <c r="E5" i="13" l="1"/>
  <c r="E27" i="13" s="1"/>
  <c r="E68" i="13" s="1"/>
  <c r="P32" i="1"/>
</calcChain>
</file>

<file path=xl/sharedStrings.xml><?xml version="1.0" encoding="utf-8"?>
<sst xmlns="http://schemas.openxmlformats.org/spreadsheetml/2006/main" count="527" uniqueCount="274">
  <si>
    <t>PT.REBINMAS JAYA</t>
  </si>
  <si>
    <t xml:space="preserve">Bulan :  </t>
  </si>
  <si>
    <t>Perkebunan :</t>
  </si>
  <si>
    <t>PARIT GUNUNG</t>
  </si>
  <si>
    <t>TUNJANGAN / PREMI</t>
  </si>
  <si>
    <t>JUMLAH</t>
  </si>
  <si>
    <t>TANDA</t>
  </si>
  <si>
    <t>NO.</t>
  </si>
  <si>
    <t>NO</t>
  </si>
  <si>
    <t>L/P</t>
  </si>
  <si>
    <t>NAMA</t>
  </si>
  <si>
    <t>HARI</t>
  </si>
  <si>
    <t>UPAH</t>
  </si>
  <si>
    <t>BERAS</t>
  </si>
  <si>
    <t>MASA KERJA</t>
  </si>
  <si>
    <t>PPH</t>
  </si>
  <si>
    <t>TANGAN</t>
  </si>
  <si>
    <t>URUT</t>
  </si>
  <si>
    <t>INDUK</t>
  </si>
  <si>
    <t>KARYAWAN</t>
  </si>
  <si>
    <t>KERJA</t>
  </si>
  <si>
    <t>DASAR</t>
  </si>
  <si>
    <t>POKOK</t>
  </si>
  <si>
    <t>HK</t>
  </si>
  <si>
    <t>(Rp)/</t>
  </si>
  <si>
    <t>Jumlah</t>
  </si>
  <si>
    <t>KOTOR</t>
  </si>
  <si>
    <t>BERSIH</t>
  </si>
  <si>
    <t>PENERIMA</t>
  </si>
  <si>
    <t>(Rp)</t>
  </si>
  <si>
    <t>THN</t>
  </si>
  <si>
    <t>GAJI</t>
  </si>
  <si>
    <t>L</t>
  </si>
  <si>
    <t>RILYANI</t>
  </si>
  <si>
    <t>JUNAIDI</t>
  </si>
  <si>
    <t>P</t>
  </si>
  <si>
    <t>UMIYATI</t>
  </si>
  <si>
    <t>ASUNTI</t>
  </si>
  <si>
    <t>YANTI NOVITA</t>
  </si>
  <si>
    <t>SUPARDI</t>
  </si>
  <si>
    <t>SANDY</t>
  </si>
  <si>
    <t xml:space="preserve"> JUMIATI</t>
  </si>
  <si>
    <t>ALEX</t>
  </si>
  <si>
    <t xml:space="preserve"> ANTON</t>
  </si>
  <si>
    <t>JONI</t>
  </si>
  <si>
    <t xml:space="preserve"> PARDI</t>
  </si>
  <si>
    <t xml:space="preserve"> SUMARDI</t>
  </si>
  <si>
    <t>THAHA.S</t>
  </si>
  <si>
    <t>TOTAL</t>
  </si>
  <si>
    <t>Dibuat oleh,</t>
  </si>
  <si>
    <t>Disetujui oleh,</t>
  </si>
  <si>
    <t>Disahkan oleh,</t>
  </si>
  <si>
    <t>GUNAWAN</t>
  </si>
  <si>
    <t>PHILIP ABRAHAM OOMMEN</t>
  </si>
  <si>
    <t>KRANDIV IIA</t>
  </si>
  <si>
    <t>AREA MGR PGE/DME</t>
  </si>
  <si>
    <t>KOREKSI</t>
  </si>
  <si>
    <t>JUMIATI</t>
  </si>
  <si>
    <t>ANTON</t>
  </si>
  <si>
    <t>PARDI</t>
  </si>
  <si>
    <t>SUMARDI</t>
  </si>
  <si>
    <t>GRAND TOTAL</t>
  </si>
  <si>
    <t xml:space="preserve">KE BANK BRI </t>
  </si>
  <si>
    <t>NO REKENING</t>
  </si>
  <si>
    <t>NAMA KARYAWAN</t>
  </si>
  <si>
    <t>AMOUNT</t>
  </si>
  <si>
    <t>WIDODO.JP</t>
  </si>
  <si>
    <t>013101002804538</t>
  </si>
  <si>
    <t>ROBIN DINATA</t>
  </si>
  <si>
    <t>SUIP</t>
  </si>
  <si>
    <t>MUSNI</t>
  </si>
  <si>
    <t>013101028421504</t>
  </si>
  <si>
    <t>013101028425508</t>
  </si>
  <si>
    <t>013101028423506</t>
  </si>
  <si>
    <t>SAPARUDIN</t>
  </si>
  <si>
    <t>ARPANDI</t>
  </si>
  <si>
    <t>ASBI</t>
  </si>
  <si>
    <t>013101029502507</t>
  </si>
  <si>
    <t>013101029706509</t>
  </si>
  <si>
    <t>013101029880507</t>
  </si>
  <si>
    <t>EKA NOVIANTI</t>
  </si>
  <si>
    <t>PPH21</t>
  </si>
  <si>
    <t>WIDODO.J.P</t>
  </si>
  <si>
    <t>MASRI</t>
  </si>
  <si>
    <t>013101025187509</t>
  </si>
  <si>
    <t>SULTAN</t>
  </si>
  <si>
    <t>PAJAK</t>
  </si>
  <si>
    <t>013101029942503</t>
  </si>
  <si>
    <t>AHAP</t>
  </si>
  <si>
    <t>MANSUR</t>
  </si>
  <si>
    <t xml:space="preserve"> </t>
  </si>
  <si>
    <t>C0178</t>
  </si>
  <si>
    <t>ARWANDI</t>
  </si>
  <si>
    <t>C0179</t>
  </si>
  <si>
    <t>RENDI PERJAYA</t>
  </si>
  <si>
    <t>C0180</t>
  </si>
  <si>
    <t>C0181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</si>
  <si>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</si>
  <si>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013101019752502</t>
  </si>
  <si>
    <t>013101020061504</t>
  </si>
  <si>
    <t>HARDIANSYAH</t>
  </si>
  <si>
    <t>013101036969504</t>
  </si>
  <si>
    <t>RIDUAN</t>
  </si>
  <si>
    <t>013101037510502</t>
  </si>
  <si>
    <t>SEPTEMBER</t>
  </si>
  <si>
    <t xml:space="preserve">ESTATE MANAGER </t>
  </si>
  <si>
    <t>SUNARDI</t>
  </si>
  <si>
    <t>013101038657501</t>
  </si>
  <si>
    <t>RIO RESFATI</t>
  </si>
  <si>
    <t>SONJA PRIYOGA</t>
  </si>
  <si>
    <t>HARTONO</t>
  </si>
  <si>
    <t>QISTAHAM</t>
  </si>
  <si>
    <t>013101039187509</t>
  </si>
  <si>
    <t>013101039248509</t>
  </si>
  <si>
    <t>M.FAUZI</t>
  </si>
  <si>
    <t>SALEH</t>
  </si>
  <si>
    <t>013101041555502</t>
  </si>
  <si>
    <t>AMOUNT APRIL 26-30</t>
  </si>
  <si>
    <t>YANDI</t>
  </si>
  <si>
    <t>RIDHO</t>
  </si>
  <si>
    <t>APRIZAL</t>
  </si>
  <si>
    <t>ERRY SAPUTRA</t>
  </si>
  <si>
    <t>013101020054507</t>
  </si>
  <si>
    <t>013101019825509</t>
  </si>
  <si>
    <t>013101043332502</t>
  </si>
  <si>
    <t>DANI</t>
  </si>
  <si>
    <t>013101042151505</t>
  </si>
  <si>
    <t>ANDI</t>
  </si>
  <si>
    <t>JULI</t>
  </si>
  <si>
    <t>JUFRI</t>
  </si>
  <si>
    <t>013101027088507</t>
  </si>
  <si>
    <t>013101029262505</t>
  </si>
  <si>
    <t xml:space="preserve">AMOUNT </t>
  </si>
  <si>
    <t>TANGGAL MASUK</t>
  </si>
  <si>
    <t>THR</t>
  </si>
  <si>
    <t>KELAYAKAN</t>
  </si>
  <si>
    <t>TANGGA MASUK</t>
  </si>
  <si>
    <t xml:space="preserve">KELAYAKAN </t>
  </si>
  <si>
    <t>DAFTAR THR</t>
  </si>
  <si>
    <t>TANGGAL MASUK KERJA</t>
  </si>
  <si>
    <t>KELAYAKAN THR</t>
  </si>
  <si>
    <t>13/03/1997</t>
  </si>
  <si>
    <t>18/7/2007</t>
  </si>
  <si>
    <t>19/7/2007</t>
  </si>
  <si>
    <t>16/7/2008</t>
  </si>
  <si>
    <t>13/6/2008</t>
  </si>
  <si>
    <t>21/11/2016</t>
  </si>
  <si>
    <t>22/4/2015</t>
  </si>
  <si>
    <t>19/11/2019</t>
  </si>
  <si>
    <t>15/06/2020</t>
  </si>
  <si>
    <t>22/02/2021</t>
  </si>
  <si>
    <t>14/5/2022</t>
  </si>
  <si>
    <t>14/06/1997</t>
  </si>
  <si>
    <t>01/01/1996</t>
  </si>
  <si>
    <t>Diperiksa oleh,</t>
  </si>
  <si>
    <t>Askep 2A</t>
  </si>
  <si>
    <t>Esatate Manager</t>
  </si>
  <si>
    <t>DICKY PRATAMA</t>
  </si>
  <si>
    <t>13/04/2023</t>
  </si>
  <si>
    <t>IHSAN</t>
  </si>
  <si>
    <t>BAGUSTIN</t>
  </si>
  <si>
    <t>HELDI SAPUTRA</t>
  </si>
  <si>
    <t>3 BULAN</t>
  </si>
  <si>
    <t>MARET</t>
  </si>
  <si>
    <t>10 BULAN</t>
  </si>
  <si>
    <t>013101047898500</t>
  </si>
  <si>
    <t>013101046647508</t>
  </si>
  <si>
    <t>013101048707508</t>
  </si>
  <si>
    <t>013101049694504</t>
  </si>
  <si>
    <t>013101049691506</t>
  </si>
  <si>
    <t>013101049690500</t>
  </si>
  <si>
    <t>013101050486504</t>
  </si>
  <si>
    <t>MARET'2025</t>
  </si>
  <si>
    <t>Galeh Haykal</t>
  </si>
  <si>
    <t>Asst Mgr</t>
  </si>
  <si>
    <t>Marwan</t>
  </si>
  <si>
    <t>Gohi Maruli L Toruan,SP</t>
  </si>
  <si>
    <t>Gunawan</t>
  </si>
  <si>
    <t>HELDI</t>
  </si>
  <si>
    <t>JAYADI</t>
  </si>
  <si>
    <t>JUPRI</t>
  </si>
  <si>
    <t>MUHAMMAD AMIN</t>
  </si>
  <si>
    <t>ZAMALUDIN</t>
  </si>
  <si>
    <t>MUHAMMAD FAUZI</t>
  </si>
  <si>
    <t>MAHYUDIN</t>
  </si>
  <si>
    <t>ASRI</t>
  </si>
  <si>
    <t>13/03/2024</t>
  </si>
  <si>
    <t>24-06-2021</t>
  </si>
  <si>
    <t>17/09/2024</t>
  </si>
  <si>
    <t>13/11/2024</t>
  </si>
  <si>
    <t>22/11/2024</t>
  </si>
  <si>
    <t>16/12/2024</t>
  </si>
  <si>
    <t>SAMSUL HADI</t>
  </si>
  <si>
    <t>6 BULAN</t>
  </si>
  <si>
    <t>4 BULAN</t>
  </si>
  <si>
    <t>MARET' 2025</t>
  </si>
  <si>
    <t>KODE KARYAWAN</t>
  </si>
  <si>
    <t>C0001</t>
  </si>
  <si>
    <t>C0002</t>
  </si>
  <si>
    <t>C0003</t>
  </si>
  <si>
    <t>C0004</t>
  </si>
  <si>
    <t>C0005</t>
  </si>
  <si>
    <t>C0007</t>
  </si>
  <si>
    <t>C0008</t>
  </si>
  <si>
    <t>C0009</t>
  </si>
  <si>
    <t>C0010</t>
  </si>
  <si>
    <t>C0011</t>
  </si>
  <si>
    <t>C0013</t>
  </si>
  <si>
    <t>C0015</t>
  </si>
  <si>
    <t>C0016</t>
  </si>
  <si>
    <t>C0019</t>
  </si>
  <si>
    <t>C0020</t>
  </si>
  <si>
    <t>C0025</t>
  </si>
  <si>
    <t>C0026</t>
  </si>
  <si>
    <t>C0028</t>
  </si>
  <si>
    <t>C0030</t>
  </si>
  <si>
    <t>C0032</t>
  </si>
  <si>
    <t>C0033</t>
  </si>
  <si>
    <t>C0102</t>
  </si>
  <si>
    <t>C0510</t>
  </si>
  <si>
    <t>C0511</t>
  </si>
  <si>
    <t>C0526</t>
  </si>
  <si>
    <t>C0050</t>
  </si>
  <si>
    <t>C0051</t>
  </si>
  <si>
    <t>C0053</t>
  </si>
  <si>
    <t>C0054</t>
  </si>
  <si>
    <t>C0055</t>
  </si>
  <si>
    <t>C0071</t>
  </si>
  <si>
    <t>C0075</t>
  </si>
  <si>
    <t>C0268</t>
  </si>
  <si>
    <t>C0309</t>
  </si>
  <si>
    <t>C0319</t>
  </si>
  <si>
    <t>C0356</t>
  </si>
  <si>
    <t>C0374</t>
  </si>
  <si>
    <t>C0417</t>
  </si>
  <si>
    <t>C0460</t>
  </si>
  <si>
    <t>C0496</t>
  </si>
  <si>
    <t>C0587</t>
  </si>
  <si>
    <t>C0595</t>
  </si>
  <si>
    <t>C0596</t>
  </si>
  <si>
    <t>C0597</t>
  </si>
  <si>
    <t>C0601</t>
  </si>
  <si>
    <t>C0603</t>
  </si>
  <si>
    <t>C0612</t>
  </si>
  <si>
    <t>013101050741506</t>
  </si>
  <si>
    <t>C0651</t>
  </si>
  <si>
    <t>714001015746531</t>
  </si>
  <si>
    <t>C0645</t>
  </si>
  <si>
    <t>013101050995503</t>
  </si>
  <si>
    <t>MUHAMAD AMIN</t>
  </si>
  <si>
    <t>C0667</t>
  </si>
  <si>
    <t>013101051558508</t>
  </si>
  <si>
    <t>C0680</t>
  </si>
  <si>
    <t>013101052024502</t>
  </si>
  <si>
    <t>C0683</t>
  </si>
  <si>
    <t>013101052032505</t>
  </si>
  <si>
    <t>C0685</t>
  </si>
  <si>
    <t>013101052028506</t>
  </si>
  <si>
    <t>C0687</t>
  </si>
  <si>
    <t>013101052027500</t>
  </si>
  <si>
    <t>C0691</t>
  </si>
  <si>
    <t>013101052163500</t>
  </si>
  <si>
    <t>Diperiksa Oleh</t>
  </si>
  <si>
    <t>Gohi Maruli L Toruan SP</t>
  </si>
  <si>
    <t>Askep</t>
  </si>
  <si>
    <t>C0365</t>
  </si>
  <si>
    <t>013101019633504</t>
  </si>
  <si>
    <t>DAFTAR THR KARYAWAN DIVISI IIA</t>
  </si>
  <si>
    <t>BULAN :  MARET 2025</t>
  </si>
  <si>
    <t>Chandra Dinata Pribadi</t>
  </si>
  <si>
    <t>Senior Manager</t>
  </si>
  <si>
    <t>Disetujui  Oleh</t>
  </si>
  <si>
    <t>Disahkan  Oleh</t>
  </si>
  <si>
    <t>masa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</si>
</sst>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00############"/>
  </numFmts>
  <fonts count="43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9"/>
      <name val="Tahoma"/>
      <family val="2"/>
    </font>
    <font>
      <sz val="10"/>
      <name val="Tahoma"/>
      <family val="2"/>
    </font>
    <font>
      <b/>
      <sz val="9"/>
      <name val="Tahom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name val="Tahoma"/>
      <family val="2"/>
    </font>
    <font>
      <b/>
      <sz val="10"/>
      <name val="Tahoma"/>
      <family val="2"/>
    </font>
    <font>
      <sz val="10"/>
      <name val="Calibri"/>
      <family val="2"/>
    </font>
    <font>
      <u/>
      <sz val="10"/>
      <name val="Tahoma"/>
      <family val="2"/>
    </font>
    <font>
      <u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Tahoma"/>
      <family val="2"/>
    </font>
    <font>
      <b/>
      <sz val="12"/>
      <color theme="1"/>
      <name val="Calibri"/>
      <family val="2"/>
      <scheme val="minor"/>
    </font>
    <font>
      <sz val="11"/>
      <name val="Tahoma"/>
      <family val="2"/>
    </font>
    <font>
      <sz val="11"/>
      <name val="Calibri"/>
      <family val="2"/>
    </font>
    <font>
      <u/>
      <sz val="11"/>
      <color theme="1"/>
      <name val="Calibri"/>
      <family val="2"/>
      <scheme val="minor"/>
    </font>
    <font>
      <u/>
      <sz val="11"/>
      <name val="Tahoma"/>
      <family val="2"/>
    </font>
    <font>
      <u/>
      <sz val="9"/>
      <color theme="1"/>
      <name val="Calibri"/>
      <family val="2"/>
      <scheme val="minor"/>
    </font>
    <font>
      <sz val="10"/>
      <name val="Arial"/>
      <family val="2"/>
    </font>
    <font>
      <b/>
      <sz val="8"/>
      <name val="Tahoma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indexed="8"/>
      <name val="Calibri"/>
      <family val="2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Times New Roman"/>
      <family val="1"/>
    </font>
    <font>
      <b/>
      <sz val="9"/>
      <name val="Arial"/>
      <family val="2"/>
    </font>
    <font>
      <b/>
      <sz val="8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4"/>
      <color indexed="8"/>
      <name val="Cambria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17">
    <xf numFmtId="0" fontId="0" fillId="0" borderId="0"/>
    <xf numFmtId="43" fontId="29" fillId="0" borderId="0" applyFont="0" applyFill="0" applyBorder="0" applyAlignment="0" applyProtection="0"/>
    <xf numFmtId="43" fontId="37" fillId="0" borderId="0" applyFont="0" applyFill="0" applyBorder="0" applyAlignment="0" applyProtection="0">
      <alignment vertical="center"/>
    </xf>
    <xf numFmtId="0" fontId="5" fillId="0" borderId="0"/>
    <xf numFmtId="0" fontId="4" fillId="0" borderId="0"/>
    <xf numFmtId="43" fontId="27" fillId="0" borderId="0" applyFont="0" applyFill="0" applyBorder="0" applyAlignment="0" applyProtection="0"/>
    <xf numFmtId="0" fontId="27" fillId="0" borderId="0"/>
    <xf numFmtId="43" fontId="4" fillId="0" borderId="0" applyFont="0" applyFill="0" applyBorder="0" applyAlignment="0" applyProtection="0"/>
    <xf numFmtId="41" fontId="27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43" fontId="27" fillId="0" borderId="0" applyFont="0" applyFill="0" applyBorder="0" applyAlignment="0" applyProtection="0"/>
    <xf numFmtId="0" fontId="27" fillId="0" borderId="0"/>
    <xf numFmtId="0" fontId="40" fillId="0" borderId="0"/>
    <xf numFmtId="0" fontId="4" fillId="0" borderId="0"/>
    <xf numFmtId="0" fontId="27" fillId="0" borderId="0"/>
    <xf numFmtId="41" fontId="27" fillId="0" borderId="0" applyFont="0" applyFill="0" applyBorder="0" applyAlignment="0" applyProtection="0"/>
    <xf numFmtId="0" fontId="40" fillId="0" borderId="0"/>
    <xf numFmtId="0" fontId="4" fillId="0" borderId="0"/>
    <xf numFmtId="0" fontId="27" fillId="0" borderId="0"/>
    <xf numFmtId="0" fontId="4" fillId="0" borderId="0"/>
    <xf numFmtId="43" fontId="27" fillId="0" borderId="0" applyFont="0" applyFill="0" applyBorder="0" applyAlignment="0" applyProtection="0"/>
    <xf numFmtId="0" fontId="27" fillId="0" borderId="0"/>
    <xf numFmtId="41" fontId="27" fillId="0" borderId="0" applyFont="0" applyFill="0" applyBorder="0" applyAlignment="0" applyProtection="0"/>
    <xf numFmtId="0" fontId="27" fillId="0" borderId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4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4" fillId="0" borderId="0"/>
    <xf numFmtId="0" fontId="4" fillId="0" borderId="0"/>
    <xf numFmtId="0" fontId="27" fillId="0" borderId="0"/>
    <xf numFmtId="41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" fillId="0" borderId="0"/>
    <xf numFmtId="0" fontId="27" fillId="0" borderId="0"/>
    <xf numFmtId="0" fontId="4" fillId="0" borderId="0"/>
    <xf numFmtId="41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4" fillId="0" borderId="0"/>
    <xf numFmtId="0" fontId="27" fillId="0" borderId="0"/>
    <xf numFmtId="0" fontId="27" fillId="0" borderId="0"/>
    <xf numFmtId="0" fontId="4" fillId="0" borderId="0"/>
    <xf numFmtId="43" fontId="27" fillId="0" borderId="0" applyFont="0" applyFill="0" applyBorder="0" applyAlignment="0" applyProtection="0"/>
    <xf numFmtId="0" fontId="4" fillId="0" borderId="0"/>
    <xf numFmtId="0" fontId="4" fillId="0" borderId="0"/>
    <xf numFmtId="0" fontId="27" fillId="0" borderId="0"/>
    <xf numFmtId="41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" fillId="0" borderId="0"/>
    <xf numFmtId="0" fontId="27" fillId="0" borderId="0"/>
    <xf numFmtId="0" fontId="4" fillId="0" borderId="0"/>
    <xf numFmtId="41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4" fillId="0" borderId="0"/>
    <xf numFmtId="0" fontId="27" fillId="0" borderId="0"/>
    <xf numFmtId="0" fontId="4" fillId="0" borderId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27" fillId="0" borderId="0"/>
    <xf numFmtId="0" fontId="4" fillId="0" borderId="0"/>
    <xf numFmtId="0" fontId="27" fillId="0" borderId="0"/>
    <xf numFmtId="0" fontId="4" fillId="0" borderId="0"/>
    <xf numFmtId="41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4" fillId="0" borderId="0"/>
    <xf numFmtId="0" fontId="27" fillId="0" borderId="0"/>
    <xf numFmtId="0" fontId="4" fillId="0" borderId="0"/>
    <xf numFmtId="0" fontId="27" fillId="0" borderId="0"/>
    <xf numFmtId="0" fontId="4" fillId="0" borderId="0"/>
    <xf numFmtId="0" fontId="27" fillId="0" borderId="0"/>
    <xf numFmtId="0" fontId="4" fillId="0" borderId="0"/>
    <xf numFmtId="0" fontId="27" fillId="0" borderId="0"/>
    <xf numFmtId="0" fontId="40" fillId="0" borderId="0"/>
    <xf numFmtId="0" fontId="4" fillId="0" borderId="0"/>
    <xf numFmtId="0" fontId="27" fillId="0" borderId="0"/>
    <xf numFmtId="0" fontId="40" fillId="0" borderId="0"/>
    <xf numFmtId="0" fontId="40" fillId="0" borderId="0"/>
    <xf numFmtId="0" fontId="4" fillId="0" borderId="0"/>
    <xf numFmtId="0" fontId="27" fillId="0" borderId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42">
    <xf numFmtId="0" fontId="0" fillId="0" borderId="0" xfId="0"/>
    <xf numFmtId="0" fontId="11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2" fillId="0" borderId="0" xfId="0" applyNumberFormat="1" applyFont="1" applyFill="1" applyAlignment="1">
      <alignment horizontal="left" vertical="center"/>
    </xf>
    <xf numFmtId="3" fontId="13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5" fillId="0" borderId="0" xfId="0" applyNumberFormat="1" applyFont="1" applyFill="1" applyAlignment="1">
      <alignment horizontal="left" vertical="center"/>
    </xf>
    <xf numFmtId="3" fontId="9" fillId="0" borderId="0" xfId="0" applyNumberFormat="1" applyFont="1" applyAlignment="1">
      <alignment horizontal="center" vertical="center"/>
    </xf>
    <xf numFmtId="3" fontId="9" fillId="0" borderId="0" xfId="0" applyNumberFormat="1" applyFont="1" applyBorder="1" applyAlignment="1">
      <alignment horizontal="center" vertical="center"/>
    </xf>
    <xf numFmtId="3" fontId="9" fillId="0" borderId="0" xfId="0" applyNumberFormat="1" applyFont="1" applyFill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/>
    </xf>
    <xf numFmtId="3" fontId="6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12" fillId="0" borderId="0" xfId="0" applyFont="1"/>
    <xf numFmtId="0" fontId="11" fillId="0" borderId="0" xfId="0" applyFont="1"/>
    <xf numFmtId="0" fontId="0" fillId="0" borderId="0" xfId="0" applyFill="1"/>
    <xf numFmtId="0" fontId="7" fillId="3" borderId="23" xfId="0" applyFont="1" applyFill="1" applyBorder="1" applyAlignment="1">
      <alignment horizontal="center" vertical="center"/>
    </xf>
    <xf numFmtId="3" fontId="0" fillId="0" borderId="0" xfId="0" applyNumberFormat="1" applyFill="1"/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/>
    </xf>
    <xf numFmtId="0" fontId="9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/>
    </xf>
    <xf numFmtId="0" fontId="0" fillId="0" borderId="0" xfId="0" applyFont="1" applyFill="1"/>
    <xf numFmtId="0" fontId="24" fillId="0" borderId="0" xfId="0" applyFont="1" applyAlignment="1"/>
    <xf numFmtId="0" fontId="0" fillId="0" borderId="0" xfId="0" applyFont="1" applyAlignment="1"/>
    <xf numFmtId="4" fontId="9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3" fillId="0" borderId="0" xfId="0" applyFont="1"/>
    <xf numFmtId="164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3" fontId="9" fillId="0" borderId="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3" fontId="15" fillId="0" borderId="0" xfId="0" quotePrefix="1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3" fontId="9" fillId="0" borderId="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9" fillId="0" borderId="27" xfId="0" applyNumberFormat="1" applyFont="1" applyBorder="1" applyAlignment="1">
      <alignment horizontal="center" vertical="center"/>
    </xf>
    <xf numFmtId="3" fontId="9" fillId="0" borderId="25" xfId="0" applyNumberFormat="1" applyFont="1" applyBorder="1" applyAlignment="1">
      <alignment horizontal="center" vertical="center"/>
    </xf>
    <xf numFmtId="3" fontId="9" fillId="0" borderId="24" xfId="0" applyNumberFormat="1" applyFont="1" applyBorder="1" applyAlignment="1">
      <alignment horizontal="center" vertical="center"/>
    </xf>
    <xf numFmtId="3" fontId="15" fillId="0" borderId="0" xfId="0" applyNumberFormat="1" applyFont="1" applyFill="1" applyAlignment="1">
      <alignment horizontal="center" vertical="center"/>
    </xf>
    <xf numFmtId="3" fontId="9" fillId="4" borderId="25" xfId="0" applyNumberFormat="1" applyFont="1" applyFill="1" applyBorder="1" applyAlignment="1">
      <alignment horizontal="center" vertical="center"/>
    </xf>
    <xf numFmtId="3" fontId="15" fillId="4" borderId="0" xfId="0" applyNumberFormat="1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3" fontId="12" fillId="4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top"/>
    </xf>
    <xf numFmtId="3" fontId="0" fillId="0" borderId="0" xfId="0" applyNumberFormat="1"/>
    <xf numFmtId="3" fontId="12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2" fillId="0" borderId="0" xfId="0" applyNumberFormat="1" applyFont="1"/>
    <xf numFmtId="3" fontId="9" fillId="0" borderId="29" xfId="0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9" fillId="0" borderId="4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4" borderId="25" xfId="0" applyFont="1" applyFill="1" applyBorder="1" applyAlignment="1">
      <alignment horizontal="left" vertical="center"/>
    </xf>
    <xf numFmtId="164" fontId="9" fillId="4" borderId="25" xfId="1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164" fontId="9" fillId="4" borderId="29" xfId="1" applyNumberFormat="1" applyFont="1" applyFill="1" applyBorder="1" applyAlignment="1">
      <alignment horizontal="center" vertical="center"/>
    </xf>
    <xf numFmtId="3" fontId="10" fillId="0" borderId="6" xfId="0" applyNumberFormat="1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3" fontId="10" fillId="0" borderId="7" xfId="0" applyNumberFormat="1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 vertical="center"/>
    </xf>
    <xf numFmtId="3" fontId="10" fillId="0" borderId="9" xfId="0" applyNumberFormat="1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3" fontId="10" fillId="0" borderId="11" xfId="0" applyNumberFormat="1" applyFont="1" applyFill="1" applyBorder="1" applyAlignment="1">
      <alignment horizontal="left" vertical="center"/>
    </xf>
    <xf numFmtId="3" fontId="10" fillId="0" borderId="10" xfId="0" applyNumberFormat="1" applyFont="1" applyBorder="1" applyAlignment="1">
      <alignment horizontal="center" vertical="center"/>
    </xf>
    <xf numFmtId="3" fontId="10" fillId="4" borderId="10" xfId="0" applyNumberFormat="1" applyFont="1" applyFill="1" applyBorder="1" applyAlignment="1">
      <alignment horizontal="center" vertical="center"/>
    </xf>
    <xf numFmtId="3" fontId="10" fillId="0" borderId="27" xfId="0" applyNumberFormat="1" applyFont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3" fontId="10" fillId="0" borderId="28" xfId="0" applyNumberFormat="1" applyFont="1" applyBorder="1" applyAlignment="1">
      <alignment horizontal="center" vertical="center"/>
    </xf>
    <xf numFmtId="3" fontId="10" fillId="0" borderId="30" xfId="0" applyNumberFormat="1" applyFont="1" applyBorder="1" applyAlignment="1">
      <alignment horizontal="center" vertical="center"/>
    </xf>
    <xf numFmtId="3" fontId="10" fillId="0" borderId="31" xfId="0" applyNumberFormat="1" applyFont="1" applyBorder="1" applyAlignment="1">
      <alignment horizontal="center" vertical="center"/>
    </xf>
    <xf numFmtId="3" fontId="9" fillId="0" borderId="32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>
      <alignment horizontal="center" vertical="center"/>
    </xf>
    <xf numFmtId="3" fontId="6" fillId="0" borderId="35" xfId="0" applyNumberFormat="1" applyFont="1" applyBorder="1" applyAlignment="1">
      <alignment horizontal="center" vertical="center"/>
    </xf>
    <xf numFmtId="3" fontId="9" fillId="0" borderId="36" xfId="0" applyNumberFormat="1" applyFont="1" applyBorder="1" applyAlignment="1">
      <alignment horizontal="center" vertical="center"/>
    </xf>
    <xf numFmtId="3" fontId="9" fillId="0" borderId="37" xfId="0" applyNumberFormat="1" applyFont="1" applyBorder="1" applyAlignment="1">
      <alignment horizontal="center" vertical="center"/>
    </xf>
    <xf numFmtId="3" fontId="9" fillId="0" borderId="38" xfId="0" applyNumberFormat="1" applyFont="1" applyBorder="1" applyAlignment="1">
      <alignment horizontal="center" vertical="center"/>
    </xf>
    <xf numFmtId="3" fontId="8" fillId="0" borderId="38" xfId="0" applyNumberFormat="1" applyFont="1" applyBorder="1" applyAlignment="1">
      <alignment horizontal="center" vertical="center"/>
    </xf>
    <xf numFmtId="0" fontId="8" fillId="0" borderId="38" xfId="0" applyNumberFormat="1" applyFont="1" applyBorder="1" applyAlignment="1">
      <alignment horizontal="center" vertical="center"/>
    </xf>
    <xf numFmtId="164" fontId="8" fillId="0" borderId="38" xfId="1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9" fillId="0" borderId="38" xfId="1" applyNumberFormat="1" applyFont="1" applyBorder="1" applyAlignment="1">
      <alignment horizontal="center" vertical="center"/>
    </xf>
    <xf numFmtId="3" fontId="10" fillId="0" borderId="34" xfId="0" applyNumberFormat="1" applyFont="1" applyBorder="1" applyAlignment="1">
      <alignment horizontal="center" vertical="center"/>
    </xf>
    <xf numFmtId="3" fontId="10" fillId="0" borderId="35" xfId="0" applyNumberFormat="1" applyFont="1" applyBorder="1" applyAlignment="1">
      <alignment horizontal="center" vertical="center"/>
    </xf>
    <xf numFmtId="3" fontId="10" fillId="0" borderId="38" xfId="0" applyNumberFormat="1" applyFont="1" applyBorder="1" applyAlignment="1">
      <alignment horizontal="center" vertical="center"/>
    </xf>
    <xf numFmtId="3" fontId="10" fillId="0" borderId="39" xfId="0" applyNumberFormat="1" applyFont="1" applyBorder="1" applyAlignment="1">
      <alignment horizontal="center" vertical="center"/>
    </xf>
    <xf numFmtId="3" fontId="11" fillId="0" borderId="0" xfId="0" applyNumberFormat="1" applyFont="1"/>
    <xf numFmtId="3" fontId="15" fillId="0" borderId="6" xfId="0" applyNumberFormat="1" applyFont="1" applyBorder="1" applyAlignment="1">
      <alignment horizontal="center" vertical="center"/>
    </xf>
    <xf numFmtId="3" fontId="15" fillId="0" borderId="7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3" fontId="15" fillId="0" borderId="9" xfId="0" applyNumberFormat="1" applyFont="1" applyBorder="1" applyAlignment="1">
      <alignment horizontal="center" vertical="center"/>
    </xf>
    <xf numFmtId="3" fontId="15" fillId="0" borderId="4" xfId="0" applyNumberFormat="1" applyFont="1" applyFill="1" applyBorder="1" applyAlignment="1">
      <alignment horizontal="center" vertical="center"/>
    </xf>
    <xf numFmtId="3" fontId="15" fillId="0" borderId="18" xfId="0" applyNumberFormat="1" applyFont="1" applyBorder="1" applyAlignment="1">
      <alignment horizontal="center" vertical="center"/>
    </xf>
    <xf numFmtId="3" fontId="15" fillId="0" borderId="10" xfId="0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center" vertical="center"/>
    </xf>
    <xf numFmtId="3" fontId="15" fillId="0" borderId="10" xfId="0" applyNumberFormat="1" applyFont="1" applyFill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3" fontId="22" fillId="0" borderId="25" xfId="0" applyNumberFormat="1" applyFont="1" applyFill="1" applyBorder="1" applyAlignment="1">
      <alignment horizontal="center" vertical="center"/>
    </xf>
    <xf numFmtId="164" fontId="22" fillId="0" borderId="25" xfId="1" applyNumberFormat="1" applyFont="1" applyBorder="1" applyAlignment="1">
      <alignment horizontal="center" vertical="center" wrapText="1"/>
    </xf>
    <xf numFmtId="3" fontId="22" fillId="0" borderId="24" xfId="0" applyNumberFormat="1" applyFont="1" applyBorder="1" applyAlignment="1">
      <alignment horizontal="center" vertical="center"/>
    </xf>
    <xf numFmtId="3" fontId="22" fillId="0" borderId="33" xfId="0" applyNumberFormat="1" applyFont="1" applyBorder="1" applyAlignment="1">
      <alignment horizontal="center" vertical="center"/>
    </xf>
    <xf numFmtId="3" fontId="22" fillId="0" borderId="4" xfId="0" applyNumberFormat="1" applyFont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3" fontId="22" fillId="0" borderId="13" xfId="0" applyNumberFormat="1" applyFont="1" applyBorder="1" applyAlignment="1">
      <alignment horizontal="center" vertical="center"/>
    </xf>
    <xf numFmtId="0" fontId="22" fillId="0" borderId="13" xfId="0" applyNumberFormat="1" applyFont="1" applyBorder="1" applyAlignment="1">
      <alignment horizontal="center" vertical="center"/>
    </xf>
    <xf numFmtId="0" fontId="22" fillId="0" borderId="1" xfId="1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64" fontId="22" fillId="0" borderId="1" xfId="1" applyNumberFormat="1" applyFont="1" applyBorder="1" applyAlignment="1">
      <alignment horizontal="center" vertical="center" wrapText="1"/>
    </xf>
    <xf numFmtId="0" fontId="22" fillId="0" borderId="3" xfId="0" applyNumberFormat="1" applyFont="1" applyBorder="1" applyAlignment="1">
      <alignment horizontal="center" vertical="center"/>
    </xf>
    <xf numFmtId="0" fontId="9" fillId="4" borderId="24" xfId="0" applyFont="1" applyFill="1" applyBorder="1" applyAlignment="1">
      <alignment horizontal="left" vertical="center"/>
    </xf>
    <xf numFmtId="3" fontId="12" fillId="0" borderId="0" xfId="0" applyNumberFormat="1" applyFont="1" applyAlignment="1">
      <alignment horizontal="center" vertical="center"/>
    </xf>
    <xf numFmtId="3" fontId="28" fillId="0" borderId="9" xfId="0" applyNumberFormat="1" applyFont="1" applyBorder="1" applyAlignment="1">
      <alignment horizontal="center" vertical="center"/>
    </xf>
    <xf numFmtId="3" fontId="28" fillId="0" borderId="1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3" fontId="10" fillId="0" borderId="14" xfId="0" applyNumberFormat="1" applyFont="1" applyBorder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3" fontId="22" fillId="0" borderId="40" xfId="0" applyNumberFormat="1" applyFont="1" applyBorder="1" applyAlignment="1">
      <alignment horizontal="center" vertical="center"/>
    </xf>
    <xf numFmtId="164" fontId="8" fillId="0" borderId="35" xfId="1" applyNumberFormat="1" applyFont="1" applyBorder="1" applyAlignment="1">
      <alignment horizontal="center" vertical="center"/>
    </xf>
    <xf numFmtId="0" fontId="22" fillId="4" borderId="40" xfId="0" applyFont="1" applyFill="1" applyBorder="1" applyAlignment="1">
      <alignment horizontal="center" vertical="center"/>
    </xf>
    <xf numFmtId="3" fontId="22" fillId="4" borderId="40" xfId="0" applyNumberFormat="1" applyFont="1" applyFill="1" applyBorder="1" applyAlignment="1">
      <alignment horizontal="center" vertical="center"/>
    </xf>
    <xf numFmtId="3" fontId="20" fillId="0" borderId="40" xfId="0" applyNumberFormat="1" applyFont="1" applyBorder="1" applyAlignment="1">
      <alignment horizontal="center" vertical="center"/>
    </xf>
    <xf numFmtId="164" fontId="9" fillId="4" borderId="41" xfId="1" applyNumberFormat="1" applyFont="1" applyFill="1" applyBorder="1" applyAlignment="1">
      <alignment horizontal="center" vertical="center"/>
    </xf>
    <xf numFmtId="3" fontId="9" fillId="4" borderId="41" xfId="0" applyNumberFormat="1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left" vertical="center"/>
    </xf>
    <xf numFmtId="0" fontId="9" fillId="4" borderId="41" xfId="0" applyFont="1" applyFill="1" applyBorder="1" applyAlignment="1">
      <alignment horizontal="left" vertical="center"/>
    </xf>
    <xf numFmtId="165" fontId="31" fillId="0" borderId="0" xfId="0" applyNumberFormat="1" applyFont="1" applyBorder="1" applyAlignment="1">
      <alignment horizontal="center"/>
    </xf>
    <xf numFmtId="0" fontId="0" fillId="0" borderId="0" xfId="0" applyBorder="1"/>
    <xf numFmtId="0" fontId="9" fillId="4" borderId="41" xfId="0" applyNumberFormat="1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9" fillId="4" borderId="41" xfId="0" applyNumberFormat="1" applyFont="1" applyFill="1" applyBorder="1" applyAlignment="1">
      <alignment horizontal="left" vertical="center"/>
    </xf>
    <xf numFmtId="0" fontId="12" fillId="0" borderId="43" xfId="0" applyFon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3" fontId="22" fillId="0" borderId="40" xfId="0" applyNumberFormat="1" applyFont="1" applyFill="1" applyBorder="1" applyAlignment="1">
      <alignment horizontal="center" vertical="center"/>
    </xf>
    <xf numFmtId="164" fontId="22" fillId="0" borderId="40" xfId="1" applyNumberFormat="1" applyFont="1" applyBorder="1" applyAlignment="1">
      <alignment horizontal="center" vertical="center" wrapText="1"/>
    </xf>
    <xf numFmtId="3" fontId="20" fillId="0" borderId="0" xfId="0" applyNumberFormat="1" applyFont="1" applyBorder="1" applyAlignment="1">
      <alignment horizontal="center" vertical="center"/>
    </xf>
    <xf numFmtId="164" fontId="8" fillId="0" borderId="44" xfId="1" applyNumberFormat="1" applyFont="1" applyBorder="1" applyAlignment="1">
      <alignment horizontal="center" vertical="center"/>
    </xf>
    <xf numFmtId="3" fontId="15" fillId="4" borderId="0" xfId="0" applyNumberFormat="1" applyFont="1" applyFill="1" applyAlignment="1">
      <alignment horizontal="left" vertical="center"/>
    </xf>
    <xf numFmtId="3" fontId="15" fillId="4" borderId="7" xfId="0" applyNumberFormat="1" applyFont="1" applyFill="1" applyBorder="1" applyAlignment="1">
      <alignment horizontal="center" vertical="center"/>
    </xf>
    <xf numFmtId="3" fontId="15" fillId="4" borderId="9" xfId="0" applyNumberFormat="1" applyFont="1" applyFill="1" applyBorder="1" applyAlignment="1">
      <alignment horizontal="center" vertical="center"/>
    </xf>
    <xf numFmtId="3" fontId="15" fillId="4" borderId="11" xfId="0" applyNumberFormat="1" applyFont="1" applyFill="1" applyBorder="1" applyAlignment="1">
      <alignment horizontal="left" vertical="center"/>
    </xf>
    <xf numFmtId="0" fontId="22" fillId="4" borderId="24" xfId="0" applyFont="1" applyFill="1" applyBorder="1" applyAlignment="1">
      <alignment horizontal="left" vertical="center"/>
    </xf>
    <xf numFmtId="0" fontId="22" fillId="4" borderId="40" xfId="0" applyFont="1" applyFill="1" applyBorder="1" applyAlignment="1">
      <alignment horizontal="left" vertical="center"/>
    </xf>
    <xf numFmtId="3" fontId="10" fillId="4" borderId="27" xfId="0" applyNumberFormat="1" applyFont="1" applyFill="1" applyBorder="1" applyAlignment="1">
      <alignment horizontal="center" vertical="center"/>
    </xf>
    <xf numFmtId="3" fontId="9" fillId="4" borderId="0" xfId="0" applyNumberFormat="1" applyFont="1" applyFill="1" applyBorder="1" applyAlignment="1">
      <alignment horizontal="center" vertical="center"/>
    </xf>
    <xf numFmtId="3" fontId="16" fillId="4" borderId="0" xfId="0" applyNumberFormat="1" applyFont="1" applyFill="1" applyAlignment="1">
      <alignment horizontal="left" vertical="center"/>
    </xf>
    <xf numFmtId="3" fontId="12" fillId="4" borderId="0" xfId="0" applyNumberFormat="1" applyFont="1" applyFill="1" applyAlignment="1">
      <alignment horizontal="left" vertical="center"/>
    </xf>
    <xf numFmtId="3" fontId="17" fillId="4" borderId="0" xfId="0" applyNumberFormat="1" applyFont="1" applyFill="1" applyAlignment="1">
      <alignment horizontal="center" vertical="center"/>
    </xf>
    <xf numFmtId="3" fontId="22" fillId="4" borderId="40" xfId="0" applyNumberFormat="1" applyFont="1" applyFill="1" applyBorder="1" applyAlignment="1">
      <alignment horizontal="left" vertical="center"/>
    </xf>
    <xf numFmtId="3" fontId="22" fillId="4" borderId="40" xfId="1" applyNumberFormat="1" applyFont="1" applyFill="1" applyBorder="1" applyAlignment="1">
      <alignment horizontal="center" vertical="center"/>
    </xf>
    <xf numFmtId="164" fontId="22" fillId="4" borderId="40" xfId="1" applyNumberFormat="1" applyFont="1" applyFill="1" applyBorder="1" applyAlignment="1">
      <alignment horizontal="left" vertical="center"/>
    </xf>
    <xf numFmtId="0" fontId="22" fillId="4" borderId="40" xfId="1" applyNumberFormat="1" applyFont="1" applyFill="1" applyBorder="1" applyAlignment="1">
      <alignment horizontal="left" vertical="center"/>
    </xf>
    <xf numFmtId="0" fontId="22" fillId="4" borderId="40" xfId="0" applyNumberFormat="1" applyFont="1" applyFill="1" applyBorder="1" applyAlignment="1">
      <alignment horizontal="left" vertical="center"/>
    </xf>
    <xf numFmtId="0" fontId="22" fillId="4" borderId="40" xfId="1" applyNumberFormat="1" applyFont="1" applyFill="1" applyBorder="1" applyAlignment="1">
      <alignment horizontal="left" vertical="center" wrapText="1"/>
    </xf>
    <xf numFmtId="0" fontId="12" fillId="0" borderId="21" xfId="0" applyFont="1" applyBorder="1" applyAlignment="1">
      <alignment horizontal="center" vertical="center"/>
    </xf>
    <xf numFmtId="3" fontId="15" fillId="0" borderId="45" xfId="0" applyNumberFormat="1" applyFont="1" applyBorder="1" applyAlignment="1">
      <alignment horizontal="center" vertical="center"/>
    </xf>
    <xf numFmtId="164" fontId="8" fillId="0" borderId="47" xfId="1" applyNumberFormat="1" applyFont="1" applyBorder="1" applyAlignment="1">
      <alignment horizontal="center" vertical="center"/>
    </xf>
    <xf numFmtId="164" fontId="8" fillId="0" borderId="46" xfId="1" applyNumberFormat="1" applyFont="1" applyBorder="1" applyAlignment="1">
      <alignment horizontal="center" vertical="center"/>
    </xf>
    <xf numFmtId="3" fontId="15" fillId="0" borderId="30" xfId="0" applyNumberFormat="1" applyFont="1" applyBorder="1" applyAlignment="1">
      <alignment horizontal="center" vertical="center"/>
    </xf>
    <xf numFmtId="3" fontId="15" fillId="0" borderId="31" xfId="0" applyNumberFormat="1" applyFont="1" applyBorder="1" applyAlignment="1">
      <alignment horizontal="center" vertical="center"/>
    </xf>
    <xf numFmtId="3" fontId="15" fillId="0" borderId="14" xfId="0" applyNumberFormat="1" applyFont="1" applyBorder="1" applyAlignment="1">
      <alignment horizontal="center" vertical="center"/>
    </xf>
    <xf numFmtId="3" fontId="9" fillId="0" borderId="19" xfId="0" applyNumberFormat="1" applyFont="1" applyBorder="1" applyAlignment="1">
      <alignment horizontal="center" vertical="center"/>
    </xf>
    <xf numFmtId="3" fontId="9" fillId="0" borderId="43" xfId="0" applyNumberFormat="1" applyFont="1" applyBorder="1" applyAlignment="1">
      <alignment horizontal="center" vertical="center"/>
    </xf>
    <xf numFmtId="3" fontId="9" fillId="0" borderId="47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7" xfId="0" applyNumberFormat="1" applyFont="1" applyBorder="1" applyAlignment="1">
      <alignment horizontal="center" vertical="center"/>
    </xf>
    <xf numFmtId="3" fontId="22" fillId="0" borderId="48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5" fillId="0" borderId="7" xfId="0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9" fillId="2" borderId="0" xfId="1" applyNumberFormat="1" applyFont="1" applyFill="1" applyBorder="1" applyAlignment="1">
      <alignment horizontal="center" vertical="center" wrapText="1"/>
    </xf>
    <xf numFmtId="3" fontId="9" fillId="0" borderId="48" xfId="0" applyNumberFormat="1" applyFont="1" applyBorder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164" fontId="9" fillId="0" borderId="50" xfId="1" applyNumberFormat="1" applyFont="1" applyBorder="1" applyAlignment="1">
      <alignment horizontal="center" vertical="center"/>
    </xf>
    <xf numFmtId="3" fontId="22" fillId="4" borderId="49" xfId="0" applyNumberFormat="1" applyFont="1" applyFill="1" applyBorder="1" applyAlignment="1">
      <alignment horizontal="center" vertical="center"/>
    </xf>
    <xf numFmtId="3" fontId="9" fillId="0" borderId="50" xfId="0" applyNumberFormat="1" applyFont="1" applyBorder="1" applyAlignment="1">
      <alignment horizontal="center" vertical="center"/>
    </xf>
    <xf numFmtId="0" fontId="9" fillId="4" borderId="50" xfId="0" applyFont="1" applyFill="1" applyBorder="1" applyAlignment="1">
      <alignment horizontal="left" vertical="center"/>
    </xf>
    <xf numFmtId="3" fontId="22" fillId="0" borderId="50" xfId="0" applyNumberFormat="1" applyFont="1" applyBorder="1" applyAlignment="1">
      <alignment horizontal="center" vertical="center"/>
    </xf>
    <xf numFmtId="3" fontId="22" fillId="4" borderId="50" xfId="0" applyNumberFormat="1" applyFont="1" applyFill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3" fontId="9" fillId="0" borderId="49" xfId="0" applyNumberFormat="1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164" fontId="9" fillId="4" borderId="50" xfId="1" applyNumberFormat="1" applyFont="1" applyFill="1" applyBorder="1" applyAlignment="1">
      <alignment horizontal="center" vertical="center"/>
    </xf>
    <xf numFmtId="0" fontId="9" fillId="4" borderId="49" xfId="0" applyFont="1" applyFill="1" applyBorder="1" applyAlignment="1">
      <alignment horizontal="left" vertical="center"/>
    </xf>
    <xf numFmtId="164" fontId="9" fillId="4" borderId="49" xfId="1" applyNumberFormat="1" applyFont="1" applyFill="1" applyBorder="1" applyAlignment="1">
      <alignment horizontal="center" vertical="center"/>
    </xf>
    <xf numFmtId="3" fontId="9" fillId="4" borderId="49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22" fillId="4" borderId="50" xfId="0" applyFont="1" applyFill="1" applyBorder="1" applyAlignment="1">
      <alignment horizontal="left" vertical="center"/>
    </xf>
    <xf numFmtId="0" fontId="22" fillId="0" borderId="4" xfId="0" applyFont="1" applyBorder="1" applyAlignment="1">
      <alignment horizontal="center" vertical="center"/>
    </xf>
    <xf numFmtId="164" fontId="8" fillId="0" borderId="0" xfId="1" applyNumberFormat="1" applyFont="1" applyBorder="1" applyAlignment="1">
      <alignment horizontal="center" vertical="center"/>
    </xf>
    <xf numFmtId="3" fontId="10" fillId="0" borderId="55" xfId="0" applyNumberFormat="1" applyFont="1" applyBorder="1" applyAlignment="1">
      <alignment horizontal="center" vertical="center"/>
    </xf>
    <xf numFmtId="3" fontId="10" fillId="0" borderId="52" xfId="0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9" fillId="0" borderId="27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2" fillId="0" borderId="17" xfId="0" applyNumberFormat="1" applyFont="1" applyBorder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3" fontId="9" fillId="0" borderId="56" xfId="0" applyNumberFormat="1" applyFont="1" applyFill="1" applyBorder="1" applyAlignment="1">
      <alignment horizontal="center" vertical="center"/>
    </xf>
    <xf numFmtId="3" fontId="9" fillId="0" borderId="57" xfId="0" applyNumberFormat="1" applyFont="1" applyFill="1" applyBorder="1" applyAlignment="1">
      <alignment horizontal="center" vertical="center"/>
    </xf>
    <xf numFmtId="3" fontId="9" fillId="0" borderId="58" xfId="0" applyNumberFormat="1" applyFont="1" applyFill="1" applyBorder="1" applyAlignment="1">
      <alignment horizontal="left" vertical="center"/>
    </xf>
    <xf numFmtId="3" fontId="9" fillId="0" borderId="58" xfId="0" applyNumberFormat="1" applyFont="1" applyFill="1" applyBorder="1" applyAlignment="1">
      <alignment horizontal="center" vertical="center"/>
    </xf>
    <xf numFmtId="3" fontId="9" fillId="0" borderId="59" xfId="0" applyNumberFormat="1" applyFont="1" applyFill="1" applyBorder="1" applyAlignment="1">
      <alignment horizontal="center" vertical="center"/>
    </xf>
    <xf numFmtId="4" fontId="9" fillId="0" borderId="0" xfId="0" applyNumberFormat="1" applyFont="1" applyFill="1" applyBorder="1" applyAlignment="1">
      <alignment horizontal="center" vertical="center"/>
    </xf>
    <xf numFmtId="3" fontId="9" fillId="4" borderId="58" xfId="0" applyNumberFormat="1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9" xfId="0" applyFont="1" applyFill="1" applyBorder="1" applyAlignment="1">
      <alignment horizontal="center" vertical="center"/>
    </xf>
    <xf numFmtId="9" fontId="10" fillId="0" borderId="9" xfId="0" applyNumberFormat="1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52" xfId="0" applyFont="1" applyFill="1" applyBorder="1" applyAlignment="1">
      <alignment horizontal="center" vertical="center"/>
    </xf>
    <xf numFmtId="0" fontId="10" fillId="0" borderId="51" xfId="0" applyFont="1" applyFill="1" applyBorder="1" applyAlignment="1">
      <alignment horizontal="center" vertical="center"/>
    </xf>
    <xf numFmtId="0" fontId="10" fillId="0" borderId="54" xfId="0" applyFont="1" applyFill="1" applyBorder="1" applyAlignment="1">
      <alignment horizontal="center" vertical="center"/>
    </xf>
    <xf numFmtId="0" fontId="10" fillId="0" borderId="55" xfId="0" applyFont="1" applyFill="1" applyBorder="1" applyAlignment="1">
      <alignment horizontal="center" vertical="center"/>
    </xf>
    <xf numFmtId="3" fontId="28" fillId="0" borderId="14" xfId="0" applyNumberFormat="1" applyFont="1" applyFill="1" applyBorder="1" applyAlignment="1">
      <alignment horizontal="center" vertical="center"/>
    </xf>
    <xf numFmtId="3" fontId="28" fillId="0" borderId="10" xfId="0" applyNumberFormat="1" applyFont="1" applyFill="1" applyBorder="1" applyAlignment="1">
      <alignment horizontal="center" vertical="center"/>
    </xf>
    <xf numFmtId="3" fontId="39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Alignment="1"/>
    <xf numFmtId="3" fontId="35" fillId="0" borderId="58" xfId="0" applyNumberFormat="1" applyFont="1" applyFill="1" applyBorder="1" applyAlignment="1">
      <alignment horizontal="left" vertical="center"/>
    </xf>
    <xf numFmtId="0" fontId="7" fillId="3" borderId="60" xfId="0" applyFont="1" applyFill="1" applyBorder="1" applyAlignment="1">
      <alignment horizontal="center" vertical="center"/>
    </xf>
    <xf numFmtId="3" fontId="22" fillId="4" borderId="50" xfId="1" applyNumberFormat="1" applyFont="1" applyFill="1" applyBorder="1" applyAlignment="1">
      <alignment horizontal="center" vertical="center"/>
    </xf>
    <xf numFmtId="3" fontId="9" fillId="0" borderId="56" xfId="0" applyNumberFormat="1" applyFont="1" applyBorder="1" applyAlignment="1">
      <alignment horizontal="center" vertical="center"/>
    </xf>
    <xf numFmtId="3" fontId="9" fillId="0" borderId="58" xfId="0" applyNumberFormat="1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3" fontId="9" fillId="4" borderId="50" xfId="0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9" fillId="0" borderId="61" xfId="0" applyNumberFormat="1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4" borderId="61" xfId="0" applyFont="1" applyFill="1" applyBorder="1" applyAlignment="1">
      <alignment horizontal="left" vertical="center"/>
    </xf>
    <xf numFmtId="164" fontId="9" fillId="4" borderId="61" xfId="1" applyNumberFormat="1" applyFont="1" applyFill="1" applyBorder="1" applyAlignment="1">
      <alignment horizontal="center" vertical="center"/>
    </xf>
    <xf numFmtId="3" fontId="9" fillId="4" borderId="61" xfId="0" applyNumberFormat="1" applyFont="1" applyFill="1" applyBorder="1" applyAlignment="1">
      <alignment horizontal="center" vertical="center"/>
    </xf>
    <xf numFmtId="3" fontId="9" fillId="0" borderId="50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9" fillId="0" borderId="19" xfId="0" applyNumberFormat="1" applyFont="1" applyBorder="1" applyAlignment="1">
      <alignment horizontal="center" vertical="center"/>
    </xf>
    <xf numFmtId="3" fontId="11" fillId="0" borderId="17" xfId="0" applyNumberFormat="1" applyFont="1" applyBorder="1" applyAlignment="1">
      <alignment vertical="center"/>
    </xf>
    <xf numFmtId="3" fontId="15" fillId="0" borderId="7" xfId="0" applyNumberFormat="1" applyFont="1" applyFill="1" applyBorder="1" applyAlignment="1">
      <alignment horizontal="center" vertical="center" textRotation="180"/>
    </xf>
    <xf numFmtId="3" fontId="19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3" fontId="28" fillId="0" borderId="7" xfId="0" applyNumberFormat="1" applyFont="1" applyBorder="1" applyAlignment="1">
      <alignment horizontal="center" vertical="center"/>
    </xf>
    <xf numFmtId="3" fontId="28" fillId="0" borderId="42" xfId="0" applyNumberFormat="1" applyFont="1" applyBorder="1" applyAlignment="1">
      <alignment horizontal="center" vertical="center"/>
    </xf>
    <xf numFmtId="3" fontId="6" fillId="0" borderId="24" xfId="0" applyNumberFormat="1" applyFont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28" fillId="0" borderId="52" xfId="0" applyNumberFormat="1" applyFont="1" applyFill="1" applyBorder="1" applyAlignment="1">
      <alignment vertical="center"/>
    </xf>
    <xf numFmtId="3" fontId="12" fillId="0" borderId="62" xfId="0" applyNumberFormat="1" applyFont="1" applyBorder="1" applyAlignment="1">
      <alignment horizontal="center" vertical="center"/>
    </xf>
    <xf numFmtId="3" fontId="12" fillId="0" borderId="0" xfId="0" applyNumberFormat="1" applyFont="1" applyBorder="1" applyAlignment="1">
      <alignment horizontal="center" vertical="center"/>
    </xf>
    <xf numFmtId="3" fontId="9" fillId="4" borderId="4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9" fillId="4" borderId="4" xfId="1" applyNumberFormat="1" applyFont="1" applyFill="1" applyBorder="1" applyAlignment="1">
      <alignment horizontal="center" vertical="center"/>
    </xf>
    <xf numFmtId="3" fontId="9" fillId="0" borderId="63" xfId="0" applyNumberFormat="1" applyFont="1" applyBorder="1" applyAlignment="1">
      <alignment horizontal="center" vertical="center"/>
    </xf>
    <xf numFmtId="165" fontId="32" fillId="0" borderId="0" xfId="0" quotePrefix="1" applyNumberFormat="1" applyFont="1" applyBorder="1" applyAlignment="1">
      <alignment horizontal="center"/>
    </xf>
    <xf numFmtId="3" fontId="33" fillId="0" borderId="58" xfId="0" applyNumberFormat="1" applyFont="1" applyFill="1" applyBorder="1" applyAlignment="1">
      <alignment horizontal="center" vertical="center"/>
    </xf>
    <xf numFmtId="165" fontId="32" fillId="4" borderId="64" xfId="0" applyNumberFormat="1" applyFont="1" applyFill="1" applyBorder="1" applyAlignment="1">
      <alignment horizontal="center"/>
    </xf>
    <xf numFmtId="0" fontId="30" fillId="0" borderId="58" xfId="0" applyFont="1" applyFill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2" fillId="4" borderId="61" xfId="0" applyFont="1" applyFill="1" applyBorder="1" applyAlignment="1">
      <alignment horizontal="left" vertical="center"/>
    </xf>
    <xf numFmtId="3" fontId="22" fillId="0" borderId="61" xfId="0" applyNumberFormat="1" applyFont="1" applyBorder="1" applyAlignment="1">
      <alignment horizontal="center" vertical="center"/>
    </xf>
    <xf numFmtId="0" fontId="22" fillId="4" borderId="61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left" vertical="center"/>
    </xf>
    <xf numFmtId="3" fontId="33" fillId="0" borderId="4" xfId="0" applyNumberFormat="1" applyFont="1" applyFill="1" applyBorder="1" applyAlignment="1">
      <alignment horizontal="center" vertical="center"/>
    </xf>
    <xf numFmtId="3" fontId="10" fillId="0" borderId="51" xfId="0" applyNumberFormat="1" applyFont="1" applyBorder="1" applyAlignment="1">
      <alignment horizontal="center" vertical="center"/>
    </xf>
    <xf numFmtId="3" fontId="9" fillId="0" borderId="65" xfId="0" applyNumberFormat="1" applyFont="1" applyBorder="1" applyAlignment="1">
      <alignment horizontal="center" vertical="center"/>
    </xf>
    <xf numFmtId="3" fontId="9" fillId="0" borderId="66" xfId="0" applyNumberFormat="1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4" borderId="66" xfId="0" applyFont="1" applyFill="1" applyBorder="1" applyAlignment="1">
      <alignment horizontal="left" vertical="center"/>
    </xf>
    <xf numFmtId="164" fontId="9" fillId="4" borderId="66" xfId="1" applyNumberFormat="1" applyFont="1" applyFill="1" applyBorder="1" applyAlignment="1">
      <alignment horizontal="center" vertical="center"/>
    </xf>
    <xf numFmtId="3" fontId="9" fillId="0" borderId="66" xfId="0" applyNumberFormat="1" applyFont="1" applyFill="1" applyBorder="1" applyAlignment="1">
      <alignment horizontal="center" vertical="center"/>
    </xf>
    <xf numFmtId="3" fontId="9" fillId="0" borderId="67" xfId="0" applyNumberFormat="1" applyFont="1" applyBorder="1" applyAlignment="1">
      <alignment horizontal="center" vertical="center"/>
    </xf>
    <xf numFmtId="3" fontId="35" fillId="0" borderId="4" xfId="0" applyNumberFormat="1" applyFont="1" applyFill="1" applyBorder="1" applyAlignment="1">
      <alignment horizontal="left" vertical="center"/>
    </xf>
    <xf numFmtId="3" fontId="24" fillId="0" borderId="0" xfId="0" applyNumberFormat="1" applyFont="1" applyFill="1" applyAlignment="1">
      <alignment horizontal="center"/>
    </xf>
    <xf numFmtId="3" fontId="22" fillId="0" borderId="0" xfId="0" applyNumberFormat="1" applyFont="1" applyFill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5" fillId="0" borderId="19" xfId="0" applyNumberFormat="1" applyFont="1" applyBorder="1" applyAlignment="1">
      <alignment horizontal="center" vertical="center"/>
    </xf>
    <xf numFmtId="3" fontId="10" fillId="0" borderId="6" xfId="0" applyNumberFormat="1" applyFont="1" applyBorder="1" applyAlignment="1">
      <alignment horizontal="center" vertical="center"/>
    </xf>
    <xf numFmtId="3" fontId="10" fillId="0" borderId="58" xfId="0" applyNumberFormat="1" applyFont="1" applyBorder="1" applyAlignment="1">
      <alignment horizontal="center" vertical="center"/>
    </xf>
    <xf numFmtId="3" fontId="28" fillId="0" borderId="4" xfId="0" applyNumberFormat="1" applyFont="1" applyBorder="1" applyAlignment="1">
      <alignment horizontal="center" vertical="center"/>
    </xf>
    <xf numFmtId="3" fontId="28" fillId="0" borderId="58" xfId="0" applyNumberFormat="1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3" fontId="10" fillId="0" borderId="34" xfId="0" applyNumberFormat="1" applyFont="1" applyBorder="1" applyAlignment="1">
      <alignment horizontal="center" vertical="center"/>
    </xf>
    <xf numFmtId="3" fontId="10" fillId="0" borderId="35" xfId="0" applyNumberFormat="1" applyFont="1" applyBorder="1" applyAlignment="1">
      <alignment horizontal="center" vertical="center"/>
    </xf>
    <xf numFmtId="3" fontId="10" fillId="0" borderId="38" xfId="0" applyNumberFormat="1" applyFont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3" fontId="10" fillId="0" borderId="7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3" fontId="12" fillId="0" borderId="0" xfId="0" applyNumberFormat="1" applyFont="1" applyFill="1" applyAlignment="1">
      <alignment horizontal="center"/>
    </xf>
    <xf numFmtId="3" fontId="10" fillId="4" borderId="52" xfId="0" applyNumberFormat="1" applyFont="1" applyFill="1" applyBorder="1" applyAlignment="1">
      <alignment horizontal="center" vertical="center"/>
    </xf>
    <xf numFmtId="3" fontId="28" fillId="0" borderId="17" xfId="0" applyNumberFormat="1" applyFont="1" applyBorder="1" applyAlignment="1">
      <alignment horizontal="center" vertical="center"/>
    </xf>
    <xf numFmtId="3" fontId="28" fillId="0" borderId="0" xfId="0" applyNumberFormat="1" applyFont="1" applyBorder="1" applyAlignment="1">
      <alignment horizontal="center" vertical="center"/>
    </xf>
    <xf numFmtId="3" fontId="6" fillId="0" borderId="66" xfId="0" applyNumberFormat="1" applyFont="1" applyBorder="1" applyAlignment="1">
      <alignment horizontal="center" vertical="center"/>
    </xf>
    <xf numFmtId="3" fontId="22" fillId="4" borderId="58" xfId="0" applyNumberFormat="1" applyFont="1" applyFill="1" applyBorder="1" applyAlignment="1">
      <alignment horizontal="center" vertical="center"/>
    </xf>
    <xf numFmtId="3" fontId="10" fillId="0" borderId="9" xfId="0" quotePrefix="1" applyNumberFormat="1" applyFont="1" applyBorder="1" applyAlignment="1">
      <alignment horizontal="center" vertical="center"/>
    </xf>
    <xf numFmtId="3" fontId="22" fillId="0" borderId="58" xfId="0" applyNumberFormat="1" applyFont="1" applyBorder="1" applyAlignment="1">
      <alignment horizontal="center" vertical="center"/>
    </xf>
    <xf numFmtId="3" fontId="15" fillId="0" borderId="20" xfId="0" applyNumberFormat="1" applyFont="1" applyBorder="1" applyAlignment="1">
      <alignment horizontal="center" vertical="center"/>
    </xf>
    <xf numFmtId="3" fontId="15" fillId="0" borderId="22" xfId="0" applyNumberFormat="1" applyFont="1" applyBorder="1" applyAlignment="1">
      <alignment horizontal="center" vertical="center"/>
    </xf>
    <xf numFmtId="0" fontId="28" fillId="0" borderId="68" xfId="0" applyFont="1" applyBorder="1" applyAlignment="1">
      <alignment horizontal="center" vertical="center"/>
    </xf>
    <xf numFmtId="3" fontId="22" fillId="0" borderId="59" xfId="0" applyNumberFormat="1" applyFont="1" applyBorder="1" applyAlignment="1">
      <alignment horizontal="center" vertical="center"/>
    </xf>
    <xf numFmtId="3" fontId="22" fillId="0" borderId="53" xfId="0" applyNumberFormat="1" applyFont="1" applyBorder="1" applyAlignment="1">
      <alignment horizontal="center" vertical="center"/>
    </xf>
    <xf numFmtId="3" fontId="9" fillId="0" borderId="52" xfId="0" applyNumberFormat="1" applyFont="1" applyFill="1" applyBorder="1" applyAlignment="1">
      <alignment horizontal="center" vertical="center"/>
    </xf>
    <xf numFmtId="3" fontId="9" fillId="0" borderId="59" xfId="0" applyNumberFormat="1" applyFont="1" applyBorder="1" applyAlignment="1">
      <alignment horizontal="center" vertical="center"/>
    </xf>
    <xf numFmtId="2" fontId="10" fillId="0" borderId="9" xfId="0" applyNumberFormat="1" applyFont="1" applyFill="1" applyBorder="1" applyAlignment="1">
      <alignment horizontal="center" vertical="center" wrapText="1"/>
    </xf>
    <xf numFmtId="3" fontId="22" fillId="0" borderId="69" xfId="0" applyNumberFormat="1" applyFont="1" applyBorder="1" applyAlignment="1">
      <alignment horizontal="center" vertical="center"/>
    </xf>
    <xf numFmtId="14" fontId="22" fillId="4" borderId="66" xfId="0" applyNumberFormat="1" applyFont="1" applyFill="1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14" fontId="9" fillId="4" borderId="66" xfId="0" applyNumberFormat="1" applyFont="1" applyFill="1" applyBorder="1" applyAlignment="1">
      <alignment horizontal="center" vertical="center"/>
    </xf>
    <xf numFmtId="14" fontId="0" fillId="0" borderId="66" xfId="0" applyNumberFormat="1" applyBorder="1" applyAlignment="1">
      <alignment horizontal="center" vertical="center"/>
    </xf>
    <xf numFmtId="14" fontId="4" fillId="0" borderId="50" xfId="0" applyNumberFormat="1" applyFont="1" applyBorder="1" applyAlignment="1">
      <alignment horizontal="center" vertical="center"/>
    </xf>
    <xf numFmtId="14" fontId="9" fillId="4" borderId="50" xfId="0" applyNumberFormat="1" applyFont="1" applyFill="1" applyBorder="1" applyAlignment="1">
      <alignment horizontal="center" vertical="center"/>
    </xf>
    <xf numFmtId="3" fontId="9" fillId="0" borderId="57" xfId="0" quotePrefix="1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3" fontId="28" fillId="0" borderId="68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3" fontId="33" fillId="0" borderId="67" xfId="0" applyNumberFormat="1" applyFont="1" applyFill="1" applyBorder="1" applyAlignment="1">
      <alignment horizontal="center" vertical="center"/>
    </xf>
    <xf numFmtId="0" fontId="30" fillId="0" borderId="67" xfId="0" applyFont="1" applyFill="1" applyBorder="1" applyAlignment="1">
      <alignment horizontal="center" vertical="center"/>
    </xf>
    <xf numFmtId="14" fontId="22" fillId="4" borderId="71" xfId="0" applyNumberFormat="1" applyFont="1" applyFill="1" applyBorder="1" applyAlignment="1">
      <alignment horizontal="center" vertical="center"/>
    </xf>
    <xf numFmtId="3" fontId="9" fillId="0" borderId="71" xfId="0" applyNumberFormat="1" applyFont="1" applyFill="1" applyBorder="1" applyAlignment="1">
      <alignment horizontal="center" vertical="center"/>
    </xf>
    <xf numFmtId="0" fontId="9" fillId="4" borderId="70" xfId="0" applyFont="1" applyFill="1" applyBorder="1" applyAlignment="1">
      <alignment horizontal="left" vertical="center"/>
    </xf>
    <xf numFmtId="14" fontId="9" fillId="4" borderId="70" xfId="0" applyNumberFormat="1" applyFont="1" applyFill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164" fontId="9" fillId="4" borderId="70" xfId="1" applyNumberFormat="1" applyFont="1" applyFill="1" applyBorder="1" applyAlignment="1">
      <alignment horizontal="center" vertical="center"/>
    </xf>
    <xf numFmtId="3" fontId="9" fillId="0" borderId="70" xfId="0" applyNumberFormat="1" applyFont="1" applyBorder="1" applyAlignment="1">
      <alignment horizontal="center" vertical="center"/>
    </xf>
    <xf numFmtId="3" fontId="9" fillId="4" borderId="70" xfId="0" applyNumberFormat="1" applyFont="1" applyFill="1" applyBorder="1" applyAlignment="1">
      <alignment horizontal="center" vertical="center"/>
    </xf>
    <xf numFmtId="3" fontId="9" fillId="0" borderId="70" xfId="0" applyNumberFormat="1" applyFont="1" applyFill="1" applyBorder="1" applyAlignment="1">
      <alignment horizontal="center" vertical="center"/>
    </xf>
    <xf numFmtId="14" fontId="0" fillId="0" borderId="71" xfId="0" applyNumberFormat="1" applyBorder="1" applyAlignment="1">
      <alignment horizontal="center"/>
    </xf>
    <xf numFmtId="3" fontId="9" fillId="0" borderId="72" xfId="0" applyNumberFormat="1" applyFont="1" applyBorder="1" applyAlignment="1">
      <alignment horizontal="center" vertical="center"/>
    </xf>
    <xf numFmtId="3" fontId="9" fillId="0" borderId="73" xfId="0" applyNumberFormat="1" applyFont="1" applyBorder="1" applyAlignment="1">
      <alignment horizontal="center" vertical="center"/>
    </xf>
    <xf numFmtId="0" fontId="35" fillId="4" borderId="74" xfId="0" applyFont="1" applyFill="1" applyBorder="1" applyAlignment="1">
      <alignment horizontal="left" vertical="top"/>
    </xf>
    <xf numFmtId="0" fontId="30" fillId="0" borderId="75" xfId="0" applyFont="1" applyFill="1" applyBorder="1" applyAlignment="1">
      <alignment horizontal="center" vertical="center"/>
    </xf>
    <xf numFmtId="165" fontId="32" fillId="4" borderId="76" xfId="0" applyNumberFormat="1" applyFont="1" applyFill="1" applyBorder="1" applyAlignment="1">
      <alignment horizontal="center"/>
    </xf>
    <xf numFmtId="0" fontId="32" fillId="4" borderId="76" xfId="0" quotePrefix="1" applyFont="1" applyFill="1" applyBorder="1" applyAlignment="1">
      <alignment horizontal="center"/>
    </xf>
    <xf numFmtId="165" fontId="32" fillId="4" borderId="76" xfId="0" quotePrefix="1" applyNumberFormat="1" applyFont="1" applyFill="1" applyBorder="1" applyAlignment="1">
      <alignment horizontal="center"/>
    </xf>
    <xf numFmtId="0" fontId="0" fillId="0" borderId="74" xfId="0" applyBorder="1"/>
    <xf numFmtId="3" fontId="33" fillId="4" borderId="79" xfId="0" applyNumberFormat="1" applyFont="1" applyFill="1" applyBorder="1" applyAlignment="1">
      <alignment horizontal="center" vertical="center"/>
    </xf>
    <xf numFmtId="0" fontId="9" fillId="4" borderId="79" xfId="0" applyFont="1" applyFill="1" applyBorder="1" applyAlignment="1">
      <alignment horizontal="left" vertical="center"/>
    </xf>
    <xf numFmtId="0" fontId="30" fillId="0" borderId="76" xfId="0" applyFont="1" applyFill="1" applyBorder="1" applyAlignment="1">
      <alignment horizontal="center" vertical="center"/>
    </xf>
    <xf numFmtId="0" fontId="33" fillId="4" borderId="4" xfId="0" quotePrefix="1" applyFont="1" applyFill="1" applyBorder="1" applyAlignment="1">
      <alignment horizontal="center" vertical="center"/>
    </xf>
    <xf numFmtId="0" fontId="35" fillId="4" borderId="79" xfId="0" applyFont="1" applyFill="1" applyBorder="1" applyAlignment="1">
      <alignment horizontal="left" vertical="center"/>
    </xf>
    <xf numFmtId="0" fontId="9" fillId="4" borderId="78" xfId="0" applyFont="1" applyFill="1" applyBorder="1" applyAlignment="1">
      <alignment horizontal="left" vertical="center"/>
    </xf>
    <xf numFmtId="3" fontId="12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22" fillId="0" borderId="78" xfId="1" applyNumberFormat="1" applyFont="1" applyFill="1" applyBorder="1" applyAlignment="1">
      <alignment horizontal="center" vertical="center"/>
    </xf>
    <xf numFmtId="3" fontId="22" fillId="0" borderId="75" xfId="0" applyNumberFormat="1" applyFont="1" applyFill="1" applyBorder="1" applyAlignment="1">
      <alignment horizontal="center" vertical="center"/>
    </xf>
    <xf numFmtId="0" fontId="22" fillId="0" borderId="75" xfId="1" applyNumberFormat="1" applyFont="1" applyFill="1" applyBorder="1" applyAlignment="1">
      <alignment horizontal="center" vertical="center"/>
    </xf>
    <xf numFmtId="3" fontId="22" fillId="0" borderId="75" xfId="1" applyNumberFormat="1" applyFont="1" applyFill="1" applyBorder="1" applyAlignment="1">
      <alignment horizontal="center" vertical="center"/>
    </xf>
    <xf numFmtId="0" fontId="22" fillId="0" borderId="75" xfId="0" applyNumberFormat="1" applyFont="1" applyFill="1" applyBorder="1" applyAlignment="1">
      <alignment horizontal="center" vertical="center"/>
    </xf>
    <xf numFmtId="0" fontId="22" fillId="0" borderId="75" xfId="0" applyFont="1" applyFill="1" applyBorder="1" applyAlignment="1">
      <alignment horizontal="center" vertical="center"/>
    </xf>
    <xf numFmtId="3" fontId="9" fillId="0" borderId="78" xfId="0" applyNumberFormat="1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164" fontId="9" fillId="4" borderId="75" xfId="1" applyNumberFormat="1" applyFont="1" applyFill="1" applyBorder="1" applyAlignment="1">
      <alignment horizontal="center" vertical="center"/>
    </xf>
    <xf numFmtId="3" fontId="9" fillId="0" borderId="75" xfId="0" applyNumberFormat="1" applyFont="1" applyBorder="1" applyAlignment="1">
      <alignment horizontal="center" vertical="center"/>
    </xf>
    <xf numFmtId="3" fontId="9" fillId="0" borderId="75" xfId="0" applyNumberFormat="1" applyFont="1" applyFill="1" applyBorder="1" applyAlignment="1">
      <alignment horizontal="center" vertical="center"/>
    </xf>
    <xf numFmtId="3" fontId="9" fillId="0" borderId="77" xfId="0" applyNumberFormat="1" applyFont="1" applyBorder="1" applyAlignment="1">
      <alignment horizontal="center" vertical="center"/>
    </xf>
    <xf numFmtId="14" fontId="0" fillId="0" borderId="75" xfId="0" applyNumberFormat="1" applyBorder="1" applyAlignment="1">
      <alignment horizontal="center"/>
    </xf>
    <xf numFmtId="3" fontId="9" fillId="4" borderId="75" xfId="0" applyNumberFormat="1" applyFont="1" applyFill="1" applyBorder="1" applyAlignment="1">
      <alignment horizontal="center" vertical="center"/>
    </xf>
    <xf numFmtId="3" fontId="9" fillId="0" borderId="67" xfId="0" applyNumberFormat="1" applyFont="1" applyFill="1" applyBorder="1" applyAlignment="1">
      <alignment horizontal="center" vertical="center"/>
    </xf>
    <xf numFmtId="14" fontId="9" fillId="4" borderId="75" xfId="0" applyNumberFormat="1" applyFont="1" applyFill="1" applyBorder="1" applyAlignment="1">
      <alignment horizontal="center" vertical="center"/>
    </xf>
    <xf numFmtId="14" fontId="0" fillId="0" borderId="67" xfId="0" applyNumberFormat="1" applyBorder="1" applyAlignment="1">
      <alignment horizontal="center"/>
    </xf>
    <xf numFmtId="3" fontId="9" fillId="0" borderId="80" xfId="0" applyNumberFormat="1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9" fillId="4" borderId="80" xfId="0" applyFont="1" applyFill="1" applyBorder="1" applyAlignment="1">
      <alignment horizontal="left" vertical="center"/>
    </xf>
    <xf numFmtId="3" fontId="9" fillId="0" borderId="81" xfId="0" applyNumberFormat="1" applyFont="1" applyBorder="1" applyAlignment="1">
      <alignment horizontal="center" vertical="center"/>
    </xf>
    <xf numFmtId="3" fontId="8" fillId="0" borderId="75" xfId="0" applyNumberFormat="1" applyFont="1" applyBorder="1" applyAlignment="1">
      <alignment horizontal="center" vertical="center"/>
    </xf>
    <xf numFmtId="165" fontId="32" fillId="4" borderId="82" xfId="0" applyNumberFormat="1" applyFont="1" applyFill="1" applyBorder="1" applyAlignment="1">
      <alignment horizontal="center"/>
    </xf>
    <xf numFmtId="0" fontId="35" fillId="4" borderId="57" xfId="0" applyFont="1" applyFill="1" applyBorder="1" applyAlignment="1">
      <alignment horizontal="left" vertical="top"/>
    </xf>
    <xf numFmtId="165" fontId="32" fillId="4" borderId="83" xfId="0" applyNumberFormat="1" applyFont="1" applyFill="1" applyBorder="1" applyAlignment="1">
      <alignment horizontal="center"/>
    </xf>
    <xf numFmtId="165" fontId="32" fillId="4" borderId="84" xfId="0" applyNumberFormat="1" applyFont="1" applyFill="1" applyBorder="1" applyAlignment="1">
      <alignment horizontal="center"/>
    </xf>
    <xf numFmtId="165" fontId="32" fillId="4" borderId="85" xfId="0" applyNumberFormat="1" applyFont="1" applyFill="1" applyBorder="1" applyAlignment="1">
      <alignment horizontal="center"/>
    </xf>
    <xf numFmtId="0" fontId="30" fillId="0" borderId="86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87" xfId="0" applyFont="1" applyFill="1" applyBorder="1" applyAlignment="1">
      <alignment horizontal="center" vertical="center"/>
    </xf>
    <xf numFmtId="0" fontId="35" fillId="4" borderId="86" xfId="0" applyFont="1" applyFill="1" applyBorder="1" applyAlignment="1">
      <alignment horizontal="left" vertical="center"/>
    </xf>
    <xf numFmtId="165" fontId="32" fillId="4" borderId="81" xfId="0" quotePrefix="1" applyNumberFormat="1" applyFont="1" applyFill="1" applyBorder="1" applyAlignment="1">
      <alignment horizontal="center"/>
    </xf>
    <xf numFmtId="0" fontId="22" fillId="4" borderId="80" xfId="0" applyFont="1" applyFill="1" applyBorder="1" applyAlignment="1">
      <alignment horizontal="left" vertical="center"/>
    </xf>
    <xf numFmtId="165" fontId="32" fillId="0" borderId="81" xfId="0" quotePrefix="1" applyNumberFormat="1" applyFont="1" applyBorder="1" applyAlignment="1">
      <alignment horizontal="center"/>
    </xf>
    <xf numFmtId="0" fontId="22" fillId="4" borderId="86" xfId="0" applyFont="1" applyFill="1" applyBorder="1" applyAlignment="1">
      <alignment horizontal="left" vertical="center"/>
    </xf>
    <xf numFmtId="3" fontId="31" fillId="4" borderId="86" xfId="0" applyNumberFormat="1" applyFont="1" applyFill="1" applyBorder="1" applyAlignment="1">
      <alignment horizontal="center"/>
    </xf>
    <xf numFmtId="0" fontId="3" fillId="4" borderId="86" xfId="0" applyFont="1" applyFill="1" applyBorder="1" applyAlignment="1">
      <alignment horizontal="left" vertical="top"/>
    </xf>
    <xf numFmtId="0" fontId="30" fillId="0" borderId="80" xfId="0" applyFont="1" applyFill="1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42" fillId="0" borderId="86" xfId="0" applyFont="1" applyBorder="1" applyAlignment="1">
      <alignment horizontal="center"/>
    </xf>
    <xf numFmtId="0" fontId="32" fillId="0" borderId="74" xfId="0" quotePrefix="1" applyFont="1" applyBorder="1" applyAlignment="1">
      <alignment horizontal="center"/>
    </xf>
    <xf numFmtId="0" fontId="0" fillId="0" borderId="86" xfId="0" applyBorder="1"/>
    <xf numFmtId="0" fontId="3" fillId="0" borderId="86" xfId="0" applyFont="1" applyBorder="1" applyAlignment="1">
      <alignment horizontal="left" vertical="top"/>
    </xf>
    <xf numFmtId="0" fontId="32" fillId="0" borderId="74" xfId="0" quotePrefix="1" applyFont="1" applyBorder="1" applyAlignment="1">
      <alignment horizontal="center" vertical="center"/>
    </xf>
    <xf numFmtId="3" fontId="31" fillId="4" borderId="88" xfId="0" applyNumberFormat="1" applyFont="1" applyFill="1" applyBorder="1" applyAlignment="1">
      <alignment horizontal="center"/>
    </xf>
    <xf numFmtId="0" fontId="3" fillId="0" borderId="88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42" fillId="4" borderId="4" xfId="0" applyFont="1" applyFill="1" applyBorder="1" applyAlignment="1">
      <alignment horizontal="center" vertical="center"/>
    </xf>
    <xf numFmtId="0" fontId="33" fillId="4" borderId="86" xfId="0" quotePrefix="1" applyFont="1" applyFill="1" applyBorder="1" applyAlignment="1">
      <alignment horizontal="center" vertical="center"/>
    </xf>
    <xf numFmtId="0" fontId="9" fillId="4" borderId="86" xfId="0" applyFont="1" applyFill="1" applyBorder="1" applyAlignment="1">
      <alignment horizontal="left" vertical="center"/>
    </xf>
    <xf numFmtId="165" fontId="34" fillId="4" borderId="86" xfId="0" quotePrefix="1" applyNumberFormat="1" applyFont="1" applyFill="1" applyBorder="1" applyAlignment="1">
      <alignment horizontal="center"/>
    </xf>
    <xf numFmtId="165" fontId="32" fillId="0" borderId="86" xfId="0" applyNumberFormat="1" applyFont="1" applyBorder="1" applyAlignment="1">
      <alignment horizontal="center"/>
    </xf>
    <xf numFmtId="0" fontId="3" fillId="4" borderId="74" xfId="0" applyFont="1" applyFill="1" applyBorder="1" applyAlignment="1">
      <alignment horizontal="left" vertical="top"/>
    </xf>
    <xf numFmtId="165" fontId="32" fillId="4" borderId="86" xfId="0" quotePrefix="1" applyNumberFormat="1" applyFont="1" applyFill="1" applyBorder="1" applyAlignment="1">
      <alignment horizontal="center"/>
    </xf>
    <xf numFmtId="0" fontId="35" fillId="4" borderId="80" xfId="0" applyFont="1" applyFill="1" applyBorder="1" applyAlignment="1">
      <alignment horizontal="left" vertical="center"/>
    </xf>
    <xf numFmtId="165" fontId="32" fillId="4" borderId="86" xfId="0" applyNumberFormat="1" applyFont="1" applyFill="1" applyBorder="1" applyAlignment="1">
      <alignment horizontal="center"/>
    </xf>
    <xf numFmtId="0" fontId="9" fillId="4" borderId="80" xfId="0" applyNumberFormat="1" applyFont="1" applyFill="1" applyBorder="1" applyAlignment="1">
      <alignment horizontal="left" vertical="center"/>
    </xf>
    <xf numFmtId="0" fontId="33" fillId="4" borderId="80" xfId="0" quotePrefix="1" applyFont="1" applyFill="1" applyBorder="1" applyAlignment="1">
      <alignment horizontal="center" vertical="center"/>
    </xf>
    <xf numFmtId="165" fontId="31" fillId="4" borderId="80" xfId="0" applyNumberFormat="1" applyFont="1" applyFill="1" applyBorder="1" applyAlignment="1"/>
    <xf numFmtId="165" fontId="41" fillId="0" borderId="86" xfId="106" quotePrefix="1" applyNumberFormat="1" applyFont="1" applyFill="1" applyBorder="1" applyAlignment="1">
      <alignment horizontal="center" vertical="center"/>
    </xf>
    <xf numFmtId="165" fontId="31" fillId="4" borderId="86" xfId="0" applyNumberFormat="1" applyFont="1" applyFill="1" applyBorder="1" applyAlignment="1"/>
    <xf numFmtId="3" fontId="31" fillId="0" borderId="92" xfId="0" applyNumberFormat="1" applyFont="1" applyBorder="1" applyAlignment="1">
      <alignment horizontal="center" vertical="center"/>
    </xf>
    <xf numFmtId="0" fontId="3" fillId="0" borderId="9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3" fontId="3" fillId="0" borderId="0" xfId="0" applyNumberFormat="1" applyFont="1" applyFill="1" applyAlignment="1">
      <alignment horizontal="center"/>
    </xf>
    <xf numFmtId="3" fontId="3" fillId="0" borderId="0" xfId="0" applyNumberFormat="1" applyFont="1" applyAlignment="1">
      <alignment horizontal="left" vertical="top"/>
    </xf>
    <xf numFmtId="0" fontId="9" fillId="0" borderId="58" xfId="0" applyFont="1" applyBorder="1" applyAlignment="1">
      <alignment horizontal="center" vertical="center"/>
    </xf>
    <xf numFmtId="0" fontId="9" fillId="4" borderId="58" xfId="0" applyFont="1" applyFill="1" applyBorder="1" applyAlignment="1">
      <alignment horizontal="left" vertical="center"/>
    </xf>
    <xf numFmtId="14" fontId="0" fillId="0" borderId="58" xfId="0" applyNumberFormat="1" applyBorder="1" applyAlignment="1">
      <alignment horizontal="center" vertical="center"/>
    </xf>
    <xf numFmtId="3" fontId="8" fillId="0" borderId="58" xfId="0" applyNumberFormat="1" applyFont="1" applyBorder="1" applyAlignment="1">
      <alignment horizontal="center" vertical="center"/>
    </xf>
    <xf numFmtId="164" fontId="9" fillId="0" borderId="58" xfId="1" applyNumberFormat="1" applyFont="1" applyBorder="1" applyAlignment="1">
      <alignment horizontal="center" vertical="center"/>
    </xf>
    <xf numFmtId="164" fontId="9" fillId="4" borderId="58" xfId="1" applyNumberFormat="1" applyFont="1" applyFill="1" applyBorder="1" applyAlignment="1">
      <alignment horizontal="center" vertical="center"/>
    </xf>
    <xf numFmtId="3" fontId="8" fillId="0" borderId="33" xfId="0" applyNumberFormat="1" applyFont="1" applyBorder="1" applyAlignment="1">
      <alignment horizontal="center" vertical="center"/>
    </xf>
    <xf numFmtId="3" fontId="10" fillId="0" borderId="93" xfId="0" applyNumberFormat="1" applyFont="1" applyBorder="1" applyAlignment="1">
      <alignment horizontal="center" vertical="center"/>
    </xf>
    <xf numFmtId="14" fontId="9" fillId="4" borderId="58" xfId="0" applyNumberFormat="1" applyFont="1" applyFill="1" applyBorder="1" applyAlignment="1">
      <alignment horizontal="center" vertical="center"/>
    </xf>
    <xf numFmtId="3" fontId="8" fillId="0" borderId="94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3" fontId="8" fillId="0" borderId="16" xfId="0" applyNumberFormat="1" applyFont="1" applyFill="1" applyBorder="1" applyAlignment="1">
      <alignment horizontal="left" vertical="center"/>
    </xf>
    <xf numFmtId="3" fontId="8" fillId="4" borderId="33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5" fontId="32" fillId="4" borderId="80" xfId="0" quotePrefix="1" applyNumberFormat="1" applyFont="1" applyFill="1" applyBorder="1" applyAlignment="1">
      <alignment horizontal="center"/>
    </xf>
    <xf numFmtId="3" fontId="33" fillId="4" borderId="95" xfId="0" applyNumberFormat="1" applyFont="1" applyFill="1" applyBorder="1" applyAlignment="1">
      <alignment horizontal="center" vertical="center"/>
    </xf>
    <xf numFmtId="0" fontId="9" fillId="4" borderId="95" xfId="0" applyFont="1" applyFill="1" applyBorder="1" applyAlignment="1">
      <alignment horizontal="left" vertical="center"/>
    </xf>
    <xf numFmtId="3" fontId="18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7" fillId="4" borderId="0" xfId="0" applyNumberFormat="1" applyFont="1" applyFill="1" applyAlignment="1">
      <alignment horizontal="center" vertical="center"/>
    </xf>
    <xf numFmtId="3" fontId="12" fillId="4" borderId="0" xfId="0" applyNumberFormat="1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24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/>
    </xf>
    <xf numFmtId="3" fontId="9" fillId="4" borderId="0" xfId="0" applyNumberFormat="1" applyFont="1" applyFill="1" applyAlignment="1">
      <alignment vertical="center"/>
    </xf>
    <xf numFmtId="3" fontId="17" fillId="4" borderId="0" xfId="0" applyNumberFormat="1" applyFont="1" applyFill="1" applyAlignment="1">
      <alignment vertical="center"/>
    </xf>
    <xf numFmtId="3" fontId="12" fillId="4" borderId="0" xfId="0" applyNumberFormat="1" applyFont="1" applyFill="1" applyAlignment="1">
      <alignment vertical="center"/>
    </xf>
    <xf numFmtId="3" fontId="12" fillId="0" borderId="0" xfId="0" applyNumberFormat="1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4" fillId="0" borderId="0" xfId="0" applyFont="1" applyFill="1" applyAlignment="1"/>
    <xf numFmtId="0" fontId="3" fillId="0" borderId="0" xfId="0" applyFont="1" applyFill="1" applyAlignment="1"/>
    <xf numFmtId="3" fontId="1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3" fontId="15" fillId="0" borderId="15" xfId="0" applyNumberFormat="1" applyFont="1" applyBorder="1" applyAlignment="1">
      <alignment horizontal="center" vertical="center"/>
    </xf>
    <xf numFmtId="3" fontId="15" fillId="0" borderId="16" xfId="0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9" fillId="0" borderId="19" xfId="0" applyNumberFormat="1" applyFont="1" applyBorder="1" applyAlignment="1">
      <alignment horizontal="center" vertical="center"/>
    </xf>
    <xf numFmtId="3" fontId="15" fillId="0" borderId="19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28" fillId="0" borderId="5" xfId="0" applyNumberFormat="1" applyFont="1" applyBorder="1" applyAlignment="1">
      <alignment horizontal="center" vertical="center"/>
    </xf>
    <xf numFmtId="3" fontId="28" fillId="0" borderId="3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 vertical="center"/>
    </xf>
    <xf numFmtId="3" fontId="10" fillId="0" borderId="6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3" fontId="10" fillId="0" borderId="26" xfId="0" applyNumberFormat="1" applyFont="1" applyBorder="1" applyAlignment="1">
      <alignment horizontal="center" vertical="center"/>
    </xf>
    <xf numFmtId="3" fontId="10" fillId="0" borderId="28" xfId="0" applyNumberFormat="1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3" fontId="10" fillId="0" borderId="15" xfId="0" applyNumberFormat="1" applyFont="1" applyBorder="1" applyAlignment="1">
      <alignment horizontal="center" vertical="center"/>
    </xf>
    <xf numFmtId="3" fontId="10" fillId="0" borderId="1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31" fillId="0" borderId="89" xfId="0" applyFont="1" applyBorder="1" applyAlignment="1">
      <alignment horizontal="center"/>
    </xf>
    <xf numFmtId="0" fontId="31" fillId="0" borderId="90" xfId="0" applyFont="1" applyBorder="1" applyAlignment="1">
      <alignment horizontal="center"/>
    </xf>
    <xf numFmtId="0" fontId="31" fillId="0" borderId="91" xfId="0" applyFont="1" applyBorder="1" applyAlignment="1">
      <alignment horizontal="center"/>
    </xf>
    <xf numFmtId="0" fontId="22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0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5" fontId="31" fillId="0" borderId="86" xfId="0" applyNumberFormat="1" applyFont="1" applyBorder="1" applyAlignment="1">
      <alignment horizontal="center"/>
    </xf>
    <xf numFmtId="165" fontId="31" fillId="0" borderId="88" xfId="0" applyNumberFormat="1" applyFont="1" applyBorder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0" fillId="0" borderId="33" xfId="0" applyFont="1" applyFill="1" applyBorder="1" applyAlignment="1">
      <alignment horizontal="center" vertical="center"/>
    </xf>
    <xf numFmtId="0" fontId="10" fillId="0" borderId="50" xfId="0" applyFont="1" applyFill="1" applyBorder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3" fontId="28" fillId="0" borderId="4" xfId="0" applyNumberFormat="1" applyFont="1" applyFill="1" applyBorder="1" applyAlignment="1">
      <alignment horizontal="center" vertical="center" wrapText="1"/>
    </xf>
    <xf numFmtId="3" fontId="28" fillId="0" borderId="58" xfId="0" applyNumberFormat="1" applyFont="1" applyFill="1" applyBorder="1" applyAlignment="1">
      <alignment horizontal="center" vertical="center" wrapText="1"/>
    </xf>
    <xf numFmtId="3" fontId="12" fillId="0" borderId="0" xfId="0" applyNumberFormat="1" applyFont="1" applyFill="1" applyAlignment="1">
      <alignment horizontal="center"/>
    </xf>
  </cellXfs>
  <cellStyles count="117">
    <cellStyle name="Comma" xfId="1" builtinId="3"/>
    <cellStyle name="Comma [0] 2" xfId="8"/>
    <cellStyle name="Comma [0] 2 10" xfId="84"/>
    <cellStyle name="Comma [0] 2 11" xfId="91"/>
    <cellStyle name="Comma [0] 2 12" xfId="96"/>
    <cellStyle name="Comma [0] 2 2" xfId="41"/>
    <cellStyle name="Comma [0] 2 3" xfId="48"/>
    <cellStyle name="Comma [0] 2 4" xfId="50"/>
    <cellStyle name="Comma [0] 2 5" xfId="62"/>
    <cellStyle name="Comma [0] 2 6" xfId="59"/>
    <cellStyle name="Comma [0] 2 7" xfId="66"/>
    <cellStyle name="Comma [0] 2 8" xfId="80"/>
    <cellStyle name="Comma [0] 2 9" xfId="77"/>
    <cellStyle name="Comma [0] 3" xfId="115"/>
    <cellStyle name="Comma 2" xfId="2"/>
    <cellStyle name="Comma 2 10" xfId="86"/>
    <cellStyle name="Comma 2 11" xfId="90"/>
    <cellStyle name="Comma 2 12" xfId="98"/>
    <cellStyle name="Comma 2 13" xfId="5"/>
    <cellStyle name="Comma 2 2" xfId="36"/>
    <cellStyle name="Comma 2 3" xfId="46"/>
    <cellStyle name="Comma 2 4" xfId="51"/>
    <cellStyle name="Comma 2 5" xfId="53"/>
    <cellStyle name="Comma 2 6" xfId="61"/>
    <cellStyle name="Comma 2 7" xfId="68"/>
    <cellStyle name="Comma 2 8" xfId="73"/>
    <cellStyle name="Comma 2 9" xfId="79"/>
    <cellStyle name="Comma 3" xfId="7"/>
    <cellStyle name="Comma 4" xfId="116"/>
    <cellStyle name="Normal" xfId="0" builtinId="0"/>
    <cellStyle name="Normal 10" xfId="17"/>
    <cellStyle name="Normal 11" xfId="18"/>
    <cellStyle name="Normal 12" xfId="19"/>
    <cellStyle name="Normal 13" xfId="20"/>
    <cellStyle name="Normal 14" xfId="21"/>
    <cellStyle name="Normal 15" xfId="22"/>
    <cellStyle name="Normal 16" xfId="23"/>
    <cellStyle name="Normal 17" xfId="24"/>
    <cellStyle name="Normal 18" xfId="25"/>
    <cellStyle name="Normal 19" xfId="26"/>
    <cellStyle name="Normal 2" xfId="3"/>
    <cellStyle name="Normal 2 10" xfId="85"/>
    <cellStyle name="Normal 2 11" xfId="92"/>
    <cellStyle name="Normal 2 12" xfId="97"/>
    <cellStyle name="Normal 2 13" xfId="105"/>
    <cellStyle name="Normal 2 14" xfId="6"/>
    <cellStyle name="Normal 2 16 2" xfId="114"/>
    <cellStyle name="Normal 2 2" xfId="35"/>
    <cellStyle name="Normal 2 2 10" xfId="99"/>
    <cellStyle name="Normal 2 2 11" xfId="101"/>
    <cellStyle name="Normal 2 2 12" xfId="103"/>
    <cellStyle name="Normal 2 2 13" xfId="106"/>
    <cellStyle name="Normal 2 2 2" xfId="37"/>
    <cellStyle name="Normal 2 2 2 10" xfId="100"/>
    <cellStyle name="Normal 2 2 2 11" xfId="102"/>
    <cellStyle name="Normal 2 2 2 12" xfId="104"/>
    <cellStyle name="Normal 2 2 2 13" xfId="108"/>
    <cellStyle name="Normal 2 2 2 2" xfId="43"/>
    <cellStyle name="Normal 2 2 2 2 2" xfId="44"/>
    <cellStyle name="Normal 2 2 2 2 2 2" xfId="112"/>
    <cellStyle name="Normal 2 2 2 2 2 2 2" xfId="113"/>
    <cellStyle name="Normal 2 2 2 2 3" xfId="109"/>
    <cellStyle name="Normal 2 2 2 3" xfId="58"/>
    <cellStyle name="Normal 2 2 2 4" xfId="64"/>
    <cellStyle name="Normal 2 2 2 5" xfId="70"/>
    <cellStyle name="Normal 2 2 2 6" xfId="76"/>
    <cellStyle name="Normal 2 2 2 7" xfId="82"/>
    <cellStyle name="Normal 2 2 2 8" xfId="88"/>
    <cellStyle name="Normal 2 2 2 9" xfId="94"/>
    <cellStyle name="Normal 2 2 3" xfId="40"/>
    <cellStyle name="Normal 2 2 3 2" xfId="56"/>
    <cellStyle name="Normal 2 2 4" xfId="63"/>
    <cellStyle name="Normal 2 2 5" xfId="69"/>
    <cellStyle name="Normal 2 2 6" xfId="74"/>
    <cellStyle name="Normal 2 2 7" xfId="81"/>
    <cellStyle name="Normal 2 2 8" xfId="87"/>
    <cellStyle name="Normal 2 2 9" xfId="93"/>
    <cellStyle name="Normal 2 3" xfId="39"/>
    <cellStyle name="Normal 2 3 2" xfId="47"/>
    <cellStyle name="Normal 2 4" xfId="49"/>
    <cellStyle name="Normal 2 5" xfId="54"/>
    <cellStyle name="Normal 2 6" xfId="60"/>
    <cellStyle name="Normal 2 7" xfId="67"/>
    <cellStyle name="Normal 2 8" xfId="71"/>
    <cellStyle name="Normal 2 9" xfId="78"/>
    <cellStyle name="Normal 20" xfId="27"/>
    <cellStyle name="Normal 21" xfId="28"/>
    <cellStyle name="Normal 22" xfId="29"/>
    <cellStyle name="Normal 23" xfId="30"/>
    <cellStyle name="Normal 24" xfId="31"/>
    <cellStyle name="Normal 25" xfId="32"/>
    <cellStyle name="Normal 26" xfId="33"/>
    <cellStyle name="Normal 27" xfId="34"/>
    <cellStyle name="Normal 27 2" xfId="42"/>
    <cellStyle name="Normal 27 2 2" xfId="111"/>
    <cellStyle name="Normal 27 3" xfId="107"/>
    <cellStyle name="Normal 28" xfId="38"/>
    <cellStyle name="Normal 28 2" xfId="45"/>
    <cellStyle name="Normal 28 3" xfId="110"/>
    <cellStyle name="Normal 29" xfId="52"/>
    <cellStyle name="Normal 3" xfId="13"/>
    <cellStyle name="Normal 30" xfId="55"/>
    <cellStyle name="Normal 31" xfId="57"/>
    <cellStyle name="Normal 32" xfId="65"/>
    <cellStyle name="Normal 33" xfId="72"/>
    <cellStyle name="Normal 34" xfId="75"/>
    <cellStyle name="Normal 35" xfId="83"/>
    <cellStyle name="Normal 36" xfId="89"/>
    <cellStyle name="Normal 37" xfId="95"/>
    <cellStyle name="Normal 38" xfId="4"/>
    <cellStyle name="Normal 4" xfId="11"/>
    <cellStyle name="Normal 5" xfId="12"/>
    <cellStyle name="Normal 6" xfId="10"/>
    <cellStyle name="Normal 7" xfId="14"/>
    <cellStyle name="Normal 8" xfId="15"/>
    <cellStyle name="Normal 9" xfId="16"/>
    <cellStyle name="Percent 2" xfId="9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%20(2)/DAFTAR%20UPAH/DAFTAR%20UPAH%202022/APRIL%2026-30%20%202022%20-/DAFTAR%20GAJI%20oke%20AIR%20JANGKAT%2026-30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DIV 1 AIR JNGKAT"/>
      <sheetName val="PANEN AIR JANGKAT 1"/>
      <sheetName val="BRI"/>
      <sheetName val="OPERATOR"/>
      <sheetName val="REKONSILIASI IFES"/>
    </sheetNames>
    <sheetDataSet>
      <sheetData sheetId="0" refreshError="1">
        <row r="10">
          <cell r="AW10">
            <v>1095631.76</v>
          </cell>
        </row>
        <row r="11">
          <cell r="AW11">
            <v>601647.35</v>
          </cell>
        </row>
        <row r="12">
          <cell r="AW12">
            <v>562147.35</v>
          </cell>
        </row>
        <row r="13">
          <cell r="AW13">
            <v>555397.35000000009</v>
          </cell>
        </row>
        <row r="14">
          <cell r="AW14">
            <v>555397.35</v>
          </cell>
        </row>
        <row r="16">
          <cell r="AW16">
            <v>566647.35</v>
          </cell>
        </row>
        <row r="17">
          <cell r="AW17">
            <v>453317.88</v>
          </cell>
        </row>
        <row r="18">
          <cell r="AW18">
            <v>571147.35</v>
          </cell>
        </row>
        <row r="19">
          <cell r="AW19">
            <v>453317.88</v>
          </cell>
        </row>
        <row r="20">
          <cell r="AW20">
            <v>566647.35</v>
          </cell>
        </row>
        <row r="22">
          <cell r="AW22">
            <v>555397.35</v>
          </cell>
        </row>
        <row r="23">
          <cell r="AW23">
            <v>555397.35</v>
          </cell>
        </row>
        <row r="24">
          <cell r="AW24">
            <v>555397.35000000009</v>
          </cell>
        </row>
        <row r="26">
          <cell r="AW26">
            <v>580597.35</v>
          </cell>
        </row>
        <row r="27">
          <cell r="AW27">
            <v>566647.35</v>
          </cell>
        </row>
        <row r="31">
          <cell r="AW31">
            <v>571147.35</v>
          </cell>
        </row>
        <row r="32">
          <cell r="AW32">
            <v>555397.35</v>
          </cell>
        </row>
        <row r="33">
          <cell r="AW33">
            <v>555397.35</v>
          </cell>
        </row>
      </sheetData>
      <sheetData sheetId="1" refreshError="1">
        <row r="10">
          <cell r="BA10">
            <v>744821.85</v>
          </cell>
        </row>
        <row r="12">
          <cell r="BA12">
            <v>625447.35</v>
          </cell>
        </row>
        <row r="13">
          <cell r="BA13">
            <v>636247.35</v>
          </cell>
        </row>
        <row r="14">
          <cell r="BA14">
            <v>648447.35</v>
          </cell>
        </row>
        <row r="15">
          <cell r="BA15">
            <v>644107.35</v>
          </cell>
        </row>
        <row r="16">
          <cell r="BA16">
            <v>668947.35</v>
          </cell>
        </row>
        <row r="20">
          <cell r="BA20">
            <v>607597.35</v>
          </cell>
        </row>
        <row r="22">
          <cell r="BA22">
            <v>608947.35</v>
          </cell>
        </row>
        <row r="24">
          <cell r="BA24">
            <v>617047.35</v>
          </cell>
        </row>
        <row r="25">
          <cell r="BA25">
            <v>629947.35</v>
          </cell>
        </row>
        <row r="26">
          <cell r="BA26">
            <v>606547.35</v>
          </cell>
        </row>
        <row r="27">
          <cell r="BA27">
            <v>614197.35</v>
          </cell>
        </row>
        <row r="29">
          <cell r="BA29">
            <v>611497.35</v>
          </cell>
        </row>
        <row r="36">
          <cell r="BA36">
            <v>746002.30999999994</v>
          </cell>
        </row>
      </sheetData>
      <sheetData sheetId="2" refreshError="1"/>
      <sheetData sheetId="3" refreshError="1">
        <row r="11">
          <cell r="AX11">
            <v>1380426.74</v>
          </cell>
        </row>
        <row r="12">
          <cell r="AX12">
            <v>576647.35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129"/>
  <sheetViews>
    <sheetView tabSelected="1" zoomScaleNormal="100" workbookViewId="0">
      <pane xSplit="4" ySplit="9" topLeftCell="E13" activePane="bottomRight" state="frozen"/>
      <selection pane="topRight"/>
      <selection pane="bottomLeft"/>
      <selection pane="bottomRight" activeCell="V23" sqref="V23"/>
    </sheetView>
  </sheetViews>
  <sheetFormatPr defaultColWidth="9.140625" defaultRowHeight="12.75" x14ac:dyDescent="0.25"/>
  <cols>
    <col min="1" max="1" width="5.42578125" style="2" customWidth="1"/>
    <col min="2" max="2" width="13.140625" style="2" hidden="1" customWidth="1"/>
    <col min="3" max="3" width="4" style="2" customWidth="1"/>
    <col min="4" max="4" width="20.42578125" style="168" customWidth="1"/>
    <col min="5" max="5" width="17" style="168" customWidth="1"/>
    <col min="6" max="6" width="6.5703125" style="2" customWidth="1"/>
    <col min="7" max="7" width="9.85546875" style="274" customWidth="1"/>
    <col min="8" max="8" width="13.140625" style="274" customWidth="1"/>
    <col min="9" max="9" width="8.140625" style="10" customWidth="1"/>
    <col min="10" max="10" width="10.140625" style="2" customWidth="1"/>
    <col min="11" max="11" width="4.28515625" style="2" customWidth="1"/>
    <col min="12" max="12" width="10.7109375" style="2" customWidth="1"/>
    <col min="13" max="13" width="13.7109375" style="2" customWidth="1"/>
    <col min="14" max="14" width="10.28515625" style="2" customWidth="1"/>
    <col min="15" max="15" width="11.7109375" style="190" customWidth="1"/>
    <col min="16" max="16" width="13.28515625" style="4" customWidth="1"/>
    <col min="17" max="17" width="7.140625" style="2" hidden="1" customWidth="1"/>
    <col min="18" max="18" width="11" style="2" customWidth="1"/>
    <col min="19" max="16384" width="9.140625" style="2"/>
  </cols>
  <sheetData>
    <row r="1" spans="1:20" x14ac:dyDescent="0.25">
      <c r="A1" s="498"/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</row>
    <row r="2" spans="1:20" x14ac:dyDescent="0.25">
      <c r="A2" s="499" t="s">
        <v>0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</row>
    <row r="3" spans="1:20" x14ac:dyDescent="0.25">
      <c r="A3" s="499" t="s">
        <v>138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</row>
    <row r="4" spans="1:20" x14ac:dyDescent="0.25">
      <c r="A4" s="5"/>
      <c r="B4" s="5"/>
      <c r="C4" s="5"/>
      <c r="D4" s="159"/>
      <c r="E4" s="159"/>
      <c r="F4" s="5"/>
      <c r="G4" s="275"/>
      <c r="H4" s="275"/>
      <c r="I4" s="54"/>
      <c r="J4" s="5"/>
      <c r="K4" s="5"/>
      <c r="L4" s="5"/>
      <c r="M4" s="5"/>
      <c r="N4" s="5"/>
      <c r="O4" s="192"/>
      <c r="P4" s="5"/>
      <c r="Q4" s="5"/>
    </row>
    <row r="5" spans="1:20" ht="15.75" customHeight="1" thickBot="1" x14ac:dyDescent="0.3">
      <c r="A5" s="500" t="s">
        <v>172</v>
      </c>
      <c r="B5" s="500"/>
      <c r="C5" s="500"/>
      <c r="D5" s="500"/>
      <c r="E5" s="49"/>
      <c r="F5" s="5"/>
      <c r="G5" s="275"/>
      <c r="H5" s="275"/>
      <c r="I5" s="9"/>
      <c r="J5" s="7"/>
      <c r="K5" s="500" t="s">
        <v>2</v>
      </c>
      <c r="L5" s="500"/>
      <c r="M5" s="501" t="s">
        <v>3</v>
      </c>
      <c r="N5" s="501"/>
      <c r="O5" s="192"/>
      <c r="P5" s="5"/>
      <c r="Q5" s="5"/>
    </row>
    <row r="6" spans="1:20" ht="19.5" customHeight="1" x14ac:dyDescent="0.25">
      <c r="A6" s="180"/>
      <c r="B6" s="107"/>
      <c r="C6" s="107"/>
      <c r="D6" s="160"/>
      <c r="E6" s="160"/>
      <c r="F6" s="107"/>
      <c r="G6" s="276"/>
      <c r="H6" s="326"/>
      <c r="I6" s="495" t="s">
        <v>4</v>
      </c>
      <c r="J6" s="496"/>
      <c r="K6" s="496"/>
      <c r="L6" s="497"/>
      <c r="M6" s="106" t="s">
        <v>5</v>
      </c>
      <c r="N6" s="107"/>
      <c r="O6" s="191"/>
      <c r="P6" s="332" t="s">
        <v>5</v>
      </c>
      <c r="Q6" s="91" t="s">
        <v>6</v>
      </c>
    </row>
    <row r="7" spans="1:20" ht="16.5" customHeight="1" x14ac:dyDescent="0.25">
      <c r="A7" s="181" t="s">
        <v>7</v>
      </c>
      <c r="B7" s="109" t="s">
        <v>8</v>
      </c>
      <c r="C7" s="109" t="s">
        <v>9</v>
      </c>
      <c r="D7" s="161" t="s">
        <v>10</v>
      </c>
      <c r="E7" s="161" t="s">
        <v>133</v>
      </c>
      <c r="F7" s="109" t="s">
        <v>11</v>
      </c>
      <c r="G7" s="133" t="s">
        <v>12</v>
      </c>
      <c r="H7" s="327" t="s">
        <v>12</v>
      </c>
      <c r="I7" s="502" t="s">
        <v>13</v>
      </c>
      <c r="J7" s="503"/>
      <c r="K7" s="504" t="s">
        <v>273</v>
      </c>
      <c r="L7" s="505"/>
      <c r="M7" s="108" t="s">
        <v>12</v>
      </c>
      <c r="N7" s="77" t="s">
        <v>86</v>
      </c>
      <c r="O7" s="77" t="s">
        <v>135</v>
      </c>
      <c r="P7" s="333" t="s">
        <v>12</v>
      </c>
      <c r="Q7" s="92" t="s">
        <v>16</v>
      </c>
    </row>
    <row r="8" spans="1:20" x14ac:dyDescent="0.25">
      <c r="A8" s="181" t="s">
        <v>17</v>
      </c>
      <c r="B8" s="109" t="s">
        <v>18</v>
      </c>
      <c r="C8" s="109"/>
      <c r="D8" s="161" t="s">
        <v>19</v>
      </c>
      <c r="E8" s="161" t="s">
        <v>20</v>
      </c>
      <c r="F8" s="109" t="s">
        <v>20</v>
      </c>
      <c r="G8" s="133" t="s">
        <v>21</v>
      </c>
      <c r="H8" s="133" t="s">
        <v>22</v>
      </c>
      <c r="I8" s="110" t="s">
        <v>24</v>
      </c>
      <c r="J8" s="111" t="s">
        <v>25</v>
      </c>
      <c r="K8" s="502" t="s">
        <v>5</v>
      </c>
      <c r="L8" s="503"/>
      <c r="M8" s="108" t="s">
        <v>26</v>
      </c>
      <c r="N8" s="330" t="s">
        <v>134</v>
      </c>
      <c r="O8" s="77" t="s">
        <v>134</v>
      </c>
      <c r="P8" s="333" t="s">
        <v>27</v>
      </c>
      <c r="Q8" s="92" t="s">
        <v>28</v>
      </c>
    </row>
    <row r="9" spans="1:20" ht="17.25" customHeight="1" thickBot="1" x14ac:dyDescent="0.3">
      <c r="A9" s="182"/>
      <c r="B9" s="113" t="s">
        <v>19</v>
      </c>
      <c r="C9" s="113"/>
      <c r="D9" s="162"/>
      <c r="E9" s="162"/>
      <c r="F9" s="177"/>
      <c r="G9" s="277" t="s">
        <v>29</v>
      </c>
      <c r="H9" s="277" t="s">
        <v>29</v>
      </c>
      <c r="I9" s="114" t="s">
        <v>23</v>
      </c>
      <c r="J9" s="112" t="s">
        <v>29</v>
      </c>
      <c r="K9" s="112" t="s">
        <v>30</v>
      </c>
      <c r="L9" s="112" t="s">
        <v>29</v>
      </c>
      <c r="M9" s="112" t="s">
        <v>29</v>
      </c>
      <c r="N9" s="113"/>
      <c r="O9" s="113"/>
      <c r="P9" s="334" t="s">
        <v>29</v>
      </c>
      <c r="Q9" s="93" t="s">
        <v>31</v>
      </c>
    </row>
    <row r="10" spans="1:20" s="43" customFormat="1" ht="28.5" customHeight="1" x14ac:dyDescent="0.25">
      <c r="A10" s="115">
        <v>1</v>
      </c>
      <c r="B10" s="116"/>
      <c r="C10" s="117" t="s">
        <v>32</v>
      </c>
      <c r="D10" s="163" t="s">
        <v>52</v>
      </c>
      <c r="E10" s="341">
        <v>41283</v>
      </c>
      <c r="F10" s="119">
        <v>30</v>
      </c>
      <c r="G10" s="278">
        <v>129220</v>
      </c>
      <c r="H10" s="328">
        <f>F10*G10</f>
        <v>3876600</v>
      </c>
      <c r="I10" s="391">
        <v>5550</v>
      </c>
      <c r="J10" s="118">
        <f>F10*I10</f>
        <v>166500</v>
      </c>
      <c r="K10" s="121">
        <v>11</v>
      </c>
      <c r="L10" s="198">
        <v>30000</v>
      </c>
      <c r="M10" s="329">
        <f t="shared" ref="M10:M31" si="0">H10+J10+L10</f>
        <v>4073100</v>
      </c>
      <c r="N10" s="118">
        <v>170040</v>
      </c>
      <c r="O10" s="120"/>
      <c r="P10" s="335">
        <f>M10-N10-O10</f>
        <v>3903060</v>
      </c>
      <c r="Q10" s="158"/>
      <c r="R10" s="44"/>
      <c r="S10" s="43">
        <v>30000</v>
      </c>
      <c r="T10" s="43">
        <f>L10-S10</f>
        <v>0</v>
      </c>
    </row>
    <row r="11" spans="1:20" ht="28.5" customHeight="1" x14ac:dyDescent="0.25">
      <c r="A11" s="115">
        <v>2</v>
      </c>
      <c r="B11" s="122"/>
      <c r="C11" s="122" t="s">
        <v>32</v>
      </c>
      <c r="D11" s="170" t="s">
        <v>33</v>
      </c>
      <c r="E11" s="341" t="s">
        <v>141</v>
      </c>
      <c r="F11" s="139">
        <v>30</v>
      </c>
      <c r="G11" s="278">
        <v>129220</v>
      </c>
      <c r="H11" s="328">
        <f t="shared" ref="H11:H31" si="1">F11*G11</f>
        <v>3876600</v>
      </c>
      <c r="I11" s="392">
        <v>3250</v>
      </c>
      <c r="J11" s="118">
        <f t="shared" ref="J11:J31" si="2">F11*I11</f>
        <v>97500</v>
      </c>
      <c r="K11" s="142">
        <v>28</v>
      </c>
      <c r="L11" s="202">
        <v>89000</v>
      </c>
      <c r="M11" s="202">
        <f t="shared" si="0"/>
        <v>4063100</v>
      </c>
      <c r="N11" s="118">
        <v>121994</v>
      </c>
      <c r="O11" s="188"/>
      <c r="P11" s="336">
        <f t="shared" ref="P11:P30" si="3">M11-N11-O11</f>
        <v>3941106</v>
      </c>
      <c r="Q11" s="185"/>
      <c r="S11" s="2">
        <v>89000</v>
      </c>
      <c r="T11" s="43">
        <f t="shared" ref="T11:T31" si="4">L11-S11</f>
        <v>0</v>
      </c>
    </row>
    <row r="12" spans="1:20" ht="28.5" customHeight="1" x14ac:dyDescent="0.25">
      <c r="A12" s="115">
        <v>3</v>
      </c>
      <c r="B12" s="122"/>
      <c r="C12" s="122" t="s">
        <v>32</v>
      </c>
      <c r="D12" s="170" t="s">
        <v>34</v>
      </c>
      <c r="E12" s="341">
        <v>35065</v>
      </c>
      <c r="F12" s="139">
        <v>30</v>
      </c>
      <c r="G12" s="278">
        <v>129220</v>
      </c>
      <c r="H12" s="328">
        <f t="shared" si="1"/>
        <v>3876600</v>
      </c>
      <c r="I12" s="392">
        <v>3250</v>
      </c>
      <c r="J12" s="118">
        <f t="shared" si="2"/>
        <v>97500</v>
      </c>
      <c r="K12" s="142">
        <v>29</v>
      </c>
      <c r="L12" s="202">
        <v>92500</v>
      </c>
      <c r="M12" s="202">
        <f t="shared" si="0"/>
        <v>4066600</v>
      </c>
      <c r="N12" s="118">
        <v>120894</v>
      </c>
      <c r="O12" s="188"/>
      <c r="P12" s="336">
        <f t="shared" si="3"/>
        <v>3945706</v>
      </c>
      <c r="Q12" s="185"/>
      <c r="S12" s="2">
        <v>92500</v>
      </c>
      <c r="T12" s="43">
        <f t="shared" si="4"/>
        <v>0</v>
      </c>
    </row>
    <row r="13" spans="1:20" ht="28.5" customHeight="1" x14ac:dyDescent="0.25">
      <c r="A13" s="115">
        <v>4</v>
      </c>
      <c r="B13" s="122"/>
      <c r="C13" s="122" t="s">
        <v>35</v>
      </c>
      <c r="D13" s="170" t="s">
        <v>36</v>
      </c>
      <c r="E13" s="341">
        <v>35248</v>
      </c>
      <c r="F13" s="139">
        <v>30</v>
      </c>
      <c r="G13" s="278">
        <v>129220</v>
      </c>
      <c r="H13" s="328">
        <f t="shared" si="1"/>
        <v>3876600</v>
      </c>
      <c r="I13" s="392">
        <v>2250</v>
      </c>
      <c r="J13" s="118">
        <f t="shared" si="2"/>
        <v>67500</v>
      </c>
      <c r="K13" s="142">
        <v>29</v>
      </c>
      <c r="L13" s="202">
        <v>92500</v>
      </c>
      <c r="M13" s="202">
        <f t="shared" si="0"/>
        <v>4036600</v>
      </c>
      <c r="N13" s="118">
        <v>120024</v>
      </c>
      <c r="O13" s="188"/>
      <c r="P13" s="336">
        <f t="shared" si="3"/>
        <v>3916576</v>
      </c>
      <c r="Q13" s="95"/>
      <c r="S13" s="2">
        <v>92500</v>
      </c>
      <c r="T13" s="43">
        <f t="shared" si="4"/>
        <v>0</v>
      </c>
    </row>
    <row r="14" spans="1:20" ht="28.5" customHeight="1" x14ac:dyDescent="0.25">
      <c r="A14" s="115">
        <v>5</v>
      </c>
      <c r="B14" s="122"/>
      <c r="C14" s="122" t="s">
        <v>35</v>
      </c>
      <c r="D14" s="170" t="s">
        <v>37</v>
      </c>
      <c r="E14" s="341">
        <v>39455</v>
      </c>
      <c r="F14" s="139">
        <v>30</v>
      </c>
      <c r="G14" s="278">
        <v>129220</v>
      </c>
      <c r="H14" s="328">
        <f t="shared" si="1"/>
        <v>3876600</v>
      </c>
      <c r="I14" s="392">
        <v>2250</v>
      </c>
      <c r="J14" s="118">
        <f t="shared" si="2"/>
        <v>67500</v>
      </c>
      <c r="K14" s="142">
        <v>16</v>
      </c>
      <c r="L14" s="202">
        <v>47000</v>
      </c>
      <c r="M14" s="202">
        <f t="shared" si="0"/>
        <v>3991100</v>
      </c>
      <c r="N14" s="118">
        <v>118632</v>
      </c>
      <c r="O14" s="188"/>
      <c r="P14" s="336">
        <f t="shared" si="3"/>
        <v>3872468</v>
      </c>
      <c r="Q14" s="95"/>
      <c r="S14" s="2">
        <v>47000</v>
      </c>
      <c r="T14" s="43">
        <f t="shared" si="4"/>
        <v>0</v>
      </c>
    </row>
    <row r="15" spans="1:20" s="43" customFormat="1" ht="28.5" customHeight="1" x14ac:dyDescent="0.25">
      <c r="A15" s="115">
        <v>6</v>
      </c>
      <c r="B15" s="128"/>
      <c r="C15" s="129" t="s">
        <v>32</v>
      </c>
      <c r="D15" s="172" t="s">
        <v>44</v>
      </c>
      <c r="E15" s="341" t="s">
        <v>142</v>
      </c>
      <c r="F15" s="139">
        <v>30</v>
      </c>
      <c r="G15" s="278">
        <v>129220</v>
      </c>
      <c r="H15" s="328">
        <f t="shared" si="1"/>
        <v>3876600</v>
      </c>
      <c r="I15" s="393">
        <v>4650</v>
      </c>
      <c r="J15" s="118">
        <f t="shared" si="2"/>
        <v>139500</v>
      </c>
      <c r="K15" s="141">
        <v>17</v>
      </c>
      <c r="L15" s="202">
        <v>50500</v>
      </c>
      <c r="M15" s="202">
        <f t="shared" si="0"/>
        <v>4066600</v>
      </c>
      <c r="N15" s="118">
        <v>80551</v>
      </c>
      <c r="O15" s="188"/>
      <c r="P15" s="336">
        <f t="shared" si="3"/>
        <v>3986049</v>
      </c>
      <c r="Q15" s="98"/>
      <c r="R15" s="44"/>
      <c r="S15" s="43">
        <v>50500</v>
      </c>
      <c r="T15" s="43">
        <f t="shared" si="4"/>
        <v>0</v>
      </c>
    </row>
    <row r="16" spans="1:20" s="43" customFormat="1" ht="28.5" customHeight="1" x14ac:dyDescent="0.25">
      <c r="A16" s="115">
        <v>7</v>
      </c>
      <c r="B16" s="155"/>
      <c r="C16" s="156" t="s">
        <v>32</v>
      </c>
      <c r="D16" s="172" t="s">
        <v>47</v>
      </c>
      <c r="E16" s="341">
        <v>39270</v>
      </c>
      <c r="F16" s="139">
        <v>30</v>
      </c>
      <c r="G16" s="278">
        <v>129220</v>
      </c>
      <c r="H16" s="328">
        <f t="shared" si="1"/>
        <v>3876600</v>
      </c>
      <c r="I16" s="393">
        <v>4650</v>
      </c>
      <c r="J16" s="118">
        <f t="shared" si="2"/>
        <v>139500</v>
      </c>
      <c r="K16" s="141">
        <v>17</v>
      </c>
      <c r="L16" s="202">
        <v>50500</v>
      </c>
      <c r="M16" s="202">
        <f t="shared" si="0"/>
        <v>4066600</v>
      </c>
      <c r="N16" s="118">
        <v>80551</v>
      </c>
      <c r="O16" s="188"/>
      <c r="P16" s="336">
        <f t="shared" si="3"/>
        <v>3986049</v>
      </c>
      <c r="Q16" s="178"/>
      <c r="R16" s="44"/>
      <c r="S16" s="43">
        <v>50500</v>
      </c>
      <c r="T16" s="43">
        <f t="shared" si="4"/>
        <v>0</v>
      </c>
    </row>
    <row r="17" spans="1:62" s="143" customFormat="1" ht="28.5" customHeight="1" x14ac:dyDescent="0.25">
      <c r="A17" s="115">
        <v>8</v>
      </c>
      <c r="B17" s="139"/>
      <c r="C17" s="136" t="s">
        <v>32</v>
      </c>
      <c r="D17" s="164" t="s">
        <v>42</v>
      </c>
      <c r="E17" s="341">
        <v>41283</v>
      </c>
      <c r="F17" s="139">
        <v>30</v>
      </c>
      <c r="G17" s="278">
        <v>129220</v>
      </c>
      <c r="H17" s="328">
        <f t="shared" si="1"/>
        <v>3876600</v>
      </c>
      <c r="I17" s="393">
        <v>5550</v>
      </c>
      <c r="J17" s="118">
        <f t="shared" si="2"/>
        <v>166500</v>
      </c>
      <c r="K17" s="141">
        <v>11</v>
      </c>
      <c r="L17" s="198">
        <v>30000</v>
      </c>
      <c r="M17" s="202">
        <f t="shared" si="0"/>
        <v>4073100</v>
      </c>
      <c r="N17" s="118">
        <v>80655</v>
      </c>
      <c r="O17" s="188"/>
      <c r="P17" s="336">
        <f t="shared" si="3"/>
        <v>3992445</v>
      </c>
      <c r="Q17" s="179"/>
      <c r="R17" s="176"/>
      <c r="S17" s="157">
        <v>30000</v>
      </c>
      <c r="T17" s="43">
        <f t="shared" si="4"/>
        <v>0</v>
      </c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</row>
    <row r="18" spans="1:62" s="1" customFormat="1" ht="28.5" customHeight="1" x14ac:dyDescent="0.25">
      <c r="A18" s="115">
        <v>9</v>
      </c>
      <c r="B18" s="123"/>
      <c r="C18" s="124" t="s">
        <v>32</v>
      </c>
      <c r="D18" s="173" t="s">
        <v>40</v>
      </c>
      <c r="E18" s="341">
        <v>41283</v>
      </c>
      <c r="F18" s="139">
        <v>30</v>
      </c>
      <c r="G18" s="278">
        <v>129220</v>
      </c>
      <c r="H18" s="328">
        <f t="shared" si="1"/>
        <v>3876600</v>
      </c>
      <c r="I18" s="394">
        <v>4650</v>
      </c>
      <c r="J18" s="118">
        <f t="shared" si="2"/>
        <v>139500</v>
      </c>
      <c r="K18" s="171">
        <v>11</v>
      </c>
      <c r="L18" s="198">
        <v>30000</v>
      </c>
      <c r="M18" s="202">
        <f t="shared" si="0"/>
        <v>4046100</v>
      </c>
      <c r="N18" s="118">
        <v>80133</v>
      </c>
      <c r="O18" s="188"/>
      <c r="P18" s="336">
        <f t="shared" si="3"/>
        <v>3965967</v>
      </c>
      <c r="Q18" s="97"/>
      <c r="S18" s="1">
        <v>30000</v>
      </c>
      <c r="T18" s="43">
        <f t="shared" si="4"/>
        <v>0</v>
      </c>
    </row>
    <row r="19" spans="1:62" s="43" customFormat="1" ht="28.5" customHeight="1" x14ac:dyDescent="0.25">
      <c r="A19" s="115">
        <v>10</v>
      </c>
      <c r="B19" s="125"/>
      <c r="C19" s="125" t="s">
        <v>32</v>
      </c>
      <c r="D19" s="164" t="s">
        <v>43</v>
      </c>
      <c r="E19" s="341" t="s">
        <v>143</v>
      </c>
      <c r="F19" s="139">
        <v>30</v>
      </c>
      <c r="G19" s="278">
        <v>129220</v>
      </c>
      <c r="H19" s="328">
        <f t="shared" si="1"/>
        <v>3876600</v>
      </c>
      <c r="I19" s="395">
        <v>4650</v>
      </c>
      <c r="J19" s="118">
        <f t="shared" si="2"/>
        <v>139500</v>
      </c>
      <c r="K19" s="141">
        <v>17</v>
      </c>
      <c r="L19" s="202">
        <v>50500</v>
      </c>
      <c r="M19" s="202">
        <f t="shared" si="0"/>
        <v>4066600</v>
      </c>
      <c r="N19" s="118">
        <v>79212</v>
      </c>
      <c r="O19" s="188"/>
      <c r="P19" s="336">
        <f t="shared" si="3"/>
        <v>3987388</v>
      </c>
      <c r="Q19" s="186"/>
      <c r="R19" s="44"/>
      <c r="S19" s="43">
        <v>50500</v>
      </c>
      <c r="T19" s="43">
        <f t="shared" si="4"/>
        <v>0</v>
      </c>
    </row>
    <row r="20" spans="1:62" s="40" customFormat="1" ht="28.5" customHeight="1" x14ac:dyDescent="0.25">
      <c r="A20" s="115">
        <v>11</v>
      </c>
      <c r="B20" s="130"/>
      <c r="C20" s="130" t="s">
        <v>35</v>
      </c>
      <c r="D20" s="174" t="s">
        <v>80</v>
      </c>
      <c r="E20" s="341" t="s">
        <v>144</v>
      </c>
      <c r="F20" s="139">
        <v>30</v>
      </c>
      <c r="G20" s="278">
        <v>129220</v>
      </c>
      <c r="H20" s="328">
        <f t="shared" si="1"/>
        <v>3876600</v>
      </c>
      <c r="I20" s="394">
        <v>2250</v>
      </c>
      <c r="J20" s="118">
        <f t="shared" si="2"/>
        <v>67500</v>
      </c>
      <c r="K20" s="171">
        <v>16</v>
      </c>
      <c r="L20" s="202">
        <v>47000</v>
      </c>
      <c r="M20" s="202">
        <f t="shared" si="0"/>
        <v>3991100</v>
      </c>
      <c r="N20" s="118">
        <v>118632</v>
      </c>
      <c r="O20" s="188"/>
      <c r="P20" s="336">
        <f t="shared" si="3"/>
        <v>3872468</v>
      </c>
      <c r="Q20" s="187"/>
      <c r="R20" s="1"/>
      <c r="S20" s="1">
        <v>47000</v>
      </c>
      <c r="T20" s="43">
        <f t="shared" si="4"/>
        <v>0</v>
      </c>
    </row>
    <row r="21" spans="1:62" ht="28.5" customHeight="1" x14ac:dyDescent="0.25">
      <c r="A21" s="115">
        <v>12</v>
      </c>
      <c r="B21" s="340">
        <v>14</v>
      </c>
      <c r="C21" s="201">
        <v>14</v>
      </c>
      <c r="D21" s="170" t="s">
        <v>38</v>
      </c>
      <c r="E21" s="341">
        <v>39611</v>
      </c>
      <c r="F21" s="139">
        <v>30</v>
      </c>
      <c r="G21" s="278">
        <v>129220</v>
      </c>
      <c r="H21" s="328">
        <f t="shared" si="1"/>
        <v>3876600</v>
      </c>
      <c r="I21" s="394">
        <v>2250</v>
      </c>
      <c r="J21" s="118">
        <f t="shared" si="2"/>
        <v>67500</v>
      </c>
      <c r="K21" s="142">
        <v>16</v>
      </c>
      <c r="L21" s="256">
        <v>47000</v>
      </c>
      <c r="M21" s="202">
        <f t="shared" si="0"/>
        <v>3991100</v>
      </c>
      <c r="N21" s="118">
        <v>118632</v>
      </c>
      <c r="O21" s="188"/>
      <c r="P21" s="336">
        <f t="shared" si="3"/>
        <v>3872468</v>
      </c>
      <c r="Q21" s="95"/>
      <c r="S21" s="2">
        <v>47000</v>
      </c>
      <c r="T21" s="43">
        <f t="shared" si="4"/>
        <v>0</v>
      </c>
    </row>
    <row r="22" spans="1:62" s="39" customFormat="1" ht="28.5" customHeight="1" x14ac:dyDescent="0.25">
      <c r="A22" s="115">
        <v>13</v>
      </c>
      <c r="B22" s="340">
        <v>15</v>
      </c>
      <c r="C22" s="331">
        <v>15</v>
      </c>
      <c r="D22" s="175" t="s">
        <v>41</v>
      </c>
      <c r="E22" s="341" t="s">
        <v>142</v>
      </c>
      <c r="F22" s="139">
        <v>30</v>
      </c>
      <c r="G22" s="278">
        <v>129220</v>
      </c>
      <c r="H22" s="328">
        <f t="shared" si="1"/>
        <v>3876600</v>
      </c>
      <c r="I22" s="392">
        <v>2250</v>
      </c>
      <c r="J22" s="118">
        <f t="shared" si="2"/>
        <v>67500</v>
      </c>
      <c r="K22" s="171">
        <v>17</v>
      </c>
      <c r="L22" s="202">
        <v>50500</v>
      </c>
      <c r="M22" s="202">
        <f t="shared" si="0"/>
        <v>3994600</v>
      </c>
      <c r="N22" s="118">
        <v>118739</v>
      </c>
      <c r="O22" s="188"/>
      <c r="P22" s="336">
        <f t="shared" si="3"/>
        <v>3875861</v>
      </c>
      <c r="Q22" s="100"/>
      <c r="R22" s="41"/>
      <c r="S22" s="41">
        <v>50500</v>
      </c>
      <c r="T22" s="43">
        <f t="shared" si="4"/>
        <v>0</v>
      </c>
      <c r="U22" s="41"/>
    </row>
    <row r="23" spans="1:62" s="43" customFormat="1" ht="28.5" customHeight="1" x14ac:dyDescent="0.25">
      <c r="A23" s="115">
        <v>14</v>
      </c>
      <c r="B23" s="122"/>
      <c r="C23" s="122" t="s">
        <v>32</v>
      </c>
      <c r="D23" s="170" t="s">
        <v>39</v>
      </c>
      <c r="E23" s="341">
        <v>41306</v>
      </c>
      <c r="F23" s="139">
        <v>30</v>
      </c>
      <c r="G23" s="278">
        <v>129220</v>
      </c>
      <c r="H23" s="328">
        <f t="shared" si="1"/>
        <v>3876600</v>
      </c>
      <c r="I23" s="393">
        <v>5550</v>
      </c>
      <c r="J23" s="118">
        <f t="shared" si="2"/>
        <v>166500</v>
      </c>
      <c r="K23" s="142">
        <v>12</v>
      </c>
      <c r="L23" s="202">
        <v>33000</v>
      </c>
      <c r="M23" s="202">
        <f t="shared" si="0"/>
        <v>4076100</v>
      </c>
      <c r="N23" s="118">
        <v>81500</v>
      </c>
      <c r="O23" s="188"/>
      <c r="P23" s="336">
        <f t="shared" si="3"/>
        <v>3994600</v>
      </c>
      <c r="Q23" s="96"/>
      <c r="S23" s="43">
        <v>33000</v>
      </c>
      <c r="T23" s="43">
        <f t="shared" si="4"/>
        <v>0</v>
      </c>
    </row>
    <row r="24" spans="1:62" s="43" customFormat="1" ht="28.5" customHeight="1" x14ac:dyDescent="0.25">
      <c r="A24" s="115">
        <v>15</v>
      </c>
      <c r="B24" s="128"/>
      <c r="C24" s="128" t="s">
        <v>32</v>
      </c>
      <c r="D24" s="164" t="s">
        <v>45</v>
      </c>
      <c r="E24" s="341">
        <v>35887</v>
      </c>
      <c r="F24" s="139">
        <v>30</v>
      </c>
      <c r="G24" s="278">
        <v>129220</v>
      </c>
      <c r="H24" s="328">
        <f t="shared" si="1"/>
        <v>3876600</v>
      </c>
      <c r="I24" s="394">
        <v>4650</v>
      </c>
      <c r="J24" s="118">
        <f t="shared" si="2"/>
        <v>139500</v>
      </c>
      <c r="K24" s="141">
        <v>27</v>
      </c>
      <c r="L24" s="202">
        <v>85500</v>
      </c>
      <c r="M24" s="202">
        <f t="shared" si="0"/>
        <v>4101600</v>
      </c>
      <c r="N24" s="118">
        <v>81265</v>
      </c>
      <c r="O24" s="188"/>
      <c r="P24" s="336">
        <f t="shared" si="3"/>
        <v>4020335</v>
      </c>
      <c r="Q24" s="99"/>
      <c r="R24" s="44"/>
      <c r="S24" s="43">
        <v>85500</v>
      </c>
      <c r="T24" s="43">
        <f t="shared" si="4"/>
        <v>0</v>
      </c>
    </row>
    <row r="25" spans="1:62" s="43" customFormat="1" ht="28.5" customHeight="1" x14ac:dyDescent="0.25">
      <c r="A25" s="115">
        <v>16</v>
      </c>
      <c r="B25" s="128"/>
      <c r="C25" s="128" t="s">
        <v>32</v>
      </c>
      <c r="D25" s="164" t="s">
        <v>46</v>
      </c>
      <c r="E25" s="341">
        <v>39544</v>
      </c>
      <c r="F25" s="139">
        <v>30</v>
      </c>
      <c r="G25" s="278">
        <v>129220</v>
      </c>
      <c r="H25" s="328">
        <f t="shared" si="1"/>
        <v>3876600</v>
      </c>
      <c r="I25" s="394">
        <v>5550</v>
      </c>
      <c r="J25" s="118">
        <f t="shared" si="2"/>
        <v>166500</v>
      </c>
      <c r="K25" s="141">
        <v>16</v>
      </c>
      <c r="L25" s="256">
        <v>47000</v>
      </c>
      <c r="M25" s="202">
        <f t="shared" si="0"/>
        <v>4090100</v>
      </c>
      <c r="N25" s="118">
        <v>81002</v>
      </c>
      <c r="O25" s="188"/>
      <c r="P25" s="336">
        <f t="shared" si="3"/>
        <v>4009098</v>
      </c>
      <c r="Q25" s="99"/>
      <c r="R25" s="44"/>
      <c r="S25" s="43">
        <v>47000</v>
      </c>
      <c r="T25" s="43">
        <f t="shared" si="4"/>
        <v>0</v>
      </c>
    </row>
    <row r="26" spans="1:62" s="43" customFormat="1" ht="28.5" customHeight="1" x14ac:dyDescent="0.25">
      <c r="A26" s="115">
        <v>17</v>
      </c>
      <c r="B26" s="126"/>
      <c r="C26" s="126" t="s">
        <v>32</v>
      </c>
      <c r="D26" s="164" t="s">
        <v>82</v>
      </c>
      <c r="E26" s="341" t="s">
        <v>145</v>
      </c>
      <c r="F26" s="139">
        <v>30</v>
      </c>
      <c r="G26" s="278">
        <v>129220</v>
      </c>
      <c r="H26" s="328">
        <f t="shared" si="1"/>
        <v>3876600</v>
      </c>
      <c r="I26" s="396">
        <v>2250</v>
      </c>
      <c r="J26" s="118">
        <f t="shared" si="2"/>
        <v>67500</v>
      </c>
      <c r="K26" s="141">
        <v>16</v>
      </c>
      <c r="L26" s="202">
        <v>47000</v>
      </c>
      <c r="M26" s="202">
        <f t="shared" si="0"/>
        <v>3991100</v>
      </c>
      <c r="N26" s="118">
        <v>166485</v>
      </c>
      <c r="O26" s="188"/>
      <c r="P26" s="336">
        <f t="shared" si="3"/>
        <v>3824615</v>
      </c>
      <c r="Q26" s="140"/>
      <c r="R26" s="44"/>
      <c r="S26" s="43">
        <v>47000</v>
      </c>
      <c r="T26" s="43">
        <f t="shared" si="4"/>
        <v>0</v>
      </c>
    </row>
    <row r="27" spans="1:62" s="43" customFormat="1" ht="28.5" customHeight="1" x14ac:dyDescent="0.25">
      <c r="A27" s="115">
        <v>18</v>
      </c>
      <c r="B27" s="136"/>
      <c r="C27" s="127" t="s">
        <v>32</v>
      </c>
      <c r="D27" s="164" t="s">
        <v>76</v>
      </c>
      <c r="E27" s="341">
        <v>42954</v>
      </c>
      <c r="F27" s="139">
        <v>30</v>
      </c>
      <c r="G27" s="278">
        <v>129220</v>
      </c>
      <c r="H27" s="328">
        <f t="shared" si="1"/>
        <v>3876600</v>
      </c>
      <c r="I27" s="393">
        <v>4650</v>
      </c>
      <c r="J27" s="118">
        <f t="shared" si="2"/>
        <v>139500</v>
      </c>
      <c r="K27" s="141">
        <v>7</v>
      </c>
      <c r="L27" s="202">
        <v>18000</v>
      </c>
      <c r="M27" s="202">
        <f t="shared" si="0"/>
        <v>4034100</v>
      </c>
      <c r="N27" s="118">
        <v>79888</v>
      </c>
      <c r="O27" s="194"/>
      <c r="P27" s="336">
        <f t="shared" si="3"/>
        <v>3954212</v>
      </c>
      <c r="Q27" s="158"/>
      <c r="R27" s="44"/>
      <c r="S27" s="43">
        <v>18000</v>
      </c>
      <c r="T27" s="43">
        <f t="shared" si="4"/>
        <v>0</v>
      </c>
    </row>
    <row r="28" spans="1:62" s="43" customFormat="1" ht="28.5" customHeight="1" x14ac:dyDescent="0.25">
      <c r="A28" s="115">
        <v>19</v>
      </c>
      <c r="B28" s="293"/>
      <c r="C28" s="203" t="s">
        <v>32</v>
      </c>
      <c r="D28" s="294" t="s">
        <v>118</v>
      </c>
      <c r="E28" s="341">
        <v>41306</v>
      </c>
      <c r="F28" s="139">
        <v>30</v>
      </c>
      <c r="G28" s="278">
        <v>129220</v>
      </c>
      <c r="H28" s="328">
        <f t="shared" si="1"/>
        <v>3876600</v>
      </c>
      <c r="I28" s="391">
        <v>3700</v>
      </c>
      <c r="J28" s="118">
        <f t="shared" si="2"/>
        <v>111000</v>
      </c>
      <c r="K28" s="296">
        <v>12</v>
      </c>
      <c r="L28" s="202">
        <v>33000</v>
      </c>
      <c r="M28" s="202">
        <f t="shared" si="0"/>
        <v>4020600</v>
      </c>
      <c r="N28" s="118">
        <v>119465</v>
      </c>
      <c r="O28" s="295"/>
      <c r="P28" s="336">
        <f t="shared" si="3"/>
        <v>3901135</v>
      </c>
      <c r="Q28" s="213"/>
      <c r="R28" s="44"/>
      <c r="S28" s="157">
        <v>33000</v>
      </c>
      <c r="T28" s="43">
        <f t="shared" si="4"/>
        <v>0</v>
      </c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7"/>
    </row>
    <row r="29" spans="1:62" s="43" customFormat="1" ht="28.5" customHeight="1" x14ac:dyDescent="0.25">
      <c r="A29" s="115">
        <v>20</v>
      </c>
      <c r="B29" s="203"/>
      <c r="C29" s="203" t="s">
        <v>32</v>
      </c>
      <c r="D29" s="211" t="s">
        <v>119</v>
      </c>
      <c r="E29" s="341">
        <v>41283</v>
      </c>
      <c r="F29" s="139">
        <v>30</v>
      </c>
      <c r="G29" s="278">
        <v>129220</v>
      </c>
      <c r="H29" s="328">
        <f t="shared" si="1"/>
        <v>3876600</v>
      </c>
      <c r="I29" s="391">
        <v>4650</v>
      </c>
      <c r="J29" s="118">
        <f t="shared" si="2"/>
        <v>139500</v>
      </c>
      <c r="K29" s="296">
        <v>11</v>
      </c>
      <c r="L29" s="198">
        <v>30000</v>
      </c>
      <c r="M29" s="202">
        <f t="shared" si="0"/>
        <v>4046100</v>
      </c>
      <c r="N29" s="118">
        <v>80133</v>
      </c>
      <c r="O29" s="295"/>
      <c r="P29" s="336">
        <f t="shared" si="3"/>
        <v>3965967</v>
      </c>
      <c r="Q29" s="213"/>
      <c r="R29" s="44"/>
      <c r="S29" s="157">
        <v>30000</v>
      </c>
      <c r="T29" s="43">
        <f t="shared" si="4"/>
        <v>0</v>
      </c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</row>
    <row r="30" spans="1:62" s="43" customFormat="1" ht="28.5" customHeight="1" x14ac:dyDescent="0.25">
      <c r="A30" s="115">
        <v>21</v>
      </c>
      <c r="B30" s="212"/>
      <c r="C30" s="203" t="s">
        <v>32</v>
      </c>
      <c r="D30" s="297" t="s">
        <v>120</v>
      </c>
      <c r="E30" s="341">
        <v>41283</v>
      </c>
      <c r="F30" s="139">
        <v>30</v>
      </c>
      <c r="G30" s="278">
        <v>129220</v>
      </c>
      <c r="H30" s="328">
        <f t="shared" si="1"/>
        <v>3876600</v>
      </c>
      <c r="I30" s="391">
        <v>4650</v>
      </c>
      <c r="J30" s="118">
        <f t="shared" si="2"/>
        <v>139500</v>
      </c>
      <c r="K30" s="296">
        <v>11</v>
      </c>
      <c r="L30" s="198">
        <v>30000</v>
      </c>
      <c r="M30" s="202">
        <f t="shared" si="0"/>
        <v>4046100</v>
      </c>
      <c r="N30" s="118">
        <v>80133</v>
      </c>
      <c r="O30" s="295"/>
      <c r="P30" s="336">
        <f t="shared" si="3"/>
        <v>3965967</v>
      </c>
      <c r="Q30" s="213"/>
      <c r="R30" s="44"/>
      <c r="S30" s="157">
        <v>30000</v>
      </c>
      <c r="T30" s="43">
        <f t="shared" si="4"/>
        <v>0</v>
      </c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</row>
    <row r="31" spans="1:62" s="43" customFormat="1" ht="28.5" customHeight="1" x14ac:dyDescent="0.25">
      <c r="A31" s="115">
        <v>22</v>
      </c>
      <c r="B31" s="293"/>
      <c r="C31" s="203" t="s">
        <v>32</v>
      </c>
      <c r="D31" s="294" t="s">
        <v>121</v>
      </c>
      <c r="E31" s="359">
        <v>39630</v>
      </c>
      <c r="F31" s="139">
        <v>30</v>
      </c>
      <c r="G31" s="278">
        <v>129220</v>
      </c>
      <c r="H31" s="328">
        <f t="shared" si="1"/>
        <v>3876600</v>
      </c>
      <c r="I31" s="391">
        <v>4650</v>
      </c>
      <c r="J31" s="118">
        <f t="shared" si="2"/>
        <v>139500</v>
      </c>
      <c r="K31" s="296">
        <v>17</v>
      </c>
      <c r="L31" s="202">
        <v>50500</v>
      </c>
      <c r="M31" s="202">
        <f t="shared" si="0"/>
        <v>4066600</v>
      </c>
      <c r="N31" s="118">
        <v>80551</v>
      </c>
      <c r="O31" s="295"/>
      <c r="P31" s="336">
        <f>M31-N31-O31</f>
        <v>3986049</v>
      </c>
      <c r="Q31" s="213"/>
      <c r="R31" s="44"/>
      <c r="S31" s="157">
        <v>50500</v>
      </c>
      <c r="T31" s="43">
        <f t="shared" si="4"/>
        <v>0</v>
      </c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</row>
    <row r="32" spans="1:62" s="138" customFormat="1" ht="30" customHeight="1" thickBot="1" x14ac:dyDescent="0.3">
      <c r="A32" s="214"/>
      <c r="B32" s="215"/>
      <c r="C32" s="215"/>
      <c r="D32" s="165" t="s">
        <v>48</v>
      </c>
      <c r="E32" s="325"/>
      <c r="F32" s="84">
        <f>SUM(F10:F31)</f>
        <v>660</v>
      </c>
      <c r="G32" s="84">
        <f>SUM(G10:G31)</f>
        <v>2842840</v>
      </c>
      <c r="H32" s="84">
        <f>SUM(H10:H31)</f>
        <v>85285200</v>
      </c>
      <c r="I32" s="84"/>
      <c r="J32" s="84">
        <f t="shared" ref="J32:P32" si="5">SUM(J10:J31)</f>
        <v>2632500</v>
      </c>
      <c r="K32" s="84">
        <f t="shared" si="5"/>
        <v>364</v>
      </c>
      <c r="L32" s="84">
        <f t="shared" si="5"/>
        <v>1081000</v>
      </c>
      <c r="M32" s="84">
        <f t="shared" si="5"/>
        <v>88998700</v>
      </c>
      <c r="N32" s="84">
        <f t="shared" si="5"/>
        <v>2259111</v>
      </c>
      <c r="O32" s="84">
        <f t="shared" si="5"/>
        <v>0</v>
      </c>
      <c r="P32" s="84">
        <f t="shared" si="5"/>
        <v>86739589</v>
      </c>
      <c r="Q32" s="299">
        <f>SUM(Q10:R31)</f>
        <v>0</v>
      </c>
    </row>
    <row r="33" spans="1:17" x14ac:dyDescent="0.25">
      <c r="A33" s="8"/>
      <c r="B33" s="15"/>
      <c r="C33" s="15"/>
      <c r="D33" s="166"/>
      <c r="E33" s="166"/>
      <c r="F33" s="49"/>
      <c r="G33" s="11"/>
      <c r="H33" s="11"/>
      <c r="I33" s="9"/>
      <c r="J33" s="46"/>
      <c r="K33" s="7"/>
      <c r="L33" s="7"/>
      <c r="M33" s="7"/>
      <c r="N33" s="7"/>
      <c r="O33" s="189"/>
      <c r="P33" s="7"/>
      <c r="Q33" s="16"/>
    </row>
    <row r="34" spans="1:17" ht="15" customHeight="1" x14ac:dyDescent="0.25">
      <c r="A34" s="8"/>
      <c r="B34" s="8"/>
      <c r="C34" s="8"/>
      <c r="D34" s="57" t="s">
        <v>49</v>
      </c>
      <c r="E34" s="485"/>
      <c r="F34" s="509" t="s">
        <v>154</v>
      </c>
      <c r="G34" s="509"/>
      <c r="H34" s="509"/>
      <c r="I34" s="509"/>
      <c r="J34" s="485"/>
      <c r="K34" s="12"/>
      <c r="L34" s="508" t="s">
        <v>271</v>
      </c>
      <c r="M34" s="508"/>
      <c r="N34" s="13"/>
      <c r="O34" s="508" t="s">
        <v>272</v>
      </c>
      <c r="P34" s="508"/>
    </row>
    <row r="35" spans="1:17" x14ac:dyDescent="0.25">
      <c r="A35" s="9"/>
      <c r="B35" s="9"/>
      <c r="C35" s="7"/>
      <c r="D35" s="57"/>
      <c r="E35" s="57"/>
      <c r="F35" s="7"/>
      <c r="G35" s="57"/>
      <c r="H35" s="16"/>
      <c r="I35" s="13"/>
      <c r="J35" s="13"/>
      <c r="M35" s="13"/>
      <c r="N35" s="218"/>
      <c r="O35" s="475"/>
      <c r="P35" s="13"/>
    </row>
    <row r="36" spans="1:17" x14ac:dyDescent="0.25">
      <c r="A36" s="9"/>
      <c r="B36" s="9"/>
      <c r="C36" s="7"/>
      <c r="D36" s="167"/>
      <c r="E36" s="167"/>
      <c r="F36" s="7"/>
      <c r="G36" s="167"/>
      <c r="H36" s="16"/>
      <c r="J36" s="47"/>
      <c r="M36" s="261"/>
      <c r="N36" s="218"/>
      <c r="O36" s="475"/>
      <c r="P36" s="479"/>
    </row>
    <row r="37" spans="1:17" x14ac:dyDescent="0.25">
      <c r="A37" s="10"/>
      <c r="B37" s="10"/>
      <c r="G37" s="168"/>
      <c r="M37" s="262"/>
      <c r="N37" s="218"/>
      <c r="O37" s="475"/>
      <c r="P37" s="475"/>
    </row>
    <row r="38" spans="1:17" ht="15" customHeight="1" x14ac:dyDescent="0.25">
      <c r="A38" s="10"/>
      <c r="B38" s="10"/>
      <c r="D38" s="169" t="s">
        <v>177</v>
      </c>
      <c r="E38" s="169"/>
      <c r="F38" s="476" t="s">
        <v>173</v>
      </c>
      <c r="G38" s="486"/>
      <c r="H38" s="486"/>
      <c r="I38" s="506" t="s">
        <v>175</v>
      </c>
      <c r="J38" s="506"/>
      <c r="L38" s="506" t="s">
        <v>176</v>
      </c>
      <c r="M38" s="506"/>
      <c r="N38" s="14"/>
      <c r="O38" s="506" t="s">
        <v>269</v>
      </c>
      <c r="P38" s="506"/>
    </row>
    <row r="39" spans="1:17" ht="15" customHeight="1" x14ac:dyDescent="0.25">
      <c r="D39" s="58" t="s">
        <v>54</v>
      </c>
      <c r="E39" s="58"/>
      <c r="F39" s="477" t="s">
        <v>174</v>
      </c>
      <c r="G39" s="487"/>
      <c r="H39" s="487"/>
      <c r="I39" s="507" t="s">
        <v>155</v>
      </c>
      <c r="J39" s="507"/>
      <c r="L39" s="507" t="s">
        <v>156</v>
      </c>
      <c r="M39" s="507"/>
      <c r="N39" s="15"/>
      <c r="O39" s="507" t="s">
        <v>270</v>
      </c>
      <c r="P39" s="507"/>
    </row>
    <row r="45" spans="1:17" x14ac:dyDescent="0.25">
      <c r="L45" s="154"/>
    </row>
    <row r="46" spans="1:17" x14ac:dyDescent="0.25">
      <c r="L46" s="154"/>
    </row>
    <row r="50" spans="1:17" s="61" customFormat="1" x14ac:dyDescent="0.25">
      <c r="A50" s="498"/>
      <c r="B50" s="498"/>
      <c r="C50" s="498"/>
      <c r="D50" s="498"/>
      <c r="E50" s="498"/>
      <c r="F50" s="498"/>
      <c r="G50" s="498"/>
      <c r="H50" s="498"/>
      <c r="I50" s="498"/>
      <c r="J50" s="498"/>
      <c r="K50" s="498"/>
      <c r="L50" s="498"/>
      <c r="M50" s="498"/>
      <c r="N50" s="498"/>
      <c r="O50" s="498"/>
      <c r="P50" s="498"/>
      <c r="Q50" s="498"/>
    </row>
    <row r="52" spans="1:17" x14ac:dyDescent="0.25">
      <c r="D52" s="2"/>
      <c r="E52" s="310"/>
      <c r="G52" s="2"/>
      <c r="H52" s="310"/>
      <c r="I52" s="2"/>
      <c r="O52" s="2"/>
      <c r="P52" s="2"/>
    </row>
    <row r="53" spans="1:17" x14ac:dyDescent="0.25">
      <c r="D53" s="2"/>
      <c r="E53" s="310"/>
      <c r="G53" s="2"/>
      <c r="H53" s="310"/>
      <c r="I53" s="2"/>
      <c r="O53" s="2"/>
      <c r="P53" s="2"/>
    </row>
    <row r="54" spans="1:17" x14ac:dyDescent="0.25">
      <c r="D54" s="2"/>
      <c r="E54" s="310"/>
      <c r="G54" s="2"/>
      <c r="H54" s="310"/>
      <c r="I54" s="2"/>
      <c r="O54" s="2"/>
      <c r="P54" s="2"/>
    </row>
    <row r="55" spans="1:17" x14ac:dyDescent="0.25">
      <c r="D55" s="2"/>
      <c r="E55" s="310"/>
      <c r="G55" s="2"/>
      <c r="H55" s="310"/>
      <c r="I55" s="2"/>
      <c r="O55" s="2"/>
      <c r="P55" s="2"/>
    </row>
    <row r="56" spans="1:17" x14ac:dyDescent="0.25">
      <c r="D56" s="2"/>
      <c r="E56" s="310"/>
      <c r="G56" s="2"/>
      <c r="H56" s="310"/>
      <c r="I56" s="2"/>
      <c r="O56" s="2"/>
      <c r="P56" s="2"/>
    </row>
    <row r="57" spans="1:17" x14ac:dyDescent="0.25">
      <c r="D57" s="2"/>
      <c r="E57" s="310"/>
      <c r="G57" s="2"/>
      <c r="H57" s="310"/>
      <c r="I57" s="2"/>
      <c r="O57" s="2"/>
      <c r="P57" s="2"/>
    </row>
    <row r="58" spans="1:17" x14ac:dyDescent="0.25">
      <c r="D58" s="2"/>
      <c r="E58" s="310"/>
      <c r="G58" s="2"/>
      <c r="H58" s="310"/>
      <c r="I58" s="2"/>
      <c r="O58" s="2"/>
      <c r="P58" s="2"/>
    </row>
    <row r="59" spans="1:17" x14ac:dyDescent="0.25">
      <c r="D59" s="2"/>
      <c r="E59" s="310"/>
      <c r="G59" s="2"/>
      <c r="H59" s="310"/>
      <c r="I59" s="2"/>
      <c r="O59" s="2"/>
      <c r="P59" s="2"/>
    </row>
    <row r="60" spans="1:17" x14ac:dyDescent="0.25">
      <c r="D60" s="2"/>
      <c r="E60" s="310"/>
      <c r="G60" s="2"/>
      <c r="H60" s="310"/>
      <c r="I60" s="2"/>
      <c r="O60" s="2"/>
      <c r="P60" s="2"/>
    </row>
    <row r="61" spans="1:17" x14ac:dyDescent="0.25">
      <c r="D61" s="2"/>
      <c r="E61" s="310"/>
      <c r="G61" s="2"/>
      <c r="H61" s="310"/>
      <c r="I61" s="2"/>
      <c r="O61" s="2"/>
      <c r="P61" s="2"/>
    </row>
    <row r="62" spans="1:17" x14ac:dyDescent="0.25">
      <c r="D62" s="2"/>
      <c r="E62" s="310"/>
      <c r="G62" s="2"/>
      <c r="H62" s="310"/>
      <c r="I62" s="2"/>
      <c r="O62" s="2"/>
      <c r="P62" s="2"/>
    </row>
    <row r="63" spans="1:17" x14ac:dyDescent="0.25">
      <c r="D63" s="2"/>
      <c r="E63" s="310"/>
      <c r="G63" s="2"/>
      <c r="H63" s="310"/>
      <c r="I63" s="2"/>
      <c r="O63" s="2"/>
      <c r="P63" s="2"/>
    </row>
    <row r="64" spans="1:17" x14ac:dyDescent="0.25">
      <c r="D64" s="2"/>
      <c r="E64" s="310"/>
      <c r="G64" s="2"/>
      <c r="H64" s="310"/>
      <c r="I64" s="2"/>
      <c r="O64" s="2"/>
      <c r="P64" s="2"/>
    </row>
    <row r="65" spans="4:16" x14ac:dyDescent="0.25">
      <c r="D65" s="2"/>
      <c r="E65" s="310"/>
      <c r="G65" s="2"/>
      <c r="H65" s="310"/>
      <c r="I65" s="2"/>
      <c r="O65" s="2"/>
      <c r="P65" s="2"/>
    </row>
    <row r="66" spans="4:16" x14ac:dyDescent="0.25">
      <c r="D66" s="2"/>
      <c r="E66" s="310"/>
      <c r="G66" s="2"/>
      <c r="H66" s="310"/>
      <c r="I66" s="2"/>
      <c r="O66" s="2"/>
      <c r="P66" s="2"/>
    </row>
    <row r="67" spans="4:16" x14ac:dyDescent="0.25">
      <c r="D67" s="2"/>
      <c r="E67" s="310"/>
      <c r="G67" s="2"/>
      <c r="H67" s="310"/>
      <c r="I67" s="2"/>
      <c r="O67" s="2"/>
      <c r="P67" s="2"/>
    </row>
    <row r="68" spans="4:16" x14ac:dyDescent="0.25">
      <c r="D68" s="2"/>
      <c r="E68" s="310"/>
      <c r="G68" s="2"/>
      <c r="H68" s="310"/>
      <c r="I68" s="2"/>
      <c r="O68" s="2"/>
      <c r="P68" s="2"/>
    </row>
    <row r="69" spans="4:16" x14ac:dyDescent="0.25">
      <c r="D69" s="2"/>
      <c r="E69" s="310"/>
      <c r="G69" s="2"/>
      <c r="H69" s="310"/>
      <c r="I69" s="2"/>
      <c r="O69" s="2"/>
      <c r="P69" s="2"/>
    </row>
    <row r="70" spans="4:16" x14ac:dyDescent="0.25">
      <c r="D70" s="2"/>
      <c r="E70" s="310"/>
      <c r="G70" s="2"/>
      <c r="H70" s="310"/>
      <c r="I70" s="2"/>
      <c r="O70" s="2"/>
      <c r="P70" s="2"/>
    </row>
    <row r="71" spans="4:16" x14ac:dyDescent="0.25">
      <c r="D71" s="2"/>
      <c r="E71" s="310"/>
      <c r="G71" s="2"/>
      <c r="H71" s="310"/>
      <c r="I71" s="2"/>
      <c r="O71" s="2"/>
      <c r="P71" s="2"/>
    </row>
    <row r="72" spans="4:16" x14ac:dyDescent="0.25">
      <c r="D72" s="2"/>
      <c r="E72" s="310"/>
      <c r="G72" s="2"/>
      <c r="H72" s="310"/>
      <c r="I72" s="2"/>
      <c r="O72" s="2"/>
      <c r="P72" s="2"/>
    </row>
    <row r="73" spans="4:16" x14ac:dyDescent="0.25">
      <c r="D73" s="2"/>
      <c r="E73" s="310"/>
      <c r="G73" s="2"/>
      <c r="H73" s="310"/>
      <c r="I73" s="2"/>
      <c r="O73" s="2"/>
      <c r="P73" s="2"/>
    </row>
    <row r="74" spans="4:16" x14ac:dyDescent="0.25">
      <c r="D74" s="2"/>
      <c r="E74" s="310"/>
      <c r="G74" s="2"/>
      <c r="H74" s="310"/>
      <c r="I74" s="2"/>
      <c r="O74" s="2"/>
      <c r="P74" s="2"/>
    </row>
    <row r="75" spans="4:16" x14ac:dyDescent="0.25">
      <c r="D75" s="2"/>
      <c r="E75" s="310"/>
      <c r="G75" s="2"/>
      <c r="H75" s="310"/>
      <c r="I75" s="2"/>
      <c r="O75" s="2"/>
      <c r="P75" s="2"/>
    </row>
    <row r="76" spans="4:16" x14ac:dyDescent="0.25">
      <c r="D76" s="2"/>
      <c r="E76" s="310"/>
      <c r="G76" s="2"/>
      <c r="H76" s="310"/>
      <c r="I76" s="2"/>
      <c r="O76" s="2"/>
      <c r="P76" s="2"/>
    </row>
    <row r="77" spans="4:16" x14ac:dyDescent="0.25">
      <c r="D77" s="2"/>
      <c r="E77" s="310"/>
      <c r="G77" s="2"/>
      <c r="H77" s="310"/>
      <c r="I77" s="2"/>
      <c r="O77" s="2"/>
      <c r="P77" s="2"/>
    </row>
    <row r="78" spans="4:16" x14ac:dyDescent="0.25">
      <c r="D78" s="2"/>
      <c r="E78" s="310"/>
      <c r="G78" s="2"/>
      <c r="H78" s="310"/>
      <c r="I78" s="2"/>
      <c r="O78" s="2"/>
      <c r="P78" s="2"/>
    </row>
    <row r="79" spans="4:16" x14ac:dyDescent="0.25">
      <c r="D79" s="2"/>
      <c r="E79" s="310"/>
      <c r="G79" s="2"/>
      <c r="H79" s="310"/>
      <c r="I79" s="2"/>
      <c r="O79" s="2"/>
      <c r="P79" s="2"/>
    </row>
    <row r="80" spans="4:16" x14ac:dyDescent="0.25">
      <c r="D80" s="2"/>
      <c r="E80" s="310"/>
      <c r="G80" s="2"/>
      <c r="H80" s="310"/>
      <c r="I80" s="2"/>
      <c r="O80" s="2"/>
      <c r="P80" s="2"/>
    </row>
    <row r="81" spans="4:16" x14ac:dyDescent="0.25">
      <c r="D81" s="2"/>
      <c r="E81" s="310"/>
      <c r="G81" s="2"/>
      <c r="H81" s="310"/>
      <c r="I81" s="2"/>
      <c r="O81" s="2"/>
      <c r="P81" s="2"/>
    </row>
    <row r="82" spans="4:16" x14ac:dyDescent="0.25">
      <c r="D82" s="2"/>
      <c r="E82" s="310"/>
      <c r="G82" s="2"/>
      <c r="H82" s="310"/>
      <c r="I82" s="2"/>
      <c r="O82" s="2"/>
      <c r="P82" s="2"/>
    </row>
    <row r="83" spans="4:16" x14ac:dyDescent="0.25">
      <c r="D83" s="2"/>
      <c r="E83" s="310"/>
      <c r="G83" s="2"/>
      <c r="H83" s="310"/>
      <c r="I83" s="2"/>
      <c r="O83" s="2"/>
      <c r="P83" s="2"/>
    </row>
    <row r="84" spans="4:16" x14ac:dyDescent="0.25">
      <c r="D84" s="2"/>
      <c r="E84" s="310"/>
      <c r="G84" s="2"/>
      <c r="H84" s="310"/>
      <c r="I84" s="2"/>
      <c r="O84" s="2"/>
      <c r="P84" s="2"/>
    </row>
    <row r="85" spans="4:16" x14ac:dyDescent="0.25">
      <c r="D85" s="2"/>
      <c r="E85" s="310"/>
      <c r="G85" s="2"/>
      <c r="H85" s="310"/>
      <c r="I85" s="2"/>
      <c r="O85" s="2"/>
      <c r="P85" s="2"/>
    </row>
    <row r="86" spans="4:16" x14ac:dyDescent="0.25">
      <c r="D86" s="2"/>
      <c r="E86" s="310"/>
      <c r="G86" s="2"/>
      <c r="H86" s="310"/>
      <c r="I86" s="2"/>
      <c r="O86" s="2"/>
      <c r="P86" s="2"/>
    </row>
    <row r="87" spans="4:16" x14ac:dyDescent="0.25">
      <c r="D87" s="2"/>
      <c r="E87" s="310"/>
      <c r="G87" s="2"/>
      <c r="H87" s="310"/>
      <c r="I87" s="2"/>
      <c r="O87" s="2"/>
      <c r="P87" s="2"/>
    </row>
    <row r="88" spans="4:16" x14ac:dyDescent="0.25">
      <c r="D88" s="2"/>
      <c r="E88" s="310"/>
      <c r="G88" s="2"/>
      <c r="H88" s="310"/>
      <c r="I88" s="2"/>
      <c r="O88" s="2"/>
      <c r="P88" s="2"/>
    </row>
    <row r="89" spans="4:16" x14ac:dyDescent="0.25">
      <c r="D89" s="2"/>
      <c r="E89" s="310"/>
      <c r="G89" s="2"/>
      <c r="H89" s="310"/>
      <c r="I89" s="2"/>
      <c r="O89" s="2"/>
      <c r="P89" s="2"/>
    </row>
    <row r="90" spans="4:16" x14ac:dyDescent="0.25">
      <c r="D90" s="2"/>
      <c r="E90" s="310"/>
      <c r="G90" s="2"/>
      <c r="H90" s="310"/>
      <c r="I90" s="2"/>
      <c r="O90" s="2"/>
      <c r="P90" s="2"/>
    </row>
    <row r="91" spans="4:16" x14ac:dyDescent="0.25">
      <c r="D91" s="2"/>
      <c r="E91" s="310"/>
      <c r="G91" s="2"/>
      <c r="H91" s="310"/>
      <c r="I91" s="2"/>
      <c r="O91" s="2"/>
      <c r="P91" s="2"/>
    </row>
    <row r="92" spans="4:16" x14ac:dyDescent="0.25">
      <c r="D92" s="2"/>
      <c r="E92" s="310"/>
      <c r="G92" s="2"/>
      <c r="H92" s="310"/>
      <c r="I92" s="2"/>
      <c r="O92" s="2"/>
      <c r="P92" s="2"/>
    </row>
    <row r="93" spans="4:16" x14ac:dyDescent="0.25">
      <c r="D93" s="2"/>
      <c r="E93" s="310"/>
      <c r="G93" s="2"/>
      <c r="H93" s="310"/>
      <c r="I93" s="2"/>
      <c r="O93" s="2"/>
      <c r="P93" s="2"/>
    </row>
    <row r="94" spans="4:16" x14ac:dyDescent="0.25">
      <c r="D94" s="2"/>
      <c r="E94" s="310"/>
      <c r="G94" s="2"/>
      <c r="H94" s="310"/>
      <c r="I94" s="2"/>
      <c r="O94" s="2"/>
      <c r="P94" s="2"/>
    </row>
    <row r="95" spans="4:16" x14ac:dyDescent="0.25">
      <c r="D95" s="2"/>
      <c r="E95" s="310"/>
      <c r="G95" s="2"/>
      <c r="H95" s="310"/>
      <c r="I95" s="2"/>
      <c r="O95" s="2"/>
      <c r="P95" s="2"/>
    </row>
    <row r="96" spans="4:16" x14ac:dyDescent="0.25">
      <c r="D96" s="2"/>
      <c r="E96" s="310"/>
      <c r="G96" s="2"/>
      <c r="H96" s="310"/>
      <c r="I96" s="2"/>
      <c r="O96" s="2"/>
      <c r="P96" s="2"/>
    </row>
    <row r="97" spans="4:16" x14ac:dyDescent="0.25">
      <c r="D97" s="2"/>
      <c r="E97" s="310"/>
      <c r="G97" s="2"/>
      <c r="H97" s="310"/>
      <c r="I97" s="2"/>
      <c r="O97" s="2"/>
      <c r="P97" s="2"/>
    </row>
    <row r="98" spans="4:16" x14ac:dyDescent="0.25">
      <c r="D98" s="2"/>
      <c r="E98" s="310"/>
      <c r="G98" s="2"/>
      <c r="H98" s="310"/>
      <c r="I98" s="2"/>
      <c r="O98" s="2"/>
      <c r="P98" s="2"/>
    </row>
    <row r="99" spans="4:16" x14ac:dyDescent="0.25">
      <c r="D99" s="2"/>
      <c r="E99" s="310"/>
      <c r="G99" s="2"/>
      <c r="H99" s="310"/>
      <c r="I99" s="2"/>
      <c r="O99" s="2"/>
      <c r="P99" s="2"/>
    </row>
    <row r="100" spans="4:16" x14ac:dyDescent="0.25">
      <c r="D100" s="2"/>
      <c r="E100" s="310"/>
      <c r="G100" s="2"/>
      <c r="H100" s="310"/>
      <c r="I100" s="2"/>
      <c r="O100" s="2"/>
      <c r="P100" s="2"/>
    </row>
    <row r="101" spans="4:16" x14ac:dyDescent="0.25">
      <c r="D101" s="2"/>
      <c r="E101" s="310"/>
      <c r="G101" s="2"/>
      <c r="H101" s="310"/>
      <c r="I101" s="2"/>
      <c r="O101" s="2"/>
      <c r="P101" s="2"/>
    </row>
    <row r="102" spans="4:16" x14ac:dyDescent="0.25">
      <c r="D102" s="2"/>
      <c r="E102" s="310"/>
      <c r="G102" s="2"/>
      <c r="H102" s="310"/>
      <c r="I102" s="2"/>
      <c r="O102" s="2"/>
      <c r="P102" s="2"/>
    </row>
    <row r="103" spans="4:16" x14ac:dyDescent="0.25">
      <c r="D103" s="2"/>
      <c r="E103" s="310"/>
      <c r="G103" s="2"/>
      <c r="H103" s="310"/>
      <c r="I103" s="2"/>
      <c r="O103" s="2"/>
      <c r="P103" s="2"/>
    </row>
    <row r="104" spans="4:16" x14ac:dyDescent="0.25">
      <c r="D104" s="2"/>
      <c r="E104" s="310"/>
      <c r="G104" s="2"/>
      <c r="H104" s="310"/>
      <c r="I104" s="2"/>
      <c r="O104" s="2"/>
      <c r="P104" s="2"/>
    </row>
    <row r="105" spans="4:16" x14ac:dyDescent="0.25">
      <c r="D105" s="2"/>
      <c r="E105" s="310"/>
      <c r="G105" s="2"/>
      <c r="H105" s="310"/>
      <c r="I105" s="2"/>
      <c r="O105" s="2"/>
      <c r="P105" s="2"/>
    </row>
    <row r="106" spans="4:16" x14ac:dyDescent="0.25">
      <c r="D106" s="2"/>
      <c r="E106" s="310"/>
      <c r="G106" s="2"/>
      <c r="H106" s="310"/>
      <c r="I106" s="2"/>
      <c r="O106" s="2"/>
      <c r="P106" s="2"/>
    </row>
    <row r="107" spans="4:16" x14ac:dyDescent="0.25">
      <c r="D107" s="2"/>
      <c r="E107" s="310"/>
      <c r="G107" s="2"/>
      <c r="H107" s="310"/>
      <c r="I107" s="2"/>
      <c r="O107" s="2"/>
      <c r="P107" s="2"/>
    </row>
    <row r="108" spans="4:16" x14ac:dyDescent="0.25">
      <c r="D108" s="2"/>
      <c r="E108" s="310"/>
      <c r="G108" s="2"/>
      <c r="H108" s="310"/>
      <c r="I108" s="2"/>
      <c r="O108" s="2"/>
      <c r="P108" s="2"/>
    </row>
    <row r="109" spans="4:16" x14ac:dyDescent="0.25">
      <c r="D109" s="2"/>
      <c r="E109" s="310"/>
      <c r="G109" s="2"/>
      <c r="H109" s="310"/>
      <c r="I109" s="2"/>
      <c r="O109" s="2"/>
      <c r="P109" s="2"/>
    </row>
    <row r="110" spans="4:16" x14ac:dyDescent="0.25">
      <c r="D110" s="2"/>
      <c r="E110" s="310"/>
      <c r="G110" s="2"/>
      <c r="H110" s="310"/>
      <c r="I110" s="2"/>
      <c r="O110" s="2"/>
      <c r="P110" s="2"/>
    </row>
    <row r="111" spans="4:16" x14ac:dyDescent="0.25">
      <c r="D111" s="2"/>
      <c r="E111" s="310"/>
      <c r="G111" s="2"/>
      <c r="H111" s="310"/>
      <c r="I111" s="2"/>
      <c r="O111" s="2"/>
      <c r="P111" s="2"/>
    </row>
    <row r="112" spans="4:16" x14ac:dyDescent="0.25">
      <c r="D112" s="2"/>
      <c r="E112" s="310"/>
      <c r="G112" s="2"/>
      <c r="H112" s="310"/>
      <c r="I112" s="2"/>
      <c r="O112" s="2"/>
      <c r="P112" s="2"/>
    </row>
    <row r="113" spans="4:16" x14ac:dyDescent="0.25">
      <c r="D113" s="2"/>
      <c r="E113" s="310"/>
      <c r="G113" s="2"/>
      <c r="H113" s="310"/>
      <c r="I113" s="2"/>
      <c r="O113" s="2"/>
      <c r="P113" s="2"/>
    </row>
    <row r="114" spans="4:16" x14ac:dyDescent="0.25">
      <c r="D114" s="2"/>
      <c r="E114" s="310"/>
      <c r="G114" s="2"/>
      <c r="H114" s="310"/>
      <c r="I114" s="2"/>
      <c r="O114" s="2"/>
      <c r="P114" s="2"/>
    </row>
    <row r="115" spans="4:16" x14ac:dyDescent="0.25">
      <c r="D115" s="2"/>
      <c r="E115" s="310"/>
      <c r="G115" s="2"/>
      <c r="H115" s="310"/>
      <c r="I115" s="2"/>
      <c r="O115" s="2"/>
      <c r="P115" s="2"/>
    </row>
    <row r="116" spans="4:16" x14ac:dyDescent="0.25">
      <c r="D116" s="2"/>
      <c r="E116" s="310"/>
      <c r="G116" s="2"/>
      <c r="H116" s="310"/>
      <c r="I116" s="2"/>
      <c r="O116" s="2"/>
      <c r="P116" s="2"/>
    </row>
    <row r="117" spans="4:16" x14ac:dyDescent="0.25">
      <c r="D117" s="2"/>
      <c r="E117" s="310"/>
      <c r="G117" s="2"/>
      <c r="H117" s="310"/>
      <c r="I117" s="2"/>
      <c r="O117" s="2"/>
      <c r="P117" s="2"/>
    </row>
    <row r="118" spans="4:16" x14ac:dyDescent="0.25">
      <c r="D118" s="2"/>
      <c r="E118" s="310"/>
      <c r="G118" s="2"/>
      <c r="H118" s="310"/>
      <c r="I118" s="2"/>
      <c r="O118" s="2"/>
      <c r="P118" s="2"/>
    </row>
    <row r="119" spans="4:16" x14ac:dyDescent="0.25">
      <c r="D119" s="2"/>
      <c r="E119" s="310"/>
      <c r="G119" s="2"/>
      <c r="H119" s="310"/>
      <c r="I119" s="2"/>
      <c r="O119" s="2"/>
      <c r="P119" s="2"/>
    </row>
    <row r="120" spans="4:16" x14ac:dyDescent="0.25">
      <c r="D120" s="2"/>
      <c r="E120" s="310"/>
      <c r="G120" s="2"/>
      <c r="H120" s="310"/>
      <c r="I120" s="2"/>
      <c r="O120" s="2"/>
      <c r="P120" s="2"/>
    </row>
    <row r="121" spans="4:16" x14ac:dyDescent="0.25">
      <c r="D121" s="2"/>
      <c r="E121" s="310"/>
      <c r="G121" s="2"/>
      <c r="H121" s="310"/>
      <c r="I121" s="2"/>
      <c r="O121" s="2"/>
      <c r="P121" s="2"/>
    </row>
    <row r="122" spans="4:16" x14ac:dyDescent="0.25">
      <c r="D122" s="2"/>
      <c r="E122" s="310"/>
      <c r="G122" s="2"/>
      <c r="H122" s="310"/>
      <c r="I122" s="2"/>
      <c r="O122" s="2"/>
      <c r="P122" s="2"/>
    </row>
    <row r="123" spans="4:16" x14ac:dyDescent="0.25">
      <c r="D123" s="2"/>
      <c r="E123" s="310"/>
      <c r="G123" s="2"/>
      <c r="H123" s="310"/>
      <c r="I123" s="2"/>
      <c r="O123" s="2"/>
      <c r="P123" s="2"/>
    </row>
    <row r="124" spans="4:16" x14ac:dyDescent="0.25">
      <c r="D124" s="2"/>
      <c r="E124" s="310"/>
      <c r="G124" s="2"/>
      <c r="H124" s="310"/>
      <c r="I124" s="2"/>
      <c r="O124" s="2"/>
      <c r="P124" s="2"/>
    </row>
    <row r="125" spans="4:16" x14ac:dyDescent="0.25">
      <c r="D125" s="2"/>
      <c r="E125" s="310"/>
      <c r="G125" s="2"/>
      <c r="H125" s="310"/>
      <c r="I125" s="2"/>
      <c r="O125" s="2"/>
      <c r="P125" s="2"/>
    </row>
    <row r="126" spans="4:16" x14ac:dyDescent="0.25">
      <c r="D126" s="2"/>
      <c r="E126" s="310"/>
      <c r="G126" s="2"/>
      <c r="H126" s="310"/>
      <c r="I126" s="2"/>
      <c r="O126" s="2"/>
      <c r="P126" s="2"/>
    </row>
    <row r="127" spans="4:16" x14ac:dyDescent="0.25">
      <c r="D127" s="2"/>
      <c r="E127" s="310"/>
      <c r="G127" s="2"/>
      <c r="H127" s="310"/>
      <c r="I127" s="2"/>
      <c r="O127" s="2"/>
      <c r="P127" s="2"/>
    </row>
    <row r="128" spans="4:16" x14ac:dyDescent="0.25">
      <c r="D128" s="2"/>
      <c r="E128" s="310"/>
      <c r="G128" s="2"/>
      <c r="H128" s="310"/>
      <c r="I128" s="2"/>
      <c r="O128" s="2"/>
      <c r="P128" s="2"/>
    </row>
    <row r="129" spans="4:16" x14ac:dyDescent="0.25">
      <c r="D129" s="2"/>
      <c r="E129" s="310"/>
      <c r="G129" s="2"/>
      <c r="H129" s="310"/>
      <c r="I129" s="2"/>
      <c r="O129" s="2"/>
      <c r="P129" s="2"/>
    </row>
    <row r="130" spans="4:16" x14ac:dyDescent="0.25">
      <c r="D130" s="2"/>
      <c r="E130" s="310"/>
      <c r="G130" s="2"/>
      <c r="H130" s="310"/>
      <c r="I130" s="2"/>
      <c r="O130" s="2"/>
      <c r="P130" s="2"/>
    </row>
    <row r="131" spans="4:16" x14ac:dyDescent="0.25">
      <c r="D131" s="2"/>
      <c r="E131" s="310"/>
      <c r="G131" s="2"/>
      <c r="H131" s="310"/>
      <c r="I131" s="2"/>
      <c r="O131" s="2"/>
      <c r="P131" s="2"/>
    </row>
    <row r="132" spans="4:16" x14ac:dyDescent="0.25">
      <c r="D132" s="2"/>
      <c r="E132" s="310"/>
      <c r="G132" s="2"/>
      <c r="H132" s="310"/>
      <c r="I132" s="2"/>
      <c r="O132" s="2"/>
      <c r="P132" s="2"/>
    </row>
    <row r="133" spans="4:16" x14ac:dyDescent="0.25">
      <c r="D133" s="2"/>
      <c r="E133" s="310"/>
      <c r="G133" s="2"/>
      <c r="H133" s="310"/>
      <c r="I133" s="2"/>
      <c r="O133" s="2"/>
      <c r="P133" s="2"/>
    </row>
    <row r="134" spans="4:16" x14ac:dyDescent="0.25">
      <c r="D134" s="2"/>
      <c r="E134" s="310"/>
      <c r="G134" s="2"/>
      <c r="H134" s="310"/>
      <c r="I134" s="2"/>
      <c r="O134" s="2"/>
      <c r="P134" s="2"/>
    </row>
    <row r="135" spans="4:16" x14ac:dyDescent="0.25">
      <c r="D135" s="2"/>
      <c r="E135" s="310"/>
      <c r="G135" s="2"/>
      <c r="H135" s="310"/>
      <c r="I135" s="2"/>
      <c r="O135" s="2"/>
      <c r="P135" s="2"/>
    </row>
    <row r="136" spans="4:16" x14ac:dyDescent="0.25">
      <c r="D136" s="2"/>
      <c r="E136" s="310"/>
      <c r="G136" s="2"/>
      <c r="H136" s="310"/>
      <c r="I136" s="2"/>
      <c r="O136" s="2"/>
      <c r="P136" s="2"/>
    </row>
    <row r="137" spans="4:16" x14ac:dyDescent="0.25">
      <c r="D137" s="2"/>
      <c r="E137" s="310"/>
      <c r="G137" s="2"/>
      <c r="H137" s="310"/>
      <c r="I137" s="2"/>
      <c r="O137" s="2"/>
      <c r="P137" s="2"/>
    </row>
    <row r="138" spans="4:16" x14ac:dyDescent="0.25">
      <c r="D138" s="2"/>
      <c r="E138" s="310"/>
      <c r="G138" s="2"/>
      <c r="H138" s="310"/>
      <c r="I138" s="2"/>
      <c r="O138" s="2"/>
      <c r="P138" s="2"/>
    </row>
    <row r="139" spans="4:16" x14ac:dyDescent="0.25">
      <c r="D139" s="2"/>
      <c r="E139" s="310"/>
      <c r="G139" s="2"/>
      <c r="H139" s="310"/>
      <c r="I139" s="2"/>
      <c r="O139" s="2"/>
      <c r="P139" s="2"/>
    </row>
    <row r="140" spans="4:16" x14ac:dyDescent="0.25">
      <c r="D140" s="2"/>
      <c r="E140" s="310"/>
      <c r="G140" s="2"/>
      <c r="H140" s="310"/>
      <c r="I140" s="2"/>
      <c r="O140" s="2"/>
      <c r="P140" s="2"/>
    </row>
    <row r="141" spans="4:16" x14ac:dyDescent="0.25">
      <c r="D141" s="2"/>
      <c r="E141" s="310"/>
      <c r="G141" s="2"/>
      <c r="H141" s="310"/>
      <c r="I141" s="2"/>
      <c r="O141" s="2"/>
      <c r="P141" s="2"/>
    </row>
    <row r="142" spans="4:16" x14ac:dyDescent="0.25">
      <c r="D142" s="2"/>
      <c r="E142" s="310"/>
      <c r="G142" s="2"/>
      <c r="H142" s="310"/>
      <c r="I142" s="2"/>
      <c r="O142" s="2"/>
      <c r="P142" s="2"/>
    </row>
    <row r="143" spans="4:16" x14ac:dyDescent="0.25">
      <c r="D143" s="2"/>
      <c r="E143" s="310"/>
      <c r="G143" s="2"/>
      <c r="H143" s="310"/>
      <c r="I143" s="2"/>
      <c r="O143" s="2"/>
      <c r="P143" s="2"/>
    </row>
    <row r="144" spans="4:16" x14ac:dyDescent="0.25">
      <c r="D144" s="2"/>
      <c r="E144" s="310"/>
      <c r="G144" s="2"/>
      <c r="H144" s="310"/>
      <c r="I144" s="2"/>
      <c r="O144" s="2"/>
      <c r="P144" s="2"/>
    </row>
    <row r="145" spans="4:16" x14ac:dyDescent="0.25">
      <c r="D145" s="2"/>
      <c r="E145" s="310"/>
      <c r="G145" s="2"/>
      <c r="H145" s="310"/>
      <c r="I145" s="2"/>
      <c r="O145" s="2"/>
      <c r="P145" s="2"/>
    </row>
    <row r="146" spans="4:16" x14ac:dyDescent="0.25">
      <c r="D146" s="2"/>
      <c r="E146" s="310"/>
      <c r="G146" s="2"/>
      <c r="H146" s="310"/>
      <c r="I146" s="2"/>
      <c r="O146" s="2"/>
      <c r="P146" s="2"/>
    </row>
    <row r="147" spans="4:16" x14ac:dyDescent="0.25">
      <c r="D147" s="2"/>
      <c r="E147" s="310"/>
      <c r="G147" s="2"/>
      <c r="H147" s="310"/>
      <c r="I147" s="2"/>
      <c r="O147" s="2"/>
      <c r="P147" s="2"/>
    </row>
    <row r="148" spans="4:16" x14ac:dyDescent="0.25">
      <c r="D148" s="2"/>
      <c r="E148" s="310"/>
      <c r="G148" s="2"/>
      <c r="H148" s="310"/>
      <c r="I148" s="2"/>
      <c r="O148" s="2"/>
      <c r="P148" s="2"/>
    </row>
    <row r="149" spans="4:16" x14ac:dyDescent="0.25">
      <c r="D149" s="2"/>
      <c r="E149" s="310"/>
      <c r="G149" s="2"/>
      <c r="H149" s="310"/>
      <c r="I149" s="2"/>
      <c r="O149" s="2"/>
      <c r="P149" s="2"/>
    </row>
    <row r="150" spans="4:16" x14ac:dyDescent="0.25">
      <c r="D150" s="2"/>
      <c r="E150" s="310"/>
      <c r="G150" s="2"/>
      <c r="H150" s="310"/>
      <c r="I150" s="2"/>
      <c r="O150" s="2"/>
      <c r="P150" s="2"/>
    </row>
    <row r="151" spans="4:16" x14ac:dyDescent="0.25">
      <c r="D151" s="2"/>
      <c r="E151" s="310"/>
      <c r="G151" s="2"/>
      <c r="H151" s="310"/>
      <c r="I151" s="2"/>
      <c r="O151" s="2"/>
      <c r="P151" s="2"/>
    </row>
    <row r="152" spans="4:16" x14ac:dyDescent="0.25">
      <c r="D152" s="2"/>
      <c r="E152" s="310"/>
      <c r="G152" s="2"/>
      <c r="H152" s="310"/>
      <c r="I152" s="2"/>
      <c r="O152" s="2"/>
      <c r="P152" s="2"/>
    </row>
    <row r="153" spans="4:16" x14ac:dyDescent="0.25">
      <c r="D153" s="2"/>
      <c r="E153" s="310"/>
      <c r="G153" s="2"/>
      <c r="H153" s="310"/>
      <c r="I153" s="2"/>
      <c r="O153" s="2"/>
      <c r="P153" s="2"/>
    </row>
    <row r="154" spans="4:16" x14ac:dyDescent="0.25">
      <c r="D154" s="2"/>
      <c r="E154" s="310"/>
      <c r="G154" s="2"/>
      <c r="H154" s="310"/>
      <c r="I154" s="2"/>
      <c r="O154" s="2"/>
      <c r="P154" s="2"/>
    </row>
    <row r="155" spans="4:16" x14ac:dyDescent="0.25">
      <c r="D155" s="2"/>
      <c r="E155" s="310"/>
      <c r="G155" s="2"/>
      <c r="H155" s="310"/>
      <c r="I155" s="2"/>
      <c r="O155" s="2"/>
      <c r="P155" s="2"/>
    </row>
    <row r="156" spans="4:16" x14ac:dyDescent="0.25">
      <c r="D156" s="2"/>
      <c r="E156" s="310"/>
      <c r="G156" s="2"/>
      <c r="H156" s="310"/>
      <c r="I156" s="2"/>
      <c r="O156" s="2"/>
      <c r="P156" s="2"/>
    </row>
    <row r="157" spans="4:16" x14ac:dyDescent="0.25">
      <c r="D157" s="2"/>
      <c r="E157" s="310"/>
      <c r="G157" s="2"/>
      <c r="H157" s="310"/>
      <c r="I157" s="2"/>
      <c r="O157" s="2"/>
      <c r="P157" s="2"/>
    </row>
    <row r="158" spans="4:16" x14ac:dyDescent="0.25">
      <c r="D158" s="2"/>
      <c r="E158" s="310"/>
      <c r="G158" s="2"/>
      <c r="H158" s="310"/>
      <c r="I158" s="2"/>
      <c r="O158" s="2"/>
      <c r="P158" s="2"/>
    </row>
    <row r="159" spans="4:16" x14ac:dyDescent="0.25">
      <c r="D159" s="2"/>
      <c r="E159" s="310"/>
      <c r="G159" s="2"/>
      <c r="H159" s="310"/>
      <c r="I159" s="2"/>
      <c r="O159" s="2"/>
      <c r="P159" s="2"/>
    </row>
    <row r="160" spans="4:16" x14ac:dyDescent="0.25">
      <c r="D160" s="2"/>
      <c r="E160" s="310"/>
      <c r="G160" s="2"/>
      <c r="H160" s="310"/>
      <c r="I160" s="2"/>
      <c r="O160" s="2"/>
      <c r="P160" s="2"/>
    </row>
    <row r="161" spans="4:16" x14ac:dyDescent="0.25">
      <c r="D161" s="2"/>
      <c r="E161" s="310"/>
      <c r="G161" s="2"/>
      <c r="H161" s="310"/>
      <c r="I161" s="2"/>
      <c r="O161" s="2"/>
      <c r="P161" s="2"/>
    </row>
    <row r="162" spans="4:16" x14ac:dyDescent="0.25">
      <c r="D162" s="2"/>
      <c r="E162" s="310"/>
      <c r="G162" s="2"/>
      <c r="H162" s="310"/>
      <c r="I162" s="2"/>
      <c r="O162" s="2"/>
      <c r="P162" s="2"/>
    </row>
    <row r="163" spans="4:16" x14ac:dyDescent="0.25">
      <c r="D163" s="2"/>
      <c r="E163" s="310"/>
      <c r="G163" s="2"/>
      <c r="H163" s="310"/>
      <c r="I163" s="2"/>
      <c r="O163" s="2"/>
      <c r="P163" s="2"/>
    </row>
    <row r="164" spans="4:16" x14ac:dyDescent="0.25">
      <c r="D164" s="2"/>
      <c r="E164" s="310"/>
      <c r="G164" s="2"/>
      <c r="H164" s="310"/>
      <c r="I164" s="2"/>
      <c r="O164" s="2"/>
      <c r="P164" s="2"/>
    </row>
    <row r="165" spans="4:16" x14ac:dyDescent="0.25">
      <c r="D165" s="2"/>
      <c r="E165" s="310"/>
      <c r="G165" s="2"/>
      <c r="H165" s="310"/>
      <c r="I165" s="2"/>
      <c r="O165" s="2"/>
      <c r="P165" s="2"/>
    </row>
    <row r="166" spans="4:16" x14ac:dyDescent="0.25">
      <c r="D166" s="2"/>
      <c r="E166" s="310"/>
      <c r="G166" s="2"/>
      <c r="H166" s="310"/>
      <c r="I166" s="2"/>
      <c r="O166" s="2"/>
      <c r="P166" s="2"/>
    </row>
    <row r="167" spans="4:16" x14ac:dyDescent="0.25">
      <c r="D167" s="2"/>
      <c r="E167" s="310"/>
      <c r="G167" s="2"/>
      <c r="H167" s="310"/>
      <c r="I167" s="2"/>
      <c r="O167" s="2"/>
      <c r="P167" s="2"/>
    </row>
    <row r="168" spans="4:16" x14ac:dyDescent="0.25">
      <c r="D168" s="2"/>
      <c r="E168" s="310"/>
      <c r="G168" s="2"/>
      <c r="H168" s="310"/>
      <c r="I168" s="2"/>
      <c r="O168" s="2"/>
      <c r="P168" s="2"/>
    </row>
    <row r="169" spans="4:16" x14ac:dyDescent="0.25">
      <c r="D169" s="2"/>
      <c r="E169" s="310"/>
      <c r="G169" s="2"/>
      <c r="H169" s="310"/>
      <c r="I169" s="2"/>
      <c r="O169" s="2"/>
      <c r="P169" s="2"/>
    </row>
    <row r="170" spans="4:16" x14ac:dyDescent="0.25">
      <c r="D170" s="2"/>
      <c r="E170" s="310"/>
      <c r="G170" s="2"/>
      <c r="H170" s="310"/>
      <c r="I170" s="2"/>
      <c r="O170" s="2"/>
      <c r="P170" s="2"/>
    </row>
    <row r="171" spans="4:16" x14ac:dyDescent="0.25">
      <c r="D171" s="2"/>
      <c r="E171" s="310"/>
      <c r="G171" s="2"/>
      <c r="H171" s="310"/>
      <c r="I171" s="2"/>
      <c r="O171" s="2"/>
      <c r="P171" s="2"/>
    </row>
    <row r="172" spans="4:16" x14ac:dyDescent="0.25">
      <c r="D172" s="2"/>
      <c r="E172" s="310"/>
      <c r="G172" s="2"/>
      <c r="H172" s="310"/>
      <c r="I172" s="2"/>
      <c r="O172" s="2"/>
      <c r="P172" s="2"/>
    </row>
    <row r="173" spans="4:16" x14ac:dyDescent="0.25">
      <c r="D173" s="2"/>
      <c r="E173" s="310"/>
      <c r="G173" s="2"/>
      <c r="H173" s="310"/>
      <c r="I173" s="2"/>
      <c r="O173" s="2"/>
      <c r="P173" s="2"/>
    </row>
    <row r="174" spans="4:16" x14ac:dyDescent="0.25">
      <c r="D174" s="2"/>
      <c r="E174" s="310"/>
      <c r="G174" s="2"/>
      <c r="H174" s="310"/>
      <c r="I174" s="2"/>
      <c r="O174" s="2"/>
      <c r="P174" s="2"/>
    </row>
    <row r="175" spans="4:16" x14ac:dyDescent="0.25">
      <c r="D175" s="2"/>
      <c r="E175" s="310"/>
      <c r="G175" s="2"/>
      <c r="H175" s="310"/>
      <c r="I175" s="2"/>
      <c r="O175" s="2"/>
      <c r="P175" s="2"/>
    </row>
    <row r="176" spans="4:16" x14ac:dyDescent="0.25">
      <c r="D176" s="2"/>
      <c r="E176" s="310"/>
      <c r="G176" s="2"/>
      <c r="H176" s="310"/>
      <c r="I176" s="2"/>
      <c r="O176" s="2"/>
      <c r="P176" s="2"/>
    </row>
    <row r="177" spans="4:16" x14ac:dyDescent="0.25">
      <c r="D177" s="2"/>
      <c r="E177" s="310"/>
      <c r="G177" s="2"/>
      <c r="H177" s="310"/>
      <c r="I177" s="2"/>
      <c r="O177" s="2"/>
      <c r="P177" s="2"/>
    </row>
    <row r="178" spans="4:16" x14ac:dyDescent="0.25">
      <c r="D178" s="2"/>
      <c r="E178" s="310"/>
      <c r="G178" s="2"/>
      <c r="H178" s="310"/>
      <c r="I178" s="2"/>
      <c r="O178" s="2"/>
      <c r="P178" s="2"/>
    </row>
    <row r="179" spans="4:16" x14ac:dyDescent="0.25">
      <c r="D179" s="2"/>
      <c r="E179" s="310"/>
      <c r="G179" s="2"/>
      <c r="H179" s="310"/>
      <c r="I179" s="2"/>
      <c r="O179" s="2"/>
      <c r="P179" s="2"/>
    </row>
    <row r="180" spans="4:16" x14ac:dyDescent="0.25">
      <c r="D180" s="2"/>
      <c r="E180" s="310"/>
      <c r="G180" s="2"/>
      <c r="H180" s="310"/>
      <c r="I180" s="2"/>
      <c r="O180" s="2"/>
      <c r="P180" s="2"/>
    </row>
    <row r="181" spans="4:16" x14ac:dyDescent="0.25">
      <c r="D181" s="2"/>
      <c r="E181" s="310"/>
      <c r="G181" s="2"/>
      <c r="H181" s="310"/>
      <c r="I181" s="2"/>
      <c r="O181" s="2"/>
      <c r="P181" s="2"/>
    </row>
    <row r="182" spans="4:16" x14ac:dyDescent="0.25">
      <c r="D182" s="2"/>
      <c r="E182" s="310"/>
      <c r="G182" s="2"/>
      <c r="H182" s="310"/>
      <c r="I182" s="2"/>
      <c r="O182" s="2"/>
      <c r="P182" s="2"/>
    </row>
    <row r="183" spans="4:16" x14ac:dyDescent="0.25">
      <c r="D183" s="2"/>
      <c r="E183" s="310"/>
      <c r="G183" s="2"/>
      <c r="H183" s="310"/>
      <c r="I183" s="2"/>
      <c r="O183" s="2"/>
      <c r="P183" s="2"/>
    </row>
    <row r="184" spans="4:16" x14ac:dyDescent="0.25">
      <c r="D184" s="2"/>
      <c r="E184" s="310"/>
      <c r="G184" s="2"/>
      <c r="H184" s="310"/>
      <c r="I184" s="2"/>
      <c r="O184" s="2"/>
      <c r="P184" s="2"/>
    </row>
    <row r="185" spans="4:16" x14ac:dyDescent="0.25">
      <c r="D185" s="2"/>
      <c r="E185" s="310"/>
      <c r="G185" s="2"/>
      <c r="H185" s="310"/>
      <c r="I185" s="2"/>
      <c r="O185" s="2"/>
      <c r="P185" s="2"/>
    </row>
    <row r="186" spans="4:16" x14ac:dyDescent="0.25">
      <c r="D186" s="2"/>
      <c r="E186" s="310"/>
      <c r="G186" s="2"/>
      <c r="H186" s="310"/>
      <c r="I186" s="2"/>
      <c r="O186" s="2"/>
      <c r="P186" s="2"/>
    </row>
    <row r="187" spans="4:16" x14ac:dyDescent="0.25">
      <c r="D187" s="2"/>
      <c r="E187" s="310"/>
      <c r="G187" s="2"/>
      <c r="H187" s="310"/>
      <c r="I187" s="2"/>
      <c r="O187" s="2"/>
      <c r="P187" s="2"/>
    </row>
    <row r="188" spans="4:16" x14ac:dyDescent="0.25">
      <c r="D188" s="2"/>
      <c r="E188" s="310"/>
      <c r="G188" s="2"/>
      <c r="H188" s="310"/>
      <c r="I188" s="2"/>
      <c r="O188" s="2"/>
      <c r="P188" s="2"/>
    </row>
    <row r="189" spans="4:16" x14ac:dyDescent="0.25">
      <c r="D189" s="2"/>
      <c r="E189" s="310"/>
      <c r="G189" s="2"/>
      <c r="H189" s="310"/>
      <c r="I189" s="2"/>
      <c r="O189" s="2"/>
      <c r="P189" s="2"/>
    </row>
    <row r="190" spans="4:16" x14ac:dyDescent="0.25">
      <c r="D190" s="2"/>
      <c r="E190" s="310"/>
      <c r="G190" s="2"/>
      <c r="H190" s="310"/>
      <c r="I190" s="2"/>
      <c r="O190" s="2"/>
      <c r="P190" s="2"/>
    </row>
    <row r="191" spans="4:16" x14ac:dyDescent="0.25">
      <c r="D191" s="2"/>
      <c r="E191" s="310"/>
      <c r="G191" s="2"/>
      <c r="H191" s="310"/>
      <c r="I191" s="2"/>
      <c r="O191" s="2"/>
      <c r="P191" s="2"/>
    </row>
    <row r="192" spans="4:16" x14ac:dyDescent="0.25">
      <c r="D192" s="2"/>
      <c r="E192" s="310"/>
      <c r="G192" s="2"/>
      <c r="H192" s="310"/>
      <c r="I192" s="2"/>
      <c r="O192" s="2"/>
      <c r="P192" s="2"/>
    </row>
    <row r="193" spans="4:16" x14ac:dyDescent="0.25">
      <c r="D193" s="2"/>
      <c r="E193" s="310"/>
      <c r="G193" s="2"/>
      <c r="H193" s="310"/>
      <c r="I193" s="2"/>
      <c r="O193" s="2"/>
      <c r="P193" s="2"/>
    </row>
    <row r="194" spans="4:16" x14ac:dyDescent="0.25">
      <c r="D194" s="2"/>
      <c r="E194" s="310"/>
      <c r="G194" s="2"/>
      <c r="H194" s="310"/>
      <c r="I194" s="2"/>
      <c r="O194" s="2"/>
      <c r="P194" s="2"/>
    </row>
    <row r="195" spans="4:16" x14ac:dyDescent="0.25">
      <c r="D195" s="2"/>
      <c r="E195" s="310"/>
      <c r="G195" s="2"/>
      <c r="H195" s="310"/>
      <c r="I195" s="2"/>
      <c r="O195" s="2"/>
      <c r="P195" s="2"/>
    </row>
    <row r="196" spans="4:16" x14ac:dyDescent="0.25">
      <c r="D196" s="2"/>
      <c r="E196" s="310"/>
      <c r="G196" s="2"/>
      <c r="H196" s="310"/>
      <c r="I196" s="2"/>
      <c r="O196" s="2"/>
      <c r="P196" s="2"/>
    </row>
    <row r="197" spans="4:16" x14ac:dyDescent="0.25">
      <c r="D197" s="2"/>
      <c r="E197" s="310"/>
      <c r="G197" s="2"/>
      <c r="H197" s="310"/>
      <c r="I197" s="2"/>
      <c r="O197" s="2"/>
      <c r="P197" s="2"/>
    </row>
    <row r="198" spans="4:16" x14ac:dyDescent="0.25">
      <c r="D198" s="2"/>
      <c r="E198" s="310"/>
      <c r="G198" s="2"/>
      <c r="H198" s="310"/>
      <c r="I198" s="2"/>
      <c r="O198" s="2"/>
      <c r="P198" s="2"/>
    </row>
    <row r="199" spans="4:16" x14ac:dyDescent="0.25">
      <c r="D199" s="2"/>
      <c r="E199" s="310"/>
      <c r="G199" s="2"/>
      <c r="H199" s="310"/>
      <c r="I199" s="2"/>
      <c r="O199" s="2"/>
      <c r="P199" s="2"/>
    </row>
    <row r="200" spans="4:16" x14ac:dyDescent="0.25">
      <c r="D200" s="2"/>
      <c r="E200" s="310"/>
      <c r="G200" s="2"/>
      <c r="H200" s="310"/>
      <c r="I200" s="2"/>
      <c r="O200" s="2"/>
      <c r="P200" s="2"/>
    </row>
    <row r="201" spans="4:16" x14ac:dyDescent="0.25">
      <c r="D201" s="2"/>
      <c r="E201" s="310"/>
      <c r="G201" s="2"/>
      <c r="H201" s="310"/>
      <c r="I201" s="2"/>
      <c r="O201" s="2"/>
      <c r="P201" s="2"/>
    </row>
    <row r="202" spans="4:16" x14ac:dyDescent="0.25">
      <c r="D202" s="2"/>
      <c r="E202" s="310"/>
      <c r="G202" s="2"/>
      <c r="H202" s="310"/>
      <c r="I202" s="2"/>
      <c r="O202" s="2"/>
      <c r="P202" s="2"/>
    </row>
    <row r="203" spans="4:16" x14ac:dyDescent="0.25">
      <c r="D203" s="2"/>
      <c r="E203" s="310"/>
      <c r="G203" s="2"/>
      <c r="H203" s="310"/>
      <c r="I203" s="2"/>
      <c r="O203" s="2"/>
      <c r="P203" s="2"/>
    </row>
    <row r="204" spans="4:16" x14ac:dyDescent="0.25">
      <c r="D204" s="2"/>
      <c r="E204" s="310"/>
      <c r="G204" s="2"/>
      <c r="H204" s="310"/>
      <c r="I204" s="2"/>
      <c r="O204" s="2"/>
      <c r="P204" s="2"/>
    </row>
    <row r="205" spans="4:16" x14ac:dyDescent="0.25">
      <c r="D205" s="2"/>
      <c r="E205" s="310"/>
      <c r="G205" s="2"/>
      <c r="H205" s="310"/>
      <c r="I205" s="2"/>
      <c r="O205" s="2"/>
      <c r="P205" s="2"/>
    </row>
    <row r="206" spans="4:16" x14ac:dyDescent="0.25">
      <c r="D206" s="2"/>
      <c r="E206" s="310"/>
      <c r="G206" s="2"/>
      <c r="H206" s="310"/>
      <c r="I206" s="2"/>
      <c r="O206" s="2"/>
      <c r="P206" s="2"/>
    </row>
    <row r="207" spans="4:16" x14ac:dyDescent="0.25">
      <c r="D207" s="2"/>
      <c r="E207" s="310"/>
      <c r="G207" s="2"/>
      <c r="H207" s="310"/>
      <c r="I207" s="2"/>
      <c r="O207" s="2"/>
      <c r="P207" s="2"/>
    </row>
    <row r="208" spans="4:16" x14ac:dyDescent="0.25">
      <c r="D208" s="2"/>
      <c r="E208" s="310"/>
      <c r="G208" s="2"/>
      <c r="H208" s="310"/>
      <c r="I208" s="2"/>
      <c r="O208" s="2"/>
      <c r="P208" s="2"/>
    </row>
    <row r="209" spans="4:16" x14ac:dyDescent="0.25">
      <c r="D209" s="2"/>
      <c r="E209" s="310"/>
      <c r="G209" s="2"/>
      <c r="H209" s="310"/>
      <c r="I209" s="2"/>
      <c r="O209" s="2"/>
      <c r="P209" s="2"/>
    </row>
    <row r="210" spans="4:16" x14ac:dyDescent="0.25">
      <c r="D210" s="2"/>
      <c r="E210" s="310"/>
      <c r="G210" s="2"/>
      <c r="H210" s="310"/>
      <c r="I210" s="2"/>
      <c r="O210" s="2"/>
      <c r="P210" s="2"/>
    </row>
    <row r="211" spans="4:16" x14ac:dyDescent="0.25">
      <c r="D211" s="2"/>
      <c r="E211" s="310"/>
      <c r="G211" s="2"/>
      <c r="H211" s="310"/>
      <c r="I211" s="2"/>
      <c r="O211" s="2"/>
      <c r="P211" s="2"/>
    </row>
    <row r="212" spans="4:16" x14ac:dyDescent="0.25">
      <c r="D212" s="2"/>
      <c r="E212" s="310"/>
      <c r="G212" s="2"/>
      <c r="H212" s="310"/>
      <c r="I212" s="2"/>
      <c r="O212" s="2"/>
      <c r="P212" s="2"/>
    </row>
    <row r="213" spans="4:16" x14ac:dyDescent="0.25">
      <c r="D213" s="2"/>
      <c r="E213" s="310"/>
      <c r="G213" s="2"/>
      <c r="H213" s="310"/>
      <c r="I213" s="2"/>
      <c r="O213" s="2"/>
      <c r="P213" s="2"/>
    </row>
    <row r="214" spans="4:16" x14ac:dyDescent="0.25">
      <c r="D214" s="2"/>
      <c r="E214" s="310"/>
      <c r="G214" s="2"/>
      <c r="H214" s="310"/>
      <c r="I214" s="2"/>
      <c r="O214" s="2"/>
      <c r="P214" s="2"/>
    </row>
    <row r="215" spans="4:16" x14ac:dyDescent="0.25">
      <c r="D215" s="2"/>
      <c r="E215" s="310"/>
      <c r="G215" s="2"/>
      <c r="H215" s="310"/>
      <c r="I215" s="2"/>
      <c r="O215" s="2"/>
      <c r="P215" s="2"/>
    </row>
    <row r="216" spans="4:16" x14ac:dyDescent="0.25">
      <c r="D216" s="2"/>
      <c r="E216" s="310"/>
      <c r="G216" s="2"/>
      <c r="H216" s="310"/>
      <c r="I216" s="2"/>
      <c r="O216" s="2"/>
      <c r="P216" s="2"/>
    </row>
    <row r="217" spans="4:16" x14ac:dyDescent="0.25">
      <c r="D217" s="2"/>
      <c r="E217" s="310"/>
      <c r="G217" s="2"/>
      <c r="H217" s="310"/>
      <c r="I217" s="2"/>
      <c r="O217" s="2"/>
      <c r="P217" s="2"/>
    </row>
    <row r="218" spans="4:16" x14ac:dyDescent="0.25">
      <c r="D218" s="2"/>
      <c r="E218" s="310"/>
      <c r="G218" s="2"/>
      <c r="H218" s="310"/>
      <c r="I218" s="2"/>
      <c r="O218" s="2"/>
      <c r="P218" s="2"/>
    </row>
    <row r="219" spans="4:16" x14ac:dyDescent="0.25">
      <c r="D219" s="2"/>
      <c r="E219" s="310"/>
      <c r="G219" s="2"/>
      <c r="H219" s="310"/>
      <c r="I219" s="2"/>
      <c r="O219" s="2"/>
      <c r="P219" s="2"/>
    </row>
    <row r="220" spans="4:16" x14ac:dyDescent="0.25">
      <c r="D220" s="2"/>
      <c r="E220" s="310"/>
      <c r="G220" s="2"/>
      <c r="H220" s="310"/>
      <c r="I220" s="2"/>
      <c r="O220" s="2"/>
      <c r="P220" s="2"/>
    </row>
    <row r="221" spans="4:16" x14ac:dyDescent="0.25">
      <c r="D221" s="2"/>
      <c r="E221" s="310"/>
      <c r="G221" s="2"/>
      <c r="H221" s="310"/>
      <c r="I221" s="2"/>
      <c r="O221" s="2"/>
      <c r="P221" s="2"/>
    </row>
    <row r="222" spans="4:16" x14ac:dyDescent="0.25">
      <c r="D222" s="2"/>
      <c r="E222" s="310"/>
      <c r="G222" s="2"/>
      <c r="H222" s="310"/>
      <c r="I222" s="2"/>
      <c r="O222" s="2"/>
      <c r="P222" s="2"/>
    </row>
    <row r="223" spans="4:16" x14ac:dyDescent="0.25">
      <c r="D223" s="2"/>
      <c r="E223" s="310"/>
      <c r="G223" s="2"/>
      <c r="H223" s="310"/>
      <c r="I223" s="2"/>
      <c r="O223" s="2"/>
      <c r="P223" s="2"/>
    </row>
    <row r="224" spans="4:16" x14ac:dyDescent="0.25">
      <c r="D224" s="2"/>
      <c r="E224" s="310"/>
      <c r="G224" s="2"/>
      <c r="H224" s="310"/>
      <c r="I224" s="2"/>
      <c r="O224" s="2"/>
      <c r="P224" s="2"/>
    </row>
    <row r="225" spans="4:16" x14ac:dyDescent="0.25">
      <c r="D225" s="2"/>
      <c r="E225" s="310"/>
      <c r="G225" s="2"/>
      <c r="H225" s="310"/>
      <c r="I225" s="2"/>
      <c r="O225" s="2"/>
      <c r="P225" s="2"/>
    </row>
    <row r="226" spans="4:16" x14ac:dyDescent="0.25">
      <c r="D226" s="2"/>
      <c r="E226" s="310"/>
      <c r="G226" s="2"/>
      <c r="H226" s="310"/>
      <c r="I226" s="2"/>
      <c r="O226" s="2"/>
      <c r="P226" s="2"/>
    </row>
    <row r="227" spans="4:16" x14ac:dyDescent="0.25">
      <c r="D227" s="2"/>
      <c r="E227" s="310"/>
      <c r="G227" s="2"/>
      <c r="H227" s="310"/>
      <c r="I227" s="2"/>
      <c r="O227" s="2"/>
      <c r="P227" s="2"/>
    </row>
    <row r="228" spans="4:16" x14ac:dyDescent="0.25">
      <c r="D228" s="2"/>
      <c r="E228" s="310"/>
      <c r="G228" s="2"/>
      <c r="H228" s="310"/>
      <c r="I228" s="2"/>
      <c r="O228" s="2"/>
      <c r="P228" s="2"/>
    </row>
    <row r="229" spans="4:16" x14ac:dyDescent="0.25">
      <c r="D229" s="2"/>
      <c r="E229" s="310"/>
      <c r="G229" s="2"/>
      <c r="H229" s="310"/>
      <c r="I229" s="2"/>
      <c r="O229" s="2"/>
      <c r="P229" s="2"/>
    </row>
    <row r="230" spans="4:16" x14ac:dyDescent="0.25">
      <c r="D230" s="2"/>
      <c r="E230" s="310"/>
      <c r="G230" s="2"/>
      <c r="H230" s="310"/>
      <c r="I230" s="2"/>
      <c r="O230" s="2"/>
      <c r="P230" s="2"/>
    </row>
    <row r="231" spans="4:16" x14ac:dyDescent="0.25">
      <c r="D231" s="2"/>
      <c r="E231" s="310"/>
      <c r="G231" s="2"/>
      <c r="H231" s="310"/>
      <c r="I231" s="2"/>
      <c r="O231" s="2"/>
      <c r="P231" s="2"/>
    </row>
    <row r="232" spans="4:16" x14ac:dyDescent="0.25">
      <c r="D232" s="2"/>
      <c r="E232" s="310"/>
      <c r="G232" s="2"/>
      <c r="H232" s="310"/>
      <c r="I232" s="2"/>
      <c r="O232" s="2"/>
      <c r="P232" s="2"/>
    </row>
    <row r="233" spans="4:16" x14ac:dyDescent="0.25">
      <c r="D233" s="2"/>
      <c r="E233" s="310"/>
      <c r="G233" s="2"/>
      <c r="H233" s="310"/>
      <c r="I233" s="2"/>
      <c r="O233" s="2"/>
      <c r="P233" s="2"/>
    </row>
    <row r="234" spans="4:16" x14ac:dyDescent="0.25">
      <c r="D234" s="2"/>
      <c r="E234" s="310"/>
      <c r="G234" s="2"/>
      <c r="H234" s="310"/>
      <c r="I234" s="2"/>
      <c r="O234" s="2"/>
      <c r="P234" s="2"/>
    </row>
    <row r="235" spans="4:16" x14ac:dyDescent="0.25">
      <c r="D235" s="2"/>
      <c r="E235" s="310"/>
      <c r="G235" s="2"/>
      <c r="H235" s="310"/>
      <c r="I235" s="2"/>
      <c r="O235" s="2"/>
      <c r="P235" s="2"/>
    </row>
    <row r="236" spans="4:16" x14ac:dyDescent="0.25">
      <c r="D236" s="2"/>
      <c r="E236" s="310"/>
      <c r="G236" s="2"/>
      <c r="H236" s="310"/>
      <c r="I236" s="2"/>
      <c r="O236" s="2"/>
      <c r="P236" s="2"/>
    </row>
    <row r="237" spans="4:16" x14ac:dyDescent="0.25">
      <c r="D237" s="2"/>
      <c r="E237" s="310"/>
      <c r="G237" s="2"/>
      <c r="H237" s="310"/>
      <c r="I237" s="2"/>
      <c r="O237" s="2"/>
      <c r="P237" s="2"/>
    </row>
    <row r="238" spans="4:16" x14ac:dyDescent="0.25">
      <c r="D238" s="2"/>
      <c r="E238" s="310"/>
      <c r="G238" s="2"/>
      <c r="H238" s="310"/>
      <c r="I238" s="2"/>
      <c r="O238" s="2"/>
      <c r="P238" s="2"/>
    </row>
    <row r="239" spans="4:16" x14ac:dyDescent="0.25">
      <c r="D239" s="2"/>
      <c r="E239" s="310"/>
      <c r="G239" s="2"/>
      <c r="H239" s="310"/>
      <c r="I239" s="2"/>
      <c r="O239" s="2"/>
      <c r="P239" s="2"/>
    </row>
    <row r="240" spans="4:16" x14ac:dyDescent="0.25">
      <c r="D240" s="2"/>
      <c r="E240" s="310"/>
      <c r="G240" s="2"/>
      <c r="H240" s="310"/>
      <c r="I240" s="2"/>
      <c r="O240" s="2"/>
      <c r="P240" s="2"/>
    </row>
    <row r="241" spans="4:16" x14ac:dyDescent="0.25">
      <c r="D241" s="2"/>
      <c r="E241" s="310"/>
      <c r="G241" s="2"/>
      <c r="H241" s="310"/>
      <c r="I241" s="2"/>
      <c r="O241" s="2"/>
      <c r="P241" s="2"/>
    </row>
    <row r="242" spans="4:16" x14ac:dyDescent="0.25">
      <c r="D242" s="2"/>
      <c r="E242" s="310"/>
      <c r="G242" s="2"/>
      <c r="H242" s="310"/>
      <c r="I242" s="2"/>
      <c r="O242" s="2"/>
      <c r="P242" s="2"/>
    </row>
    <row r="243" spans="4:16" x14ac:dyDescent="0.25">
      <c r="D243" s="2"/>
      <c r="E243" s="310"/>
      <c r="G243" s="2"/>
      <c r="H243" s="310"/>
      <c r="I243" s="2"/>
      <c r="O243" s="2"/>
      <c r="P243" s="2"/>
    </row>
    <row r="244" spans="4:16" x14ac:dyDescent="0.25">
      <c r="D244" s="2"/>
      <c r="E244" s="310"/>
      <c r="G244" s="2"/>
      <c r="H244" s="310"/>
      <c r="I244" s="2"/>
      <c r="O244" s="2"/>
      <c r="P244" s="2"/>
    </row>
    <row r="245" spans="4:16" x14ac:dyDescent="0.25">
      <c r="D245" s="2"/>
      <c r="E245" s="310"/>
      <c r="G245" s="2"/>
      <c r="H245" s="310"/>
      <c r="I245" s="2"/>
      <c r="O245" s="2"/>
      <c r="P245" s="2"/>
    </row>
    <row r="246" spans="4:16" x14ac:dyDescent="0.25">
      <c r="D246" s="2"/>
      <c r="E246" s="310"/>
      <c r="G246" s="2"/>
      <c r="H246" s="310"/>
      <c r="I246" s="2"/>
      <c r="O246" s="2"/>
      <c r="P246" s="2"/>
    </row>
    <row r="247" spans="4:16" x14ac:dyDescent="0.25">
      <c r="D247" s="2"/>
      <c r="E247" s="310"/>
      <c r="G247" s="2"/>
      <c r="H247" s="310"/>
      <c r="I247" s="2"/>
      <c r="O247" s="2"/>
      <c r="P247" s="2"/>
    </row>
    <row r="248" spans="4:16" x14ac:dyDescent="0.25">
      <c r="D248" s="2"/>
      <c r="E248" s="310"/>
      <c r="G248" s="2"/>
      <c r="H248" s="310"/>
      <c r="I248" s="2"/>
      <c r="O248" s="2"/>
      <c r="P248" s="2"/>
    </row>
    <row r="249" spans="4:16" x14ac:dyDescent="0.25">
      <c r="D249" s="2"/>
      <c r="E249" s="310"/>
      <c r="G249" s="2"/>
      <c r="H249" s="310"/>
      <c r="I249" s="2"/>
      <c r="O249" s="2"/>
      <c r="P249" s="2"/>
    </row>
    <row r="250" spans="4:16" x14ac:dyDescent="0.25">
      <c r="D250" s="2"/>
      <c r="E250" s="310"/>
      <c r="G250" s="2"/>
      <c r="H250" s="310"/>
      <c r="I250" s="2"/>
      <c r="O250" s="2"/>
      <c r="P250" s="2"/>
    </row>
    <row r="251" spans="4:16" x14ac:dyDescent="0.25">
      <c r="D251" s="2"/>
      <c r="E251" s="310"/>
      <c r="G251" s="2"/>
      <c r="H251" s="310"/>
      <c r="I251" s="2"/>
      <c r="O251" s="2"/>
      <c r="P251" s="2"/>
    </row>
    <row r="252" spans="4:16" x14ac:dyDescent="0.25">
      <c r="D252" s="2"/>
      <c r="E252" s="310"/>
      <c r="G252" s="2"/>
      <c r="H252" s="310"/>
      <c r="I252" s="2"/>
      <c r="O252" s="2"/>
      <c r="P252" s="2"/>
    </row>
    <row r="253" spans="4:16" x14ac:dyDescent="0.25">
      <c r="D253" s="2"/>
      <c r="E253" s="310"/>
      <c r="G253" s="2"/>
      <c r="H253" s="310"/>
      <c r="I253" s="2"/>
      <c r="O253" s="2"/>
      <c r="P253" s="2"/>
    </row>
    <row r="254" spans="4:16" x14ac:dyDescent="0.25">
      <c r="D254" s="2"/>
      <c r="E254" s="310"/>
      <c r="G254" s="2"/>
      <c r="H254" s="310"/>
      <c r="I254" s="2"/>
      <c r="O254" s="2"/>
      <c r="P254" s="2"/>
    </row>
    <row r="255" spans="4:16" x14ac:dyDescent="0.25">
      <c r="D255" s="2"/>
      <c r="E255" s="310"/>
      <c r="G255" s="2"/>
      <c r="H255" s="310"/>
      <c r="I255" s="2"/>
      <c r="O255" s="2"/>
      <c r="P255" s="2"/>
    </row>
    <row r="256" spans="4:16" x14ac:dyDescent="0.25">
      <c r="D256" s="2"/>
      <c r="E256" s="310"/>
      <c r="G256" s="2"/>
      <c r="H256" s="310"/>
      <c r="I256" s="2"/>
      <c r="O256" s="2"/>
      <c r="P256" s="2"/>
    </row>
    <row r="257" spans="4:16" x14ac:dyDescent="0.25">
      <c r="D257" s="2"/>
      <c r="E257" s="310"/>
      <c r="G257" s="2"/>
      <c r="H257" s="310"/>
      <c r="I257" s="2"/>
      <c r="O257" s="2"/>
      <c r="P257" s="2"/>
    </row>
    <row r="258" spans="4:16" x14ac:dyDescent="0.25">
      <c r="D258" s="2"/>
      <c r="E258" s="310"/>
      <c r="G258" s="2"/>
      <c r="H258" s="310"/>
      <c r="I258" s="2"/>
      <c r="O258" s="2"/>
      <c r="P258" s="2"/>
    </row>
    <row r="259" spans="4:16" x14ac:dyDescent="0.25">
      <c r="D259" s="2"/>
      <c r="E259" s="310"/>
      <c r="G259" s="2"/>
      <c r="H259" s="310"/>
      <c r="I259" s="2"/>
      <c r="O259" s="2"/>
      <c r="P259" s="2"/>
    </row>
    <row r="260" spans="4:16" x14ac:dyDescent="0.25">
      <c r="D260" s="2"/>
      <c r="E260" s="310"/>
      <c r="G260" s="2"/>
      <c r="H260" s="310"/>
      <c r="I260" s="2"/>
      <c r="O260" s="2"/>
      <c r="P260" s="2"/>
    </row>
    <row r="261" spans="4:16" x14ac:dyDescent="0.25">
      <c r="D261" s="2"/>
      <c r="E261" s="310"/>
      <c r="G261" s="2"/>
      <c r="H261" s="310"/>
      <c r="I261" s="2"/>
      <c r="O261" s="2"/>
      <c r="P261" s="2"/>
    </row>
    <row r="262" spans="4:16" x14ac:dyDescent="0.25">
      <c r="D262" s="2"/>
      <c r="E262" s="310"/>
      <c r="G262" s="2"/>
      <c r="H262" s="310"/>
      <c r="I262" s="2"/>
      <c r="O262" s="2"/>
      <c r="P262" s="2"/>
    </row>
    <row r="263" spans="4:16" x14ac:dyDescent="0.25">
      <c r="D263" s="2"/>
      <c r="E263" s="310"/>
      <c r="G263" s="2"/>
      <c r="H263" s="310"/>
      <c r="I263" s="2"/>
      <c r="O263" s="2"/>
      <c r="P263" s="2"/>
    </row>
    <row r="264" spans="4:16" x14ac:dyDescent="0.25">
      <c r="D264" s="2"/>
      <c r="E264" s="310"/>
      <c r="G264" s="2"/>
      <c r="H264" s="310"/>
      <c r="I264" s="2"/>
      <c r="O264" s="2"/>
      <c r="P264" s="2"/>
    </row>
    <row r="265" spans="4:16" x14ac:dyDescent="0.25">
      <c r="D265" s="2"/>
      <c r="E265" s="310"/>
      <c r="G265" s="2"/>
      <c r="H265" s="310"/>
      <c r="I265" s="2"/>
      <c r="O265" s="2"/>
      <c r="P265" s="2"/>
    </row>
    <row r="266" spans="4:16" x14ac:dyDescent="0.25">
      <c r="D266" s="2"/>
      <c r="E266" s="310"/>
      <c r="G266" s="2"/>
      <c r="H266" s="310"/>
      <c r="I266" s="2"/>
      <c r="O266" s="2"/>
      <c r="P266" s="2"/>
    </row>
    <row r="267" spans="4:16" x14ac:dyDescent="0.25">
      <c r="D267" s="2"/>
      <c r="E267" s="310"/>
      <c r="G267" s="2"/>
      <c r="H267" s="310"/>
      <c r="I267" s="2"/>
      <c r="O267" s="2"/>
      <c r="P267" s="2"/>
    </row>
    <row r="268" spans="4:16" x14ac:dyDescent="0.25">
      <c r="D268" s="2"/>
      <c r="E268" s="310"/>
      <c r="G268" s="2"/>
      <c r="H268" s="310"/>
      <c r="I268" s="2"/>
      <c r="O268" s="2"/>
      <c r="P268" s="2"/>
    </row>
    <row r="269" spans="4:16" x14ac:dyDescent="0.25">
      <c r="D269" s="2"/>
      <c r="E269" s="310"/>
      <c r="G269" s="2"/>
      <c r="H269" s="310"/>
      <c r="I269" s="2"/>
      <c r="O269" s="2"/>
      <c r="P269" s="2"/>
    </row>
    <row r="270" spans="4:16" x14ac:dyDescent="0.25">
      <c r="D270" s="2"/>
      <c r="E270" s="310"/>
      <c r="G270" s="2"/>
      <c r="H270" s="310"/>
      <c r="I270" s="2"/>
      <c r="O270" s="2"/>
      <c r="P270" s="2"/>
    </row>
    <row r="271" spans="4:16" x14ac:dyDescent="0.25">
      <c r="D271" s="2"/>
      <c r="E271" s="310"/>
      <c r="G271" s="2"/>
      <c r="H271" s="310"/>
      <c r="I271" s="2"/>
      <c r="O271" s="2"/>
      <c r="P271" s="2"/>
    </row>
    <row r="272" spans="4:16" x14ac:dyDescent="0.25">
      <c r="D272" s="2"/>
      <c r="E272" s="310"/>
      <c r="G272" s="2"/>
      <c r="H272" s="310"/>
      <c r="I272" s="2"/>
      <c r="O272" s="2"/>
      <c r="P272" s="2"/>
    </row>
    <row r="273" spans="4:16" x14ac:dyDescent="0.25">
      <c r="D273" s="2"/>
      <c r="E273" s="310"/>
      <c r="G273" s="2"/>
      <c r="H273" s="310"/>
      <c r="I273" s="2"/>
      <c r="O273" s="2"/>
      <c r="P273" s="2"/>
    </row>
    <row r="274" spans="4:16" x14ac:dyDescent="0.25">
      <c r="D274" s="2"/>
      <c r="E274" s="310"/>
      <c r="G274" s="2"/>
      <c r="H274" s="310"/>
      <c r="I274" s="2"/>
      <c r="O274" s="2"/>
      <c r="P274" s="2"/>
    </row>
    <row r="275" spans="4:16" x14ac:dyDescent="0.25">
      <c r="D275" s="2"/>
      <c r="E275" s="310"/>
      <c r="G275" s="2"/>
      <c r="H275" s="310"/>
      <c r="I275" s="2"/>
      <c r="O275" s="2"/>
      <c r="P275" s="2"/>
    </row>
    <row r="276" spans="4:16" x14ac:dyDescent="0.25">
      <c r="D276" s="2"/>
      <c r="E276" s="310"/>
      <c r="G276" s="2"/>
      <c r="H276" s="310"/>
      <c r="I276" s="2"/>
      <c r="O276" s="2"/>
      <c r="P276" s="2"/>
    </row>
    <row r="277" spans="4:16" x14ac:dyDescent="0.25">
      <c r="D277" s="2"/>
      <c r="E277" s="310"/>
      <c r="G277" s="2"/>
      <c r="H277" s="310"/>
      <c r="I277" s="2"/>
      <c r="O277" s="2"/>
      <c r="P277" s="2"/>
    </row>
    <row r="278" spans="4:16" x14ac:dyDescent="0.25">
      <c r="D278" s="2"/>
      <c r="E278" s="310"/>
      <c r="G278" s="2"/>
      <c r="H278" s="310"/>
      <c r="I278" s="2"/>
      <c r="O278" s="2"/>
      <c r="P278" s="2"/>
    </row>
    <row r="279" spans="4:16" x14ac:dyDescent="0.25">
      <c r="D279" s="2"/>
      <c r="E279" s="310"/>
      <c r="G279" s="2"/>
      <c r="H279" s="310"/>
      <c r="I279" s="2"/>
      <c r="O279" s="2"/>
      <c r="P279" s="2"/>
    </row>
    <row r="280" spans="4:16" x14ac:dyDescent="0.25">
      <c r="D280" s="2"/>
      <c r="E280" s="310"/>
      <c r="G280" s="2"/>
      <c r="H280" s="310"/>
      <c r="I280" s="2"/>
      <c r="O280" s="2"/>
      <c r="P280" s="2"/>
    </row>
    <row r="281" spans="4:16" x14ac:dyDescent="0.25">
      <c r="D281" s="2"/>
      <c r="E281" s="310"/>
      <c r="G281" s="2"/>
      <c r="H281" s="310"/>
      <c r="I281" s="2"/>
      <c r="O281" s="2"/>
      <c r="P281" s="2"/>
    </row>
    <row r="282" spans="4:16" x14ac:dyDescent="0.25">
      <c r="D282" s="2"/>
      <c r="E282" s="310"/>
      <c r="G282" s="2"/>
      <c r="H282" s="310"/>
      <c r="I282" s="2"/>
      <c r="O282" s="2"/>
      <c r="P282" s="2"/>
    </row>
    <row r="283" spans="4:16" x14ac:dyDescent="0.25">
      <c r="D283" s="2"/>
      <c r="E283" s="310"/>
      <c r="G283" s="2"/>
      <c r="H283" s="310"/>
      <c r="I283" s="2"/>
      <c r="O283" s="2"/>
      <c r="P283" s="2"/>
    </row>
    <row r="284" spans="4:16" x14ac:dyDescent="0.25">
      <c r="D284" s="2"/>
      <c r="E284" s="310"/>
      <c r="G284" s="2"/>
      <c r="H284" s="310"/>
      <c r="I284" s="2"/>
      <c r="O284" s="2"/>
      <c r="P284" s="2"/>
    </row>
    <row r="285" spans="4:16" x14ac:dyDescent="0.25">
      <c r="D285" s="2"/>
      <c r="E285" s="310"/>
      <c r="G285" s="2"/>
      <c r="H285" s="310"/>
      <c r="I285" s="2"/>
      <c r="O285" s="2"/>
      <c r="P285" s="2"/>
    </row>
    <row r="286" spans="4:16" x14ac:dyDescent="0.25">
      <c r="D286" s="2"/>
      <c r="E286" s="310"/>
      <c r="G286" s="2"/>
      <c r="H286" s="310"/>
      <c r="I286" s="2"/>
      <c r="O286" s="2"/>
      <c r="P286" s="2"/>
    </row>
    <row r="287" spans="4:16" x14ac:dyDescent="0.25">
      <c r="D287" s="2"/>
      <c r="E287" s="310"/>
      <c r="G287" s="2"/>
      <c r="H287" s="310"/>
      <c r="I287" s="2"/>
      <c r="O287" s="2"/>
      <c r="P287" s="2"/>
    </row>
    <row r="288" spans="4:16" x14ac:dyDescent="0.25">
      <c r="D288" s="2"/>
      <c r="E288" s="310"/>
      <c r="G288" s="2"/>
      <c r="H288" s="310"/>
      <c r="I288" s="2"/>
      <c r="O288" s="2"/>
      <c r="P288" s="2"/>
    </row>
    <row r="289" spans="4:16" x14ac:dyDescent="0.25">
      <c r="D289" s="2"/>
      <c r="E289" s="310"/>
      <c r="G289" s="2"/>
      <c r="H289" s="310"/>
      <c r="I289" s="2"/>
      <c r="O289" s="2"/>
      <c r="P289" s="2"/>
    </row>
    <row r="290" spans="4:16" x14ac:dyDescent="0.25">
      <c r="D290" s="2"/>
      <c r="E290" s="310"/>
      <c r="G290" s="2"/>
      <c r="H290" s="310"/>
      <c r="I290" s="2"/>
      <c r="O290" s="2"/>
      <c r="P290" s="2"/>
    </row>
    <row r="291" spans="4:16" x14ac:dyDescent="0.25">
      <c r="D291" s="2"/>
      <c r="E291" s="310"/>
      <c r="G291" s="2"/>
      <c r="H291" s="310"/>
      <c r="I291" s="2"/>
      <c r="O291" s="2"/>
      <c r="P291" s="2"/>
    </row>
    <row r="292" spans="4:16" x14ac:dyDescent="0.25">
      <c r="D292" s="2"/>
      <c r="E292" s="310"/>
      <c r="G292" s="2"/>
      <c r="H292" s="310"/>
      <c r="I292" s="2"/>
      <c r="O292" s="2"/>
      <c r="P292" s="2"/>
    </row>
    <row r="293" spans="4:16" x14ac:dyDescent="0.25">
      <c r="D293" s="2"/>
      <c r="E293" s="310"/>
      <c r="G293" s="2"/>
      <c r="H293" s="310"/>
      <c r="I293" s="2"/>
      <c r="O293" s="2"/>
      <c r="P293" s="2"/>
    </row>
    <row r="294" spans="4:16" x14ac:dyDescent="0.25">
      <c r="D294" s="2"/>
      <c r="E294" s="310"/>
      <c r="G294" s="2"/>
      <c r="H294" s="310"/>
      <c r="I294" s="2"/>
      <c r="O294" s="2"/>
      <c r="P294" s="2"/>
    </row>
    <row r="295" spans="4:16" x14ac:dyDescent="0.25">
      <c r="D295" s="2"/>
      <c r="E295" s="310"/>
      <c r="G295" s="2"/>
      <c r="H295" s="310"/>
      <c r="I295" s="2"/>
      <c r="O295" s="2"/>
      <c r="P295" s="2"/>
    </row>
    <row r="296" spans="4:16" x14ac:dyDescent="0.25">
      <c r="D296" s="2"/>
      <c r="E296" s="310"/>
      <c r="G296" s="2"/>
      <c r="H296" s="310"/>
      <c r="I296" s="2"/>
      <c r="O296" s="2"/>
      <c r="P296" s="2"/>
    </row>
    <row r="297" spans="4:16" x14ac:dyDescent="0.25">
      <c r="D297" s="2"/>
      <c r="E297" s="310"/>
      <c r="G297" s="2"/>
      <c r="H297" s="310"/>
      <c r="I297" s="2"/>
      <c r="O297" s="2"/>
      <c r="P297" s="2"/>
    </row>
    <row r="298" spans="4:16" x14ac:dyDescent="0.25">
      <c r="D298" s="2"/>
      <c r="E298" s="310"/>
      <c r="G298" s="2"/>
      <c r="H298" s="310"/>
      <c r="I298" s="2"/>
      <c r="O298" s="2"/>
      <c r="P298" s="2"/>
    </row>
    <row r="299" spans="4:16" x14ac:dyDescent="0.25">
      <c r="D299" s="2"/>
      <c r="E299" s="310"/>
      <c r="G299" s="2"/>
      <c r="H299" s="310"/>
      <c r="I299" s="2"/>
      <c r="O299" s="2"/>
      <c r="P299" s="2"/>
    </row>
    <row r="300" spans="4:16" x14ac:dyDescent="0.25">
      <c r="D300" s="2"/>
      <c r="E300" s="310"/>
      <c r="G300" s="2"/>
      <c r="H300" s="310"/>
      <c r="I300" s="2"/>
      <c r="O300" s="2"/>
      <c r="P300" s="2"/>
    </row>
    <row r="301" spans="4:16" x14ac:dyDescent="0.25">
      <c r="D301" s="2"/>
      <c r="E301" s="310"/>
      <c r="G301" s="2"/>
      <c r="H301" s="310"/>
      <c r="I301" s="2"/>
      <c r="O301" s="2"/>
      <c r="P301" s="2"/>
    </row>
    <row r="302" spans="4:16" x14ac:dyDescent="0.25">
      <c r="D302" s="2"/>
      <c r="E302" s="310"/>
      <c r="G302" s="2"/>
      <c r="H302" s="310"/>
      <c r="I302" s="2"/>
      <c r="O302" s="2"/>
      <c r="P302" s="2"/>
    </row>
    <row r="303" spans="4:16" x14ac:dyDescent="0.25">
      <c r="D303" s="2"/>
      <c r="E303" s="310"/>
      <c r="G303" s="2"/>
      <c r="H303" s="310"/>
      <c r="I303" s="2"/>
      <c r="O303" s="2"/>
      <c r="P303" s="2"/>
    </row>
    <row r="304" spans="4:16" x14ac:dyDescent="0.25">
      <c r="D304" s="2"/>
      <c r="E304" s="310"/>
      <c r="G304" s="2"/>
      <c r="H304" s="310"/>
      <c r="I304" s="2"/>
      <c r="O304" s="2"/>
      <c r="P304" s="2"/>
    </row>
    <row r="305" spans="4:16" x14ac:dyDescent="0.25">
      <c r="D305" s="2"/>
      <c r="E305" s="310"/>
      <c r="G305" s="2"/>
      <c r="H305" s="310"/>
      <c r="I305" s="2"/>
      <c r="O305" s="2"/>
      <c r="P305" s="2"/>
    </row>
    <row r="306" spans="4:16" x14ac:dyDescent="0.25">
      <c r="D306" s="2"/>
      <c r="E306" s="310"/>
      <c r="G306" s="2"/>
      <c r="H306" s="310"/>
      <c r="I306" s="2"/>
      <c r="O306" s="2"/>
      <c r="P306" s="2"/>
    </row>
    <row r="307" spans="4:16" x14ac:dyDescent="0.25">
      <c r="D307" s="2"/>
      <c r="E307" s="310"/>
      <c r="G307" s="2"/>
      <c r="H307" s="310"/>
      <c r="I307" s="2"/>
      <c r="O307" s="2"/>
      <c r="P307" s="2"/>
    </row>
    <row r="308" spans="4:16" x14ac:dyDescent="0.25">
      <c r="D308" s="2"/>
      <c r="E308" s="310"/>
      <c r="G308" s="2"/>
      <c r="H308" s="310"/>
      <c r="I308" s="2"/>
      <c r="O308" s="2"/>
      <c r="P308" s="2"/>
    </row>
    <row r="309" spans="4:16" x14ac:dyDescent="0.25">
      <c r="D309" s="2"/>
      <c r="E309" s="310"/>
      <c r="G309" s="2"/>
      <c r="H309" s="310"/>
      <c r="I309" s="2"/>
      <c r="O309" s="2"/>
      <c r="P309" s="2"/>
    </row>
    <row r="310" spans="4:16" x14ac:dyDescent="0.25">
      <c r="D310" s="2"/>
      <c r="E310" s="310"/>
      <c r="G310" s="2"/>
      <c r="H310" s="310"/>
      <c r="I310" s="2"/>
      <c r="O310" s="2"/>
      <c r="P310" s="2"/>
    </row>
    <row r="311" spans="4:16" x14ac:dyDescent="0.25">
      <c r="D311" s="2"/>
      <c r="E311" s="310"/>
      <c r="G311" s="2"/>
      <c r="H311" s="310"/>
      <c r="I311" s="2"/>
      <c r="O311" s="2"/>
      <c r="P311" s="2"/>
    </row>
    <row r="312" spans="4:16" x14ac:dyDescent="0.25">
      <c r="D312" s="2"/>
      <c r="E312" s="310"/>
      <c r="G312" s="2"/>
      <c r="H312" s="310"/>
      <c r="I312" s="2"/>
      <c r="O312" s="2"/>
      <c r="P312" s="2"/>
    </row>
    <row r="313" spans="4:16" x14ac:dyDescent="0.25">
      <c r="D313" s="2"/>
      <c r="E313" s="310"/>
      <c r="G313" s="2"/>
      <c r="H313" s="310"/>
      <c r="I313" s="2"/>
      <c r="O313" s="2"/>
      <c r="P313" s="2"/>
    </row>
    <row r="314" spans="4:16" x14ac:dyDescent="0.25">
      <c r="D314" s="2"/>
      <c r="E314" s="310"/>
      <c r="G314" s="2"/>
      <c r="H314" s="310"/>
      <c r="I314" s="2"/>
      <c r="O314" s="2"/>
      <c r="P314" s="2"/>
    </row>
    <row r="315" spans="4:16" x14ac:dyDescent="0.25">
      <c r="D315" s="2"/>
      <c r="E315" s="310"/>
      <c r="G315" s="2"/>
      <c r="H315" s="310"/>
      <c r="I315" s="2"/>
      <c r="O315" s="2"/>
      <c r="P315" s="2"/>
    </row>
    <row r="316" spans="4:16" x14ac:dyDescent="0.25">
      <c r="D316" s="2"/>
      <c r="E316" s="310"/>
      <c r="G316" s="2"/>
      <c r="H316" s="310"/>
      <c r="I316" s="2"/>
      <c r="O316" s="2"/>
      <c r="P316" s="2"/>
    </row>
    <row r="317" spans="4:16" x14ac:dyDescent="0.25">
      <c r="D317" s="2"/>
      <c r="E317" s="310"/>
      <c r="G317" s="2"/>
      <c r="H317" s="310"/>
      <c r="I317" s="2"/>
      <c r="O317" s="2"/>
      <c r="P317" s="2"/>
    </row>
    <row r="318" spans="4:16" x14ac:dyDescent="0.25">
      <c r="D318" s="2"/>
      <c r="E318" s="310"/>
      <c r="G318" s="2"/>
      <c r="H318" s="310"/>
      <c r="I318" s="2"/>
      <c r="O318" s="2"/>
      <c r="P318" s="2"/>
    </row>
    <row r="319" spans="4:16" x14ac:dyDescent="0.25">
      <c r="D319" s="2"/>
      <c r="E319" s="310"/>
      <c r="G319" s="2"/>
      <c r="H319" s="310"/>
      <c r="I319" s="2"/>
      <c r="O319" s="2"/>
      <c r="P319" s="2"/>
    </row>
    <row r="320" spans="4:16" x14ac:dyDescent="0.25">
      <c r="D320" s="2"/>
      <c r="E320" s="310"/>
      <c r="G320" s="2"/>
      <c r="H320" s="310"/>
      <c r="I320" s="2"/>
      <c r="O320" s="2"/>
      <c r="P320" s="2"/>
    </row>
    <row r="321" spans="4:16" x14ac:dyDescent="0.25">
      <c r="D321" s="2"/>
      <c r="E321" s="310"/>
      <c r="G321" s="2"/>
      <c r="H321" s="310"/>
      <c r="I321" s="2"/>
      <c r="O321" s="2"/>
      <c r="P321" s="2"/>
    </row>
    <row r="322" spans="4:16" x14ac:dyDescent="0.25">
      <c r="D322" s="2"/>
      <c r="E322" s="310"/>
      <c r="G322" s="2"/>
      <c r="H322" s="310"/>
      <c r="I322" s="2"/>
      <c r="O322" s="2"/>
      <c r="P322" s="2"/>
    </row>
    <row r="323" spans="4:16" x14ac:dyDescent="0.25">
      <c r="D323" s="2"/>
      <c r="E323" s="310"/>
      <c r="G323" s="2"/>
      <c r="H323" s="310"/>
      <c r="I323" s="2"/>
      <c r="O323" s="2"/>
      <c r="P323" s="2"/>
    </row>
    <row r="324" spans="4:16" x14ac:dyDescent="0.25">
      <c r="D324" s="2"/>
      <c r="E324" s="310"/>
      <c r="G324" s="2"/>
      <c r="H324" s="310"/>
      <c r="I324" s="2"/>
      <c r="O324" s="2"/>
      <c r="P324" s="2"/>
    </row>
    <row r="325" spans="4:16" x14ac:dyDescent="0.25">
      <c r="D325" s="2"/>
      <c r="E325" s="310"/>
      <c r="G325" s="2"/>
      <c r="H325" s="310"/>
      <c r="I325" s="2"/>
      <c r="O325" s="2"/>
      <c r="P325" s="2"/>
    </row>
    <row r="326" spans="4:16" x14ac:dyDescent="0.25">
      <c r="D326" s="2"/>
      <c r="E326" s="310"/>
      <c r="G326" s="2"/>
      <c r="H326" s="310"/>
      <c r="I326" s="2"/>
      <c r="O326" s="2"/>
      <c r="P326" s="2"/>
    </row>
    <row r="327" spans="4:16" x14ac:dyDescent="0.25">
      <c r="D327" s="2"/>
      <c r="E327" s="310"/>
      <c r="G327" s="2"/>
      <c r="H327" s="310"/>
      <c r="I327" s="2"/>
      <c r="O327" s="2"/>
      <c r="P327" s="2"/>
    </row>
    <row r="328" spans="4:16" x14ac:dyDescent="0.25">
      <c r="D328" s="2"/>
      <c r="E328" s="310"/>
      <c r="G328" s="2"/>
      <c r="H328" s="310"/>
      <c r="I328" s="2"/>
      <c r="O328" s="2"/>
      <c r="P328" s="2"/>
    </row>
    <row r="329" spans="4:16" x14ac:dyDescent="0.25">
      <c r="D329" s="2"/>
      <c r="E329" s="310"/>
      <c r="G329" s="2"/>
      <c r="H329" s="310"/>
      <c r="I329" s="2"/>
      <c r="O329" s="2"/>
      <c r="P329" s="2"/>
    </row>
    <row r="330" spans="4:16" x14ac:dyDescent="0.25">
      <c r="D330" s="2"/>
      <c r="E330" s="310"/>
      <c r="G330" s="2"/>
      <c r="H330" s="310"/>
      <c r="I330" s="2"/>
      <c r="O330" s="2"/>
      <c r="P330" s="2"/>
    </row>
    <row r="331" spans="4:16" x14ac:dyDescent="0.25">
      <c r="D331" s="2"/>
      <c r="E331" s="310"/>
      <c r="G331" s="2"/>
      <c r="H331" s="310"/>
      <c r="I331" s="2"/>
      <c r="O331" s="2"/>
      <c r="P331" s="2"/>
    </row>
    <row r="332" spans="4:16" x14ac:dyDescent="0.25">
      <c r="D332" s="2"/>
      <c r="E332" s="310"/>
      <c r="G332" s="2"/>
      <c r="H332" s="310"/>
      <c r="I332" s="2"/>
      <c r="O332" s="2"/>
      <c r="P332" s="2"/>
    </row>
    <row r="333" spans="4:16" x14ac:dyDescent="0.25">
      <c r="D333" s="2"/>
      <c r="E333" s="310"/>
      <c r="G333" s="2"/>
      <c r="H333" s="310"/>
      <c r="I333" s="2"/>
      <c r="O333" s="2"/>
      <c r="P333" s="2"/>
    </row>
    <row r="334" spans="4:16" x14ac:dyDescent="0.25">
      <c r="D334" s="2"/>
      <c r="E334" s="310"/>
      <c r="G334" s="2"/>
      <c r="H334" s="310"/>
      <c r="I334" s="2"/>
      <c r="O334" s="2"/>
      <c r="P334" s="2"/>
    </row>
    <row r="335" spans="4:16" x14ac:dyDescent="0.25">
      <c r="D335" s="2"/>
      <c r="E335" s="310"/>
      <c r="G335" s="2"/>
      <c r="H335" s="310"/>
      <c r="I335" s="2"/>
      <c r="O335" s="2"/>
      <c r="P335" s="2"/>
    </row>
    <row r="336" spans="4:16" x14ac:dyDescent="0.25">
      <c r="D336" s="2"/>
      <c r="E336" s="310"/>
      <c r="G336" s="2"/>
      <c r="H336" s="310"/>
      <c r="I336" s="2"/>
      <c r="O336" s="2"/>
      <c r="P336" s="2"/>
    </row>
    <row r="337" spans="4:16" x14ac:dyDescent="0.25">
      <c r="D337" s="2"/>
      <c r="E337" s="310"/>
      <c r="G337" s="2"/>
      <c r="H337" s="310"/>
      <c r="I337" s="2"/>
      <c r="O337" s="2"/>
      <c r="P337" s="2"/>
    </row>
    <row r="338" spans="4:16" x14ac:dyDescent="0.25">
      <c r="D338" s="2"/>
      <c r="E338" s="310"/>
      <c r="G338" s="2"/>
      <c r="H338" s="310"/>
      <c r="I338" s="2"/>
      <c r="O338" s="2"/>
      <c r="P338" s="2"/>
    </row>
    <row r="339" spans="4:16" x14ac:dyDescent="0.25">
      <c r="D339" s="2"/>
      <c r="E339" s="310"/>
      <c r="G339" s="2"/>
      <c r="H339" s="310"/>
      <c r="I339" s="2"/>
      <c r="O339" s="2"/>
      <c r="P339" s="2"/>
    </row>
    <row r="340" spans="4:16" x14ac:dyDescent="0.25">
      <c r="D340" s="2"/>
      <c r="E340" s="310"/>
      <c r="G340" s="2"/>
      <c r="H340" s="310"/>
      <c r="I340" s="2"/>
      <c r="O340" s="2"/>
      <c r="P340" s="2"/>
    </row>
    <row r="341" spans="4:16" x14ac:dyDescent="0.25">
      <c r="D341" s="2"/>
      <c r="E341" s="310"/>
      <c r="G341" s="2"/>
      <c r="H341" s="310"/>
      <c r="I341" s="2"/>
      <c r="O341" s="2"/>
      <c r="P341" s="2"/>
    </row>
    <row r="342" spans="4:16" x14ac:dyDescent="0.25">
      <c r="D342" s="2"/>
      <c r="E342" s="310"/>
      <c r="G342" s="2"/>
      <c r="H342" s="310"/>
      <c r="I342" s="2"/>
      <c r="O342" s="2"/>
      <c r="P342" s="2"/>
    </row>
    <row r="343" spans="4:16" x14ac:dyDescent="0.25">
      <c r="D343" s="2"/>
      <c r="E343" s="310"/>
      <c r="G343" s="2"/>
      <c r="H343" s="310"/>
      <c r="I343" s="2"/>
      <c r="O343" s="2"/>
      <c r="P343" s="2"/>
    </row>
    <row r="344" spans="4:16" x14ac:dyDescent="0.25">
      <c r="D344" s="2"/>
      <c r="E344" s="310"/>
      <c r="G344" s="2"/>
      <c r="H344" s="310"/>
      <c r="I344" s="2"/>
      <c r="O344" s="2"/>
      <c r="P344" s="2"/>
    </row>
    <row r="345" spans="4:16" x14ac:dyDescent="0.25">
      <c r="D345" s="2"/>
      <c r="E345" s="310"/>
      <c r="G345" s="2"/>
      <c r="H345" s="310"/>
      <c r="I345" s="2"/>
      <c r="O345" s="2"/>
      <c r="P345" s="2"/>
    </row>
    <row r="346" spans="4:16" x14ac:dyDescent="0.25">
      <c r="D346" s="2"/>
      <c r="E346" s="310"/>
      <c r="G346" s="2"/>
      <c r="H346" s="310"/>
      <c r="I346" s="2"/>
      <c r="O346" s="2"/>
      <c r="P346" s="2"/>
    </row>
    <row r="347" spans="4:16" x14ac:dyDescent="0.25">
      <c r="D347" s="2"/>
      <c r="E347" s="310"/>
      <c r="G347" s="2"/>
      <c r="H347" s="310"/>
      <c r="I347" s="2"/>
      <c r="O347" s="2"/>
      <c r="P347" s="2"/>
    </row>
    <row r="348" spans="4:16" x14ac:dyDescent="0.25">
      <c r="D348" s="2"/>
      <c r="E348" s="310"/>
      <c r="G348" s="2"/>
      <c r="H348" s="310"/>
      <c r="I348" s="2"/>
      <c r="O348" s="2"/>
      <c r="P348" s="2"/>
    </row>
    <row r="360" spans="4:16" x14ac:dyDescent="0.25">
      <c r="D360" s="2"/>
      <c r="E360" s="310"/>
      <c r="G360" s="2"/>
      <c r="H360" s="310"/>
      <c r="I360" s="2"/>
      <c r="O360" s="2"/>
      <c r="P360" s="2"/>
    </row>
    <row r="361" spans="4:16" x14ac:dyDescent="0.25">
      <c r="D361" s="2"/>
      <c r="E361" s="310"/>
      <c r="G361" s="2"/>
      <c r="H361" s="310"/>
      <c r="I361" s="2"/>
      <c r="O361" s="2"/>
      <c r="P361" s="2"/>
    </row>
    <row r="362" spans="4:16" x14ac:dyDescent="0.25">
      <c r="D362" s="2"/>
      <c r="E362" s="310"/>
      <c r="G362" s="2"/>
      <c r="H362" s="310"/>
      <c r="I362" s="2"/>
      <c r="O362" s="2"/>
      <c r="P362" s="2"/>
    </row>
    <row r="363" spans="4:16" x14ac:dyDescent="0.25">
      <c r="D363" s="2"/>
      <c r="E363" s="310"/>
      <c r="G363" s="2"/>
      <c r="H363" s="310"/>
      <c r="I363" s="2"/>
      <c r="O363" s="2"/>
      <c r="P363" s="2"/>
    </row>
    <row r="364" spans="4:16" x14ac:dyDescent="0.25">
      <c r="D364" s="2"/>
      <c r="E364" s="310"/>
      <c r="G364" s="2"/>
      <c r="H364" s="310"/>
      <c r="I364" s="2"/>
      <c r="O364" s="2"/>
      <c r="P364" s="2"/>
    </row>
    <row r="365" spans="4:16" x14ac:dyDescent="0.25">
      <c r="D365" s="2"/>
      <c r="E365" s="310"/>
      <c r="G365" s="2"/>
      <c r="H365" s="310"/>
      <c r="I365" s="2"/>
      <c r="O365" s="2"/>
      <c r="P365" s="2"/>
    </row>
    <row r="366" spans="4:16" x14ac:dyDescent="0.25">
      <c r="D366" s="2"/>
      <c r="E366" s="310"/>
      <c r="G366" s="2"/>
      <c r="H366" s="310"/>
      <c r="I366" s="2"/>
      <c r="O366" s="2"/>
      <c r="P366" s="2"/>
    </row>
    <row r="367" spans="4:16" x14ac:dyDescent="0.25">
      <c r="D367" s="2"/>
      <c r="E367" s="310"/>
      <c r="G367" s="2"/>
      <c r="H367" s="310"/>
      <c r="I367" s="2"/>
      <c r="O367" s="2"/>
      <c r="P367" s="2"/>
    </row>
    <row r="368" spans="4:16" x14ac:dyDescent="0.25">
      <c r="D368" s="2"/>
      <c r="E368" s="310"/>
      <c r="G368" s="2"/>
      <c r="H368" s="310"/>
      <c r="I368" s="2"/>
      <c r="O368" s="2"/>
      <c r="P368" s="2"/>
    </row>
    <row r="369" spans="4:16" x14ac:dyDescent="0.25">
      <c r="D369" s="2"/>
      <c r="E369" s="310"/>
      <c r="G369" s="2"/>
      <c r="H369" s="310"/>
      <c r="I369" s="2"/>
      <c r="O369" s="2"/>
      <c r="P369" s="2"/>
    </row>
    <row r="370" spans="4:16" x14ac:dyDescent="0.25">
      <c r="D370" s="2"/>
      <c r="E370" s="310"/>
      <c r="G370" s="2"/>
      <c r="H370" s="310"/>
      <c r="I370" s="2"/>
      <c r="O370" s="2"/>
      <c r="P370" s="2"/>
    </row>
    <row r="371" spans="4:16" x14ac:dyDescent="0.25">
      <c r="D371" s="2"/>
      <c r="E371" s="310"/>
      <c r="G371" s="2"/>
      <c r="H371" s="310"/>
      <c r="I371" s="2"/>
      <c r="O371" s="2"/>
      <c r="P371" s="2"/>
    </row>
    <row r="372" spans="4:16" x14ac:dyDescent="0.25">
      <c r="D372" s="2"/>
      <c r="E372" s="310"/>
      <c r="G372" s="2"/>
      <c r="H372" s="310"/>
      <c r="I372" s="2"/>
      <c r="O372" s="2"/>
      <c r="P372" s="2"/>
    </row>
    <row r="373" spans="4:16" x14ac:dyDescent="0.25">
      <c r="D373" s="2"/>
      <c r="E373" s="310"/>
      <c r="G373" s="2"/>
      <c r="H373" s="310"/>
      <c r="I373" s="2"/>
      <c r="O373" s="2"/>
      <c r="P373" s="2"/>
    </row>
    <row r="374" spans="4:16" x14ac:dyDescent="0.25">
      <c r="D374" s="2"/>
      <c r="E374" s="310"/>
      <c r="G374" s="2"/>
      <c r="H374" s="310"/>
      <c r="I374" s="2"/>
      <c r="O374" s="2"/>
      <c r="P374" s="2"/>
    </row>
    <row r="375" spans="4:16" x14ac:dyDescent="0.25">
      <c r="D375" s="2"/>
      <c r="E375" s="310"/>
      <c r="G375" s="2"/>
      <c r="H375" s="310"/>
      <c r="I375" s="2"/>
      <c r="O375" s="2"/>
      <c r="P375" s="2"/>
    </row>
    <row r="376" spans="4:16" x14ac:dyDescent="0.25">
      <c r="D376" s="2"/>
      <c r="E376" s="310"/>
      <c r="G376" s="2"/>
      <c r="H376" s="310"/>
      <c r="I376" s="2"/>
      <c r="O376" s="2"/>
      <c r="P376" s="2"/>
    </row>
    <row r="377" spans="4:16" x14ac:dyDescent="0.25">
      <c r="D377" s="2"/>
      <c r="E377" s="310"/>
      <c r="G377" s="2"/>
      <c r="H377" s="310"/>
      <c r="I377" s="2"/>
      <c r="O377" s="2"/>
      <c r="P377" s="2"/>
    </row>
    <row r="378" spans="4:16" x14ac:dyDescent="0.25">
      <c r="D378" s="2"/>
      <c r="E378" s="310"/>
      <c r="G378" s="2"/>
      <c r="H378" s="310"/>
      <c r="I378" s="2"/>
      <c r="O378" s="2"/>
      <c r="P378" s="2"/>
    </row>
    <row r="379" spans="4:16" x14ac:dyDescent="0.25">
      <c r="D379" s="2"/>
      <c r="E379" s="310"/>
      <c r="G379" s="2"/>
      <c r="H379" s="310"/>
      <c r="I379" s="2"/>
      <c r="O379" s="2"/>
      <c r="P379" s="2"/>
    </row>
    <row r="380" spans="4:16" x14ac:dyDescent="0.25">
      <c r="D380" s="2"/>
      <c r="E380" s="310"/>
      <c r="G380" s="2"/>
      <c r="H380" s="310"/>
      <c r="I380" s="2"/>
      <c r="O380" s="2"/>
      <c r="P380" s="2"/>
    </row>
    <row r="381" spans="4:16" x14ac:dyDescent="0.25">
      <c r="D381" s="2"/>
      <c r="E381" s="310"/>
      <c r="G381" s="2"/>
      <c r="H381" s="310"/>
      <c r="I381" s="2"/>
      <c r="O381" s="2"/>
      <c r="P381" s="2"/>
    </row>
    <row r="382" spans="4:16" x14ac:dyDescent="0.25">
      <c r="D382" s="2"/>
      <c r="E382" s="310"/>
      <c r="G382" s="2"/>
      <c r="H382" s="310"/>
      <c r="I382" s="2"/>
      <c r="O382" s="2"/>
      <c r="P382" s="2"/>
    </row>
    <row r="383" spans="4:16" x14ac:dyDescent="0.25">
      <c r="D383" s="2"/>
      <c r="E383" s="310"/>
      <c r="G383" s="2"/>
      <c r="H383" s="310"/>
      <c r="I383" s="2"/>
      <c r="O383" s="2"/>
      <c r="P383" s="2"/>
    </row>
    <row r="384" spans="4:16" x14ac:dyDescent="0.25">
      <c r="D384" s="2"/>
      <c r="E384" s="310"/>
      <c r="G384" s="2"/>
      <c r="H384" s="310"/>
      <c r="I384" s="2"/>
      <c r="O384" s="2"/>
      <c r="P384" s="2"/>
    </row>
    <row r="385" spans="4:16" x14ac:dyDescent="0.25">
      <c r="D385" s="2"/>
      <c r="E385" s="310"/>
      <c r="G385" s="2"/>
      <c r="H385" s="310"/>
      <c r="I385" s="2"/>
      <c r="O385" s="2"/>
      <c r="P385" s="2"/>
    </row>
    <row r="386" spans="4:16" x14ac:dyDescent="0.25">
      <c r="D386" s="2"/>
      <c r="E386" s="310"/>
      <c r="G386" s="2"/>
      <c r="H386" s="310"/>
      <c r="I386" s="2"/>
      <c r="O386" s="2"/>
      <c r="P386" s="2"/>
    </row>
    <row r="387" spans="4:16" x14ac:dyDescent="0.25">
      <c r="D387" s="2"/>
      <c r="E387" s="310"/>
      <c r="G387" s="2"/>
      <c r="H387" s="310"/>
      <c r="I387" s="2"/>
      <c r="O387" s="2"/>
      <c r="P387" s="2"/>
    </row>
    <row r="388" spans="4:16" x14ac:dyDescent="0.25">
      <c r="D388" s="2"/>
      <c r="E388" s="310"/>
      <c r="G388" s="2"/>
      <c r="H388" s="310"/>
      <c r="I388" s="2"/>
      <c r="O388" s="2"/>
      <c r="P388" s="2"/>
    </row>
    <row r="389" spans="4:16" x14ac:dyDescent="0.25">
      <c r="D389" s="2"/>
      <c r="E389" s="310"/>
      <c r="G389" s="2"/>
      <c r="H389" s="310"/>
      <c r="I389" s="2"/>
      <c r="O389" s="2"/>
      <c r="P389" s="2"/>
    </row>
    <row r="390" spans="4:16" x14ac:dyDescent="0.25">
      <c r="D390" s="2"/>
      <c r="E390" s="310"/>
      <c r="G390" s="2"/>
      <c r="H390" s="310"/>
      <c r="I390" s="2"/>
      <c r="O390" s="2"/>
      <c r="P390" s="2"/>
    </row>
    <row r="391" spans="4:16" x14ac:dyDescent="0.25">
      <c r="D391" s="2"/>
      <c r="E391" s="310"/>
      <c r="G391" s="2"/>
      <c r="H391" s="310"/>
      <c r="I391" s="2"/>
      <c r="O391" s="2"/>
      <c r="P391" s="2"/>
    </row>
    <row r="392" spans="4:16" x14ac:dyDescent="0.25">
      <c r="D392" s="2"/>
      <c r="E392" s="310"/>
      <c r="G392" s="2"/>
      <c r="H392" s="310"/>
      <c r="I392" s="2"/>
      <c r="O392" s="2"/>
      <c r="P392" s="2"/>
    </row>
    <row r="393" spans="4:16" x14ac:dyDescent="0.25">
      <c r="D393" s="2"/>
      <c r="E393" s="310"/>
      <c r="G393" s="2"/>
      <c r="H393" s="310"/>
      <c r="I393" s="2"/>
      <c r="O393" s="2"/>
      <c r="P393" s="2"/>
    </row>
    <row r="394" spans="4:16" x14ac:dyDescent="0.25">
      <c r="D394" s="2"/>
      <c r="E394" s="310"/>
      <c r="G394" s="2"/>
      <c r="H394" s="310"/>
      <c r="I394" s="2"/>
      <c r="O394" s="2"/>
      <c r="P394" s="2"/>
    </row>
    <row r="395" spans="4:16" x14ac:dyDescent="0.25">
      <c r="D395" s="2"/>
      <c r="E395" s="310"/>
      <c r="G395" s="2"/>
      <c r="H395" s="310"/>
      <c r="I395" s="2"/>
      <c r="O395" s="2"/>
      <c r="P395" s="2"/>
    </row>
    <row r="396" spans="4:16" x14ac:dyDescent="0.25">
      <c r="D396" s="2"/>
      <c r="E396" s="310"/>
      <c r="G396" s="2"/>
      <c r="H396" s="310"/>
      <c r="I396" s="2"/>
      <c r="O396" s="2"/>
      <c r="P396" s="2"/>
    </row>
    <row r="397" spans="4:16" x14ac:dyDescent="0.25">
      <c r="D397" s="2"/>
      <c r="E397" s="310"/>
      <c r="G397" s="2"/>
      <c r="H397" s="310"/>
      <c r="I397" s="2"/>
      <c r="O397" s="2"/>
      <c r="P397" s="2"/>
    </row>
    <row r="398" spans="4:16" x14ac:dyDescent="0.25">
      <c r="D398" s="2"/>
      <c r="E398" s="310"/>
      <c r="G398" s="2"/>
      <c r="H398" s="310"/>
      <c r="I398" s="2"/>
      <c r="O398" s="2"/>
      <c r="P398" s="2"/>
    </row>
    <row r="399" spans="4:16" x14ac:dyDescent="0.25">
      <c r="D399" s="2"/>
      <c r="E399" s="310"/>
      <c r="G399" s="2"/>
      <c r="H399" s="310"/>
      <c r="I399" s="2"/>
      <c r="O399" s="2"/>
      <c r="P399" s="2"/>
    </row>
    <row r="400" spans="4:16" x14ac:dyDescent="0.25">
      <c r="D400" s="2"/>
      <c r="E400" s="310"/>
      <c r="G400" s="2"/>
      <c r="H400" s="310"/>
      <c r="I400" s="2"/>
      <c r="O400" s="2"/>
      <c r="P400" s="2"/>
    </row>
    <row r="401" spans="4:16" x14ac:dyDescent="0.25">
      <c r="D401" s="2"/>
      <c r="E401" s="310"/>
      <c r="G401" s="2"/>
      <c r="H401" s="310"/>
      <c r="I401" s="2"/>
      <c r="O401" s="2"/>
      <c r="P401" s="2"/>
    </row>
    <row r="402" spans="4:16" x14ac:dyDescent="0.25">
      <c r="D402" s="2"/>
      <c r="E402" s="310"/>
      <c r="G402" s="2"/>
      <c r="H402" s="310"/>
      <c r="I402" s="2"/>
      <c r="O402" s="2"/>
      <c r="P402" s="2"/>
    </row>
    <row r="403" spans="4:16" x14ac:dyDescent="0.25">
      <c r="D403" s="2"/>
      <c r="E403" s="310"/>
      <c r="G403" s="2"/>
      <c r="H403" s="310"/>
      <c r="I403" s="2"/>
      <c r="O403" s="2"/>
      <c r="P403" s="2"/>
    </row>
    <row r="404" spans="4:16" x14ac:dyDescent="0.25">
      <c r="D404" s="2"/>
      <c r="E404" s="310"/>
      <c r="G404" s="2"/>
      <c r="H404" s="310"/>
      <c r="I404" s="2"/>
      <c r="O404" s="2"/>
      <c r="P404" s="2"/>
    </row>
    <row r="405" spans="4:16" x14ac:dyDescent="0.25">
      <c r="D405" s="2"/>
      <c r="E405" s="310"/>
      <c r="G405" s="2"/>
      <c r="H405" s="310"/>
      <c r="I405" s="2"/>
      <c r="O405" s="2"/>
      <c r="P405" s="2"/>
    </row>
    <row r="406" spans="4:16" x14ac:dyDescent="0.25">
      <c r="D406" s="2"/>
      <c r="E406" s="310"/>
      <c r="G406" s="2"/>
      <c r="H406" s="310"/>
      <c r="I406" s="2"/>
      <c r="O406" s="2"/>
      <c r="P406" s="2"/>
    </row>
    <row r="407" spans="4:16" x14ac:dyDescent="0.25">
      <c r="D407" s="2"/>
      <c r="E407" s="310"/>
      <c r="G407" s="2"/>
      <c r="H407" s="310"/>
      <c r="I407" s="2"/>
      <c r="O407" s="2"/>
      <c r="P407" s="2"/>
    </row>
    <row r="408" spans="4:16" x14ac:dyDescent="0.25">
      <c r="D408" s="2"/>
      <c r="E408" s="310"/>
      <c r="G408" s="2"/>
      <c r="H408" s="310"/>
      <c r="I408" s="2"/>
      <c r="O408" s="2"/>
      <c r="P408" s="2"/>
    </row>
    <row r="409" spans="4:16" x14ac:dyDescent="0.25">
      <c r="D409" s="2"/>
      <c r="E409" s="310"/>
      <c r="G409" s="2"/>
      <c r="H409" s="310"/>
      <c r="I409" s="2"/>
      <c r="O409" s="2"/>
      <c r="P409" s="2"/>
    </row>
    <row r="410" spans="4:16" x14ac:dyDescent="0.25">
      <c r="D410" s="2"/>
      <c r="E410" s="310"/>
      <c r="G410" s="2"/>
      <c r="H410" s="310"/>
      <c r="I410" s="2"/>
      <c r="O410" s="2"/>
      <c r="P410" s="2"/>
    </row>
    <row r="411" spans="4:16" x14ac:dyDescent="0.25">
      <c r="D411" s="2"/>
      <c r="E411" s="310"/>
      <c r="G411" s="2"/>
      <c r="H411" s="310"/>
      <c r="I411" s="2"/>
      <c r="O411" s="2"/>
      <c r="P411" s="2"/>
    </row>
    <row r="412" spans="4:16" x14ac:dyDescent="0.25">
      <c r="D412" s="2"/>
      <c r="E412" s="310"/>
      <c r="G412" s="2"/>
      <c r="H412" s="310"/>
      <c r="I412" s="2"/>
      <c r="O412" s="2"/>
      <c r="P412" s="2"/>
    </row>
    <row r="413" spans="4:16" x14ac:dyDescent="0.25">
      <c r="D413" s="2"/>
      <c r="E413" s="310"/>
      <c r="G413" s="2"/>
      <c r="H413" s="310"/>
      <c r="I413" s="2"/>
      <c r="O413" s="2"/>
      <c r="P413" s="2"/>
    </row>
    <row r="414" spans="4:16" x14ac:dyDescent="0.25">
      <c r="D414" s="2"/>
      <c r="E414" s="310"/>
      <c r="G414" s="2"/>
      <c r="H414" s="310"/>
      <c r="I414" s="2"/>
      <c r="O414" s="2"/>
      <c r="P414" s="2"/>
    </row>
    <row r="415" spans="4:16" x14ac:dyDescent="0.25">
      <c r="D415" s="2"/>
      <c r="E415" s="310"/>
      <c r="G415" s="2"/>
      <c r="H415" s="310"/>
      <c r="I415" s="2"/>
      <c r="O415" s="2"/>
      <c r="P415" s="2"/>
    </row>
    <row r="416" spans="4:16" x14ac:dyDescent="0.25">
      <c r="D416" s="2"/>
      <c r="E416" s="310"/>
      <c r="G416" s="2"/>
      <c r="H416" s="310"/>
      <c r="I416" s="2"/>
      <c r="O416" s="2"/>
      <c r="P416" s="2"/>
    </row>
    <row r="417" spans="4:16" x14ac:dyDescent="0.25">
      <c r="D417" s="2"/>
      <c r="E417" s="310"/>
      <c r="G417" s="2"/>
      <c r="H417" s="310"/>
      <c r="I417" s="2"/>
      <c r="O417" s="2"/>
      <c r="P417" s="2"/>
    </row>
    <row r="418" spans="4:16" x14ac:dyDescent="0.25">
      <c r="D418" s="2"/>
      <c r="E418" s="310"/>
      <c r="G418" s="2"/>
      <c r="H418" s="310"/>
      <c r="I418" s="2"/>
      <c r="O418" s="2"/>
      <c r="P418" s="2"/>
    </row>
    <row r="419" spans="4:16" x14ac:dyDescent="0.25">
      <c r="D419" s="2"/>
      <c r="E419" s="310"/>
      <c r="G419" s="2"/>
      <c r="H419" s="310"/>
      <c r="I419" s="2"/>
      <c r="O419" s="2"/>
      <c r="P419" s="2"/>
    </row>
    <row r="420" spans="4:16" x14ac:dyDescent="0.25">
      <c r="D420" s="2"/>
      <c r="E420" s="310"/>
      <c r="G420" s="2"/>
      <c r="H420" s="310"/>
      <c r="I420" s="2"/>
      <c r="O420" s="2"/>
      <c r="P420" s="2"/>
    </row>
    <row r="421" spans="4:16" x14ac:dyDescent="0.25">
      <c r="D421" s="2"/>
      <c r="E421" s="310"/>
      <c r="G421" s="2"/>
      <c r="H421" s="310"/>
      <c r="I421" s="2"/>
      <c r="O421" s="2"/>
      <c r="P421" s="2"/>
    </row>
    <row r="422" spans="4:16" x14ac:dyDescent="0.25">
      <c r="D422" s="2"/>
      <c r="E422" s="310"/>
      <c r="G422" s="2"/>
      <c r="H422" s="310"/>
      <c r="I422" s="2"/>
      <c r="O422" s="2"/>
      <c r="P422" s="2"/>
    </row>
    <row r="423" spans="4:16" x14ac:dyDescent="0.25">
      <c r="D423" s="2"/>
      <c r="E423" s="310"/>
      <c r="G423" s="2"/>
      <c r="H423" s="310"/>
      <c r="I423" s="2"/>
      <c r="O423" s="2"/>
      <c r="P423" s="2"/>
    </row>
    <row r="424" spans="4:16" x14ac:dyDescent="0.25">
      <c r="D424" s="2"/>
      <c r="E424" s="310"/>
      <c r="G424" s="2"/>
      <c r="H424" s="310"/>
      <c r="I424" s="2"/>
      <c r="O424" s="2"/>
      <c r="P424" s="2"/>
    </row>
    <row r="425" spans="4:16" x14ac:dyDescent="0.25">
      <c r="D425" s="2"/>
      <c r="E425" s="310"/>
      <c r="G425" s="2"/>
      <c r="H425" s="310"/>
      <c r="I425" s="2"/>
      <c r="O425" s="2"/>
      <c r="P425" s="2"/>
    </row>
    <row r="426" spans="4:16" x14ac:dyDescent="0.25">
      <c r="D426" s="2"/>
      <c r="E426" s="310"/>
      <c r="G426" s="2"/>
      <c r="H426" s="310"/>
      <c r="I426" s="2"/>
      <c r="O426" s="2"/>
      <c r="P426" s="2"/>
    </row>
    <row r="427" spans="4:16" x14ac:dyDescent="0.25">
      <c r="D427" s="2"/>
      <c r="E427" s="310"/>
      <c r="G427" s="2"/>
      <c r="H427" s="310"/>
      <c r="I427" s="2"/>
      <c r="O427" s="2"/>
      <c r="P427" s="2"/>
    </row>
    <row r="428" spans="4:16" x14ac:dyDescent="0.25">
      <c r="D428" s="2"/>
      <c r="E428" s="310"/>
      <c r="G428" s="2"/>
      <c r="H428" s="310"/>
      <c r="I428" s="2"/>
      <c r="O428" s="2"/>
      <c r="P428" s="2"/>
    </row>
    <row r="429" spans="4:16" x14ac:dyDescent="0.25">
      <c r="D429" s="2"/>
      <c r="E429" s="310"/>
      <c r="G429" s="2"/>
      <c r="H429" s="310"/>
      <c r="I429" s="2"/>
      <c r="O429" s="2"/>
      <c r="P429" s="2"/>
    </row>
    <row r="430" spans="4:16" x14ac:dyDescent="0.25">
      <c r="D430" s="2"/>
      <c r="E430" s="310"/>
      <c r="G430" s="2"/>
      <c r="H430" s="310"/>
      <c r="I430" s="2"/>
      <c r="O430" s="2"/>
      <c r="P430" s="2"/>
    </row>
    <row r="431" spans="4:16" x14ac:dyDescent="0.25">
      <c r="D431" s="2"/>
      <c r="E431" s="310"/>
      <c r="G431" s="2"/>
      <c r="H431" s="310"/>
      <c r="I431" s="2"/>
      <c r="O431" s="2"/>
      <c r="P431" s="2"/>
    </row>
    <row r="432" spans="4:16" x14ac:dyDescent="0.25">
      <c r="D432" s="2"/>
      <c r="E432" s="310"/>
      <c r="G432" s="2"/>
      <c r="H432" s="310"/>
      <c r="I432" s="2"/>
      <c r="O432" s="2"/>
      <c r="P432" s="2"/>
    </row>
    <row r="433" spans="4:16" x14ac:dyDescent="0.25">
      <c r="D433" s="2"/>
      <c r="E433" s="310"/>
      <c r="G433" s="2"/>
      <c r="H433" s="310"/>
      <c r="I433" s="2"/>
      <c r="O433" s="2"/>
      <c r="P433" s="2"/>
    </row>
    <row r="434" spans="4:16" x14ac:dyDescent="0.25">
      <c r="D434" s="2"/>
      <c r="E434" s="310"/>
      <c r="G434" s="2"/>
      <c r="H434" s="310"/>
      <c r="I434" s="2"/>
      <c r="O434" s="2"/>
      <c r="P434" s="2"/>
    </row>
    <row r="435" spans="4:16" x14ac:dyDescent="0.25">
      <c r="D435" s="2"/>
      <c r="E435" s="310"/>
      <c r="G435" s="2"/>
      <c r="H435" s="310"/>
      <c r="I435" s="2"/>
      <c r="O435" s="2"/>
      <c r="P435" s="2"/>
    </row>
    <row r="436" spans="4:16" x14ac:dyDescent="0.25">
      <c r="D436" s="2"/>
      <c r="E436" s="310"/>
      <c r="G436" s="2"/>
      <c r="H436" s="310"/>
      <c r="I436" s="2"/>
      <c r="O436" s="2"/>
      <c r="P436" s="2"/>
    </row>
    <row r="437" spans="4:16" x14ac:dyDescent="0.25">
      <c r="D437" s="2"/>
      <c r="E437" s="310"/>
      <c r="G437" s="2"/>
      <c r="H437" s="310"/>
      <c r="I437" s="2"/>
      <c r="O437" s="2"/>
      <c r="P437" s="2"/>
    </row>
    <row r="438" spans="4:16" x14ac:dyDescent="0.25">
      <c r="D438" s="2"/>
      <c r="E438" s="310"/>
      <c r="G438" s="2"/>
      <c r="H438" s="310"/>
      <c r="I438" s="2"/>
      <c r="O438" s="2"/>
      <c r="P438" s="2"/>
    </row>
    <row r="439" spans="4:16" x14ac:dyDescent="0.25">
      <c r="D439" s="2"/>
      <c r="E439" s="310"/>
      <c r="G439" s="2"/>
      <c r="H439" s="310"/>
      <c r="I439" s="2"/>
      <c r="O439" s="2"/>
      <c r="P439" s="2"/>
    </row>
    <row r="440" spans="4:16" x14ac:dyDescent="0.25">
      <c r="D440" s="2"/>
      <c r="E440" s="310"/>
      <c r="G440" s="2"/>
      <c r="H440" s="310"/>
      <c r="I440" s="2"/>
      <c r="O440" s="2"/>
      <c r="P440" s="2"/>
    </row>
    <row r="441" spans="4:16" x14ac:dyDescent="0.25">
      <c r="D441" s="2"/>
      <c r="E441" s="310"/>
      <c r="G441" s="2"/>
      <c r="H441" s="310"/>
      <c r="I441" s="2"/>
      <c r="O441" s="2"/>
      <c r="P441" s="2"/>
    </row>
    <row r="442" spans="4:16" x14ac:dyDescent="0.25">
      <c r="D442" s="2"/>
      <c r="E442" s="310"/>
      <c r="G442" s="2"/>
      <c r="H442" s="310"/>
      <c r="I442" s="2"/>
      <c r="O442" s="2"/>
      <c r="P442" s="2"/>
    </row>
    <row r="443" spans="4:16" x14ac:dyDescent="0.25">
      <c r="D443" s="2"/>
      <c r="E443" s="310"/>
      <c r="G443" s="2"/>
      <c r="H443" s="310"/>
      <c r="I443" s="2"/>
      <c r="O443" s="2"/>
      <c r="P443" s="2"/>
    </row>
    <row r="444" spans="4:16" x14ac:dyDescent="0.25">
      <c r="D444" s="2"/>
      <c r="E444" s="310"/>
      <c r="G444" s="2"/>
      <c r="H444" s="310"/>
      <c r="I444" s="2"/>
      <c r="O444" s="2"/>
      <c r="P444" s="2"/>
    </row>
    <row r="445" spans="4:16" x14ac:dyDescent="0.25">
      <c r="D445" s="2"/>
      <c r="E445" s="310"/>
      <c r="G445" s="2"/>
      <c r="H445" s="310"/>
      <c r="I445" s="2"/>
      <c r="O445" s="2"/>
      <c r="P445" s="2"/>
    </row>
    <row r="446" spans="4:16" x14ac:dyDescent="0.25">
      <c r="D446" s="2"/>
      <c r="E446" s="310"/>
      <c r="G446" s="2"/>
      <c r="H446" s="310"/>
      <c r="I446" s="2"/>
      <c r="O446" s="2"/>
      <c r="P446" s="2"/>
    </row>
    <row r="447" spans="4:16" x14ac:dyDescent="0.25">
      <c r="D447" s="2"/>
      <c r="E447" s="310"/>
      <c r="G447" s="2"/>
      <c r="H447" s="310"/>
      <c r="I447" s="2"/>
      <c r="O447" s="2"/>
      <c r="P447" s="2"/>
    </row>
    <row r="448" spans="4:16" x14ac:dyDescent="0.25">
      <c r="D448" s="2"/>
      <c r="E448" s="310"/>
      <c r="G448" s="2"/>
      <c r="H448" s="310"/>
      <c r="I448" s="2"/>
      <c r="O448" s="2"/>
      <c r="P448" s="2"/>
    </row>
    <row r="449" spans="4:16" x14ac:dyDescent="0.25">
      <c r="D449" s="2"/>
      <c r="E449" s="310"/>
      <c r="G449" s="2"/>
      <c r="H449" s="310"/>
      <c r="I449" s="2"/>
      <c r="O449" s="2"/>
      <c r="P449" s="2"/>
    </row>
    <row r="450" spans="4:16" x14ac:dyDescent="0.25">
      <c r="D450" s="2"/>
      <c r="E450" s="310"/>
      <c r="G450" s="2"/>
      <c r="H450" s="310"/>
      <c r="I450" s="2"/>
      <c r="O450" s="2"/>
      <c r="P450" s="2"/>
    </row>
    <row r="451" spans="4:16" x14ac:dyDescent="0.25">
      <c r="D451" s="2"/>
      <c r="E451" s="310"/>
      <c r="G451" s="2"/>
      <c r="H451" s="310"/>
      <c r="I451" s="2"/>
      <c r="O451" s="2"/>
      <c r="P451" s="2"/>
    </row>
    <row r="452" spans="4:16" x14ac:dyDescent="0.25">
      <c r="D452" s="2"/>
      <c r="E452" s="310"/>
      <c r="G452" s="2"/>
      <c r="H452" s="310"/>
      <c r="I452" s="2"/>
      <c r="O452" s="2"/>
      <c r="P452" s="2"/>
    </row>
    <row r="453" spans="4:16" x14ac:dyDescent="0.25">
      <c r="D453" s="2"/>
      <c r="E453" s="310"/>
      <c r="G453" s="2"/>
      <c r="H453" s="310"/>
      <c r="I453" s="2"/>
      <c r="O453" s="2"/>
      <c r="P453" s="2"/>
    </row>
    <row r="454" spans="4:16" x14ac:dyDescent="0.25">
      <c r="D454" s="2"/>
      <c r="E454" s="310"/>
      <c r="G454" s="2"/>
      <c r="H454" s="310"/>
      <c r="I454" s="2"/>
      <c r="O454" s="2"/>
      <c r="P454" s="2"/>
    </row>
    <row r="455" spans="4:16" x14ac:dyDescent="0.25">
      <c r="D455" s="2"/>
      <c r="E455" s="310"/>
      <c r="G455" s="2"/>
      <c r="H455" s="310"/>
      <c r="I455" s="2"/>
      <c r="O455" s="2"/>
      <c r="P455" s="2"/>
    </row>
    <row r="456" spans="4:16" x14ac:dyDescent="0.25">
      <c r="D456" s="2"/>
      <c r="E456" s="310"/>
      <c r="G456" s="2"/>
      <c r="H456" s="310"/>
      <c r="I456" s="2"/>
      <c r="O456" s="2"/>
      <c r="P456" s="2"/>
    </row>
    <row r="457" spans="4:16" x14ac:dyDescent="0.25">
      <c r="D457" s="2"/>
      <c r="E457" s="310"/>
      <c r="G457" s="2"/>
      <c r="H457" s="310"/>
      <c r="I457" s="2"/>
      <c r="O457" s="2"/>
      <c r="P457" s="2"/>
    </row>
    <row r="458" spans="4:16" x14ac:dyDescent="0.25">
      <c r="D458" s="2"/>
      <c r="E458" s="310"/>
      <c r="G458" s="2"/>
      <c r="H458" s="310"/>
      <c r="I458" s="2"/>
      <c r="O458" s="2"/>
      <c r="P458" s="2"/>
    </row>
    <row r="459" spans="4:16" x14ac:dyDescent="0.25">
      <c r="D459" s="2"/>
      <c r="E459" s="310"/>
      <c r="G459" s="2"/>
      <c r="H459" s="310"/>
      <c r="I459" s="2"/>
      <c r="O459" s="2"/>
      <c r="P459" s="2"/>
    </row>
    <row r="460" spans="4:16" x14ac:dyDescent="0.25">
      <c r="D460" s="2"/>
      <c r="E460" s="310"/>
      <c r="G460" s="2"/>
      <c r="H460" s="310"/>
      <c r="I460" s="2"/>
      <c r="O460" s="2"/>
      <c r="P460" s="2"/>
    </row>
    <row r="461" spans="4:16" x14ac:dyDescent="0.25">
      <c r="D461" s="2"/>
      <c r="E461" s="310"/>
      <c r="G461" s="2"/>
      <c r="H461" s="310"/>
      <c r="I461" s="2"/>
      <c r="O461" s="2"/>
      <c r="P461" s="2"/>
    </row>
    <row r="462" spans="4:16" x14ac:dyDescent="0.25">
      <c r="D462" s="2"/>
      <c r="E462" s="310"/>
      <c r="G462" s="2"/>
      <c r="H462" s="310"/>
      <c r="I462" s="2"/>
      <c r="O462" s="2"/>
      <c r="P462" s="2"/>
    </row>
    <row r="463" spans="4:16" x14ac:dyDescent="0.25">
      <c r="D463" s="2"/>
      <c r="E463" s="310"/>
      <c r="G463" s="2"/>
      <c r="H463" s="310"/>
      <c r="I463" s="2"/>
      <c r="O463" s="2"/>
      <c r="P463" s="2"/>
    </row>
    <row r="464" spans="4:16" x14ac:dyDescent="0.25">
      <c r="D464" s="2"/>
      <c r="E464" s="310"/>
      <c r="G464" s="2"/>
      <c r="H464" s="310"/>
      <c r="I464" s="2"/>
      <c r="O464" s="2"/>
      <c r="P464" s="2"/>
    </row>
    <row r="465" spans="4:16" x14ac:dyDescent="0.25">
      <c r="D465" s="2"/>
      <c r="E465" s="310"/>
      <c r="G465" s="2"/>
      <c r="H465" s="310"/>
      <c r="I465" s="2"/>
      <c r="O465" s="2"/>
      <c r="P465" s="2"/>
    </row>
    <row r="466" spans="4:16" x14ac:dyDescent="0.25">
      <c r="D466" s="2"/>
      <c r="E466" s="310"/>
      <c r="G466" s="2"/>
      <c r="H466" s="310"/>
      <c r="I466" s="2"/>
      <c r="O466" s="2"/>
      <c r="P466" s="2"/>
    </row>
    <row r="467" spans="4:16" x14ac:dyDescent="0.25">
      <c r="D467" s="2"/>
      <c r="E467" s="310"/>
      <c r="G467" s="2"/>
      <c r="H467" s="310"/>
      <c r="I467" s="2"/>
      <c r="O467" s="2"/>
      <c r="P467" s="2"/>
    </row>
    <row r="468" spans="4:16" x14ac:dyDescent="0.25">
      <c r="D468" s="2"/>
      <c r="E468" s="310"/>
      <c r="G468" s="2"/>
      <c r="H468" s="310"/>
      <c r="I468" s="2"/>
      <c r="O468" s="2"/>
      <c r="P468" s="2"/>
    </row>
    <row r="469" spans="4:16" x14ac:dyDescent="0.25">
      <c r="D469" s="2"/>
      <c r="E469" s="310"/>
      <c r="G469" s="2"/>
      <c r="H469" s="310"/>
      <c r="I469" s="2"/>
      <c r="O469" s="2"/>
      <c r="P469" s="2"/>
    </row>
    <row r="470" spans="4:16" x14ac:dyDescent="0.25">
      <c r="D470" s="2"/>
      <c r="E470" s="310"/>
      <c r="G470" s="2"/>
      <c r="H470" s="310"/>
      <c r="I470" s="2"/>
      <c r="O470" s="2"/>
      <c r="P470" s="2"/>
    </row>
    <row r="471" spans="4:16" x14ac:dyDescent="0.25">
      <c r="D471" s="2"/>
      <c r="E471" s="310"/>
      <c r="G471" s="2"/>
      <c r="H471" s="310"/>
      <c r="I471" s="2"/>
      <c r="O471" s="2"/>
      <c r="P471" s="2"/>
    </row>
    <row r="472" spans="4:16" x14ac:dyDescent="0.25">
      <c r="D472" s="2"/>
      <c r="E472" s="310"/>
      <c r="G472" s="2"/>
      <c r="H472" s="310"/>
      <c r="I472" s="2"/>
      <c r="O472" s="2"/>
      <c r="P472" s="2"/>
    </row>
    <row r="473" spans="4:16" x14ac:dyDescent="0.25">
      <c r="D473" s="2"/>
      <c r="E473" s="310"/>
      <c r="G473" s="2"/>
      <c r="H473" s="310"/>
      <c r="I473" s="2"/>
      <c r="O473" s="2"/>
      <c r="P473" s="2"/>
    </row>
    <row r="474" spans="4:16" x14ac:dyDescent="0.25">
      <c r="D474" s="2"/>
      <c r="E474" s="310"/>
      <c r="G474" s="2"/>
      <c r="H474" s="310"/>
      <c r="I474" s="2"/>
      <c r="O474" s="2"/>
      <c r="P474" s="2"/>
    </row>
    <row r="475" spans="4:16" x14ac:dyDescent="0.25">
      <c r="D475" s="2"/>
      <c r="E475" s="310"/>
      <c r="G475" s="2"/>
      <c r="H475" s="310"/>
      <c r="I475" s="2"/>
      <c r="O475" s="2"/>
      <c r="P475" s="2"/>
    </row>
    <row r="476" spans="4:16" x14ac:dyDescent="0.25">
      <c r="D476" s="2"/>
      <c r="E476" s="310"/>
      <c r="G476" s="2"/>
      <c r="H476" s="310"/>
      <c r="I476" s="2"/>
      <c r="O476" s="2"/>
      <c r="P476" s="2"/>
    </row>
    <row r="477" spans="4:16" x14ac:dyDescent="0.25">
      <c r="D477" s="2"/>
      <c r="E477" s="310"/>
      <c r="G477" s="2"/>
      <c r="H477" s="310"/>
      <c r="I477" s="2"/>
      <c r="O477" s="2"/>
      <c r="P477" s="2"/>
    </row>
    <row r="478" spans="4:16" x14ac:dyDescent="0.25">
      <c r="D478" s="2"/>
      <c r="E478" s="310"/>
      <c r="G478" s="2"/>
      <c r="H478" s="310"/>
      <c r="I478" s="2"/>
      <c r="O478" s="2"/>
      <c r="P478" s="2"/>
    </row>
    <row r="479" spans="4:16" x14ac:dyDescent="0.25">
      <c r="D479" s="2"/>
      <c r="E479" s="310"/>
      <c r="G479" s="2"/>
      <c r="H479" s="310"/>
      <c r="I479" s="2"/>
      <c r="O479" s="2"/>
      <c r="P479" s="2"/>
    </row>
    <row r="480" spans="4:16" x14ac:dyDescent="0.25">
      <c r="D480" s="2"/>
      <c r="E480" s="310"/>
      <c r="G480" s="2"/>
      <c r="H480" s="310"/>
      <c r="I480" s="2"/>
      <c r="O480" s="2"/>
      <c r="P480" s="2"/>
    </row>
    <row r="481" spans="4:16" x14ac:dyDescent="0.25">
      <c r="D481" s="2"/>
      <c r="E481" s="310"/>
      <c r="G481" s="2"/>
      <c r="H481" s="310"/>
      <c r="I481" s="2"/>
      <c r="O481" s="2"/>
      <c r="P481" s="2"/>
    </row>
    <row r="482" spans="4:16" x14ac:dyDescent="0.25">
      <c r="D482" s="2"/>
      <c r="E482" s="310"/>
      <c r="G482" s="2"/>
      <c r="H482" s="310"/>
      <c r="I482" s="2"/>
      <c r="O482" s="2"/>
      <c r="P482" s="2"/>
    </row>
    <row r="483" spans="4:16" x14ac:dyDescent="0.25">
      <c r="D483" s="2"/>
      <c r="E483" s="310"/>
      <c r="G483" s="2"/>
      <c r="H483" s="310"/>
      <c r="I483" s="2"/>
      <c r="O483" s="2"/>
      <c r="P483" s="2"/>
    </row>
    <row r="484" spans="4:16" x14ac:dyDescent="0.25">
      <c r="D484" s="2"/>
      <c r="E484" s="310"/>
      <c r="G484" s="2"/>
      <c r="H484" s="310"/>
      <c r="I484" s="2"/>
      <c r="O484" s="2"/>
      <c r="P484" s="2"/>
    </row>
    <row r="485" spans="4:16" x14ac:dyDescent="0.25">
      <c r="D485" s="2"/>
      <c r="E485" s="310"/>
      <c r="G485" s="2"/>
      <c r="H485" s="310"/>
      <c r="I485" s="2"/>
      <c r="O485" s="2"/>
      <c r="P485" s="2"/>
    </row>
    <row r="486" spans="4:16" x14ac:dyDescent="0.25">
      <c r="D486" s="2"/>
      <c r="E486" s="310"/>
      <c r="G486" s="2"/>
      <c r="H486" s="310"/>
      <c r="I486" s="2"/>
      <c r="O486" s="2"/>
      <c r="P486" s="2"/>
    </row>
    <row r="487" spans="4:16" x14ac:dyDescent="0.25">
      <c r="D487" s="2"/>
      <c r="E487" s="310"/>
      <c r="G487" s="2"/>
      <c r="H487" s="310"/>
      <c r="I487" s="2"/>
      <c r="O487" s="2"/>
      <c r="P487" s="2"/>
    </row>
    <row r="488" spans="4:16" x14ac:dyDescent="0.25">
      <c r="D488" s="2"/>
      <c r="E488" s="310"/>
      <c r="G488" s="2"/>
      <c r="H488" s="310"/>
      <c r="I488" s="2"/>
      <c r="O488" s="2"/>
      <c r="P488" s="2"/>
    </row>
    <row r="489" spans="4:16" x14ac:dyDescent="0.25">
      <c r="D489" s="2"/>
      <c r="E489" s="310"/>
      <c r="G489" s="2"/>
      <c r="H489" s="310"/>
      <c r="I489" s="2"/>
      <c r="O489" s="2"/>
      <c r="P489" s="2"/>
    </row>
    <row r="490" spans="4:16" x14ac:dyDescent="0.25">
      <c r="D490" s="2"/>
      <c r="E490" s="310"/>
      <c r="G490" s="2"/>
      <c r="H490" s="310"/>
      <c r="I490" s="2"/>
      <c r="O490" s="2"/>
      <c r="P490" s="2"/>
    </row>
    <row r="491" spans="4:16" x14ac:dyDescent="0.25">
      <c r="D491" s="2"/>
      <c r="E491" s="310"/>
      <c r="G491" s="2"/>
      <c r="H491" s="310"/>
      <c r="I491" s="2"/>
      <c r="O491" s="2"/>
      <c r="P491" s="2"/>
    </row>
    <row r="492" spans="4:16" x14ac:dyDescent="0.25">
      <c r="D492" s="2"/>
      <c r="E492" s="310"/>
      <c r="G492" s="2"/>
      <c r="H492" s="310"/>
      <c r="I492" s="2"/>
      <c r="O492" s="2"/>
      <c r="P492" s="2"/>
    </row>
    <row r="493" spans="4:16" x14ac:dyDescent="0.25">
      <c r="D493" s="2"/>
      <c r="E493" s="310"/>
      <c r="G493" s="2"/>
      <c r="H493" s="310"/>
      <c r="I493" s="2"/>
      <c r="O493" s="2"/>
      <c r="P493" s="2"/>
    </row>
    <row r="494" spans="4:16" x14ac:dyDescent="0.25">
      <c r="D494" s="2"/>
      <c r="E494" s="310"/>
      <c r="G494" s="2"/>
      <c r="H494" s="310"/>
      <c r="I494" s="2"/>
      <c r="O494" s="2"/>
      <c r="P494" s="2"/>
    </row>
    <row r="495" spans="4:16" x14ac:dyDescent="0.25">
      <c r="D495" s="2"/>
      <c r="E495" s="310"/>
      <c r="G495" s="2"/>
      <c r="H495" s="310"/>
      <c r="I495" s="2"/>
      <c r="O495" s="2"/>
      <c r="P495" s="2"/>
    </row>
    <row r="496" spans="4:16" x14ac:dyDescent="0.25">
      <c r="D496" s="2"/>
      <c r="E496" s="310"/>
      <c r="G496" s="2"/>
      <c r="H496" s="310"/>
      <c r="I496" s="2"/>
      <c r="O496" s="2"/>
      <c r="P496" s="2"/>
    </row>
    <row r="497" spans="4:16" x14ac:dyDescent="0.25">
      <c r="D497" s="2"/>
      <c r="E497" s="310"/>
      <c r="G497" s="2"/>
      <c r="H497" s="310"/>
      <c r="I497" s="2"/>
      <c r="O497" s="2"/>
      <c r="P497" s="2"/>
    </row>
    <row r="498" spans="4:16" x14ac:dyDescent="0.25">
      <c r="D498" s="2"/>
      <c r="E498" s="310"/>
      <c r="G498" s="2"/>
      <c r="H498" s="310"/>
      <c r="I498" s="2"/>
      <c r="O498" s="2"/>
      <c r="P498" s="2"/>
    </row>
    <row r="499" spans="4:16" x14ac:dyDescent="0.25">
      <c r="D499" s="2"/>
      <c r="E499" s="310"/>
      <c r="G499" s="2"/>
      <c r="H499" s="310"/>
      <c r="I499" s="2"/>
      <c r="O499" s="2"/>
      <c r="P499" s="2"/>
    </row>
    <row r="500" spans="4:16" x14ac:dyDescent="0.25">
      <c r="D500" s="2"/>
      <c r="E500" s="310"/>
      <c r="G500" s="2"/>
      <c r="H500" s="310"/>
      <c r="I500" s="2"/>
      <c r="O500" s="2"/>
      <c r="P500" s="2"/>
    </row>
    <row r="501" spans="4:16" x14ac:dyDescent="0.25">
      <c r="D501" s="2"/>
      <c r="E501" s="310"/>
      <c r="G501" s="2"/>
      <c r="H501" s="310"/>
      <c r="I501" s="2"/>
      <c r="O501" s="2"/>
      <c r="P501" s="2"/>
    </row>
    <row r="502" spans="4:16" x14ac:dyDescent="0.25">
      <c r="D502" s="2"/>
      <c r="E502" s="310"/>
      <c r="G502" s="2"/>
      <c r="H502" s="310"/>
      <c r="I502" s="2"/>
      <c r="O502" s="2"/>
      <c r="P502" s="2"/>
    </row>
    <row r="503" spans="4:16" x14ac:dyDescent="0.25">
      <c r="D503" s="2"/>
      <c r="E503" s="310"/>
      <c r="G503" s="2"/>
      <c r="H503" s="310"/>
      <c r="I503" s="2"/>
      <c r="O503" s="2"/>
      <c r="P503" s="2"/>
    </row>
    <row r="504" spans="4:16" x14ac:dyDescent="0.25">
      <c r="D504" s="2"/>
      <c r="E504" s="310"/>
      <c r="G504" s="2"/>
      <c r="H504" s="310"/>
      <c r="I504" s="2"/>
      <c r="O504" s="2"/>
      <c r="P504" s="2"/>
    </row>
    <row r="505" spans="4:16" x14ac:dyDescent="0.25">
      <c r="D505" s="2"/>
      <c r="E505" s="310"/>
      <c r="G505" s="2"/>
      <c r="H505" s="310"/>
      <c r="I505" s="2"/>
      <c r="O505" s="2"/>
      <c r="P505" s="2"/>
    </row>
    <row r="506" spans="4:16" x14ac:dyDescent="0.25">
      <c r="D506" s="2"/>
      <c r="E506" s="310"/>
      <c r="G506" s="2"/>
      <c r="H506" s="310"/>
      <c r="I506" s="2"/>
      <c r="O506" s="2"/>
      <c r="P506" s="2"/>
    </row>
    <row r="507" spans="4:16" x14ac:dyDescent="0.25">
      <c r="D507" s="2"/>
      <c r="E507" s="310"/>
      <c r="G507" s="2"/>
      <c r="H507" s="310"/>
      <c r="I507" s="2"/>
      <c r="O507" s="2"/>
      <c r="P507" s="2"/>
    </row>
    <row r="508" spans="4:16" x14ac:dyDescent="0.25">
      <c r="D508" s="2"/>
      <c r="E508" s="310"/>
      <c r="G508" s="2"/>
      <c r="H508" s="310"/>
      <c r="I508" s="2"/>
      <c r="O508" s="2"/>
      <c r="P508" s="2"/>
    </row>
    <row r="509" spans="4:16" x14ac:dyDescent="0.25">
      <c r="D509" s="2"/>
      <c r="E509" s="310"/>
      <c r="G509" s="2"/>
      <c r="H509" s="310"/>
      <c r="I509" s="2"/>
      <c r="O509" s="2"/>
      <c r="P509" s="2"/>
    </row>
    <row r="510" spans="4:16" x14ac:dyDescent="0.25">
      <c r="D510" s="2"/>
      <c r="E510" s="310"/>
      <c r="G510" s="2"/>
      <c r="H510" s="310"/>
      <c r="I510" s="2"/>
      <c r="O510" s="2"/>
      <c r="P510" s="2"/>
    </row>
    <row r="511" spans="4:16" x14ac:dyDescent="0.25">
      <c r="D511" s="2"/>
      <c r="E511" s="310"/>
      <c r="G511" s="2"/>
      <c r="H511" s="310"/>
      <c r="I511" s="2"/>
      <c r="O511" s="2"/>
      <c r="P511" s="2"/>
    </row>
    <row r="512" spans="4:16" x14ac:dyDescent="0.25">
      <c r="D512" s="2"/>
      <c r="E512" s="310"/>
      <c r="G512" s="2"/>
      <c r="H512" s="310"/>
      <c r="I512" s="2"/>
      <c r="O512" s="2"/>
      <c r="P512" s="2"/>
    </row>
    <row r="513" spans="4:16" x14ac:dyDescent="0.25">
      <c r="D513" s="2"/>
      <c r="E513" s="310"/>
      <c r="G513" s="2"/>
      <c r="H513" s="310"/>
      <c r="I513" s="2"/>
      <c r="O513" s="2"/>
      <c r="P513" s="2"/>
    </row>
    <row r="514" spans="4:16" x14ac:dyDescent="0.25">
      <c r="D514" s="2"/>
      <c r="E514" s="310"/>
      <c r="G514" s="2"/>
      <c r="H514" s="310"/>
      <c r="I514" s="2"/>
      <c r="O514" s="2"/>
      <c r="P514" s="2"/>
    </row>
    <row r="515" spans="4:16" x14ac:dyDescent="0.25">
      <c r="D515" s="2"/>
      <c r="E515" s="310"/>
      <c r="G515" s="2"/>
      <c r="H515" s="310"/>
      <c r="I515" s="2"/>
      <c r="O515" s="2"/>
      <c r="P515" s="2"/>
    </row>
    <row r="516" spans="4:16" x14ac:dyDescent="0.25">
      <c r="D516" s="2"/>
      <c r="E516" s="310"/>
      <c r="G516" s="2"/>
      <c r="H516" s="310"/>
      <c r="I516" s="2"/>
      <c r="O516" s="2"/>
      <c r="P516" s="2"/>
    </row>
    <row r="517" spans="4:16" x14ac:dyDescent="0.25">
      <c r="D517" s="2"/>
      <c r="E517" s="310"/>
      <c r="G517" s="2"/>
      <c r="H517" s="310"/>
      <c r="I517" s="2"/>
      <c r="O517" s="2"/>
      <c r="P517" s="2"/>
    </row>
    <row r="518" spans="4:16" x14ac:dyDescent="0.25">
      <c r="D518" s="2"/>
      <c r="E518" s="310"/>
      <c r="G518" s="2"/>
      <c r="H518" s="310"/>
      <c r="I518" s="2"/>
      <c r="O518" s="2"/>
      <c r="P518" s="2"/>
    </row>
    <row r="519" spans="4:16" x14ac:dyDescent="0.25">
      <c r="D519" s="2"/>
      <c r="E519" s="310"/>
      <c r="G519" s="2"/>
      <c r="H519" s="310"/>
      <c r="I519" s="2"/>
      <c r="O519" s="2"/>
      <c r="P519" s="2"/>
    </row>
    <row r="520" spans="4:16" x14ac:dyDescent="0.25">
      <c r="D520" s="2"/>
      <c r="E520" s="310"/>
      <c r="G520" s="2"/>
      <c r="H520" s="310"/>
      <c r="I520" s="2"/>
      <c r="O520" s="2"/>
      <c r="P520" s="2"/>
    </row>
    <row r="521" spans="4:16" x14ac:dyDescent="0.25">
      <c r="D521" s="2"/>
      <c r="E521" s="310"/>
      <c r="G521" s="2"/>
      <c r="H521" s="310"/>
      <c r="I521" s="2"/>
      <c r="O521" s="2"/>
      <c r="P521" s="2"/>
    </row>
    <row r="522" spans="4:16" x14ac:dyDescent="0.25">
      <c r="D522" s="2"/>
      <c r="E522" s="310"/>
      <c r="G522" s="2"/>
      <c r="H522" s="310"/>
      <c r="I522" s="2"/>
      <c r="O522" s="2"/>
      <c r="P522" s="2"/>
    </row>
    <row r="523" spans="4:16" x14ac:dyDescent="0.25">
      <c r="D523" s="2"/>
      <c r="E523" s="310"/>
      <c r="G523" s="2"/>
      <c r="H523" s="310"/>
      <c r="I523" s="2"/>
      <c r="O523" s="2"/>
      <c r="P523" s="2"/>
    </row>
    <row r="524" spans="4:16" x14ac:dyDescent="0.25">
      <c r="D524" s="2"/>
      <c r="E524" s="310"/>
      <c r="G524" s="2"/>
      <c r="H524" s="310"/>
      <c r="I524" s="2"/>
      <c r="O524" s="2"/>
      <c r="P524" s="2"/>
    </row>
    <row r="525" spans="4:16" x14ac:dyDescent="0.25">
      <c r="D525" s="2"/>
      <c r="E525" s="310"/>
      <c r="G525" s="2"/>
      <c r="H525" s="310"/>
      <c r="I525" s="2"/>
      <c r="O525" s="2"/>
      <c r="P525" s="2"/>
    </row>
    <row r="526" spans="4:16" x14ac:dyDescent="0.25">
      <c r="D526" s="2"/>
      <c r="E526" s="310"/>
      <c r="G526" s="2"/>
      <c r="H526" s="310"/>
      <c r="I526" s="2"/>
      <c r="O526" s="2"/>
      <c r="P526" s="2"/>
    </row>
    <row r="527" spans="4:16" x14ac:dyDescent="0.25">
      <c r="D527" s="2"/>
      <c r="E527" s="310"/>
      <c r="G527" s="2"/>
      <c r="H527" s="310"/>
      <c r="I527" s="2"/>
      <c r="O527" s="2"/>
      <c r="P527" s="2"/>
    </row>
    <row r="528" spans="4:16" x14ac:dyDescent="0.25">
      <c r="D528" s="2"/>
      <c r="E528" s="310"/>
      <c r="G528" s="2"/>
      <c r="H528" s="310"/>
      <c r="I528" s="2"/>
      <c r="O528" s="2"/>
      <c r="P528" s="2"/>
    </row>
    <row r="529" spans="4:16" x14ac:dyDescent="0.25">
      <c r="D529" s="2"/>
      <c r="E529" s="310"/>
      <c r="G529" s="2"/>
      <c r="H529" s="310"/>
      <c r="I529" s="2"/>
      <c r="O529" s="2"/>
      <c r="P529" s="2"/>
    </row>
    <row r="530" spans="4:16" x14ac:dyDescent="0.25">
      <c r="D530" s="2"/>
      <c r="E530" s="310"/>
      <c r="G530" s="2"/>
      <c r="H530" s="310"/>
      <c r="I530" s="2"/>
      <c r="O530" s="2"/>
      <c r="P530" s="2"/>
    </row>
    <row r="531" spans="4:16" x14ac:dyDescent="0.25">
      <c r="D531" s="2"/>
      <c r="E531" s="310"/>
      <c r="G531" s="2"/>
      <c r="H531" s="310"/>
      <c r="I531" s="2"/>
      <c r="O531" s="2"/>
      <c r="P531" s="2"/>
    </row>
    <row r="532" spans="4:16" x14ac:dyDescent="0.25">
      <c r="D532" s="2"/>
      <c r="E532" s="310"/>
      <c r="G532" s="2"/>
      <c r="H532" s="310"/>
      <c r="I532" s="2"/>
      <c r="O532" s="2"/>
      <c r="P532" s="2"/>
    </row>
    <row r="533" spans="4:16" x14ac:dyDescent="0.25">
      <c r="D533" s="2"/>
      <c r="E533" s="310"/>
      <c r="G533" s="2"/>
      <c r="H533" s="310"/>
      <c r="I533" s="2"/>
      <c r="O533" s="2"/>
      <c r="P533" s="2"/>
    </row>
    <row r="534" spans="4:16" x14ac:dyDescent="0.25">
      <c r="D534" s="2"/>
      <c r="E534" s="310"/>
      <c r="G534" s="2"/>
      <c r="H534" s="310"/>
      <c r="I534" s="2"/>
      <c r="O534" s="2"/>
      <c r="P534" s="2"/>
    </row>
    <row r="535" spans="4:16" x14ac:dyDescent="0.25">
      <c r="D535" s="2"/>
      <c r="E535" s="310"/>
      <c r="G535" s="2"/>
      <c r="H535" s="310"/>
      <c r="I535" s="2"/>
      <c r="O535" s="2"/>
      <c r="P535" s="2"/>
    </row>
    <row r="536" spans="4:16" x14ac:dyDescent="0.25">
      <c r="D536" s="2"/>
      <c r="E536" s="310"/>
      <c r="G536" s="2"/>
      <c r="H536" s="310"/>
      <c r="I536" s="2"/>
      <c r="O536" s="2"/>
      <c r="P536" s="2"/>
    </row>
    <row r="537" spans="4:16" x14ac:dyDescent="0.25">
      <c r="D537" s="2"/>
      <c r="E537" s="310"/>
      <c r="G537" s="2"/>
      <c r="H537" s="310"/>
      <c r="I537" s="2"/>
      <c r="O537" s="2"/>
      <c r="P537" s="2"/>
    </row>
    <row r="538" spans="4:16" x14ac:dyDescent="0.25">
      <c r="D538" s="2"/>
      <c r="E538" s="310"/>
      <c r="G538" s="2"/>
      <c r="H538" s="310"/>
      <c r="I538" s="2"/>
      <c r="O538" s="2"/>
      <c r="P538" s="2"/>
    </row>
    <row r="539" spans="4:16" x14ac:dyDescent="0.25">
      <c r="D539" s="2"/>
      <c r="E539" s="310"/>
      <c r="G539" s="2"/>
      <c r="H539" s="310"/>
      <c r="I539" s="2"/>
      <c r="O539" s="2"/>
      <c r="P539" s="2"/>
    </row>
    <row r="540" spans="4:16" x14ac:dyDescent="0.25">
      <c r="D540" s="2"/>
      <c r="E540" s="310"/>
      <c r="G540" s="2"/>
      <c r="H540" s="310"/>
      <c r="I540" s="2"/>
      <c r="O540" s="2"/>
      <c r="P540" s="2"/>
    </row>
    <row r="541" spans="4:16" x14ac:dyDescent="0.25">
      <c r="D541" s="2"/>
      <c r="E541" s="310"/>
      <c r="G541" s="2"/>
      <c r="H541" s="310"/>
      <c r="I541" s="2"/>
      <c r="O541" s="2"/>
      <c r="P541" s="2"/>
    </row>
    <row r="542" spans="4:16" x14ac:dyDescent="0.25">
      <c r="D542" s="2"/>
      <c r="E542" s="310"/>
      <c r="G542" s="2"/>
      <c r="H542" s="310"/>
      <c r="I542" s="2"/>
      <c r="O542" s="2"/>
      <c r="P542" s="2"/>
    </row>
    <row r="543" spans="4:16" x14ac:dyDescent="0.25">
      <c r="D543" s="2"/>
      <c r="E543" s="310"/>
      <c r="G543" s="2"/>
      <c r="H543" s="310"/>
      <c r="I543" s="2"/>
      <c r="O543" s="2"/>
      <c r="P543" s="2"/>
    </row>
    <row r="544" spans="4:16" x14ac:dyDescent="0.25">
      <c r="D544" s="2"/>
      <c r="E544" s="310"/>
      <c r="G544" s="2"/>
      <c r="H544" s="310"/>
      <c r="I544" s="2"/>
      <c r="O544" s="2"/>
      <c r="P544" s="2"/>
    </row>
    <row r="545" spans="4:16" x14ac:dyDescent="0.25">
      <c r="D545" s="2"/>
      <c r="E545" s="310"/>
      <c r="G545" s="2"/>
      <c r="H545" s="310"/>
      <c r="I545" s="2"/>
      <c r="O545" s="2"/>
      <c r="P545" s="2"/>
    </row>
    <row r="546" spans="4:16" x14ac:dyDescent="0.25">
      <c r="D546" s="2"/>
      <c r="E546" s="310"/>
      <c r="G546" s="2"/>
      <c r="H546" s="310"/>
      <c r="I546" s="2"/>
      <c r="O546" s="2"/>
      <c r="P546" s="2"/>
    </row>
    <row r="547" spans="4:16" x14ac:dyDescent="0.25">
      <c r="D547" s="2"/>
      <c r="E547" s="310"/>
      <c r="G547" s="2"/>
      <c r="H547" s="310"/>
      <c r="I547" s="2"/>
      <c r="O547" s="2"/>
      <c r="P547" s="2"/>
    </row>
    <row r="548" spans="4:16" x14ac:dyDescent="0.25">
      <c r="D548" s="2"/>
      <c r="E548" s="310"/>
      <c r="G548" s="2"/>
      <c r="H548" s="310"/>
      <c r="I548" s="2"/>
      <c r="O548" s="2"/>
      <c r="P548" s="2"/>
    </row>
    <row r="549" spans="4:16" x14ac:dyDescent="0.25">
      <c r="D549" s="2"/>
      <c r="E549" s="310"/>
      <c r="G549" s="2"/>
      <c r="H549" s="310"/>
      <c r="I549" s="2"/>
      <c r="O549" s="2"/>
      <c r="P549" s="2"/>
    </row>
    <row r="550" spans="4:16" x14ac:dyDescent="0.25">
      <c r="D550" s="2"/>
      <c r="E550" s="310"/>
      <c r="G550" s="2"/>
      <c r="H550" s="310"/>
      <c r="I550" s="2"/>
      <c r="O550" s="2"/>
      <c r="P550" s="2"/>
    </row>
    <row r="551" spans="4:16" x14ac:dyDescent="0.25">
      <c r="D551" s="2"/>
      <c r="E551" s="310"/>
      <c r="G551" s="2"/>
      <c r="H551" s="310"/>
      <c r="I551" s="2"/>
      <c r="O551" s="2"/>
      <c r="P551" s="2"/>
    </row>
    <row r="552" spans="4:16" x14ac:dyDescent="0.25">
      <c r="D552" s="2"/>
      <c r="E552" s="310"/>
      <c r="G552" s="2"/>
      <c r="H552" s="310"/>
      <c r="I552" s="2"/>
      <c r="O552" s="2"/>
      <c r="P552" s="2"/>
    </row>
    <row r="553" spans="4:16" x14ac:dyDescent="0.25">
      <c r="D553" s="2"/>
      <c r="E553" s="310"/>
      <c r="G553" s="2"/>
      <c r="H553" s="310"/>
      <c r="I553" s="2"/>
      <c r="O553" s="2"/>
      <c r="P553" s="2"/>
    </row>
    <row r="554" spans="4:16" x14ac:dyDescent="0.25">
      <c r="D554" s="2"/>
      <c r="E554" s="310"/>
      <c r="G554" s="2"/>
      <c r="H554" s="310"/>
      <c r="I554" s="2"/>
      <c r="O554" s="2"/>
      <c r="P554" s="2"/>
    </row>
    <row r="555" spans="4:16" x14ac:dyDescent="0.25">
      <c r="D555" s="2"/>
      <c r="E555" s="310"/>
      <c r="G555" s="2"/>
      <c r="H555" s="310"/>
      <c r="I555" s="2"/>
      <c r="O555" s="2"/>
      <c r="P555" s="2"/>
    </row>
    <row r="556" spans="4:16" x14ac:dyDescent="0.25">
      <c r="D556" s="2"/>
      <c r="E556" s="310"/>
      <c r="G556" s="2"/>
      <c r="H556" s="310"/>
      <c r="I556" s="2"/>
      <c r="O556" s="2"/>
      <c r="P556" s="2"/>
    </row>
    <row r="557" spans="4:16" x14ac:dyDescent="0.25">
      <c r="D557" s="2"/>
      <c r="E557" s="310"/>
      <c r="G557" s="2"/>
      <c r="H557" s="310"/>
      <c r="I557" s="2"/>
      <c r="O557" s="2"/>
      <c r="P557" s="2"/>
    </row>
    <row r="558" spans="4:16" x14ac:dyDescent="0.25">
      <c r="D558" s="2"/>
      <c r="E558" s="310"/>
      <c r="G558" s="2"/>
      <c r="H558" s="310"/>
      <c r="I558" s="2"/>
      <c r="O558" s="2"/>
      <c r="P558" s="2"/>
    </row>
    <row r="559" spans="4:16" x14ac:dyDescent="0.25">
      <c r="D559" s="2"/>
      <c r="E559" s="310"/>
      <c r="G559" s="2"/>
      <c r="H559" s="310"/>
      <c r="I559" s="2"/>
      <c r="O559" s="2"/>
      <c r="P559" s="2"/>
    </row>
    <row r="560" spans="4:16" x14ac:dyDescent="0.25">
      <c r="D560" s="2"/>
      <c r="E560" s="310"/>
      <c r="G560" s="2"/>
      <c r="H560" s="310"/>
      <c r="I560" s="2"/>
      <c r="O560" s="2"/>
      <c r="P560" s="2"/>
    </row>
    <row r="561" spans="4:16" x14ac:dyDescent="0.25">
      <c r="D561" s="2"/>
      <c r="E561" s="310"/>
      <c r="G561" s="2"/>
      <c r="H561" s="310"/>
      <c r="I561" s="2"/>
      <c r="O561" s="2"/>
      <c r="P561" s="2"/>
    </row>
    <row r="562" spans="4:16" x14ac:dyDescent="0.25">
      <c r="D562" s="2"/>
      <c r="E562" s="310"/>
      <c r="G562" s="2"/>
      <c r="H562" s="310"/>
      <c r="I562" s="2"/>
      <c r="O562" s="2"/>
      <c r="P562" s="2"/>
    </row>
    <row r="563" spans="4:16" x14ac:dyDescent="0.25">
      <c r="D563" s="2"/>
      <c r="E563" s="310"/>
      <c r="G563" s="2"/>
      <c r="H563" s="310"/>
      <c r="I563" s="2"/>
      <c r="O563" s="2"/>
      <c r="P563" s="2"/>
    </row>
    <row r="564" spans="4:16" x14ac:dyDescent="0.25">
      <c r="D564" s="2"/>
      <c r="E564" s="310"/>
      <c r="G564" s="2"/>
      <c r="H564" s="310"/>
      <c r="I564" s="2"/>
      <c r="O564" s="2"/>
      <c r="P564" s="2"/>
    </row>
    <row r="565" spans="4:16" x14ac:dyDescent="0.25">
      <c r="D565" s="2"/>
      <c r="E565" s="310"/>
      <c r="G565" s="2"/>
      <c r="H565" s="310"/>
      <c r="I565" s="2"/>
      <c r="O565" s="2"/>
      <c r="P565" s="2"/>
    </row>
    <row r="566" spans="4:16" x14ac:dyDescent="0.25">
      <c r="D566" s="2"/>
      <c r="E566" s="310"/>
      <c r="G566" s="2"/>
      <c r="H566" s="310"/>
      <c r="I566" s="2"/>
      <c r="O566" s="2"/>
      <c r="P566" s="2"/>
    </row>
    <row r="567" spans="4:16" x14ac:dyDescent="0.25">
      <c r="D567" s="2"/>
      <c r="E567" s="310"/>
      <c r="G567" s="2"/>
      <c r="H567" s="310"/>
      <c r="I567" s="2"/>
      <c r="O567" s="2"/>
      <c r="P567" s="2"/>
    </row>
    <row r="568" spans="4:16" x14ac:dyDescent="0.25">
      <c r="D568" s="2"/>
      <c r="E568" s="310"/>
      <c r="G568" s="2"/>
      <c r="H568" s="310"/>
      <c r="I568" s="2"/>
      <c r="O568" s="2"/>
      <c r="P568" s="2"/>
    </row>
    <row r="569" spans="4:16" x14ac:dyDescent="0.25">
      <c r="D569" s="2"/>
      <c r="E569" s="310"/>
      <c r="G569" s="2"/>
      <c r="H569" s="310"/>
      <c r="I569" s="2"/>
      <c r="O569" s="2"/>
      <c r="P569" s="2"/>
    </row>
    <row r="570" spans="4:16" x14ac:dyDescent="0.25">
      <c r="D570" s="2"/>
      <c r="E570" s="310"/>
      <c r="G570" s="2"/>
      <c r="H570" s="310"/>
      <c r="I570" s="2"/>
      <c r="O570" s="2"/>
      <c r="P570" s="2"/>
    </row>
    <row r="571" spans="4:16" x14ac:dyDescent="0.25">
      <c r="D571" s="2"/>
      <c r="E571" s="310"/>
      <c r="G571" s="2"/>
      <c r="H571" s="310"/>
      <c r="I571" s="2"/>
      <c r="O571" s="2"/>
      <c r="P571" s="2"/>
    </row>
    <row r="572" spans="4:16" x14ac:dyDescent="0.25">
      <c r="D572" s="2"/>
      <c r="E572" s="310"/>
      <c r="G572" s="2"/>
      <c r="H572" s="310"/>
      <c r="I572" s="2"/>
      <c r="O572" s="2"/>
      <c r="P572" s="2"/>
    </row>
    <row r="573" spans="4:16" x14ac:dyDescent="0.25">
      <c r="D573" s="2"/>
      <c r="E573" s="310"/>
      <c r="G573" s="2"/>
      <c r="H573" s="310"/>
      <c r="I573" s="2"/>
      <c r="O573" s="2"/>
      <c r="P573" s="2"/>
    </row>
    <row r="574" spans="4:16" x14ac:dyDescent="0.25">
      <c r="D574" s="2"/>
      <c r="E574" s="310"/>
      <c r="G574" s="2"/>
      <c r="H574" s="310"/>
      <c r="I574" s="2"/>
      <c r="O574" s="2"/>
      <c r="P574" s="2"/>
    </row>
    <row r="575" spans="4:16" x14ac:dyDescent="0.25">
      <c r="D575" s="2"/>
      <c r="E575" s="310"/>
      <c r="G575" s="2"/>
      <c r="H575" s="310"/>
      <c r="I575" s="2"/>
      <c r="O575" s="2"/>
      <c r="P575" s="2"/>
    </row>
    <row r="576" spans="4:16" x14ac:dyDescent="0.25">
      <c r="D576" s="2"/>
      <c r="E576" s="310"/>
      <c r="G576" s="2"/>
      <c r="H576" s="310"/>
      <c r="I576" s="2"/>
      <c r="O576" s="2"/>
      <c r="P576" s="2"/>
    </row>
    <row r="577" spans="4:16" x14ac:dyDescent="0.25">
      <c r="D577" s="2"/>
      <c r="E577" s="310"/>
      <c r="G577" s="2"/>
      <c r="H577" s="310"/>
      <c r="I577" s="2"/>
      <c r="O577" s="2"/>
      <c r="P577" s="2"/>
    </row>
    <row r="578" spans="4:16" x14ac:dyDescent="0.25">
      <c r="D578" s="2"/>
      <c r="E578" s="310"/>
      <c r="G578" s="2"/>
      <c r="H578" s="310"/>
      <c r="I578" s="2"/>
      <c r="O578" s="2"/>
      <c r="P578" s="2"/>
    </row>
    <row r="579" spans="4:16" x14ac:dyDescent="0.25">
      <c r="D579" s="2"/>
      <c r="E579" s="310"/>
      <c r="G579" s="2"/>
      <c r="H579" s="310"/>
      <c r="I579" s="2"/>
      <c r="O579" s="2"/>
      <c r="P579" s="2"/>
    </row>
    <row r="580" spans="4:16" x14ac:dyDescent="0.25">
      <c r="D580" s="2"/>
      <c r="E580" s="310"/>
      <c r="G580" s="2"/>
      <c r="H580" s="310"/>
      <c r="I580" s="2"/>
      <c r="O580" s="2"/>
      <c r="P580" s="2"/>
    </row>
    <row r="581" spans="4:16" x14ac:dyDescent="0.25">
      <c r="D581" s="2"/>
      <c r="E581" s="310"/>
      <c r="G581" s="2"/>
      <c r="H581" s="310"/>
      <c r="I581" s="2"/>
      <c r="O581" s="2"/>
      <c r="P581" s="2"/>
    </row>
    <row r="582" spans="4:16" x14ac:dyDescent="0.25">
      <c r="D582" s="2"/>
      <c r="E582" s="310"/>
      <c r="G582" s="2"/>
      <c r="H582" s="310"/>
      <c r="I582" s="2"/>
      <c r="O582" s="2"/>
      <c r="P582" s="2"/>
    </row>
    <row r="583" spans="4:16" x14ac:dyDescent="0.25">
      <c r="D583" s="2"/>
      <c r="E583" s="310"/>
      <c r="G583" s="2"/>
      <c r="H583" s="310"/>
      <c r="I583" s="2"/>
      <c r="O583" s="2"/>
      <c r="P583" s="2"/>
    </row>
    <row r="584" spans="4:16" x14ac:dyDescent="0.25">
      <c r="D584" s="2"/>
      <c r="E584" s="310"/>
      <c r="G584" s="2"/>
      <c r="H584" s="310"/>
      <c r="I584" s="2"/>
      <c r="O584" s="2"/>
      <c r="P584" s="2"/>
    </row>
    <row r="585" spans="4:16" x14ac:dyDescent="0.25">
      <c r="D585" s="2"/>
      <c r="E585" s="310"/>
      <c r="G585" s="2"/>
      <c r="H585" s="310"/>
      <c r="I585" s="2"/>
      <c r="O585" s="2"/>
      <c r="P585" s="2"/>
    </row>
    <row r="586" spans="4:16" x14ac:dyDescent="0.25">
      <c r="D586" s="2"/>
      <c r="E586" s="310"/>
      <c r="G586" s="2"/>
      <c r="H586" s="310"/>
      <c r="I586" s="2"/>
      <c r="O586" s="2"/>
      <c r="P586" s="2"/>
    </row>
    <row r="587" spans="4:16" x14ac:dyDescent="0.25">
      <c r="D587" s="2"/>
      <c r="E587" s="310"/>
      <c r="G587" s="2"/>
      <c r="H587" s="310"/>
      <c r="I587" s="2"/>
      <c r="O587" s="2"/>
      <c r="P587" s="2"/>
    </row>
    <row r="588" spans="4:16" x14ac:dyDescent="0.25">
      <c r="D588" s="2"/>
      <c r="E588" s="310"/>
      <c r="G588" s="2"/>
      <c r="H588" s="310"/>
      <c r="I588" s="2"/>
      <c r="O588" s="2"/>
      <c r="P588" s="2"/>
    </row>
    <row r="589" spans="4:16" x14ac:dyDescent="0.25">
      <c r="D589" s="2"/>
      <c r="E589" s="310"/>
      <c r="G589" s="2"/>
      <c r="H589" s="310"/>
      <c r="I589" s="2"/>
      <c r="O589" s="2"/>
      <c r="P589" s="2"/>
    </row>
    <row r="590" spans="4:16" x14ac:dyDescent="0.25">
      <c r="D590" s="2"/>
      <c r="E590" s="310"/>
      <c r="G590" s="2"/>
      <c r="H590" s="310"/>
      <c r="I590" s="2"/>
      <c r="O590" s="2"/>
      <c r="P590" s="2"/>
    </row>
    <row r="591" spans="4:16" x14ac:dyDescent="0.25">
      <c r="D591" s="2"/>
      <c r="E591" s="310"/>
      <c r="G591" s="2"/>
      <c r="H591" s="310"/>
      <c r="I591" s="2"/>
      <c r="O591" s="2"/>
      <c r="P591" s="2"/>
    </row>
    <row r="592" spans="4:16" x14ac:dyDescent="0.25">
      <c r="D592" s="2"/>
      <c r="E592" s="310"/>
      <c r="G592" s="2"/>
      <c r="H592" s="310"/>
      <c r="I592" s="2"/>
      <c r="O592" s="2"/>
      <c r="P592" s="2"/>
    </row>
    <row r="593" spans="4:16" x14ac:dyDescent="0.25">
      <c r="D593" s="2"/>
      <c r="E593" s="310"/>
      <c r="G593" s="2"/>
      <c r="H593" s="310"/>
      <c r="I593" s="2"/>
      <c r="O593" s="2"/>
      <c r="P593" s="2"/>
    </row>
    <row r="594" spans="4:16" x14ac:dyDescent="0.25">
      <c r="D594" s="2"/>
      <c r="E594" s="310"/>
      <c r="G594" s="2"/>
      <c r="H594" s="310"/>
      <c r="I594" s="2"/>
      <c r="O594" s="2"/>
      <c r="P594" s="2"/>
    </row>
    <row r="595" spans="4:16" x14ac:dyDescent="0.25">
      <c r="D595" s="2"/>
      <c r="E595" s="310"/>
      <c r="G595" s="2"/>
      <c r="H595" s="310"/>
      <c r="I595" s="2"/>
      <c r="O595" s="2"/>
      <c r="P595" s="2"/>
    </row>
    <row r="596" spans="4:16" x14ac:dyDescent="0.25">
      <c r="D596" s="2"/>
      <c r="E596" s="310"/>
      <c r="G596" s="2"/>
      <c r="H596" s="310"/>
      <c r="I596" s="2"/>
      <c r="O596" s="2"/>
      <c r="P596" s="2"/>
    </row>
    <row r="597" spans="4:16" x14ac:dyDescent="0.25">
      <c r="D597" s="2"/>
      <c r="E597" s="310"/>
      <c r="G597" s="2"/>
      <c r="H597" s="310"/>
      <c r="I597" s="2"/>
      <c r="O597" s="2"/>
      <c r="P597" s="2"/>
    </row>
    <row r="598" spans="4:16" x14ac:dyDescent="0.25">
      <c r="D598" s="2"/>
      <c r="E598" s="310"/>
      <c r="G598" s="2"/>
      <c r="H598" s="310"/>
      <c r="I598" s="2"/>
      <c r="O598" s="2"/>
      <c r="P598" s="2"/>
    </row>
    <row r="599" spans="4:16" x14ac:dyDescent="0.25">
      <c r="D599" s="2"/>
      <c r="E599" s="310"/>
      <c r="G599" s="2"/>
      <c r="H599" s="310"/>
      <c r="I599" s="2"/>
      <c r="O599" s="2"/>
      <c r="P599" s="2"/>
    </row>
    <row r="600" spans="4:16" x14ac:dyDescent="0.25">
      <c r="D600" s="2"/>
      <c r="E600" s="310"/>
      <c r="G600" s="2"/>
      <c r="H600" s="310"/>
      <c r="I600" s="2"/>
      <c r="O600" s="2"/>
      <c r="P600" s="2"/>
    </row>
    <row r="601" spans="4:16" x14ac:dyDescent="0.25">
      <c r="D601" s="2"/>
      <c r="E601" s="310"/>
      <c r="G601" s="2"/>
      <c r="H601" s="310"/>
      <c r="I601" s="2"/>
      <c r="O601" s="2"/>
      <c r="P601" s="2"/>
    </row>
    <row r="602" spans="4:16" x14ac:dyDescent="0.25">
      <c r="D602" s="2"/>
      <c r="E602" s="310"/>
      <c r="G602" s="2"/>
      <c r="H602" s="310"/>
      <c r="I602" s="2"/>
      <c r="O602" s="2"/>
      <c r="P602" s="2"/>
    </row>
    <row r="603" spans="4:16" x14ac:dyDescent="0.25">
      <c r="D603" s="2"/>
      <c r="E603" s="310"/>
      <c r="G603" s="2"/>
      <c r="H603" s="310"/>
      <c r="I603" s="2"/>
      <c r="O603" s="2"/>
      <c r="P603" s="2"/>
    </row>
    <row r="604" spans="4:16" x14ac:dyDescent="0.25">
      <c r="D604" s="2"/>
      <c r="E604" s="310"/>
      <c r="G604" s="2"/>
      <c r="H604" s="310"/>
      <c r="I604" s="2"/>
      <c r="O604" s="2"/>
      <c r="P604" s="2"/>
    </row>
    <row r="605" spans="4:16" x14ac:dyDescent="0.25">
      <c r="D605" s="2"/>
      <c r="E605" s="310"/>
      <c r="G605" s="2"/>
      <c r="H605" s="310"/>
      <c r="I605" s="2"/>
      <c r="O605" s="2"/>
      <c r="P605" s="2"/>
    </row>
    <row r="606" spans="4:16" x14ac:dyDescent="0.25">
      <c r="D606" s="2"/>
      <c r="E606" s="310"/>
      <c r="G606" s="2"/>
      <c r="H606" s="310"/>
      <c r="I606" s="2"/>
      <c r="O606" s="2"/>
      <c r="P606" s="2"/>
    </row>
    <row r="607" spans="4:16" x14ac:dyDescent="0.25">
      <c r="D607" s="2"/>
      <c r="E607" s="310"/>
      <c r="G607" s="2"/>
      <c r="H607" s="310"/>
      <c r="I607" s="2"/>
      <c r="O607" s="2"/>
      <c r="P607" s="2"/>
    </row>
    <row r="608" spans="4:16" x14ac:dyDescent="0.25">
      <c r="D608" s="2"/>
      <c r="E608" s="310"/>
      <c r="G608" s="2"/>
      <c r="H608" s="310"/>
      <c r="I608" s="2"/>
      <c r="O608" s="2"/>
      <c r="P608" s="2"/>
    </row>
    <row r="609" spans="4:16" x14ac:dyDescent="0.25">
      <c r="D609" s="2"/>
      <c r="E609" s="310"/>
      <c r="G609" s="2"/>
      <c r="H609" s="310"/>
      <c r="I609" s="2"/>
      <c r="O609" s="2"/>
      <c r="P609" s="2"/>
    </row>
    <row r="610" spans="4:16" x14ac:dyDescent="0.25">
      <c r="D610" s="2"/>
      <c r="E610" s="310"/>
      <c r="G610" s="2"/>
      <c r="H610" s="310"/>
      <c r="I610" s="2"/>
      <c r="O610" s="2"/>
      <c r="P610" s="2"/>
    </row>
    <row r="611" spans="4:16" x14ac:dyDescent="0.25">
      <c r="D611" s="2"/>
      <c r="E611" s="310"/>
      <c r="G611" s="2"/>
      <c r="H611" s="310"/>
      <c r="I611" s="2"/>
      <c r="O611" s="2"/>
      <c r="P611" s="2"/>
    </row>
    <row r="612" spans="4:16" x14ac:dyDescent="0.25">
      <c r="D612" s="2"/>
      <c r="E612" s="310"/>
      <c r="G612" s="2"/>
      <c r="H612" s="310"/>
      <c r="I612" s="2"/>
      <c r="O612" s="2"/>
      <c r="P612" s="2"/>
    </row>
    <row r="613" spans="4:16" x14ac:dyDescent="0.25">
      <c r="D613" s="2"/>
      <c r="E613" s="310"/>
      <c r="G613" s="2"/>
      <c r="H613" s="310"/>
      <c r="I613" s="2"/>
      <c r="O613" s="2"/>
      <c r="P613" s="2"/>
    </row>
    <row r="614" spans="4:16" x14ac:dyDescent="0.25">
      <c r="D614" s="2"/>
      <c r="E614" s="310"/>
      <c r="G614" s="2"/>
      <c r="H614" s="310"/>
      <c r="I614" s="2"/>
      <c r="O614" s="2"/>
      <c r="P614" s="2"/>
    </row>
    <row r="615" spans="4:16" x14ac:dyDescent="0.25">
      <c r="D615" s="2"/>
      <c r="E615" s="310"/>
      <c r="G615" s="2"/>
      <c r="H615" s="310"/>
      <c r="I615" s="2"/>
      <c r="O615" s="2"/>
      <c r="P615" s="2"/>
    </row>
    <row r="616" spans="4:16" x14ac:dyDescent="0.25">
      <c r="D616" s="2"/>
      <c r="E616" s="310"/>
      <c r="G616" s="2"/>
      <c r="H616" s="310"/>
      <c r="I616" s="2"/>
      <c r="O616" s="2"/>
      <c r="P616" s="2"/>
    </row>
    <row r="617" spans="4:16" x14ac:dyDescent="0.25">
      <c r="D617" s="2"/>
      <c r="E617" s="310"/>
      <c r="G617" s="2"/>
      <c r="H617" s="310"/>
      <c r="I617" s="2"/>
      <c r="O617" s="2"/>
      <c r="P617" s="2"/>
    </row>
    <row r="618" spans="4:16" x14ac:dyDescent="0.25">
      <c r="D618" s="2"/>
      <c r="E618" s="310"/>
      <c r="G618" s="2"/>
      <c r="H618" s="310"/>
      <c r="I618" s="2"/>
      <c r="O618" s="2"/>
      <c r="P618" s="2"/>
    </row>
    <row r="619" spans="4:16" x14ac:dyDescent="0.25">
      <c r="D619" s="2"/>
      <c r="E619" s="310"/>
      <c r="G619" s="2"/>
      <c r="H619" s="310"/>
      <c r="I619" s="2"/>
      <c r="O619" s="2"/>
      <c r="P619" s="2"/>
    </row>
    <row r="620" spans="4:16" x14ac:dyDescent="0.25">
      <c r="D620" s="2"/>
      <c r="E620" s="310"/>
      <c r="G620" s="2"/>
      <c r="H620" s="310"/>
      <c r="I620" s="2"/>
      <c r="O620" s="2"/>
      <c r="P620" s="2"/>
    </row>
    <row r="621" spans="4:16" x14ac:dyDescent="0.25">
      <c r="D621" s="2"/>
      <c r="E621" s="310"/>
      <c r="G621" s="2"/>
      <c r="H621" s="310"/>
      <c r="I621" s="2"/>
      <c r="O621" s="2"/>
      <c r="P621" s="2"/>
    </row>
    <row r="622" spans="4:16" x14ac:dyDescent="0.25">
      <c r="D622" s="2"/>
      <c r="E622" s="310"/>
      <c r="G622" s="2"/>
      <c r="H622" s="310"/>
      <c r="I622" s="2"/>
      <c r="O622" s="2"/>
      <c r="P622" s="2"/>
    </row>
    <row r="623" spans="4:16" x14ac:dyDescent="0.25">
      <c r="D623" s="2"/>
      <c r="E623" s="310"/>
      <c r="G623" s="2"/>
      <c r="H623" s="310"/>
      <c r="I623" s="2"/>
      <c r="O623" s="2"/>
      <c r="P623" s="2"/>
    </row>
    <row r="624" spans="4:16" x14ac:dyDescent="0.25">
      <c r="D624" s="2"/>
      <c r="E624" s="310"/>
      <c r="G624" s="2"/>
      <c r="H624" s="310"/>
      <c r="I624" s="2"/>
      <c r="O624" s="2"/>
      <c r="P624" s="2"/>
    </row>
    <row r="625" spans="4:16" x14ac:dyDescent="0.25">
      <c r="D625" s="2"/>
      <c r="E625" s="310"/>
      <c r="G625" s="2"/>
      <c r="H625" s="310"/>
      <c r="I625" s="2"/>
      <c r="O625" s="2"/>
      <c r="P625" s="2"/>
    </row>
    <row r="626" spans="4:16" x14ac:dyDescent="0.25">
      <c r="D626" s="2"/>
      <c r="E626" s="310"/>
      <c r="G626" s="2"/>
      <c r="H626" s="310"/>
      <c r="I626" s="2"/>
      <c r="O626" s="2"/>
      <c r="P626" s="2"/>
    </row>
    <row r="627" spans="4:16" x14ac:dyDescent="0.25">
      <c r="D627" s="2"/>
      <c r="E627" s="310"/>
      <c r="G627" s="2"/>
      <c r="H627" s="310"/>
      <c r="I627" s="2"/>
      <c r="O627" s="2"/>
      <c r="P627" s="2"/>
    </row>
    <row r="628" spans="4:16" x14ac:dyDescent="0.25">
      <c r="D628" s="2"/>
      <c r="E628" s="310"/>
      <c r="G628" s="2"/>
      <c r="H628" s="310"/>
      <c r="I628" s="2"/>
      <c r="O628" s="2"/>
      <c r="P628" s="2"/>
    </row>
    <row r="629" spans="4:16" x14ac:dyDescent="0.25">
      <c r="D629" s="2"/>
      <c r="E629" s="310"/>
      <c r="G629" s="2"/>
      <c r="H629" s="310"/>
      <c r="I629" s="2"/>
      <c r="O629" s="2"/>
      <c r="P629" s="2"/>
    </row>
    <row r="630" spans="4:16" x14ac:dyDescent="0.25">
      <c r="D630" s="2"/>
      <c r="E630" s="310"/>
      <c r="G630" s="2"/>
      <c r="H630" s="310"/>
      <c r="I630" s="2"/>
      <c r="O630" s="2"/>
      <c r="P630" s="2"/>
    </row>
    <row r="631" spans="4:16" x14ac:dyDescent="0.25">
      <c r="D631" s="2"/>
      <c r="E631" s="310"/>
      <c r="G631" s="2"/>
      <c r="H631" s="310"/>
      <c r="I631" s="2"/>
      <c r="O631" s="2"/>
      <c r="P631" s="2"/>
    </row>
    <row r="632" spans="4:16" x14ac:dyDescent="0.25">
      <c r="D632" s="2"/>
      <c r="E632" s="310"/>
      <c r="G632" s="2"/>
      <c r="H632" s="310"/>
      <c r="I632" s="2"/>
      <c r="O632" s="2"/>
      <c r="P632" s="2"/>
    </row>
    <row r="633" spans="4:16" x14ac:dyDescent="0.25">
      <c r="D633" s="2"/>
      <c r="E633" s="310"/>
      <c r="G633" s="2"/>
      <c r="H633" s="310"/>
      <c r="I633" s="2"/>
      <c r="O633" s="2"/>
      <c r="P633" s="2"/>
    </row>
    <row r="634" spans="4:16" x14ac:dyDescent="0.25">
      <c r="D634" s="2"/>
      <c r="E634" s="310"/>
      <c r="G634" s="2"/>
      <c r="H634" s="310"/>
      <c r="I634" s="2"/>
      <c r="O634" s="2"/>
      <c r="P634" s="2"/>
    </row>
    <row r="635" spans="4:16" x14ac:dyDescent="0.25">
      <c r="D635" s="2"/>
      <c r="E635" s="310"/>
      <c r="G635" s="2"/>
      <c r="H635" s="310"/>
      <c r="I635" s="2"/>
      <c r="O635" s="2"/>
      <c r="P635" s="2"/>
    </row>
    <row r="636" spans="4:16" x14ac:dyDescent="0.25">
      <c r="D636" s="2"/>
      <c r="E636" s="310"/>
      <c r="G636" s="2"/>
      <c r="H636" s="310"/>
      <c r="I636" s="2"/>
      <c r="O636" s="2"/>
      <c r="P636" s="2"/>
    </row>
    <row r="637" spans="4:16" x14ac:dyDescent="0.25">
      <c r="D637" s="2"/>
      <c r="E637" s="310"/>
      <c r="G637" s="2"/>
      <c r="H637" s="310"/>
      <c r="I637" s="2"/>
      <c r="O637" s="2"/>
      <c r="P637" s="2"/>
    </row>
    <row r="638" spans="4:16" x14ac:dyDescent="0.25">
      <c r="D638" s="2"/>
      <c r="E638" s="310"/>
      <c r="G638" s="2"/>
      <c r="H638" s="310"/>
      <c r="I638" s="2"/>
      <c r="O638" s="2"/>
      <c r="P638" s="2"/>
    </row>
    <row r="639" spans="4:16" x14ac:dyDescent="0.25">
      <c r="D639" s="2"/>
      <c r="E639" s="310"/>
      <c r="G639" s="2"/>
      <c r="H639" s="310"/>
      <c r="I639" s="2"/>
      <c r="O639" s="2"/>
      <c r="P639" s="2"/>
    </row>
    <row r="640" spans="4:16" x14ac:dyDescent="0.25">
      <c r="D640" s="2"/>
      <c r="E640" s="310"/>
      <c r="G640" s="2"/>
      <c r="H640" s="310"/>
      <c r="I640" s="2"/>
      <c r="O640" s="2"/>
      <c r="P640" s="2"/>
    </row>
    <row r="641" spans="4:16" x14ac:dyDescent="0.25">
      <c r="D641" s="2"/>
      <c r="E641" s="310"/>
      <c r="G641" s="2"/>
      <c r="H641" s="310"/>
      <c r="I641" s="2"/>
      <c r="O641" s="2"/>
      <c r="P641" s="2"/>
    </row>
    <row r="642" spans="4:16" x14ac:dyDescent="0.25">
      <c r="D642" s="2"/>
      <c r="E642" s="310"/>
      <c r="G642" s="2"/>
      <c r="H642" s="310"/>
      <c r="I642" s="2"/>
      <c r="O642" s="2"/>
      <c r="P642" s="2"/>
    </row>
    <row r="643" spans="4:16" x14ac:dyDescent="0.25">
      <c r="D643" s="2"/>
      <c r="E643" s="310"/>
      <c r="G643" s="2"/>
      <c r="H643" s="310"/>
      <c r="I643" s="2"/>
      <c r="O643" s="2"/>
      <c r="P643" s="2"/>
    </row>
    <row r="644" spans="4:16" x14ac:dyDescent="0.25">
      <c r="D644" s="2"/>
      <c r="E644" s="310"/>
      <c r="G644" s="2"/>
      <c r="H644" s="310"/>
      <c r="I644" s="2"/>
      <c r="O644" s="2"/>
      <c r="P644" s="2"/>
    </row>
    <row r="645" spans="4:16" x14ac:dyDescent="0.25">
      <c r="D645" s="2"/>
      <c r="E645" s="310"/>
      <c r="G645" s="2"/>
      <c r="H645" s="310"/>
      <c r="I645" s="2"/>
      <c r="O645" s="2"/>
      <c r="P645" s="2"/>
    </row>
    <row r="646" spans="4:16" x14ac:dyDescent="0.25">
      <c r="D646" s="2"/>
      <c r="E646" s="310"/>
      <c r="G646" s="2"/>
      <c r="H646" s="310"/>
      <c r="I646" s="2"/>
      <c r="O646" s="2"/>
      <c r="P646" s="2"/>
    </row>
    <row r="647" spans="4:16" x14ac:dyDescent="0.25">
      <c r="D647" s="2"/>
      <c r="E647" s="310"/>
      <c r="G647" s="2"/>
      <c r="H647" s="310"/>
      <c r="I647" s="2"/>
      <c r="O647" s="2"/>
      <c r="P647" s="2"/>
    </row>
    <row r="648" spans="4:16" x14ac:dyDescent="0.25">
      <c r="D648" s="2"/>
      <c r="E648" s="310"/>
      <c r="G648" s="2"/>
      <c r="H648" s="310"/>
      <c r="I648" s="2"/>
      <c r="O648" s="2"/>
      <c r="P648" s="2"/>
    </row>
    <row r="649" spans="4:16" x14ac:dyDescent="0.25">
      <c r="D649" s="2"/>
      <c r="E649" s="310"/>
      <c r="G649" s="2"/>
      <c r="H649" s="310"/>
      <c r="I649" s="2"/>
      <c r="O649" s="2"/>
      <c r="P649" s="2"/>
    </row>
    <row r="650" spans="4:16" x14ac:dyDescent="0.25">
      <c r="D650" s="2"/>
      <c r="E650" s="310"/>
      <c r="G650" s="2"/>
      <c r="H650" s="310"/>
      <c r="I650" s="2"/>
      <c r="O650" s="2"/>
      <c r="P650" s="2"/>
    </row>
    <row r="651" spans="4:16" x14ac:dyDescent="0.25">
      <c r="D651" s="2"/>
      <c r="E651" s="310"/>
      <c r="G651" s="2"/>
      <c r="H651" s="310"/>
      <c r="I651" s="2"/>
      <c r="O651" s="2"/>
      <c r="P651" s="2"/>
    </row>
    <row r="652" spans="4:16" x14ac:dyDescent="0.25">
      <c r="D652" s="2"/>
      <c r="E652" s="310"/>
      <c r="G652" s="2"/>
      <c r="H652" s="310"/>
      <c r="I652" s="2"/>
      <c r="O652" s="2"/>
      <c r="P652" s="2"/>
    </row>
    <row r="653" spans="4:16" x14ac:dyDescent="0.25">
      <c r="D653" s="2"/>
      <c r="E653" s="310"/>
      <c r="G653" s="2"/>
      <c r="H653" s="310"/>
      <c r="I653" s="2"/>
      <c r="O653" s="2"/>
      <c r="P653" s="2"/>
    </row>
    <row r="654" spans="4:16" x14ac:dyDescent="0.25">
      <c r="D654" s="2"/>
      <c r="E654" s="310"/>
      <c r="G654" s="2"/>
      <c r="H654" s="310"/>
      <c r="I654" s="2"/>
      <c r="O654" s="2"/>
      <c r="P654" s="2"/>
    </row>
    <row r="655" spans="4:16" x14ac:dyDescent="0.25">
      <c r="D655" s="2"/>
      <c r="E655" s="310"/>
      <c r="G655" s="2"/>
      <c r="H655" s="310"/>
      <c r="I655" s="2"/>
      <c r="O655" s="2"/>
      <c r="P655" s="2"/>
    </row>
    <row r="656" spans="4:16" x14ac:dyDescent="0.25">
      <c r="D656" s="2"/>
      <c r="E656" s="310"/>
      <c r="G656" s="2"/>
      <c r="H656" s="310"/>
      <c r="I656" s="2"/>
      <c r="O656" s="2"/>
      <c r="P656" s="2"/>
    </row>
    <row r="657" spans="4:16" x14ac:dyDescent="0.25">
      <c r="D657" s="2"/>
      <c r="E657" s="310"/>
      <c r="G657" s="2"/>
      <c r="H657" s="310"/>
      <c r="I657" s="2"/>
      <c r="O657" s="2"/>
      <c r="P657" s="2"/>
    </row>
    <row r="658" spans="4:16" x14ac:dyDescent="0.25">
      <c r="D658" s="2"/>
      <c r="E658" s="310"/>
      <c r="G658" s="2"/>
      <c r="H658" s="310"/>
      <c r="I658" s="2"/>
      <c r="O658" s="2"/>
      <c r="P658" s="2"/>
    </row>
    <row r="659" spans="4:16" x14ac:dyDescent="0.25">
      <c r="D659" s="2"/>
      <c r="E659" s="310"/>
      <c r="G659" s="2"/>
      <c r="H659" s="310"/>
      <c r="I659" s="2"/>
      <c r="O659" s="2"/>
      <c r="P659" s="2"/>
    </row>
    <row r="660" spans="4:16" x14ac:dyDescent="0.25">
      <c r="D660" s="2"/>
      <c r="E660" s="310"/>
      <c r="G660" s="2"/>
      <c r="H660" s="310"/>
      <c r="I660" s="2"/>
      <c r="O660" s="2"/>
      <c r="P660" s="2"/>
    </row>
    <row r="661" spans="4:16" x14ac:dyDescent="0.25">
      <c r="D661" s="2"/>
      <c r="E661" s="310"/>
      <c r="G661" s="2"/>
      <c r="H661" s="310"/>
      <c r="I661" s="2"/>
      <c r="O661" s="2"/>
      <c r="P661" s="2"/>
    </row>
    <row r="662" spans="4:16" x14ac:dyDescent="0.25">
      <c r="D662" s="2"/>
      <c r="E662" s="310"/>
      <c r="G662" s="2"/>
      <c r="H662" s="310"/>
      <c r="I662" s="2"/>
      <c r="O662" s="2"/>
      <c r="P662" s="2"/>
    </row>
    <row r="663" spans="4:16" x14ac:dyDescent="0.25">
      <c r="D663" s="2"/>
      <c r="E663" s="310"/>
      <c r="G663" s="2"/>
      <c r="H663" s="310"/>
      <c r="I663" s="2"/>
      <c r="O663" s="2"/>
      <c r="P663" s="2"/>
    </row>
    <row r="664" spans="4:16" x14ac:dyDescent="0.25">
      <c r="D664" s="2"/>
      <c r="E664" s="310"/>
      <c r="G664" s="2"/>
      <c r="H664" s="310"/>
      <c r="I664" s="2"/>
      <c r="O664" s="2"/>
      <c r="P664" s="2"/>
    </row>
    <row r="665" spans="4:16" x14ac:dyDescent="0.25">
      <c r="D665" s="2"/>
      <c r="E665" s="310"/>
      <c r="G665" s="2"/>
      <c r="H665" s="310"/>
      <c r="I665" s="2"/>
      <c r="O665" s="2"/>
      <c r="P665" s="2"/>
    </row>
    <row r="666" spans="4:16" x14ac:dyDescent="0.25">
      <c r="D666" s="2"/>
      <c r="E666" s="310"/>
      <c r="G666" s="2"/>
      <c r="H666" s="310"/>
      <c r="I666" s="2"/>
      <c r="O666" s="2"/>
      <c r="P666" s="2"/>
    </row>
    <row r="667" spans="4:16" x14ac:dyDescent="0.25">
      <c r="D667" s="2"/>
      <c r="E667" s="310"/>
      <c r="G667" s="2"/>
      <c r="H667" s="310"/>
      <c r="I667" s="2"/>
      <c r="O667" s="2"/>
      <c r="P667" s="2"/>
    </row>
    <row r="668" spans="4:16" x14ac:dyDescent="0.25">
      <c r="D668" s="2"/>
      <c r="E668" s="310"/>
      <c r="G668" s="2"/>
      <c r="H668" s="310"/>
      <c r="I668" s="2"/>
      <c r="O668" s="2"/>
      <c r="P668" s="2"/>
    </row>
    <row r="669" spans="4:16" x14ac:dyDescent="0.25">
      <c r="D669" s="2"/>
      <c r="E669" s="310"/>
      <c r="G669" s="2"/>
      <c r="H669" s="310"/>
      <c r="I669" s="2"/>
      <c r="O669" s="2"/>
      <c r="P669" s="2"/>
    </row>
    <row r="670" spans="4:16" x14ac:dyDescent="0.25">
      <c r="D670" s="2"/>
      <c r="E670" s="310"/>
      <c r="G670" s="2"/>
      <c r="H670" s="310"/>
      <c r="I670" s="2"/>
      <c r="O670" s="2"/>
      <c r="P670" s="2"/>
    </row>
    <row r="671" spans="4:16" x14ac:dyDescent="0.25">
      <c r="D671" s="2"/>
      <c r="E671" s="310"/>
      <c r="G671" s="2"/>
      <c r="H671" s="310"/>
      <c r="I671" s="2"/>
      <c r="O671" s="2"/>
      <c r="P671" s="2"/>
    </row>
    <row r="672" spans="4:16" x14ac:dyDescent="0.25">
      <c r="D672" s="2"/>
      <c r="E672" s="310"/>
      <c r="G672" s="2"/>
      <c r="H672" s="310"/>
      <c r="I672" s="2"/>
      <c r="O672" s="2"/>
      <c r="P672" s="2"/>
    </row>
    <row r="673" spans="4:16" x14ac:dyDescent="0.25">
      <c r="D673" s="2"/>
      <c r="E673" s="310"/>
      <c r="G673" s="2"/>
      <c r="H673" s="310"/>
      <c r="I673" s="2"/>
      <c r="O673" s="2"/>
      <c r="P673" s="2"/>
    </row>
    <row r="674" spans="4:16" x14ac:dyDescent="0.25">
      <c r="D674" s="2"/>
      <c r="E674" s="310"/>
      <c r="G674" s="2"/>
      <c r="H674" s="310"/>
      <c r="I674" s="2"/>
      <c r="O674" s="2"/>
      <c r="P674" s="2"/>
    </row>
    <row r="675" spans="4:16" x14ac:dyDescent="0.25">
      <c r="D675" s="2"/>
      <c r="E675" s="310"/>
      <c r="G675" s="2"/>
      <c r="H675" s="310"/>
      <c r="I675" s="2"/>
      <c r="O675" s="2"/>
      <c r="P675" s="2"/>
    </row>
    <row r="676" spans="4:16" x14ac:dyDescent="0.25">
      <c r="D676" s="2"/>
      <c r="E676" s="310"/>
      <c r="G676" s="2"/>
      <c r="H676" s="310"/>
      <c r="I676" s="2"/>
      <c r="O676" s="2"/>
      <c r="P676" s="2"/>
    </row>
    <row r="677" spans="4:16" x14ac:dyDescent="0.25">
      <c r="D677" s="2"/>
      <c r="E677" s="310"/>
      <c r="G677" s="2"/>
      <c r="H677" s="310"/>
      <c r="I677" s="2"/>
      <c r="O677" s="2"/>
      <c r="P677" s="2"/>
    </row>
    <row r="678" spans="4:16" x14ac:dyDescent="0.25">
      <c r="D678" s="2"/>
      <c r="E678" s="310"/>
      <c r="G678" s="2"/>
      <c r="H678" s="310"/>
      <c r="I678" s="2"/>
      <c r="O678" s="2"/>
      <c r="P678" s="2"/>
    </row>
    <row r="679" spans="4:16" x14ac:dyDescent="0.25">
      <c r="D679" s="2"/>
      <c r="E679" s="310"/>
      <c r="G679" s="2"/>
      <c r="H679" s="310"/>
      <c r="I679" s="2"/>
      <c r="O679" s="2"/>
      <c r="P679" s="2"/>
    </row>
    <row r="680" spans="4:16" x14ac:dyDescent="0.25">
      <c r="D680" s="2"/>
      <c r="E680" s="310"/>
      <c r="G680" s="2"/>
      <c r="H680" s="310"/>
      <c r="I680" s="2"/>
      <c r="O680" s="2"/>
      <c r="P680" s="2"/>
    </row>
    <row r="681" spans="4:16" x14ac:dyDescent="0.25">
      <c r="D681" s="2"/>
      <c r="E681" s="310"/>
      <c r="G681" s="2"/>
      <c r="H681" s="310"/>
      <c r="I681" s="2"/>
      <c r="O681" s="2"/>
      <c r="P681" s="2"/>
    </row>
    <row r="682" spans="4:16" x14ac:dyDescent="0.25">
      <c r="D682" s="2"/>
      <c r="E682" s="310"/>
      <c r="G682" s="2"/>
      <c r="H682" s="310"/>
      <c r="I682" s="2"/>
      <c r="O682" s="2"/>
      <c r="P682" s="2"/>
    </row>
    <row r="683" spans="4:16" x14ac:dyDescent="0.25">
      <c r="D683" s="2"/>
      <c r="E683" s="310"/>
      <c r="G683" s="2"/>
      <c r="H683" s="310"/>
      <c r="I683" s="2"/>
      <c r="O683" s="2"/>
      <c r="P683" s="2"/>
    </row>
    <row r="684" spans="4:16" x14ac:dyDescent="0.25">
      <c r="D684" s="2"/>
      <c r="E684" s="310"/>
      <c r="G684" s="2"/>
      <c r="H684" s="310"/>
      <c r="I684" s="2"/>
      <c r="O684" s="2"/>
      <c r="P684" s="2"/>
    </row>
    <row r="685" spans="4:16" x14ac:dyDescent="0.25">
      <c r="D685" s="2"/>
      <c r="E685" s="310"/>
      <c r="G685" s="2"/>
      <c r="H685" s="310"/>
      <c r="I685" s="2"/>
      <c r="O685" s="2"/>
      <c r="P685" s="2"/>
    </row>
    <row r="686" spans="4:16" x14ac:dyDescent="0.25">
      <c r="D686" s="2"/>
      <c r="E686" s="310"/>
      <c r="G686" s="2"/>
      <c r="H686" s="310"/>
      <c r="I686" s="2"/>
      <c r="O686" s="2"/>
      <c r="P686" s="2"/>
    </row>
    <row r="687" spans="4:16" x14ac:dyDescent="0.25">
      <c r="D687" s="2"/>
      <c r="E687" s="310"/>
      <c r="G687" s="2"/>
      <c r="H687" s="310"/>
      <c r="I687" s="2"/>
      <c r="O687" s="2"/>
      <c r="P687" s="2"/>
    </row>
    <row r="688" spans="4:16" x14ac:dyDescent="0.25">
      <c r="D688" s="2"/>
      <c r="E688" s="310"/>
      <c r="G688" s="2"/>
      <c r="H688" s="310"/>
      <c r="I688" s="2"/>
      <c r="O688" s="2"/>
      <c r="P688" s="2"/>
    </row>
    <row r="689" spans="4:16" x14ac:dyDescent="0.25">
      <c r="D689" s="2"/>
      <c r="E689" s="310"/>
      <c r="G689" s="2"/>
      <c r="H689" s="310"/>
      <c r="I689" s="2"/>
      <c r="O689" s="2"/>
      <c r="P689" s="2"/>
    </row>
    <row r="690" spans="4:16" x14ac:dyDescent="0.25">
      <c r="D690" s="2"/>
      <c r="E690" s="310"/>
      <c r="G690" s="2"/>
      <c r="H690" s="310"/>
      <c r="I690" s="2"/>
      <c r="O690" s="2"/>
      <c r="P690" s="2"/>
    </row>
    <row r="691" spans="4:16" x14ac:dyDescent="0.25">
      <c r="D691" s="2"/>
      <c r="E691" s="310"/>
      <c r="G691" s="2"/>
      <c r="H691" s="310"/>
      <c r="I691" s="2"/>
      <c r="O691" s="2"/>
      <c r="P691" s="2"/>
    </row>
    <row r="692" spans="4:16" x14ac:dyDescent="0.25">
      <c r="D692" s="2"/>
      <c r="E692" s="310"/>
      <c r="G692" s="2"/>
      <c r="H692" s="310"/>
      <c r="I692" s="2"/>
      <c r="O692" s="2"/>
      <c r="P692" s="2"/>
    </row>
    <row r="693" spans="4:16" x14ac:dyDescent="0.25">
      <c r="D693" s="2"/>
      <c r="E693" s="310"/>
      <c r="G693" s="2"/>
      <c r="H693" s="310"/>
      <c r="I693" s="2"/>
      <c r="O693" s="2"/>
      <c r="P693" s="2"/>
    </row>
    <row r="694" spans="4:16" x14ac:dyDescent="0.25">
      <c r="D694" s="2"/>
      <c r="E694" s="310"/>
      <c r="G694" s="2"/>
      <c r="H694" s="310"/>
      <c r="I694" s="2"/>
      <c r="O694" s="2"/>
      <c r="P694" s="2"/>
    </row>
    <row r="695" spans="4:16" x14ac:dyDescent="0.25">
      <c r="D695" s="2"/>
      <c r="E695" s="310"/>
      <c r="G695" s="2"/>
      <c r="H695" s="310"/>
      <c r="I695" s="2"/>
      <c r="O695" s="2"/>
      <c r="P695" s="2"/>
    </row>
    <row r="696" spans="4:16" x14ac:dyDescent="0.25">
      <c r="D696" s="2"/>
      <c r="E696" s="310"/>
      <c r="G696" s="2"/>
      <c r="H696" s="310"/>
      <c r="I696" s="2"/>
      <c r="O696" s="2"/>
      <c r="P696" s="2"/>
    </row>
    <row r="697" spans="4:16" x14ac:dyDescent="0.25">
      <c r="D697" s="2"/>
      <c r="E697" s="310"/>
      <c r="G697" s="2"/>
      <c r="H697" s="310"/>
      <c r="I697" s="2"/>
      <c r="O697" s="2"/>
      <c r="P697" s="2"/>
    </row>
    <row r="698" spans="4:16" x14ac:dyDescent="0.25">
      <c r="D698" s="2"/>
      <c r="E698" s="310"/>
      <c r="G698" s="2"/>
      <c r="H698" s="310"/>
      <c r="I698" s="2"/>
      <c r="O698" s="2"/>
      <c r="P698" s="2"/>
    </row>
    <row r="699" spans="4:16" x14ac:dyDescent="0.25">
      <c r="D699" s="2"/>
      <c r="E699" s="310"/>
      <c r="G699" s="2"/>
      <c r="H699" s="310"/>
      <c r="I699" s="2"/>
      <c r="O699" s="2"/>
      <c r="P699" s="2"/>
    </row>
    <row r="700" spans="4:16" x14ac:dyDescent="0.25">
      <c r="D700" s="2"/>
      <c r="E700" s="310"/>
      <c r="G700" s="2"/>
      <c r="H700" s="310"/>
      <c r="I700" s="2"/>
      <c r="O700" s="2"/>
      <c r="P700" s="2"/>
    </row>
    <row r="701" spans="4:16" x14ac:dyDescent="0.25">
      <c r="D701" s="2"/>
      <c r="E701" s="310"/>
      <c r="G701" s="2"/>
      <c r="H701" s="310"/>
      <c r="I701" s="2"/>
      <c r="O701" s="2"/>
      <c r="P701" s="2"/>
    </row>
    <row r="702" spans="4:16" x14ac:dyDescent="0.25">
      <c r="D702" s="2"/>
      <c r="E702" s="310"/>
      <c r="G702" s="2"/>
      <c r="H702" s="310"/>
      <c r="I702" s="2"/>
      <c r="O702" s="2"/>
      <c r="P702" s="2"/>
    </row>
    <row r="703" spans="4:16" x14ac:dyDescent="0.25">
      <c r="D703" s="2"/>
      <c r="E703" s="310"/>
      <c r="G703" s="2"/>
      <c r="H703" s="310"/>
      <c r="I703" s="2"/>
      <c r="O703" s="2"/>
      <c r="P703" s="2"/>
    </row>
    <row r="704" spans="4:16" x14ac:dyDescent="0.25">
      <c r="D704" s="2"/>
      <c r="E704" s="310"/>
      <c r="G704" s="2"/>
      <c r="H704" s="310"/>
      <c r="I704" s="2"/>
      <c r="O704" s="2"/>
      <c r="P704" s="2"/>
    </row>
    <row r="705" spans="4:16" x14ac:dyDescent="0.25">
      <c r="D705" s="2"/>
      <c r="E705" s="310"/>
      <c r="G705" s="2"/>
      <c r="H705" s="310"/>
      <c r="I705" s="2"/>
      <c r="O705" s="2"/>
      <c r="P705" s="2"/>
    </row>
    <row r="706" spans="4:16" x14ac:dyDescent="0.25">
      <c r="D706" s="2"/>
      <c r="E706" s="310"/>
      <c r="G706" s="2"/>
      <c r="H706" s="310"/>
      <c r="I706" s="2"/>
      <c r="O706" s="2"/>
      <c r="P706" s="2"/>
    </row>
    <row r="707" spans="4:16" x14ac:dyDescent="0.25">
      <c r="D707" s="2"/>
      <c r="E707" s="310"/>
      <c r="G707" s="2"/>
      <c r="H707" s="310"/>
      <c r="I707" s="2"/>
      <c r="O707" s="2"/>
      <c r="P707" s="2"/>
    </row>
    <row r="708" spans="4:16" x14ac:dyDescent="0.25">
      <c r="D708" s="2"/>
      <c r="E708" s="310"/>
      <c r="G708" s="2"/>
      <c r="H708" s="310"/>
      <c r="I708" s="2"/>
      <c r="O708" s="2"/>
      <c r="P708" s="2"/>
    </row>
    <row r="709" spans="4:16" x14ac:dyDescent="0.25">
      <c r="D709" s="2"/>
      <c r="E709" s="310"/>
      <c r="G709" s="2"/>
      <c r="H709" s="310"/>
      <c r="I709" s="2"/>
      <c r="O709" s="2"/>
      <c r="P709" s="2"/>
    </row>
    <row r="710" spans="4:16" x14ac:dyDescent="0.25">
      <c r="D710" s="2"/>
      <c r="E710" s="310"/>
      <c r="G710" s="2"/>
      <c r="H710" s="310"/>
      <c r="I710" s="2"/>
      <c r="O710" s="2"/>
      <c r="P710" s="2"/>
    </row>
    <row r="711" spans="4:16" x14ac:dyDescent="0.25">
      <c r="D711" s="2"/>
      <c r="E711" s="310"/>
      <c r="G711" s="2"/>
      <c r="H711" s="310"/>
      <c r="I711" s="2"/>
      <c r="O711" s="2"/>
      <c r="P711" s="2"/>
    </row>
    <row r="712" spans="4:16" x14ac:dyDescent="0.25">
      <c r="D712" s="2"/>
      <c r="E712" s="310"/>
      <c r="G712" s="2"/>
      <c r="H712" s="310"/>
      <c r="I712" s="2"/>
      <c r="O712" s="2"/>
      <c r="P712" s="2"/>
    </row>
    <row r="713" spans="4:16" x14ac:dyDescent="0.25">
      <c r="D713" s="2"/>
      <c r="E713" s="310"/>
      <c r="G713" s="2"/>
      <c r="H713" s="310"/>
      <c r="I713" s="2"/>
      <c r="O713" s="2"/>
      <c r="P713" s="2"/>
    </row>
    <row r="714" spans="4:16" x14ac:dyDescent="0.25">
      <c r="D714" s="2"/>
      <c r="E714" s="310"/>
      <c r="G714" s="2"/>
      <c r="H714" s="310"/>
      <c r="I714" s="2"/>
      <c r="O714" s="2"/>
      <c r="P714" s="2"/>
    </row>
    <row r="715" spans="4:16" x14ac:dyDescent="0.25">
      <c r="D715" s="2"/>
      <c r="E715" s="310"/>
      <c r="G715" s="2"/>
      <c r="H715" s="310"/>
      <c r="I715" s="2"/>
      <c r="O715" s="2"/>
      <c r="P715" s="2"/>
    </row>
    <row r="716" spans="4:16" x14ac:dyDescent="0.25">
      <c r="D716" s="2"/>
      <c r="E716" s="310"/>
      <c r="G716" s="2"/>
      <c r="H716" s="310"/>
      <c r="I716" s="2"/>
      <c r="O716" s="2"/>
      <c r="P716" s="2"/>
    </row>
    <row r="717" spans="4:16" x14ac:dyDescent="0.25">
      <c r="D717" s="2"/>
      <c r="E717" s="310"/>
      <c r="G717" s="2"/>
      <c r="H717" s="310"/>
      <c r="I717" s="2"/>
      <c r="O717" s="2"/>
      <c r="P717" s="2"/>
    </row>
    <row r="718" spans="4:16" x14ac:dyDescent="0.25">
      <c r="D718" s="2"/>
      <c r="E718" s="310"/>
      <c r="G718" s="2"/>
      <c r="H718" s="310"/>
      <c r="I718" s="2"/>
      <c r="O718" s="2"/>
      <c r="P718" s="2"/>
    </row>
    <row r="719" spans="4:16" x14ac:dyDescent="0.25">
      <c r="D719" s="2"/>
      <c r="E719" s="310"/>
      <c r="G719" s="2"/>
      <c r="H719" s="310"/>
      <c r="I719" s="2"/>
      <c r="O719" s="2"/>
      <c r="P719" s="2"/>
    </row>
    <row r="720" spans="4:16" x14ac:dyDescent="0.25">
      <c r="D720" s="2"/>
      <c r="E720" s="310"/>
      <c r="G720" s="2"/>
      <c r="H720" s="310"/>
      <c r="I720" s="2"/>
      <c r="O720" s="2"/>
      <c r="P720" s="2"/>
    </row>
    <row r="721" spans="4:16" x14ac:dyDescent="0.25">
      <c r="D721" s="2"/>
      <c r="E721" s="310"/>
      <c r="G721" s="2"/>
      <c r="H721" s="310"/>
      <c r="I721" s="2"/>
      <c r="O721" s="2"/>
      <c r="P721" s="2"/>
    </row>
    <row r="722" spans="4:16" x14ac:dyDescent="0.25">
      <c r="D722" s="2"/>
      <c r="E722" s="310"/>
      <c r="G722" s="2"/>
      <c r="H722" s="310"/>
      <c r="I722" s="2"/>
      <c r="O722" s="2"/>
      <c r="P722" s="2"/>
    </row>
    <row r="723" spans="4:16" x14ac:dyDescent="0.25">
      <c r="D723" s="2"/>
      <c r="E723" s="310"/>
      <c r="G723" s="2"/>
      <c r="H723" s="310"/>
      <c r="I723" s="2"/>
      <c r="O723" s="2"/>
      <c r="P723" s="2"/>
    </row>
    <row r="724" spans="4:16" x14ac:dyDescent="0.25">
      <c r="D724" s="2"/>
      <c r="E724" s="310"/>
      <c r="G724" s="2"/>
      <c r="H724" s="310"/>
      <c r="I724" s="2"/>
      <c r="O724" s="2"/>
      <c r="P724" s="2"/>
    </row>
    <row r="725" spans="4:16" x14ac:dyDescent="0.25">
      <c r="D725" s="2"/>
      <c r="E725" s="310"/>
      <c r="G725" s="2"/>
      <c r="H725" s="310"/>
      <c r="I725" s="2"/>
      <c r="O725" s="2"/>
      <c r="P725" s="2"/>
    </row>
    <row r="726" spans="4:16" x14ac:dyDescent="0.25">
      <c r="D726" s="2"/>
      <c r="E726" s="310"/>
      <c r="G726" s="2"/>
      <c r="H726" s="310"/>
      <c r="I726" s="2"/>
      <c r="O726" s="2"/>
      <c r="P726" s="2"/>
    </row>
    <row r="727" spans="4:16" x14ac:dyDescent="0.25">
      <c r="D727" s="2"/>
      <c r="E727" s="310"/>
      <c r="G727" s="2"/>
      <c r="H727" s="310"/>
      <c r="I727" s="2"/>
      <c r="O727" s="2"/>
      <c r="P727" s="2"/>
    </row>
    <row r="728" spans="4:16" x14ac:dyDescent="0.25">
      <c r="D728" s="2"/>
      <c r="E728" s="310"/>
      <c r="G728" s="2"/>
      <c r="H728" s="310"/>
      <c r="I728" s="2"/>
      <c r="O728" s="2"/>
      <c r="P728" s="2"/>
    </row>
    <row r="729" spans="4:16" x14ac:dyDescent="0.25">
      <c r="D729" s="2"/>
      <c r="E729" s="310"/>
      <c r="G729" s="2"/>
      <c r="H729" s="310"/>
      <c r="I729" s="2"/>
      <c r="O729" s="2"/>
      <c r="P729" s="2"/>
    </row>
    <row r="730" spans="4:16" x14ac:dyDescent="0.25">
      <c r="D730" s="2"/>
      <c r="E730" s="310"/>
      <c r="G730" s="2"/>
      <c r="H730" s="310"/>
      <c r="I730" s="2"/>
      <c r="O730" s="2"/>
      <c r="P730" s="2"/>
    </row>
    <row r="731" spans="4:16" x14ac:dyDescent="0.25">
      <c r="D731" s="2"/>
      <c r="E731" s="310"/>
      <c r="G731" s="2"/>
      <c r="H731" s="310"/>
      <c r="I731" s="2"/>
      <c r="O731" s="2"/>
      <c r="P731" s="2"/>
    </row>
    <row r="732" spans="4:16" x14ac:dyDescent="0.25">
      <c r="D732" s="2"/>
      <c r="E732" s="310"/>
      <c r="G732" s="2"/>
      <c r="H732" s="310"/>
      <c r="I732" s="2"/>
      <c r="O732" s="2"/>
      <c r="P732" s="2"/>
    </row>
    <row r="733" spans="4:16" x14ac:dyDescent="0.25">
      <c r="D733" s="2"/>
      <c r="E733" s="310"/>
      <c r="G733" s="2"/>
      <c r="H733" s="310"/>
      <c r="I733" s="2"/>
      <c r="O733" s="2"/>
      <c r="P733" s="2"/>
    </row>
    <row r="734" spans="4:16" x14ac:dyDescent="0.25">
      <c r="D734" s="2"/>
      <c r="E734" s="310"/>
      <c r="G734" s="2"/>
      <c r="H734" s="310"/>
      <c r="I734" s="2"/>
      <c r="O734" s="2"/>
      <c r="P734" s="2"/>
    </row>
    <row r="735" spans="4:16" x14ac:dyDescent="0.25">
      <c r="D735" s="2"/>
      <c r="E735" s="310"/>
      <c r="G735" s="2"/>
      <c r="H735" s="310"/>
      <c r="I735" s="2"/>
      <c r="O735" s="2"/>
      <c r="P735" s="2"/>
    </row>
    <row r="736" spans="4:16" x14ac:dyDescent="0.25">
      <c r="D736" s="2"/>
      <c r="E736" s="310"/>
      <c r="G736" s="2"/>
      <c r="H736" s="310"/>
      <c r="I736" s="2"/>
      <c r="O736" s="2"/>
      <c r="P736" s="2"/>
    </row>
    <row r="737" spans="4:16" x14ac:dyDescent="0.25">
      <c r="D737" s="2"/>
      <c r="E737" s="310"/>
      <c r="G737" s="2"/>
      <c r="H737" s="310"/>
      <c r="I737" s="2"/>
      <c r="O737" s="2"/>
      <c r="P737" s="2"/>
    </row>
    <row r="738" spans="4:16" x14ac:dyDescent="0.25">
      <c r="D738" s="2"/>
      <c r="E738" s="310"/>
      <c r="G738" s="2"/>
      <c r="H738" s="310"/>
      <c r="I738" s="2"/>
      <c r="O738" s="2"/>
      <c r="P738" s="2"/>
    </row>
    <row r="739" spans="4:16" x14ac:dyDescent="0.25">
      <c r="D739" s="2"/>
      <c r="E739" s="310"/>
      <c r="G739" s="2"/>
      <c r="H739" s="310"/>
      <c r="I739" s="2"/>
      <c r="O739" s="2"/>
      <c r="P739" s="2"/>
    </row>
    <row r="740" spans="4:16" x14ac:dyDescent="0.25">
      <c r="D740" s="2"/>
      <c r="E740" s="310"/>
      <c r="G740" s="2"/>
      <c r="H740" s="310"/>
      <c r="I740" s="2"/>
      <c r="O740" s="2"/>
      <c r="P740" s="2"/>
    </row>
    <row r="741" spans="4:16" x14ac:dyDescent="0.25">
      <c r="D741" s="2"/>
      <c r="E741" s="310"/>
      <c r="G741" s="2"/>
      <c r="H741" s="310"/>
      <c r="I741" s="2"/>
      <c r="O741" s="2"/>
      <c r="P741" s="2"/>
    </row>
    <row r="742" spans="4:16" x14ac:dyDescent="0.25">
      <c r="D742" s="2"/>
      <c r="E742" s="310"/>
      <c r="G742" s="2"/>
      <c r="H742" s="310"/>
      <c r="I742" s="2"/>
      <c r="O742" s="2"/>
      <c r="P742" s="2"/>
    </row>
    <row r="743" spans="4:16" x14ac:dyDescent="0.25">
      <c r="D743" s="2"/>
      <c r="E743" s="310"/>
      <c r="G743" s="2"/>
      <c r="H743" s="310"/>
      <c r="I743" s="2"/>
      <c r="O743" s="2"/>
      <c r="P743" s="2"/>
    </row>
    <row r="744" spans="4:16" x14ac:dyDescent="0.25">
      <c r="D744" s="2"/>
      <c r="E744" s="310"/>
      <c r="G744" s="2"/>
      <c r="H744" s="310"/>
      <c r="I744" s="2"/>
      <c r="O744" s="2"/>
      <c r="P744" s="2"/>
    </row>
    <row r="745" spans="4:16" x14ac:dyDescent="0.25">
      <c r="D745" s="2"/>
      <c r="E745" s="310"/>
      <c r="G745" s="2"/>
      <c r="H745" s="310"/>
      <c r="I745" s="2"/>
      <c r="O745" s="2"/>
      <c r="P745" s="2"/>
    </row>
    <row r="746" spans="4:16" x14ac:dyDescent="0.25">
      <c r="D746" s="2"/>
      <c r="E746" s="310"/>
      <c r="G746" s="2"/>
      <c r="H746" s="310"/>
      <c r="I746" s="2"/>
      <c r="O746" s="2"/>
      <c r="P746" s="2"/>
    </row>
    <row r="747" spans="4:16" x14ac:dyDescent="0.25">
      <c r="D747" s="2"/>
      <c r="E747" s="310"/>
      <c r="G747" s="2"/>
      <c r="H747" s="310"/>
      <c r="I747" s="2"/>
      <c r="O747" s="2"/>
      <c r="P747" s="2"/>
    </row>
    <row r="748" spans="4:16" x14ac:dyDescent="0.25">
      <c r="D748" s="2"/>
      <c r="E748" s="310"/>
      <c r="G748" s="2"/>
      <c r="H748" s="310"/>
      <c r="I748" s="2"/>
      <c r="O748" s="2"/>
      <c r="P748" s="2"/>
    </row>
    <row r="749" spans="4:16" x14ac:dyDescent="0.25">
      <c r="D749" s="2"/>
      <c r="E749" s="310"/>
      <c r="G749" s="2"/>
      <c r="H749" s="310"/>
      <c r="I749" s="2"/>
      <c r="O749" s="2"/>
      <c r="P749" s="2"/>
    </row>
    <row r="750" spans="4:16" x14ac:dyDescent="0.25">
      <c r="D750" s="2"/>
      <c r="E750" s="310"/>
      <c r="G750" s="2"/>
      <c r="H750" s="310"/>
      <c r="I750" s="2"/>
      <c r="O750" s="2"/>
      <c r="P750" s="2"/>
    </row>
    <row r="751" spans="4:16" x14ac:dyDescent="0.25">
      <c r="D751" s="2"/>
      <c r="E751" s="310"/>
      <c r="G751" s="2"/>
      <c r="H751" s="310"/>
      <c r="I751" s="2"/>
      <c r="O751" s="2"/>
      <c r="P751" s="2"/>
    </row>
    <row r="752" spans="4:16" x14ac:dyDescent="0.25">
      <c r="D752" s="2"/>
      <c r="E752" s="310"/>
      <c r="G752" s="2"/>
      <c r="H752" s="310"/>
      <c r="I752" s="2"/>
      <c r="O752" s="2"/>
      <c r="P752" s="2"/>
    </row>
    <row r="753" spans="4:16" x14ac:dyDescent="0.25">
      <c r="D753" s="2"/>
      <c r="E753" s="310"/>
      <c r="G753" s="2"/>
      <c r="H753" s="310"/>
      <c r="I753" s="2"/>
      <c r="O753" s="2"/>
      <c r="P753" s="2"/>
    </row>
    <row r="754" spans="4:16" x14ac:dyDescent="0.25">
      <c r="D754" s="2"/>
      <c r="E754" s="310"/>
      <c r="G754" s="2"/>
      <c r="H754" s="310"/>
      <c r="I754" s="2"/>
      <c r="O754" s="2"/>
      <c r="P754" s="2"/>
    </row>
    <row r="755" spans="4:16" x14ac:dyDescent="0.25">
      <c r="D755" s="2"/>
      <c r="E755" s="310"/>
      <c r="G755" s="2"/>
      <c r="H755" s="310"/>
      <c r="I755" s="2"/>
      <c r="O755" s="2"/>
      <c r="P755" s="2"/>
    </row>
    <row r="756" spans="4:16" x14ac:dyDescent="0.25">
      <c r="D756" s="2"/>
      <c r="E756" s="310"/>
      <c r="G756" s="2"/>
      <c r="H756" s="310"/>
      <c r="I756" s="2"/>
      <c r="O756" s="2"/>
      <c r="P756" s="2"/>
    </row>
    <row r="757" spans="4:16" x14ac:dyDescent="0.25">
      <c r="D757" s="2"/>
      <c r="E757" s="310"/>
      <c r="G757" s="2"/>
      <c r="H757" s="310"/>
      <c r="I757" s="2"/>
      <c r="O757" s="2"/>
      <c r="P757" s="2"/>
    </row>
    <row r="758" spans="4:16" x14ac:dyDescent="0.25">
      <c r="D758" s="2"/>
      <c r="E758" s="310"/>
      <c r="G758" s="2"/>
      <c r="H758" s="310"/>
      <c r="I758" s="2"/>
      <c r="O758" s="2"/>
      <c r="P758" s="2"/>
    </row>
    <row r="759" spans="4:16" x14ac:dyDescent="0.25">
      <c r="D759" s="2"/>
      <c r="E759" s="310"/>
      <c r="G759" s="2"/>
      <c r="H759" s="310"/>
      <c r="I759" s="2"/>
      <c r="O759" s="2"/>
      <c r="P759" s="2"/>
    </row>
    <row r="760" spans="4:16" x14ac:dyDescent="0.25">
      <c r="D760" s="2"/>
      <c r="E760" s="310"/>
      <c r="G760" s="2"/>
      <c r="H760" s="310"/>
      <c r="I760" s="2"/>
      <c r="O760" s="2"/>
      <c r="P760" s="2"/>
    </row>
    <row r="761" spans="4:16" x14ac:dyDescent="0.25">
      <c r="D761" s="2"/>
      <c r="E761" s="310"/>
      <c r="G761" s="2"/>
      <c r="H761" s="310"/>
      <c r="I761" s="2"/>
      <c r="O761" s="2"/>
      <c r="P761" s="2"/>
    </row>
    <row r="762" spans="4:16" x14ac:dyDescent="0.25">
      <c r="D762" s="2"/>
      <c r="E762" s="310"/>
      <c r="G762" s="2"/>
      <c r="H762" s="310"/>
      <c r="I762" s="2"/>
      <c r="O762" s="2"/>
      <c r="P762" s="2"/>
    </row>
    <row r="763" spans="4:16" x14ac:dyDescent="0.25">
      <c r="D763" s="2"/>
      <c r="E763" s="310"/>
      <c r="G763" s="2"/>
      <c r="H763" s="310"/>
      <c r="I763" s="2"/>
      <c r="O763" s="2"/>
      <c r="P763" s="2"/>
    </row>
    <row r="764" spans="4:16" x14ac:dyDescent="0.25">
      <c r="D764" s="2"/>
      <c r="E764" s="310"/>
      <c r="G764" s="2"/>
      <c r="H764" s="310"/>
      <c r="I764" s="2"/>
      <c r="O764" s="2"/>
      <c r="P764" s="2"/>
    </row>
    <row r="765" spans="4:16" x14ac:dyDescent="0.25">
      <c r="D765" s="2"/>
      <c r="E765" s="310"/>
      <c r="G765" s="2"/>
      <c r="H765" s="310"/>
      <c r="I765" s="2"/>
      <c r="O765" s="2"/>
      <c r="P765" s="2"/>
    </row>
    <row r="766" spans="4:16" x14ac:dyDescent="0.25">
      <c r="D766" s="2"/>
      <c r="E766" s="310"/>
      <c r="G766" s="2"/>
      <c r="H766" s="310"/>
      <c r="I766" s="2"/>
      <c r="O766" s="2"/>
      <c r="P766" s="2"/>
    </row>
    <row r="767" spans="4:16" x14ac:dyDescent="0.25">
      <c r="D767" s="2"/>
      <c r="E767" s="310"/>
      <c r="G767" s="2"/>
      <c r="H767" s="310"/>
      <c r="I767" s="2"/>
      <c r="O767" s="2"/>
      <c r="P767" s="2"/>
    </row>
    <row r="768" spans="4:16" x14ac:dyDescent="0.25">
      <c r="D768" s="2"/>
      <c r="E768" s="310"/>
      <c r="G768" s="2"/>
      <c r="H768" s="310"/>
      <c r="I768" s="2"/>
      <c r="O768" s="2"/>
      <c r="P768" s="2"/>
    </row>
    <row r="769" spans="4:16" x14ac:dyDescent="0.25">
      <c r="D769" s="2"/>
      <c r="E769" s="310"/>
      <c r="G769" s="2"/>
      <c r="H769" s="310"/>
      <c r="I769" s="2"/>
      <c r="O769" s="2"/>
      <c r="P769" s="2"/>
    </row>
    <row r="770" spans="4:16" x14ac:dyDescent="0.25">
      <c r="D770" s="2"/>
      <c r="E770" s="310"/>
      <c r="G770" s="2"/>
      <c r="H770" s="310"/>
      <c r="I770" s="2"/>
      <c r="O770" s="2"/>
      <c r="P770" s="2"/>
    </row>
    <row r="771" spans="4:16" x14ac:dyDescent="0.25">
      <c r="D771" s="2"/>
      <c r="E771" s="310"/>
      <c r="G771" s="2"/>
      <c r="H771" s="310"/>
      <c r="I771" s="2"/>
      <c r="O771" s="2"/>
      <c r="P771" s="2"/>
    </row>
    <row r="772" spans="4:16" x14ac:dyDescent="0.25">
      <c r="D772" s="2"/>
      <c r="E772" s="310"/>
      <c r="G772" s="2"/>
      <c r="H772" s="310"/>
      <c r="I772" s="2"/>
      <c r="O772" s="2"/>
      <c r="P772" s="2"/>
    </row>
    <row r="773" spans="4:16" x14ac:dyDescent="0.25">
      <c r="D773" s="2"/>
      <c r="E773" s="310"/>
      <c r="G773" s="2"/>
      <c r="H773" s="310"/>
      <c r="I773" s="2"/>
      <c r="O773" s="2"/>
      <c r="P773" s="2"/>
    </row>
    <row r="774" spans="4:16" x14ac:dyDescent="0.25">
      <c r="D774" s="2"/>
      <c r="E774" s="310"/>
      <c r="G774" s="2"/>
      <c r="H774" s="310"/>
      <c r="I774" s="2"/>
      <c r="O774" s="2"/>
      <c r="P774" s="2"/>
    </row>
    <row r="775" spans="4:16" x14ac:dyDescent="0.25">
      <c r="D775" s="2"/>
      <c r="E775" s="310"/>
      <c r="G775" s="2"/>
      <c r="H775" s="310"/>
      <c r="I775" s="2"/>
      <c r="O775" s="2"/>
      <c r="P775" s="2"/>
    </row>
    <row r="776" spans="4:16" x14ac:dyDescent="0.25">
      <c r="D776" s="2"/>
      <c r="E776" s="310"/>
      <c r="G776" s="2"/>
      <c r="H776" s="310"/>
      <c r="I776" s="2"/>
      <c r="O776" s="2"/>
      <c r="P776" s="2"/>
    </row>
    <row r="777" spans="4:16" x14ac:dyDescent="0.25">
      <c r="D777" s="2"/>
      <c r="E777" s="310"/>
      <c r="G777" s="2"/>
      <c r="H777" s="310"/>
      <c r="I777" s="2"/>
      <c r="O777" s="2"/>
      <c r="P777" s="2"/>
    </row>
    <row r="778" spans="4:16" x14ac:dyDescent="0.25">
      <c r="D778" s="2"/>
      <c r="E778" s="310"/>
      <c r="G778" s="2"/>
      <c r="H778" s="310"/>
      <c r="I778" s="2"/>
      <c r="O778" s="2"/>
      <c r="P778" s="2"/>
    </row>
    <row r="779" spans="4:16" x14ac:dyDescent="0.25">
      <c r="D779" s="2"/>
      <c r="E779" s="310"/>
      <c r="G779" s="2"/>
      <c r="H779" s="310"/>
      <c r="I779" s="2"/>
      <c r="O779" s="2"/>
      <c r="P779" s="2"/>
    </row>
    <row r="780" spans="4:16" x14ac:dyDescent="0.25">
      <c r="D780" s="2"/>
      <c r="E780" s="310"/>
      <c r="G780" s="2"/>
      <c r="H780" s="310"/>
      <c r="I780" s="2"/>
      <c r="O780" s="2"/>
      <c r="P780" s="2"/>
    </row>
    <row r="781" spans="4:16" x14ac:dyDescent="0.25">
      <c r="D781" s="2"/>
      <c r="E781" s="310"/>
      <c r="G781" s="2"/>
      <c r="H781" s="310"/>
      <c r="I781" s="2"/>
      <c r="O781" s="2"/>
      <c r="P781" s="2"/>
    </row>
    <row r="782" spans="4:16" x14ac:dyDescent="0.25">
      <c r="D782" s="2"/>
      <c r="E782" s="310"/>
      <c r="G782" s="2"/>
      <c r="H782" s="310"/>
      <c r="I782" s="2"/>
      <c r="O782" s="2"/>
      <c r="P782" s="2"/>
    </row>
    <row r="783" spans="4:16" x14ac:dyDescent="0.25">
      <c r="D783" s="2"/>
      <c r="E783" s="310"/>
      <c r="G783" s="2"/>
      <c r="H783" s="310"/>
      <c r="I783" s="2"/>
      <c r="O783" s="2"/>
      <c r="P783" s="2"/>
    </row>
    <row r="784" spans="4:16" x14ac:dyDescent="0.25">
      <c r="D784" s="2"/>
      <c r="E784" s="310"/>
      <c r="G784" s="2"/>
      <c r="H784" s="310"/>
      <c r="I784" s="2"/>
      <c r="O784" s="2"/>
      <c r="P784" s="2"/>
    </row>
    <row r="785" spans="4:16" x14ac:dyDescent="0.25">
      <c r="D785" s="2"/>
      <c r="E785" s="310"/>
      <c r="G785" s="2"/>
      <c r="H785" s="310"/>
      <c r="I785" s="2"/>
      <c r="O785" s="2"/>
      <c r="P785" s="2"/>
    </row>
    <row r="786" spans="4:16" x14ac:dyDescent="0.25">
      <c r="D786" s="2"/>
      <c r="E786" s="310"/>
      <c r="G786" s="2"/>
      <c r="H786" s="310"/>
      <c r="I786" s="2"/>
      <c r="O786" s="2"/>
      <c r="P786" s="2"/>
    </row>
    <row r="787" spans="4:16" x14ac:dyDescent="0.25">
      <c r="D787" s="2"/>
      <c r="E787" s="310"/>
      <c r="G787" s="2"/>
      <c r="H787" s="310"/>
      <c r="I787" s="2"/>
      <c r="O787" s="2"/>
      <c r="P787" s="2"/>
    </row>
    <row r="788" spans="4:16" x14ac:dyDescent="0.25">
      <c r="D788" s="2"/>
      <c r="E788" s="310"/>
      <c r="G788" s="2"/>
      <c r="H788" s="310"/>
      <c r="I788" s="2"/>
      <c r="O788" s="2"/>
      <c r="P788" s="2"/>
    </row>
    <row r="789" spans="4:16" x14ac:dyDescent="0.25">
      <c r="D789" s="2"/>
      <c r="E789" s="310"/>
      <c r="G789" s="2"/>
      <c r="H789" s="310"/>
      <c r="I789" s="2"/>
      <c r="O789" s="2"/>
      <c r="P789" s="2"/>
    </row>
    <row r="790" spans="4:16" x14ac:dyDescent="0.25">
      <c r="D790" s="2"/>
      <c r="E790" s="310"/>
      <c r="G790" s="2"/>
      <c r="H790" s="310"/>
      <c r="I790" s="2"/>
      <c r="O790" s="2"/>
      <c r="P790" s="2"/>
    </row>
    <row r="791" spans="4:16" x14ac:dyDescent="0.25">
      <c r="D791" s="2"/>
      <c r="E791" s="310"/>
      <c r="G791" s="2"/>
      <c r="H791" s="310"/>
      <c r="I791" s="2"/>
      <c r="O791" s="2"/>
      <c r="P791" s="2"/>
    </row>
    <row r="792" spans="4:16" x14ac:dyDescent="0.25">
      <c r="D792" s="2"/>
      <c r="E792" s="310"/>
      <c r="G792" s="2"/>
      <c r="H792" s="310"/>
      <c r="I792" s="2"/>
      <c r="O792" s="2"/>
      <c r="P792" s="2"/>
    </row>
    <row r="793" spans="4:16" x14ac:dyDescent="0.25">
      <c r="D793" s="2"/>
      <c r="E793" s="310"/>
      <c r="G793" s="2"/>
      <c r="H793" s="310"/>
      <c r="I793" s="2"/>
      <c r="O793" s="2"/>
      <c r="P793" s="2"/>
    </row>
    <row r="794" spans="4:16" x14ac:dyDescent="0.25">
      <c r="D794" s="2"/>
      <c r="E794" s="310"/>
      <c r="G794" s="2"/>
      <c r="H794" s="310"/>
      <c r="I794" s="2"/>
      <c r="O794" s="2"/>
      <c r="P794" s="2"/>
    </row>
    <row r="795" spans="4:16" x14ac:dyDescent="0.25">
      <c r="D795" s="2"/>
      <c r="E795" s="310"/>
      <c r="G795" s="2"/>
      <c r="H795" s="310"/>
      <c r="I795" s="2"/>
      <c r="O795" s="2"/>
      <c r="P795" s="2"/>
    </row>
    <row r="796" spans="4:16" x14ac:dyDescent="0.25">
      <c r="D796" s="2"/>
      <c r="E796" s="310"/>
      <c r="G796" s="2"/>
      <c r="H796" s="310"/>
      <c r="I796" s="2"/>
      <c r="O796" s="2"/>
      <c r="P796" s="2"/>
    </row>
    <row r="797" spans="4:16" x14ac:dyDescent="0.25">
      <c r="D797" s="2"/>
      <c r="E797" s="310"/>
      <c r="G797" s="2"/>
      <c r="H797" s="310"/>
      <c r="I797" s="2"/>
      <c r="O797" s="2"/>
      <c r="P797" s="2"/>
    </row>
    <row r="798" spans="4:16" x14ac:dyDescent="0.25">
      <c r="D798" s="2"/>
      <c r="E798" s="310"/>
      <c r="G798" s="2"/>
      <c r="H798" s="310"/>
      <c r="I798" s="2"/>
      <c r="O798" s="2"/>
      <c r="P798" s="2"/>
    </row>
    <row r="799" spans="4:16" x14ac:dyDescent="0.25">
      <c r="D799" s="2"/>
      <c r="E799" s="310"/>
      <c r="G799" s="2"/>
      <c r="H799" s="310"/>
      <c r="I799" s="2"/>
      <c r="O799" s="2"/>
      <c r="P799" s="2"/>
    </row>
    <row r="800" spans="4:16" x14ac:dyDescent="0.25">
      <c r="D800" s="2"/>
      <c r="E800" s="310"/>
      <c r="G800" s="2"/>
      <c r="H800" s="310"/>
      <c r="I800" s="2"/>
      <c r="O800" s="2"/>
      <c r="P800" s="2"/>
    </row>
    <row r="801" spans="4:16" x14ac:dyDescent="0.25">
      <c r="D801" s="2"/>
      <c r="E801" s="310"/>
      <c r="G801" s="2"/>
      <c r="H801" s="310"/>
      <c r="I801" s="2"/>
      <c r="O801" s="2"/>
      <c r="P801" s="2"/>
    </row>
    <row r="802" spans="4:16" x14ac:dyDescent="0.25">
      <c r="D802" s="2"/>
      <c r="E802" s="310"/>
      <c r="G802" s="2"/>
      <c r="H802" s="310"/>
      <c r="I802" s="2"/>
      <c r="O802" s="2"/>
      <c r="P802" s="2"/>
    </row>
    <row r="803" spans="4:16" x14ac:dyDescent="0.25">
      <c r="D803" s="2"/>
      <c r="E803" s="310"/>
      <c r="G803" s="2"/>
      <c r="H803" s="310"/>
      <c r="I803" s="2"/>
      <c r="O803" s="2"/>
      <c r="P803" s="2"/>
    </row>
    <row r="804" spans="4:16" x14ac:dyDescent="0.25">
      <c r="D804" s="2"/>
      <c r="E804" s="310"/>
      <c r="G804" s="2"/>
      <c r="H804" s="310"/>
      <c r="I804" s="2"/>
      <c r="O804" s="2"/>
      <c r="P804" s="2"/>
    </row>
    <row r="805" spans="4:16" x14ac:dyDescent="0.25">
      <c r="D805" s="2"/>
      <c r="E805" s="310"/>
      <c r="G805" s="2"/>
      <c r="H805" s="310"/>
      <c r="I805" s="2"/>
      <c r="O805" s="2"/>
      <c r="P805" s="2"/>
    </row>
    <row r="806" spans="4:16" x14ac:dyDescent="0.25">
      <c r="D806" s="2"/>
      <c r="E806" s="310"/>
      <c r="G806" s="2"/>
      <c r="H806" s="310"/>
      <c r="I806" s="2"/>
      <c r="O806" s="2"/>
      <c r="P806" s="2"/>
    </row>
    <row r="807" spans="4:16" x14ac:dyDescent="0.25">
      <c r="D807" s="2"/>
      <c r="E807" s="310"/>
      <c r="G807" s="2"/>
      <c r="H807" s="310"/>
      <c r="I807" s="2"/>
      <c r="O807" s="2"/>
      <c r="P807" s="2"/>
    </row>
    <row r="808" spans="4:16" x14ac:dyDescent="0.25">
      <c r="D808" s="2"/>
      <c r="E808" s="310"/>
      <c r="G808" s="2"/>
      <c r="H808" s="310"/>
      <c r="I808" s="2"/>
      <c r="O808" s="2"/>
      <c r="P808" s="2"/>
    </row>
    <row r="809" spans="4:16" x14ac:dyDescent="0.25">
      <c r="D809" s="2"/>
      <c r="E809" s="310"/>
      <c r="G809" s="2"/>
      <c r="H809" s="310"/>
      <c r="I809" s="2"/>
      <c r="O809" s="2"/>
      <c r="P809" s="2"/>
    </row>
    <row r="810" spans="4:16" x14ac:dyDescent="0.25">
      <c r="D810" s="2"/>
      <c r="E810" s="310"/>
      <c r="G810" s="2"/>
      <c r="H810" s="310"/>
      <c r="I810" s="2"/>
      <c r="O810" s="2"/>
      <c r="P810" s="2"/>
    </row>
    <row r="811" spans="4:16" x14ac:dyDescent="0.25">
      <c r="D811" s="2"/>
      <c r="E811" s="310"/>
      <c r="G811" s="2"/>
      <c r="H811" s="310"/>
      <c r="I811" s="2"/>
      <c r="O811" s="2"/>
      <c r="P811" s="2"/>
    </row>
    <row r="812" spans="4:16" x14ac:dyDescent="0.25">
      <c r="D812" s="2"/>
      <c r="E812" s="310"/>
      <c r="G812" s="2"/>
      <c r="H812" s="310"/>
      <c r="I812" s="2"/>
      <c r="O812" s="2"/>
      <c r="P812" s="2"/>
    </row>
    <row r="813" spans="4:16" x14ac:dyDescent="0.25">
      <c r="D813" s="2"/>
      <c r="E813" s="310"/>
      <c r="G813" s="2"/>
      <c r="H813" s="310"/>
      <c r="I813" s="2"/>
      <c r="O813" s="2"/>
      <c r="P813" s="2"/>
    </row>
    <row r="814" spans="4:16" x14ac:dyDescent="0.25">
      <c r="D814" s="2"/>
      <c r="E814" s="310"/>
      <c r="G814" s="2"/>
      <c r="H814" s="310"/>
      <c r="I814" s="2"/>
      <c r="O814" s="2"/>
      <c r="P814" s="2"/>
    </row>
    <row r="815" spans="4:16" x14ac:dyDescent="0.25">
      <c r="D815" s="2"/>
      <c r="E815" s="310"/>
      <c r="G815" s="2"/>
      <c r="H815" s="310"/>
      <c r="I815" s="2"/>
      <c r="O815" s="2"/>
      <c r="P815" s="2"/>
    </row>
    <row r="816" spans="4:16" x14ac:dyDescent="0.25">
      <c r="D816" s="2"/>
      <c r="E816" s="310"/>
      <c r="G816" s="2"/>
      <c r="H816" s="310"/>
      <c r="I816" s="2"/>
      <c r="O816" s="2"/>
      <c r="P816" s="2"/>
    </row>
    <row r="817" spans="4:16" x14ac:dyDescent="0.25">
      <c r="D817" s="2"/>
      <c r="E817" s="310"/>
      <c r="G817" s="2"/>
      <c r="H817" s="310"/>
      <c r="I817" s="2"/>
      <c r="O817" s="2"/>
      <c r="P817" s="2"/>
    </row>
    <row r="818" spans="4:16" x14ac:dyDescent="0.25">
      <c r="D818" s="2"/>
      <c r="E818" s="310"/>
      <c r="G818" s="2"/>
      <c r="H818" s="310"/>
      <c r="I818" s="2"/>
      <c r="O818" s="2"/>
      <c r="P818" s="2"/>
    </row>
    <row r="819" spans="4:16" x14ac:dyDescent="0.25">
      <c r="D819" s="2"/>
      <c r="E819" s="310"/>
      <c r="G819" s="2"/>
      <c r="H819" s="310"/>
      <c r="I819" s="2"/>
      <c r="O819" s="2"/>
      <c r="P819" s="2"/>
    </row>
    <row r="820" spans="4:16" x14ac:dyDescent="0.25">
      <c r="D820" s="2"/>
      <c r="E820" s="310"/>
      <c r="G820" s="2"/>
      <c r="H820" s="310"/>
      <c r="I820" s="2"/>
      <c r="O820" s="2"/>
      <c r="P820" s="2"/>
    </row>
    <row r="821" spans="4:16" x14ac:dyDescent="0.25">
      <c r="D821" s="2"/>
      <c r="E821" s="310"/>
      <c r="G821" s="2"/>
      <c r="H821" s="310"/>
      <c r="I821" s="2"/>
      <c r="O821" s="2"/>
      <c r="P821" s="2"/>
    </row>
    <row r="822" spans="4:16" x14ac:dyDescent="0.25">
      <c r="D822" s="2"/>
      <c r="E822" s="310"/>
      <c r="G822" s="2"/>
      <c r="H822" s="310"/>
      <c r="I822" s="2"/>
      <c r="O822" s="2"/>
      <c r="P822" s="2"/>
    </row>
    <row r="823" spans="4:16" x14ac:dyDescent="0.25">
      <c r="D823" s="2"/>
      <c r="E823" s="310"/>
      <c r="G823" s="2"/>
      <c r="H823" s="310"/>
      <c r="I823" s="2"/>
      <c r="O823" s="2"/>
      <c r="P823" s="2"/>
    </row>
    <row r="824" spans="4:16" x14ac:dyDescent="0.25">
      <c r="D824" s="2"/>
      <c r="E824" s="310"/>
      <c r="G824" s="2"/>
      <c r="H824" s="310"/>
      <c r="I824" s="2"/>
      <c r="O824" s="2"/>
      <c r="P824" s="2"/>
    </row>
    <row r="825" spans="4:16" x14ac:dyDescent="0.25">
      <c r="D825" s="2"/>
      <c r="E825" s="310"/>
      <c r="G825" s="2"/>
      <c r="H825" s="310"/>
      <c r="I825" s="2"/>
      <c r="O825" s="2"/>
      <c r="P825" s="2"/>
    </row>
    <row r="826" spans="4:16" x14ac:dyDescent="0.25">
      <c r="D826" s="2"/>
      <c r="E826" s="310"/>
      <c r="G826" s="2"/>
      <c r="H826" s="310"/>
      <c r="I826" s="2"/>
      <c r="O826" s="2"/>
      <c r="P826" s="2"/>
    </row>
    <row r="827" spans="4:16" x14ac:dyDescent="0.25">
      <c r="D827" s="2"/>
      <c r="E827" s="310"/>
      <c r="G827" s="2"/>
      <c r="H827" s="310"/>
      <c r="I827" s="2"/>
      <c r="O827" s="2"/>
      <c r="P827" s="2"/>
    </row>
    <row r="828" spans="4:16" x14ac:dyDescent="0.25">
      <c r="D828" s="2"/>
      <c r="E828" s="310"/>
      <c r="G828" s="2"/>
      <c r="H828" s="310"/>
      <c r="I828" s="2"/>
      <c r="O828" s="2"/>
      <c r="P828" s="2"/>
    </row>
    <row r="829" spans="4:16" x14ac:dyDescent="0.25">
      <c r="D829" s="2"/>
      <c r="E829" s="310"/>
      <c r="G829" s="2"/>
      <c r="H829" s="310"/>
      <c r="I829" s="2"/>
      <c r="O829" s="2"/>
      <c r="P829" s="2"/>
    </row>
    <row r="830" spans="4:16" x14ac:dyDescent="0.25">
      <c r="D830" s="2"/>
      <c r="E830" s="310"/>
      <c r="G830" s="2"/>
      <c r="H830" s="310"/>
      <c r="I830" s="2"/>
      <c r="O830" s="2"/>
      <c r="P830" s="2"/>
    </row>
    <row r="831" spans="4:16" x14ac:dyDescent="0.25">
      <c r="D831" s="2"/>
      <c r="E831" s="310"/>
      <c r="G831" s="2"/>
      <c r="H831" s="310"/>
      <c r="I831" s="2"/>
      <c r="O831" s="2"/>
      <c r="P831" s="2"/>
    </row>
    <row r="832" spans="4:16" x14ac:dyDescent="0.25">
      <c r="D832" s="2"/>
      <c r="E832" s="310"/>
      <c r="G832" s="2"/>
      <c r="H832" s="310"/>
      <c r="I832" s="2"/>
      <c r="O832" s="2"/>
      <c r="P832" s="2"/>
    </row>
    <row r="833" spans="4:16" x14ac:dyDescent="0.25">
      <c r="D833" s="2"/>
      <c r="E833" s="310"/>
      <c r="G833" s="2"/>
      <c r="H833" s="310"/>
      <c r="I833" s="2"/>
      <c r="O833" s="2"/>
      <c r="P833" s="2"/>
    </row>
    <row r="834" spans="4:16" x14ac:dyDescent="0.25">
      <c r="D834" s="2"/>
      <c r="E834" s="310"/>
      <c r="G834" s="2"/>
      <c r="H834" s="310"/>
      <c r="I834" s="2"/>
      <c r="O834" s="2"/>
      <c r="P834" s="2"/>
    </row>
    <row r="835" spans="4:16" x14ac:dyDescent="0.25">
      <c r="D835" s="2"/>
      <c r="E835" s="310"/>
      <c r="G835" s="2"/>
      <c r="H835" s="310"/>
      <c r="I835" s="2"/>
      <c r="O835" s="2"/>
      <c r="P835" s="2"/>
    </row>
    <row r="836" spans="4:16" x14ac:dyDescent="0.25">
      <c r="D836" s="2"/>
      <c r="E836" s="310"/>
      <c r="G836" s="2"/>
      <c r="H836" s="310"/>
      <c r="I836" s="2"/>
      <c r="O836" s="2"/>
      <c r="P836" s="2"/>
    </row>
    <row r="837" spans="4:16" x14ac:dyDescent="0.25">
      <c r="D837" s="2"/>
      <c r="E837" s="310"/>
      <c r="G837" s="2"/>
      <c r="H837" s="310"/>
      <c r="I837" s="2"/>
      <c r="O837" s="2"/>
      <c r="P837" s="2"/>
    </row>
    <row r="838" spans="4:16" x14ac:dyDescent="0.25">
      <c r="D838" s="2"/>
      <c r="E838" s="310"/>
      <c r="G838" s="2"/>
      <c r="H838" s="310"/>
      <c r="I838" s="2"/>
      <c r="O838" s="2"/>
      <c r="P838" s="2"/>
    </row>
    <row r="839" spans="4:16" x14ac:dyDescent="0.25">
      <c r="D839" s="2"/>
      <c r="E839" s="310"/>
      <c r="G839" s="2"/>
      <c r="H839" s="310"/>
      <c r="I839" s="2"/>
      <c r="O839" s="2"/>
      <c r="P839" s="2"/>
    </row>
    <row r="840" spans="4:16" x14ac:dyDescent="0.25">
      <c r="D840" s="2"/>
      <c r="E840" s="310"/>
      <c r="G840" s="2"/>
      <c r="H840" s="310"/>
      <c r="I840" s="2"/>
      <c r="O840" s="2"/>
      <c r="P840" s="2"/>
    </row>
    <row r="841" spans="4:16" x14ac:dyDescent="0.25">
      <c r="D841" s="2"/>
      <c r="E841" s="310"/>
      <c r="G841" s="2"/>
      <c r="H841" s="310"/>
      <c r="I841" s="2"/>
      <c r="O841" s="2"/>
      <c r="P841" s="2"/>
    </row>
    <row r="842" spans="4:16" x14ac:dyDescent="0.25">
      <c r="D842" s="2"/>
      <c r="E842" s="310"/>
      <c r="G842" s="2"/>
      <c r="H842" s="310"/>
      <c r="I842" s="2"/>
      <c r="O842" s="2"/>
      <c r="P842" s="2"/>
    </row>
    <row r="843" spans="4:16" x14ac:dyDescent="0.25">
      <c r="D843" s="2"/>
      <c r="E843" s="310"/>
      <c r="G843" s="2"/>
      <c r="H843" s="310"/>
      <c r="I843" s="2"/>
      <c r="O843" s="2"/>
      <c r="P843" s="2"/>
    </row>
    <row r="844" spans="4:16" x14ac:dyDescent="0.25">
      <c r="D844" s="2"/>
      <c r="E844" s="310"/>
      <c r="G844" s="2"/>
      <c r="H844" s="310"/>
      <c r="I844" s="2"/>
      <c r="O844" s="2"/>
      <c r="P844" s="2"/>
    </row>
    <row r="845" spans="4:16" x14ac:dyDescent="0.25">
      <c r="D845" s="2"/>
      <c r="E845" s="310"/>
      <c r="G845" s="2"/>
      <c r="H845" s="310"/>
      <c r="I845" s="2"/>
      <c r="O845" s="2"/>
      <c r="P845" s="2"/>
    </row>
    <row r="846" spans="4:16" x14ac:dyDescent="0.25">
      <c r="D846" s="2"/>
      <c r="E846" s="310"/>
      <c r="G846" s="2"/>
      <c r="H846" s="310"/>
      <c r="I846" s="2"/>
      <c r="O846" s="2"/>
      <c r="P846" s="2"/>
    </row>
    <row r="847" spans="4:16" x14ac:dyDescent="0.25">
      <c r="D847" s="2"/>
      <c r="E847" s="310"/>
      <c r="G847" s="2"/>
      <c r="H847" s="310"/>
      <c r="I847" s="2"/>
      <c r="O847" s="2"/>
      <c r="P847" s="2"/>
    </row>
    <row r="848" spans="4:16" x14ac:dyDescent="0.25">
      <c r="D848" s="2"/>
      <c r="E848" s="310"/>
      <c r="G848" s="2"/>
      <c r="H848" s="310"/>
      <c r="I848" s="2"/>
      <c r="O848" s="2"/>
      <c r="P848" s="2"/>
    </row>
    <row r="849" spans="4:16" x14ac:dyDescent="0.25">
      <c r="D849" s="2"/>
      <c r="E849" s="310"/>
      <c r="G849" s="2"/>
      <c r="H849" s="310"/>
      <c r="I849" s="2"/>
      <c r="O849" s="2"/>
      <c r="P849" s="2"/>
    </row>
    <row r="850" spans="4:16" x14ac:dyDescent="0.25">
      <c r="D850" s="2"/>
      <c r="E850" s="310"/>
      <c r="G850" s="2"/>
      <c r="H850" s="310"/>
      <c r="I850" s="2"/>
      <c r="O850" s="2"/>
      <c r="P850" s="2"/>
    </row>
    <row r="851" spans="4:16" x14ac:dyDescent="0.25">
      <c r="D851" s="2"/>
      <c r="E851" s="310"/>
      <c r="G851" s="2"/>
      <c r="H851" s="310"/>
      <c r="I851" s="2"/>
      <c r="O851" s="2"/>
      <c r="P851" s="2"/>
    </row>
    <row r="852" spans="4:16" x14ac:dyDescent="0.25">
      <c r="D852" s="2"/>
      <c r="E852" s="310"/>
      <c r="G852" s="2"/>
      <c r="H852" s="310"/>
      <c r="I852" s="2"/>
      <c r="O852" s="2"/>
      <c r="P852" s="2"/>
    </row>
    <row r="853" spans="4:16" x14ac:dyDescent="0.25">
      <c r="D853" s="2"/>
      <c r="E853" s="310"/>
      <c r="G853" s="2"/>
      <c r="H853" s="310"/>
      <c r="I853" s="2"/>
      <c r="O853" s="2"/>
      <c r="P853" s="2"/>
    </row>
    <row r="854" spans="4:16" x14ac:dyDescent="0.25">
      <c r="D854" s="2"/>
      <c r="E854" s="310"/>
      <c r="G854" s="2"/>
      <c r="H854" s="310"/>
      <c r="I854" s="2"/>
      <c r="O854" s="2"/>
      <c r="P854" s="2"/>
    </row>
    <row r="855" spans="4:16" x14ac:dyDescent="0.25">
      <c r="D855" s="2"/>
      <c r="E855" s="310"/>
      <c r="G855" s="2"/>
      <c r="H855" s="310"/>
      <c r="I855" s="2"/>
      <c r="O855" s="2"/>
      <c r="P855" s="2"/>
    </row>
    <row r="856" spans="4:16" x14ac:dyDescent="0.25">
      <c r="D856" s="2"/>
      <c r="E856" s="310"/>
      <c r="G856" s="2"/>
      <c r="H856" s="310"/>
      <c r="I856" s="2"/>
      <c r="O856" s="2"/>
      <c r="P856" s="2"/>
    </row>
    <row r="857" spans="4:16" x14ac:dyDescent="0.25">
      <c r="D857" s="2"/>
      <c r="E857" s="310"/>
      <c r="G857" s="2"/>
      <c r="H857" s="310"/>
      <c r="I857" s="2"/>
      <c r="O857" s="2"/>
      <c r="P857" s="2"/>
    </row>
    <row r="858" spans="4:16" x14ac:dyDescent="0.25">
      <c r="D858" s="2"/>
      <c r="E858" s="310"/>
      <c r="G858" s="2"/>
      <c r="H858" s="310"/>
      <c r="I858" s="2"/>
      <c r="O858" s="2"/>
      <c r="P858" s="2"/>
    </row>
    <row r="859" spans="4:16" x14ac:dyDescent="0.25">
      <c r="D859" s="2"/>
      <c r="E859" s="310"/>
      <c r="G859" s="2"/>
      <c r="H859" s="310"/>
      <c r="I859" s="2"/>
      <c r="O859" s="2"/>
      <c r="P859" s="2"/>
    </row>
    <row r="860" spans="4:16" x14ac:dyDescent="0.25">
      <c r="D860" s="2"/>
      <c r="E860" s="310"/>
      <c r="G860" s="2"/>
      <c r="H860" s="310"/>
      <c r="I860" s="2"/>
      <c r="O860" s="2"/>
      <c r="P860" s="2"/>
    </row>
    <row r="861" spans="4:16" x14ac:dyDescent="0.25">
      <c r="D861" s="2"/>
      <c r="E861" s="310"/>
      <c r="G861" s="2"/>
      <c r="H861" s="310"/>
      <c r="I861" s="2"/>
      <c r="O861" s="2"/>
      <c r="P861" s="2"/>
    </row>
    <row r="862" spans="4:16" x14ac:dyDescent="0.25">
      <c r="D862" s="2"/>
      <c r="E862" s="310"/>
      <c r="G862" s="2"/>
      <c r="H862" s="310"/>
      <c r="I862" s="2"/>
      <c r="O862" s="2"/>
      <c r="P862" s="2"/>
    </row>
    <row r="863" spans="4:16" x14ac:dyDescent="0.25">
      <c r="D863" s="2"/>
      <c r="E863" s="310"/>
      <c r="G863" s="2"/>
      <c r="H863" s="310"/>
      <c r="I863" s="2"/>
      <c r="O863" s="2"/>
      <c r="P863" s="2"/>
    </row>
    <row r="864" spans="4:16" x14ac:dyDescent="0.25">
      <c r="D864" s="2"/>
      <c r="E864" s="310"/>
      <c r="G864" s="2"/>
      <c r="H864" s="310"/>
      <c r="I864" s="2"/>
      <c r="O864" s="2"/>
      <c r="P864" s="2"/>
    </row>
    <row r="865" spans="4:16" x14ac:dyDescent="0.25">
      <c r="D865" s="2"/>
      <c r="E865" s="310"/>
      <c r="G865" s="2"/>
      <c r="H865" s="310"/>
      <c r="I865" s="2"/>
      <c r="O865" s="2"/>
      <c r="P865" s="2"/>
    </row>
    <row r="866" spans="4:16" x14ac:dyDescent="0.25">
      <c r="D866" s="2"/>
      <c r="E866" s="310"/>
      <c r="G866" s="2"/>
      <c r="H866" s="310"/>
      <c r="I866" s="2"/>
      <c r="O866" s="2"/>
      <c r="P866" s="2"/>
    </row>
    <row r="867" spans="4:16" x14ac:dyDescent="0.25">
      <c r="D867" s="2"/>
      <c r="E867" s="310"/>
      <c r="G867" s="2"/>
      <c r="H867" s="310"/>
      <c r="I867" s="2"/>
      <c r="O867" s="2"/>
      <c r="P867" s="2"/>
    </row>
    <row r="868" spans="4:16" x14ac:dyDescent="0.25">
      <c r="D868" s="2"/>
      <c r="E868" s="310"/>
      <c r="G868" s="2"/>
      <c r="H868" s="310"/>
      <c r="I868" s="2"/>
      <c r="O868" s="2"/>
      <c r="P868" s="2"/>
    </row>
    <row r="869" spans="4:16" x14ac:dyDescent="0.25">
      <c r="D869" s="2"/>
      <c r="E869" s="310"/>
      <c r="G869" s="2"/>
      <c r="H869" s="310"/>
      <c r="I869" s="2"/>
      <c r="O869" s="2"/>
      <c r="P869" s="2"/>
    </row>
    <row r="870" spans="4:16" x14ac:dyDescent="0.25">
      <c r="D870" s="2"/>
      <c r="E870" s="310"/>
      <c r="G870" s="2"/>
      <c r="H870" s="310"/>
      <c r="I870" s="2"/>
      <c r="O870" s="2"/>
      <c r="P870" s="2"/>
    </row>
    <row r="871" spans="4:16" x14ac:dyDescent="0.25">
      <c r="D871" s="2"/>
      <c r="E871" s="310"/>
      <c r="G871" s="2"/>
      <c r="H871" s="310"/>
      <c r="I871" s="2"/>
      <c r="O871" s="2"/>
      <c r="P871" s="2"/>
    </row>
    <row r="872" spans="4:16" x14ac:dyDescent="0.25">
      <c r="D872" s="2"/>
      <c r="E872" s="310"/>
      <c r="G872" s="2"/>
      <c r="H872" s="310"/>
      <c r="I872" s="2"/>
      <c r="O872" s="2"/>
      <c r="P872" s="2"/>
    </row>
    <row r="873" spans="4:16" x14ac:dyDescent="0.25">
      <c r="D873" s="2"/>
      <c r="E873" s="310"/>
      <c r="G873" s="2"/>
      <c r="H873" s="310"/>
      <c r="I873" s="2"/>
      <c r="O873" s="2"/>
      <c r="P873" s="2"/>
    </row>
    <row r="874" spans="4:16" x14ac:dyDescent="0.25">
      <c r="D874" s="2"/>
      <c r="E874" s="310"/>
      <c r="G874" s="2"/>
      <c r="H874" s="310"/>
      <c r="I874" s="2"/>
      <c r="O874" s="2"/>
      <c r="P874" s="2"/>
    </row>
    <row r="875" spans="4:16" x14ac:dyDescent="0.25">
      <c r="D875" s="2"/>
      <c r="E875" s="310"/>
      <c r="G875" s="2"/>
      <c r="H875" s="310"/>
      <c r="I875" s="2"/>
      <c r="O875" s="2"/>
      <c r="P875" s="2"/>
    </row>
    <row r="876" spans="4:16" x14ac:dyDescent="0.25">
      <c r="D876" s="2"/>
      <c r="E876" s="310"/>
      <c r="G876" s="2"/>
      <c r="H876" s="310"/>
      <c r="I876" s="2"/>
      <c r="O876" s="2"/>
      <c r="P876" s="2"/>
    </row>
    <row r="877" spans="4:16" x14ac:dyDescent="0.25">
      <c r="D877" s="2"/>
      <c r="E877" s="310"/>
      <c r="G877" s="2"/>
      <c r="H877" s="310"/>
      <c r="I877" s="2"/>
      <c r="O877" s="2"/>
      <c r="P877" s="2"/>
    </row>
    <row r="878" spans="4:16" x14ac:dyDescent="0.25">
      <c r="D878" s="2"/>
      <c r="E878" s="310"/>
      <c r="G878" s="2"/>
      <c r="H878" s="310"/>
      <c r="I878" s="2"/>
      <c r="O878" s="2"/>
      <c r="P878" s="2"/>
    </row>
    <row r="879" spans="4:16" x14ac:dyDescent="0.25">
      <c r="D879" s="2"/>
      <c r="E879" s="310"/>
      <c r="G879" s="2"/>
      <c r="H879" s="310"/>
      <c r="I879" s="2"/>
      <c r="O879" s="2"/>
      <c r="P879" s="2"/>
    </row>
    <row r="880" spans="4:16" x14ac:dyDescent="0.25">
      <c r="D880" s="2"/>
      <c r="E880" s="310"/>
      <c r="G880" s="2"/>
      <c r="H880" s="310"/>
      <c r="I880" s="2"/>
      <c r="O880" s="2"/>
      <c r="P880" s="2"/>
    </row>
    <row r="881" spans="4:16" x14ac:dyDescent="0.25">
      <c r="D881" s="2"/>
      <c r="E881" s="310"/>
      <c r="G881" s="2"/>
      <c r="H881" s="310"/>
      <c r="I881" s="2"/>
      <c r="O881" s="2"/>
      <c r="P881" s="2"/>
    </row>
    <row r="882" spans="4:16" x14ac:dyDescent="0.25">
      <c r="D882" s="2"/>
      <c r="E882" s="310"/>
      <c r="G882" s="2"/>
      <c r="H882" s="310"/>
      <c r="I882" s="2"/>
      <c r="O882" s="2"/>
      <c r="P882" s="2"/>
    </row>
    <row r="883" spans="4:16" x14ac:dyDescent="0.25">
      <c r="D883" s="2"/>
      <c r="E883" s="310"/>
      <c r="G883" s="2"/>
      <c r="H883" s="310"/>
      <c r="I883" s="2"/>
      <c r="O883" s="2"/>
      <c r="P883" s="2"/>
    </row>
    <row r="884" spans="4:16" x14ac:dyDescent="0.25">
      <c r="D884" s="2"/>
      <c r="E884" s="310"/>
      <c r="G884" s="2"/>
      <c r="H884" s="310"/>
      <c r="I884" s="2"/>
      <c r="O884" s="2"/>
      <c r="P884" s="2"/>
    </row>
    <row r="885" spans="4:16" x14ac:dyDescent="0.25">
      <c r="D885" s="2"/>
      <c r="E885" s="310"/>
      <c r="G885" s="2"/>
      <c r="H885" s="310"/>
      <c r="I885" s="2"/>
      <c r="O885" s="2"/>
      <c r="P885" s="2"/>
    </row>
    <row r="886" spans="4:16" x14ac:dyDescent="0.25">
      <c r="D886" s="2"/>
      <c r="E886" s="310"/>
      <c r="G886" s="2"/>
      <c r="H886" s="310"/>
      <c r="I886" s="2"/>
      <c r="O886" s="2"/>
      <c r="P886" s="2"/>
    </row>
    <row r="887" spans="4:16" x14ac:dyDescent="0.25">
      <c r="D887" s="2"/>
      <c r="E887" s="310"/>
      <c r="G887" s="2"/>
      <c r="H887" s="310"/>
      <c r="I887" s="2"/>
      <c r="O887" s="2"/>
      <c r="P887" s="2"/>
    </row>
    <row r="888" spans="4:16" x14ac:dyDescent="0.25">
      <c r="D888" s="2"/>
      <c r="E888" s="310"/>
      <c r="G888" s="2"/>
      <c r="H888" s="310"/>
      <c r="I888" s="2"/>
      <c r="O888" s="2"/>
      <c r="P888" s="2"/>
    </row>
    <row r="889" spans="4:16" x14ac:dyDescent="0.25">
      <c r="D889" s="2"/>
      <c r="E889" s="310"/>
      <c r="G889" s="2"/>
      <c r="H889" s="310"/>
      <c r="I889" s="2"/>
      <c r="O889" s="2"/>
      <c r="P889" s="2"/>
    </row>
    <row r="890" spans="4:16" x14ac:dyDescent="0.25">
      <c r="D890" s="2"/>
      <c r="E890" s="310"/>
      <c r="G890" s="2"/>
      <c r="H890" s="310"/>
      <c r="I890" s="2"/>
      <c r="O890" s="2"/>
      <c r="P890" s="2"/>
    </row>
    <row r="891" spans="4:16" x14ac:dyDescent="0.25">
      <c r="D891" s="2"/>
      <c r="E891" s="310"/>
      <c r="G891" s="2"/>
      <c r="H891" s="310"/>
      <c r="I891" s="2"/>
      <c r="O891" s="2"/>
      <c r="P891" s="2"/>
    </row>
    <row r="892" spans="4:16" x14ac:dyDescent="0.25">
      <c r="D892" s="2"/>
      <c r="E892" s="310"/>
      <c r="G892" s="2"/>
      <c r="H892" s="310"/>
      <c r="I892" s="2"/>
      <c r="O892" s="2"/>
      <c r="P892" s="2"/>
    </row>
    <row r="893" spans="4:16" x14ac:dyDescent="0.25">
      <c r="D893" s="2"/>
      <c r="E893" s="310"/>
      <c r="G893" s="2"/>
      <c r="H893" s="310"/>
      <c r="I893" s="2"/>
      <c r="O893" s="2"/>
      <c r="P893" s="2"/>
    </row>
    <row r="894" spans="4:16" x14ac:dyDescent="0.25">
      <c r="D894" s="2"/>
      <c r="E894" s="310"/>
      <c r="G894" s="2"/>
      <c r="H894" s="310"/>
      <c r="I894" s="2"/>
      <c r="O894" s="2"/>
      <c r="P894" s="2"/>
    </row>
    <row r="895" spans="4:16" x14ac:dyDescent="0.25">
      <c r="D895" s="2"/>
      <c r="E895" s="310"/>
      <c r="G895" s="2"/>
      <c r="H895" s="310"/>
      <c r="I895" s="2"/>
      <c r="O895" s="2"/>
      <c r="P895" s="2"/>
    </row>
    <row r="896" spans="4:16" x14ac:dyDescent="0.25">
      <c r="D896" s="2"/>
      <c r="E896" s="310"/>
      <c r="G896" s="2"/>
      <c r="H896" s="310"/>
      <c r="I896" s="2"/>
      <c r="O896" s="2"/>
      <c r="P896" s="2"/>
    </row>
    <row r="897" spans="4:16" x14ac:dyDescent="0.25">
      <c r="D897" s="2"/>
      <c r="E897" s="310"/>
      <c r="G897" s="2"/>
      <c r="H897" s="310"/>
      <c r="I897" s="2"/>
      <c r="O897" s="2"/>
      <c r="P897" s="2"/>
    </row>
    <row r="898" spans="4:16" x14ac:dyDescent="0.25">
      <c r="D898" s="2"/>
      <c r="E898" s="310"/>
      <c r="G898" s="2"/>
      <c r="H898" s="310"/>
      <c r="I898" s="2"/>
      <c r="O898" s="2"/>
      <c r="P898" s="2"/>
    </row>
    <row r="899" spans="4:16" x14ac:dyDescent="0.25">
      <c r="D899" s="2"/>
      <c r="E899" s="310"/>
      <c r="G899" s="2"/>
      <c r="H899" s="310"/>
      <c r="I899" s="2"/>
      <c r="O899" s="2"/>
      <c r="P899" s="2"/>
    </row>
    <row r="900" spans="4:16" x14ac:dyDescent="0.25">
      <c r="D900" s="2"/>
      <c r="E900" s="310"/>
      <c r="G900" s="2"/>
      <c r="H900" s="310"/>
      <c r="I900" s="2"/>
      <c r="O900" s="2"/>
      <c r="P900" s="2"/>
    </row>
    <row r="901" spans="4:16" x14ac:dyDescent="0.25">
      <c r="D901" s="2"/>
      <c r="E901" s="310"/>
      <c r="G901" s="2"/>
      <c r="H901" s="310"/>
      <c r="I901" s="2"/>
      <c r="O901" s="2"/>
      <c r="P901" s="2"/>
    </row>
    <row r="902" spans="4:16" x14ac:dyDescent="0.25">
      <c r="D902" s="2"/>
      <c r="E902" s="310"/>
      <c r="G902" s="2"/>
      <c r="H902" s="310"/>
      <c r="I902" s="2"/>
      <c r="O902" s="2"/>
      <c r="P902" s="2"/>
    </row>
    <row r="903" spans="4:16" x14ac:dyDescent="0.25">
      <c r="D903" s="2"/>
      <c r="E903" s="310"/>
      <c r="G903" s="2"/>
      <c r="H903" s="310"/>
      <c r="I903" s="2"/>
      <c r="O903" s="2"/>
      <c r="P903" s="2"/>
    </row>
    <row r="904" spans="4:16" x14ac:dyDescent="0.25">
      <c r="D904" s="2"/>
      <c r="E904" s="310"/>
      <c r="G904" s="2"/>
      <c r="H904" s="310"/>
      <c r="I904" s="2"/>
      <c r="O904" s="2"/>
      <c r="P904" s="2"/>
    </row>
    <row r="905" spans="4:16" x14ac:dyDescent="0.25">
      <c r="D905" s="2"/>
      <c r="E905" s="310"/>
      <c r="G905" s="2"/>
      <c r="H905" s="310"/>
      <c r="I905" s="2"/>
      <c r="O905" s="2"/>
      <c r="P905" s="2"/>
    </row>
    <row r="906" spans="4:16" x14ac:dyDescent="0.25">
      <c r="D906" s="2"/>
      <c r="E906" s="310"/>
      <c r="G906" s="2"/>
      <c r="H906" s="310"/>
      <c r="I906" s="2"/>
      <c r="O906" s="2"/>
      <c r="P906" s="2"/>
    </row>
    <row r="907" spans="4:16" x14ac:dyDescent="0.25">
      <c r="D907" s="2"/>
      <c r="E907" s="310"/>
      <c r="G907" s="2"/>
      <c r="H907" s="310"/>
      <c r="I907" s="2"/>
      <c r="O907" s="2"/>
      <c r="P907" s="2"/>
    </row>
    <row r="908" spans="4:16" x14ac:dyDescent="0.25">
      <c r="D908" s="2"/>
      <c r="E908" s="310"/>
      <c r="G908" s="2"/>
      <c r="H908" s="310"/>
      <c r="I908" s="2"/>
      <c r="O908" s="2"/>
      <c r="P908" s="2"/>
    </row>
    <row r="909" spans="4:16" x14ac:dyDescent="0.25">
      <c r="D909" s="2"/>
      <c r="E909" s="310"/>
      <c r="G909" s="2"/>
      <c r="H909" s="310"/>
      <c r="I909" s="2"/>
      <c r="O909" s="2"/>
      <c r="P909" s="2"/>
    </row>
    <row r="910" spans="4:16" x14ac:dyDescent="0.25">
      <c r="D910" s="2"/>
      <c r="E910" s="310"/>
      <c r="G910" s="2"/>
      <c r="H910" s="310"/>
      <c r="I910" s="2"/>
      <c r="O910" s="2"/>
      <c r="P910" s="2"/>
    </row>
    <row r="911" spans="4:16" x14ac:dyDescent="0.25">
      <c r="D911" s="2"/>
      <c r="E911" s="310"/>
      <c r="G911" s="2"/>
      <c r="H911" s="310"/>
      <c r="I911" s="2"/>
      <c r="O911" s="2"/>
      <c r="P911" s="2"/>
    </row>
    <row r="912" spans="4:16" x14ac:dyDescent="0.25">
      <c r="D912" s="2"/>
      <c r="E912" s="310"/>
      <c r="G912" s="2"/>
      <c r="H912" s="310"/>
      <c r="I912" s="2"/>
      <c r="O912" s="2"/>
      <c r="P912" s="2"/>
    </row>
    <row r="913" spans="4:16" x14ac:dyDescent="0.25">
      <c r="D913" s="2"/>
      <c r="E913" s="310"/>
      <c r="G913" s="2"/>
      <c r="H913" s="310"/>
      <c r="I913" s="2"/>
      <c r="O913" s="2"/>
      <c r="P913" s="2"/>
    </row>
    <row r="914" spans="4:16" x14ac:dyDescent="0.25">
      <c r="D914" s="2"/>
      <c r="E914" s="310"/>
      <c r="G914" s="2"/>
      <c r="H914" s="310"/>
      <c r="I914" s="2"/>
      <c r="O914" s="2"/>
      <c r="P914" s="2"/>
    </row>
    <row r="915" spans="4:16" x14ac:dyDescent="0.25">
      <c r="D915" s="2"/>
      <c r="E915" s="310"/>
      <c r="G915" s="2"/>
      <c r="H915" s="310"/>
      <c r="I915" s="2"/>
      <c r="O915" s="2"/>
      <c r="P915" s="2"/>
    </row>
    <row r="916" spans="4:16" x14ac:dyDescent="0.25">
      <c r="D916" s="2"/>
      <c r="E916" s="310"/>
      <c r="G916" s="2"/>
      <c r="H916" s="310"/>
      <c r="I916" s="2"/>
      <c r="O916" s="2"/>
      <c r="P916" s="2"/>
    </row>
    <row r="917" spans="4:16" x14ac:dyDescent="0.25">
      <c r="D917" s="2"/>
      <c r="E917" s="310"/>
      <c r="G917" s="2"/>
      <c r="H917" s="310"/>
      <c r="I917" s="2"/>
      <c r="O917" s="2"/>
      <c r="P917" s="2"/>
    </row>
    <row r="918" spans="4:16" x14ac:dyDescent="0.25">
      <c r="D918" s="2"/>
      <c r="E918" s="310"/>
      <c r="G918" s="2"/>
      <c r="H918" s="310"/>
      <c r="I918" s="2"/>
      <c r="O918" s="2"/>
      <c r="P918" s="2"/>
    </row>
    <row r="919" spans="4:16" x14ac:dyDescent="0.25">
      <c r="D919" s="2"/>
      <c r="E919" s="310"/>
      <c r="G919" s="2"/>
      <c r="H919" s="310"/>
      <c r="I919" s="2"/>
      <c r="O919" s="2"/>
      <c r="P919" s="2"/>
    </row>
    <row r="920" spans="4:16" x14ac:dyDescent="0.25">
      <c r="D920" s="2"/>
      <c r="E920" s="310"/>
      <c r="G920" s="2"/>
      <c r="H920" s="310"/>
      <c r="I920" s="2"/>
      <c r="O920" s="2"/>
      <c r="P920" s="2"/>
    </row>
    <row r="921" spans="4:16" x14ac:dyDescent="0.25">
      <c r="D921" s="2"/>
      <c r="E921" s="310"/>
      <c r="G921" s="2"/>
      <c r="H921" s="310"/>
      <c r="I921" s="2"/>
      <c r="O921" s="2"/>
      <c r="P921" s="2"/>
    </row>
    <row r="922" spans="4:16" x14ac:dyDescent="0.25">
      <c r="D922" s="2"/>
      <c r="E922" s="310"/>
      <c r="G922" s="2"/>
      <c r="H922" s="310"/>
      <c r="I922" s="2"/>
      <c r="O922" s="2"/>
      <c r="P922" s="2"/>
    </row>
    <row r="923" spans="4:16" x14ac:dyDescent="0.25">
      <c r="D923" s="2"/>
      <c r="E923" s="310"/>
      <c r="G923" s="2"/>
      <c r="H923" s="310"/>
      <c r="I923" s="2"/>
      <c r="O923" s="2"/>
      <c r="P923" s="2"/>
    </row>
    <row r="924" spans="4:16" x14ac:dyDescent="0.25">
      <c r="D924" s="2"/>
      <c r="E924" s="310"/>
      <c r="G924" s="2"/>
      <c r="H924" s="310"/>
      <c r="I924" s="2"/>
      <c r="O924" s="2"/>
      <c r="P924" s="2"/>
    </row>
    <row r="925" spans="4:16" x14ac:dyDescent="0.25">
      <c r="D925" s="2"/>
      <c r="E925" s="310"/>
      <c r="G925" s="2"/>
      <c r="H925" s="310"/>
      <c r="I925" s="2"/>
      <c r="O925" s="2"/>
      <c r="P925" s="2"/>
    </row>
    <row r="926" spans="4:16" x14ac:dyDescent="0.25">
      <c r="D926" s="2"/>
      <c r="E926" s="310"/>
      <c r="G926" s="2"/>
      <c r="H926" s="310"/>
      <c r="I926" s="2"/>
      <c r="O926" s="2"/>
      <c r="P926" s="2"/>
    </row>
    <row r="927" spans="4:16" x14ac:dyDescent="0.25">
      <c r="D927" s="2"/>
      <c r="E927" s="310"/>
      <c r="G927" s="2"/>
      <c r="H927" s="310"/>
      <c r="I927" s="2"/>
      <c r="O927" s="2"/>
      <c r="P927" s="2"/>
    </row>
    <row r="928" spans="4:16" x14ac:dyDescent="0.25">
      <c r="D928" s="2"/>
      <c r="E928" s="310"/>
      <c r="G928" s="2"/>
      <c r="H928" s="310"/>
      <c r="I928" s="2"/>
      <c r="O928" s="2"/>
      <c r="P928" s="2"/>
    </row>
    <row r="929" spans="4:16" x14ac:dyDescent="0.25">
      <c r="D929" s="2"/>
      <c r="E929" s="310"/>
      <c r="G929" s="2"/>
      <c r="H929" s="310"/>
      <c r="I929" s="2"/>
      <c r="O929" s="2"/>
      <c r="P929" s="2"/>
    </row>
    <row r="930" spans="4:16" x14ac:dyDescent="0.25">
      <c r="D930" s="2"/>
      <c r="E930" s="310"/>
      <c r="G930" s="2"/>
      <c r="H930" s="310"/>
      <c r="I930" s="2"/>
      <c r="O930" s="2"/>
      <c r="P930" s="2"/>
    </row>
    <row r="931" spans="4:16" x14ac:dyDescent="0.25">
      <c r="D931" s="2"/>
      <c r="E931" s="310"/>
      <c r="G931" s="2"/>
      <c r="H931" s="310"/>
      <c r="I931" s="2"/>
      <c r="O931" s="2"/>
      <c r="P931" s="2"/>
    </row>
    <row r="932" spans="4:16" x14ac:dyDescent="0.25">
      <c r="D932" s="2"/>
      <c r="E932" s="310"/>
      <c r="G932" s="2"/>
      <c r="H932" s="310"/>
      <c r="I932" s="2"/>
      <c r="O932" s="2"/>
      <c r="P932" s="2"/>
    </row>
    <row r="933" spans="4:16" x14ac:dyDescent="0.25">
      <c r="D933" s="2"/>
      <c r="E933" s="310"/>
      <c r="G933" s="2"/>
      <c r="H933" s="310"/>
      <c r="I933" s="2"/>
      <c r="O933" s="2"/>
      <c r="P933" s="2"/>
    </row>
    <row r="934" spans="4:16" x14ac:dyDescent="0.25">
      <c r="D934" s="2"/>
      <c r="E934" s="310"/>
      <c r="G934" s="2"/>
      <c r="H934" s="310"/>
      <c r="I934" s="2"/>
      <c r="O934" s="2"/>
      <c r="P934" s="2"/>
    </row>
    <row r="935" spans="4:16" x14ac:dyDescent="0.25">
      <c r="D935" s="2"/>
      <c r="E935" s="310"/>
      <c r="G935" s="2"/>
      <c r="H935" s="310"/>
      <c r="I935" s="2"/>
      <c r="O935" s="2"/>
      <c r="P935" s="2"/>
    </row>
    <row r="936" spans="4:16" x14ac:dyDescent="0.25">
      <c r="D936" s="2"/>
      <c r="E936" s="310"/>
      <c r="G936" s="2"/>
      <c r="H936" s="310"/>
      <c r="I936" s="2"/>
      <c r="O936" s="2"/>
      <c r="P936" s="2"/>
    </row>
    <row r="937" spans="4:16" x14ac:dyDescent="0.25">
      <c r="D937" s="2"/>
      <c r="E937" s="310"/>
      <c r="G937" s="2"/>
      <c r="H937" s="310"/>
      <c r="I937" s="2"/>
      <c r="O937" s="2"/>
      <c r="P937" s="2"/>
    </row>
    <row r="938" spans="4:16" x14ac:dyDescent="0.25">
      <c r="D938" s="2"/>
      <c r="E938" s="310"/>
      <c r="G938" s="2"/>
      <c r="H938" s="310"/>
      <c r="I938" s="2"/>
      <c r="O938" s="2"/>
      <c r="P938" s="2"/>
    </row>
    <row r="939" spans="4:16" x14ac:dyDescent="0.25">
      <c r="D939" s="2"/>
      <c r="E939" s="310"/>
      <c r="G939" s="2"/>
      <c r="H939" s="310"/>
      <c r="I939" s="2"/>
      <c r="O939" s="2"/>
      <c r="P939" s="2"/>
    </row>
    <row r="940" spans="4:16" x14ac:dyDescent="0.25">
      <c r="D940" s="2"/>
      <c r="E940" s="310"/>
      <c r="G940" s="2"/>
      <c r="H940" s="310"/>
      <c r="I940" s="2"/>
      <c r="O940" s="2"/>
      <c r="P940" s="2"/>
    </row>
    <row r="941" spans="4:16" x14ac:dyDescent="0.25">
      <c r="D941" s="2"/>
      <c r="E941" s="310"/>
      <c r="G941" s="2"/>
      <c r="H941" s="310"/>
      <c r="I941" s="2"/>
      <c r="O941" s="2"/>
      <c r="P941" s="2"/>
    </row>
    <row r="942" spans="4:16" x14ac:dyDescent="0.25">
      <c r="D942" s="2"/>
      <c r="E942" s="310"/>
      <c r="G942" s="2"/>
      <c r="H942" s="310"/>
      <c r="I942" s="2"/>
      <c r="O942" s="2"/>
      <c r="P942" s="2"/>
    </row>
    <row r="943" spans="4:16" x14ac:dyDescent="0.25">
      <c r="D943" s="2"/>
      <c r="E943" s="310"/>
      <c r="G943" s="2"/>
      <c r="H943" s="310"/>
      <c r="I943" s="2"/>
      <c r="O943" s="2"/>
      <c r="P943" s="2"/>
    </row>
    <row r="944" spans="4:16" x14ac:dyDescent="0.25">
      <c r="D944" s="2"/>
      <c r="E944" s="310"/>
      <c r="G944" s="2"/>
      <c r="H944" s="310"/>
      <c r="I944" s="2"/>
      <c r="O944" s="2"/>
      <c r="P944" s="2"/>
    </row>
    <row r="945" spans="4:16" x14ac:dyDescent="0.25">
      <c r="D945" s="2"/>
      <c r="E945" s="310"/>
      <c r="G945" s="2"/>
      <c r="H945" s="310"/>
      <c r="I945" s="2"/>
      <c r="O945" s="2"/>
      <c r="P945" s="2"/>
    </row>
    <row r="946" spans="4:16" x14ac:dyDescent="0.25">
      <c r="D946" s="2"/>
      <c r="E946" s="310"/>
      <c r="G946" s="2"/>
      <c r="H946" s="310"/>
      <c r="I946" s="2"/>
      <c r="O946" s="2"/>
      <c r="P946" s="2"/>
    </row>
    <row r="947" spans="4:16" x14ac:dyDescent="0.25">
      <c r="D947" s="2"/>
      <c r="E947" s="310"/>
      <c r="G947" s="2"/>
      <c r="H947" s="310"/>
      <c r="I947" s="2"/>
      <c r="O947" s="2"/>
      <c r="P947" s="2"/>
    </row>
    <row r="948" spans="4:16" x14ac:dyDescent="0.25">
      <c r="D948" s="2"/>
      <c r="E948" s="310"/>
      <c r="G948" s="2"/>
      <c r="H948" s="310"/>
      <c r="I948" s="2"/>
      <c r="O948" s="2"/>
      <c r="P948" s="2"/>
    </row>
    <row r="949" spans="4:16" x14ac:dyDescent="0.25">
      <c r="D949" s="2"/>
      <c r="E949" s="310"/>
      <c r="G949" s="2"/>
      <c r="H949" s="310"/>
      <c r="I949" s="2"/>
      <c r="O949" s="2"/>
      <c r="P949" s="2"/>
    </row>
    <row r="950" spans="4:16" x14ac:dyDescent="0.25">
      <c r="D950" s="2"/>
      <c r="E950" s="310"/>
      <c r="G950" s="2"/>
      <c r="H950" s="310"/>
      <c r="I950" s="2"/>
      <c r="O950" s="2"/>
      <c r="P950" s="2"/>
    </row>
    <row r="951" spans="4:16" x14ac:dyDescent="0.25">
      <c r="D951" s="2"/>
      <c r="E951" s="310"/>
      <c r="G951" s="2"/>
      <c r="H951" s="310"/>
      <c r="I951" s="2"/>
      <c r="O951" s="2"/>
      <c r="P951" s="2"/>
    </row>
    <row r="952" spans="4:16" x14ac:dyDescent="0.25">
      <c r="D952" s="2"/>
      <c r="E952" s="310"/>
      <c r="G952" s="2"/>
      <c r="H952" s="310"/>
      <c r="I952" s="2"/>
      <c r="O952" s="2"/>
      <c r="P952" s="2"/>
    </row>
    <row r="953" spans="4:16" x14ac:dyDescent="0.25">
      <c r="D953" s="2"/>
      <c r="E953" s="310"/>
      <c r="G953" s="2"/>
      <c r="H953" s="310"/>
      <c r="I953" s="2"/>
      <c r="O953" s="2"/>
      <c r="P953" s="2"/>
    </row>
    <row r="954" spans="4:16" x14ac:dyDescent="0.25">
      <c r="D954" s="2"/>
      <c r="E954" s="310"/>
      <c r="G954" s="2"/>
      <c r="H954" s="310"/>
      <c r="I954" s="2"/>
      <c r="O954" s="2"/>
      <c r="P954" s="2"/>
    </row>
    <row r="955" spans="4:16" x14ac:dyDescent="0.25">
      <c r="D955" s="2"/>
      <c r="E955" s="310"/>
      <c r="G955" s="2"/>
      <c r="H955" s="310"/>
      <c r="I955" s="2"/>
      <c r="O955" s="2"/>
      <c r="P955" s="2"/>
    </row>
    <row r="956" spans="4:16" x14ac:dyDescent="0.25">
      <c r="D956" s="2"/>
      <c r="E956" s="310"/>
      <c r="G956" s="2"/>
      <c r="H956" s="310"/>
      <c r="I956" s="2"/>
      <c r="O956" s="2"/>
      <c r="P956" s="2"/>
    </row>
    <row r="957" spans="4:16" x14ac:dyDescent="0.25">
      <c r="D957" s="2"/>
      <c r="E957" s="310"/>
      <c r="G957" s="2"/>
      <c r="H957" s="310"/>
      <c r="I957" s="2"/>
      <c r="O957" s="2"/>
      <c r="P957" s="2"/>
    </row>
    <row r="958" spans="4:16" x14ac:dyDescent="0.25">
      <c r="D958" s="2"/>
      <c r="E958" s="310"/>
      <c r="G958" s="2"/>
      <c r="H958" s="310"/>
      <c r="I958" s="2"/>
      <c r="O958" s="2"/>
      <c r="P958" s="2"/>
    </row>
    <row r="959" spans="4:16" x14ac:dyDescent="0.25">
      <c r="D959" s="2"/>
      <c r="E959" s="310"/>
      <c r="G959" s="2"/>
      <c r="H959" s="310"/>
      <c r="I959" s="2"/>
      <c r="O959" s="2"/>
      <c r="P959" s="2"/>
    </row>
    <row r="960" spans="4:16" x14ac:dyDescent="0.25">
      <c r="D960" s="2"/>
      <c r="E960" s="310"/>
      <c r="G960" s="2"/>
      <c r="H960" s="310"/>
      <c r="I960" s="2"/>
      <c r="O960" s="2"/>
      <c r="P960" s="2"/>
    </row>
    <row r="961" spans="4:16" x14ac:dyDescent="0.25">
      <c r="D961" s="2"/>
      <c r="E961" s="310"/>
      <c r="G961" s="2"/>
      <c r="H961" s="310"/>
      <c r="I961" s="2"/>
      <c r="O961" s="2"/>
      <c r="P961" s="2"/>
    </row>
    <row r="962" spans="4:16" x14ac:dyDescent="0.25">
      <c r="D962" s="2"/>
      <c r="E962" s="310"/>
      <c r="G962" s="2"/>
      <c r="H962" s="310"/>
      <c r="I962" s="2"/>
      <c r="O962" s="2"/>
      <c r="P962" s="2"/>
    </row>
    <row r="963" spans="4:16" x14ac:dyDescent="0.25">
      <c r="D963" s="2"/>
      <c r="E963" s="310"/>
      <c r="G963" s="2"/>
      <c r="H963" s="310"/>
      <c r="I963" s="2"/>
      <c r="O963" s="2"/>
      <c r="P963" s="2"/>
    </row>
    <row r="964" spans="4:16" x14ac:dyDescent="0.25">
      <c r="D964" s="2"/>
      <c r="E964" s="310"/>
      <c r="G964" s="2"/>
      <c r="H964" s="310"/>
      <c r="I964" s="2"/>
      <c r="O964" s="2"/>
      <c r="P964" s="2"/>
    </row>
    <row r="965" spans="4:16" x14ac:dyDescent="0.25">
      <c r="D965" s="2"/>
      <c r="E965" s="310"/>
      <c r="G965" s="2"/>
      <c r="H965" s="310"/>
      <c r="I965" s="2"/>
      <c r="O965" s="2"/>
      <c r="P965" s="2"/>
    </row>
    <row r="966" spans="4:16" x14ac:dyDescent="0.25">
      <c r="D966" s="2"/>
      <c r="E966" s="310"/>
      <c r="G966" s="2"/>
      <c r="H966" s="310"/>
      <c r="I966" s="2"/>
      <c r="O966" s="2"/>
      <c r="P966" s="2"/>
    </row>
    <row r="967" spans="4:16" x14ac:dyDescent="0.25">
      <c r="D967" s="2"/>
      <c r="E967" s="310"/>
      <c r="G967" s="2"/>
      <c r="H967" s="310"/>
      <c r="I967" s="2"/>
      <c r="O967" s="2"/>
      <c r="P967" s="2"/>
    </row>
    <row r="968" spans="4:16" x14ac:dyDescent="0.25">
      <c r="D968" s="2"/>
      <c r="E968" s="310"/>
      <c r="G968" s="2"/>
      <c r="H968" s="310"/>
      <c r="I968" s="2"/>
      <c r="O968" s="2"/>
      <c r="P968" s="2"/>
    </row>
    <row r="969" spans="4:16" x14ac:dyDescent="0.25">
      <c r="D969" s="2"/>
      <c r="E969" s="310"/>
      <c r="G969" s="2"/>
      <c r="H969" s="310"/>
      <c r="I969" s="2"/>
      <c r="O969" s="2"/>
      <c r="P969" s="2"/>
    </row>
    <row r="970" spans="4:16" x14ac:dyDescent="0.25">
      <c r="D970" s="2"/>
      <c r="E970" s="310"/>
      <c r="G970" s="2"/>
      <c r="H970" s="310"/>
      <c r="I970" s="2"/>
      <c r="O970" s="2"/>
      <c r="P970" s="2"/>
    </row>
    <row r="971" spans="4:16" x14ac:dyDescent="0.25">
      <c r="D971" s="2"/>
      <c r="E971" s="310"/>
      <c r="G971" s="2"/>
      <c r="H971" s="310"/>
      <c r="I971" s="2"/>
      <c r="O971" s="2"/>
      <c r="P971" s="2"/>
    </row>
    <row r="972" spans="4:16" x14ac:dyDescent="0.25">
      <c r="D972" s="2"/>
      <c r="E972" s="310"/>
      <c r="G972" s="2"/>
      <c r="H972" s="310"/>
      <c r="I972" s="2"/>
      <c r="O972" s="2"/>
      <c r="P972" s="2"/>
    </row>
    <row r="973" spans="4:16" x14ac:dyDescent="0.25">
      <c r="D973" s="2"/>
      <c r="E973" s="310"/>
      <c r="G973" s="2"/>
      <c r="H973" s="310"/>
      <c r="I973" s="2"/>
      <c r="O973" s="2"/>
      <c r="P973" s="2"/>
    </row>
    <row r="974" spans="4:16" x14ac:dyDescent="0.25">
      <c r="D974" s="2"/>
      <c r="E974" s="310"/>
      <c r="G974" s="2"/>
      <c r="H974" s="310"/>
      <c r="I974" s="2"/>
      <c r="O974" s="2"/>
      <c r="P974" s="2"/>
    </row>
    <row r="975" spans="4:16" x14ac:dyDescent="0.25">
      <c r="D975" s="2"/>
      <c r="E975" s="310"/>
      <c r="G975" s="2"/>
      <c r="H975" s="310"/>
      <c r="I975" s="2"/>
      <c r="O975" s="2"/>
      <c r="P975" s="2"/>
    </row>
    <row r="976" spans="4:16" x14ac:dyDescent="0.25">
      <c r="D976" s="2"/>
      <c r="E976" s="310"/>
      <c r="G976" s="2"/>
      <c r="H976" s="310"/>
      <c r="I976" s="2"/>
      <c r="O976" s="2"/>
      <c r="P976" s="2"/>
    </row>
    <row r="977" spans="4:16" x14ac:dyDescent="0.25">
      <c r="D977" s="2"/>
      <c r="E977" s="310"/>
      <c r="G977" s="2"/>
      <c r="H977" s="310"/>
      <c r="I977" s="2"/>
      <c r="O977" s="2"/>
      <c r="P977" s="2"/>
    </row>
    <row r="978" spans="4:16" x14ac:dyDescent="0.25">
      <c r="D978" s="2"/>
      <c r="E978" s="310"/>
      <c r="G978" s="2"/>
      <c r="H978" s="310"/>
      <c r="I978" s="2"/>
      <c r="O978" s="2"/>
      <c r="P978" s="2"/>
    </row>
    <row r="979" spans="4:16" x14ac:dyDescent="0.25">
      <c r="D979" s="2"/>
      <c r="E979" s="310"/>
      <c r="G979" s="2"/>
      <c r="H979" s="310"/>
      <c r="I979" s="2"/>
      <c r="O979" s="2"/>
      <c r="P979" s="2"/>
    </row>
    <row r="980" spans="4:16" x14ac:dyDescent="0.25">
      <c r="D980" s="2"/>
      <c r="E980" s="310"/>
      <c r="G980" s="2"/>
      <c r="H980" s="310"/>
      <c r="I980" s="2"/>
      <c r="O980" s="2"/>
      <c r="P980" s="2"/>
    </row>
    <row r="981" spans="4:16" x14ac:dyDescent="0.25">
      <c r="D981" s="2"/>
      <c r="E981" s="310"/>
      <c r="G981" s="2"/>
      <c r="H981" s="310"/>
      <c r="I981" s="2"/>
      <c r="O981" s="2"/>
      <c r="P981" s="2"/>
    </row>
    <row r="982" spans="4:16" x14ac:dyDescent="0.25">
      <c r="D982" s="2"/>
      <c r="E982" s="310"/>
      <c r="G982" s="2"/>
      <c r="H982" s="310"/>
      <c r="I982" s="2"/>
      <c r="O982" s="2"/>
      <c r="P982" s="2"/>
    </row>
    <row r="983" spans="4:16" x14ac:dyDescent="0.25">
      <c r="D983" s="2"/>
      <c r="E983" s="310"/>
      <c r="G983" s="2"/>
      <c r="H983" s="310"/>
      <c r="I983" s="2"/>
      <c r="O983" s="2"/>
      <c r="P983" s="2"/>
    </row>
    <row r="984" spans="4:16" x14ac:dyDescent="0.25">
      <c r="D984" s="2"/>
      <c r="E984" s="310"/>
      <c r="G984" s="2"/>
      <c r="H984" s="310"/>
      <c r="I984" s="2"/>
      <c r="O984" s="2"/>
      <c r="P984" s="2"/>
    </row>
    <row r="985" spans="4:16" x14ac:dyDescent="0.25">
      <c r="D985" s="2"/>
      <c r="E985" s="310"/>
      <c r="G985" s="2"/>
      <c r="H985" s="310"/>
      <c r="I985" s="2"/>
      <c r="O985" s="2"/>
      <c r="P985" s="2"/>
    </row>
    <row r="986" spans="4:16" x14ac:dyDescent="0.25">
      <c r="D986" s="2"/>
      <c r="E986" s="310"/>
      <c r="G986" s="2"/>
      <c r="H986" s="310"/>
      <c r="I986" s="2"/>
      <c r="O986" s="2"/>
      <c r="P986" s="2"/>
    </row>
    <row r="987" spans="4:16" x14ac:dyDescent="0.25">
      <c r="D987" s="2"/>
      <c r="E987" s="310"/>
      <c r="G987" s="2"/>
      <c r="H987" s="310"/>
      <c r="I987" s="2"/>
      <c r="O987" s="2"/>
      <c r="P987" s="2"/>
    </row>
    <row r="988" spans="4:16" x14ac:dyDescent="0.25">
      <c r="D988" s="2"/>
      <c r="E988" s="310"/>
      <c r="G988" s="2"/>
      <c r="H988" s="310"/>
      <c r="I988" s="2"/>
      <c r="O988" s="2"/>
      <c r="P988" s="2"/>
    </row>
    <row r="989" spans="4:16" x14ac:dyDescent="0.25">
      <c r="D989" s="2"/>
      <c r="E989" s="310"/>
      <c r="G989" s="2"/>
      <c r="H989" s="310"/>
      <c r="I989" s="2"/>
      <c r="O989" s="2"/>
      <c r="P989" s="2"/>
    </row>
    <row r="990" spans="4:16" x14ac:dyDescent="0.25">
      <c r="D990" s="2"/>
      <c r="E990" s="310"/>
      <c r="G990" s="2"/>
      <c r="H990" s="310"/>
      <c r="I990" s="2"/>
      <c r="O990" s="2"/>
      <c r="P990" s="2"/>
    </row>
    <row r="991" spans="4:16" x14ac:dyDescent="0.25">
      <c r="D991" s="2"/>
      <c r="E991" s="310"/>
      <c r="G991" s="2"/>
      <c r="H991" s="310"/>
      <c r="I991" s="2"/>
      <c r="O991" s="2"/>
      <c r="P991" s="2"/>
    </row>
    <row r="992" spans="4:16" x14ac:dyDescent="0.25">
      <c r="D992" s="2"/>
      <c r="E992" s="310"/>
      <c r="G992" s="2"/>
      <c r="H992" s="310"/>
      <c r="I992" s="2"/>
      <c r="O992" s="2"/>
      <c r="P992" s="2"/>
    </row>
    <row r="993" spans="4:16" x14ac:dyDescent="0.25">
      <c r="D993" s="2"/>
      <c r="E993" s="310"/>
      <c r="G993" s="2"/>
      <c r="H993" s="310"/>
      <c r="I993" s="2"/>
      <c r="O993" s="2"/>
      <c r="P993" s="2"/>
    </row>
    <row r="994" spans="4:16" x14ac:dyDescent="0.25">
      <c r="D994" s="2"/>
      <c r="E994" s="310"/>
      <c r="G994" s="2"/>
      <c r="H994" s="310"/>
      <c r="I994" s="2"/>
      <c r="O994" s="2"/>
      <c r="P994" s="2"/>
    </row>
    <row r="995" spans="4:16" x14ac:dyDescent="0.25">
      <c r="D995" s="2"/>
      <c r="E995" s="310"/>
      <c r="G995" s="2"/>
      <c r="H995" s="310"/>
      <c r="I995" s="2"/>
      <c r="O995" s="2"/>
      <c r="P995" s="2"/>
    </row>
    <row r="996" spans="4:16" x14ac:dyDescent="0.25">
      <c r="D996" s="2"/>
      <c r="E996" s="310"/>
      <c r="G996" s="2"/>
      <c r="H996" s="310"/>
      <c r="I996" s="2"/>
      <c r="O996" s="2"/>
      <c r="P996" s="2"/>
    </row>
    <row r="997" spans="4:16" x14ac:dyDescent="0.25">
      <c r="D997" s="2"/>
      <c r="E997" s="310"/>
      <c r="G997" s="2"/>
      <c r="H997" s="310"/>
      <c r="I997" s="2"/>
      <c r="O997" s="2"/>
      <c r="P997" s="2"/>
    </row>
    <row r="998" spans="4:16" x14ac:dyDescent="0.25">
      <c r="D998" s="2"/>
      <c r="E998" s="310"/>
      <c r="G998" s="2"/>
      <c r="H998" s="310"/>
      <c r="I998" s="2"/>
      <c r="O998" s="2"/>
      <c r="P998" s="2"/>
    </row>
    <row r="999" spans="4:16" x14ac:dyDescent="0.25">
      <c r="D999" s="2"/>
      <c r="E999" s="310"/>
      <c r="G999" s="2"/>
      <c r="H999" s="310"/>
      <c r="I999" s="2"/>
      <c r="O999" s="2"/>
      <c r="P999" s="2"/>
    </row>
    <row r="1000" spans="4:16" x14ac:dyDescent="0.25">
      <c r="D1000" s="2"/>
      <c r="E1000" s="310"/>
      <c r="G1000" s="2"/>
      <c r="H1000" s="310"/>
      <c r="I1000" s="2"/>
      <c r="O1000" s="2"/>
      <c r="P1000" s="2"/>
    </row>
    <row r="1001" spans="4:16" x14ac:dyDescent="0.25">
      <c r="D1001" s="2"/>
      <c r="E1001" s="310"/>
      <c r="G1001" s="2"/>
      <c r="H1001" s="310"/>
      <c r="I1001" s="2"/>
      <c r="O1001" s="2"/>
      <c r="P1001" s="2"/>
    </row>
    <row r="1002" spans="4:16" x14ac:dyDescent="0.25">
      <c r="D1002" s="2"/>
      <c r="E1002" s="310"/>
      <c r="G1002" s="2"/>
      <c r="H1002" s="310"/>
      <c r="I1002" s="2"/>
      <c r="O1002" s="2"/>
      <c r="P1002" s="2"/>
    </row>
    <row r="1003" spans="4:16" x14ac:dyDescent="0.25">
      <c r="D1003" s="2"/>
      <c r="E1003" s="310"/>
      <c r="G1003" s="2"/>
      <c r="H1003" s="310"/>
      <c r="I1003" s="2"/>
      <c r="O1003" s="2"/>
      <c r="P1003" s="2"/>
    </row>
    <row r="1004" spans="4:16" x14ac:dyDescent="0.25">
      <c r="D1004" s="2"/>
      <c r="E1004" s="310"/>
      <c r="G1004" s="2"/>
      <c r="H1004" s="310"/>
      <c r="I1004" s="2"/>
      <c r="O1004" s="2"/>
      <c r="P1004" s="2"/>
    </row>
    <row r="1005" spans="4:16" x14ac:dyDescent="0.25">
      <c r="D1005" s="2"/>
      <c r="E1005" s="310"/>
      <c r="G1005" s="2"/>
      <c r="H1005" s="310"/>
      <c r="I1005" s="2"/>
      <c r="O1005" s="2"/>
      <c r="P1005" s="2"/>
    </row>
    <row r="1006" spans="4:16" x14ac:dyDescent="0.25">
      <c r="D1006" s="2"/>
      <c r="E1006" s="310"/>
      <c r="G1006" s="2"/>
      <c r="H1006" s="310"/>
      <c r="I1006" s="2"/>
      <c r="O1006" s="2"/>
      <c r="P1006" s="2"/>
    </row>
    <row r="1007" spans="4:16" x14ac:dyDescent="0.25">
      <c r="D1007" s="2"/>
      <c r="E1007" s="310"/>
      <c r="G1007" s="2"/>
      <c r="H1007" s="310"/>
      <c r="I1007" s="2"/>
      <c r="O1007" s="2"/>
      <c r="P1007" s="2"/>
    </row>
    <row r="1008" spans="4:16" x14ac:dyDescent="0.25">
      <c r="D1008" s="2"/>
      <c r="E1008" s="310"/>
      <c r="G1008" s="2"/>
      <c r="H1008" s="310"/>
      <c r="I1008" s="2"/>
      <c r="O1008" s="2"/>
      <c r="P1008" s="2"/>
    </row>
    <row r="1009" spans="4:16" x14ac:dyDescent="0.25">
      <c r="D1009" s="2"/>
      <c r="E1009" s="310"/>
      <c r="G1009" s="2"/>
      <c r="H1009" s="310"/>
      <c r="I1009" s="2"/>
      <c r="O1009" s="2"/>
      <c r="P1009" s="2"/>
    </row>
    <row r="1010" spans="4:16" x14ac:dyDescent="0.25">
      <c r="D1010" s="2"/>
      <c r="E1010" s="310"/>
      <c r="G1010" s="2"/>
      <c r="H1010" s="310"/>
      <c r="I1010" s="2"/>
      <c r="O1010" s="2"/>
      <c r="P1010" s="2"/>
    </row>
    <row r="1011" spans="4:16" x14ac:dyDescent="0.25">
      <c r="D1011" s="2"/>
      <c r="E1011" s="310"/>
      <c r="G1011" s="2"/>
      <c r="H1011" s="310"/>
      <c r="I1011" s="2"/>
      <c r="O1011" s="2"/>
      <c r="P1011" s="2"/>
    </row>
    <row r="1012" spans="4:16" x14ac:dyDescent="0.25">
      <c r="D1012" s="2"/>
      <c r="E1012" s="310"/>
      <c r="G1012" s="2"/>
      <c r="H1012" s="310"/>
      <c r="I1012" s="2"/>
      <c r="O1012" s="2"/>
      <c r="P1012" s="2"/>
    </row>
    <row r="1013" spans="4:16" x14ac:dyDescent="0.25">
      <c r="D1013" s="2"/>
      <c r="E1013" s="310"/>
      <c r="G1013" s="2"/>
      <c r="H1013" s="310"/>
      <c r="I1013" s="2"/>
      <c r="O1013" s="2"/>
      <c r="P1013" s="2"/>
    </row>
    <row r="1014" spans="4:16" x14ac:dyDescent="0.25">
      <c r="D1014" s="2"/>
      <c r="E1014" s="310"/>
      <c r="G1014" s="2"/>
      <c r="H1014" s="310"/>
      <c r="I1014" s="2"/>
      <c r="O1014" s="2"/>
      <c r="P1014" s="2"/>
    </row>
    <row r="1015" spans="4:16" x14ac:dyDescent="0.25">
      <c r="D1015" s="2"/>
      <c r="E1015" s="310"/>
      <c r="G1015" s="2"/>
      <c r="H1015" s="310"/>
      <c r="I1015" s="2"/>
      <c r="O1015" s="2"/>
      <c r="P1015" s="2"/>
    </row>
    <row r="1016" spans="4:16" x14ac:dyDescent="0.25">
      <c r="D1016" s="2"/>
      <c r="E1016" s="310"/>
      <c r="G1016" s="2"/>
      <c r="H1016" s="310"/>
      <c r="I1016" s="2"/>
      <c r="O1016" s="2"/>
      <c r="P1016" s="2"/>
    </row>
    <row r="1017" spans="4:16" x14ac:dyDescent="0.25">
      <c r="D1017" s="2"/>
      <c r="E1017" s="310"/>
      <c r="G1017" s="2"/>
      <c r="H1017" s="310"/>
      <c r="I1017" s="2"/>
      <c r="O1017" s="2"/>
      <c r="P1017" s="2"/>
    </row>
    <row r="1018" spans="4:16" x14ac:dyDescent="0.25">
      <c r="D1018" s="2"/>
      <c r="E1018" s="310"/>
      <c r="G1018" s="2"/>
      <c r="H1018" s="310"/>
      <c r="I1018" s="2"/>
      <c r="O1018" s="2"/>
      <c r="P1018" s="2"/>
    </row>
    <row r="1019" spans="4:16" x14ac:dyDescent="0.25">
      <c r="D1019" s="2"/>
      <c r="E1019" s="310"/>
      <c r="G1019" s="2"/>
      <c r="H1019" s="310"/>
      <c r="I1019" s="2"/>
      <c r="O1019" s="2"/>
      <c r="P1019" s="2"/>
    </row>
    <row r="1020" spans="4:16" x14ac:dyDescent="0.25">
      <c r="D1020" s="2"/>
      <c r="E1020" s="310"/>
      <c r="G1020" s="2"/>
      <c r="H1020" s="310"/>
      <c r="I1020" s="2"/>
      <c r="O1020" s="2"/>
      <c r="P1020" s="2"/>
    </row>
    <row r="1021" spans="4:16" x14ac:dyDescent="0.25">
      <c r="D1021" s="2"/>
      <c r="E1021" s="310"/>
      <c r="G1021" s="2"/>
      <c r="H1021" s="310"/>
      <c r="I1021" s="2"/>
      <c r="O1021" s="2"/>
      <c r="P1021" s="2"/>
    </row>
    <row r="1022" spans="4:16" x14ac:dyDescent="0.25">
      <c r="D1022" s="2"/>
      <c r="E1022" s="310"/>
      <c r="G1022" s="2"/>
      <c r="H1022" s="310"/>
      <c r="I1022" s="2"/>
      <c r="O1022" s="2"/>
      <c r="P1022" s="2"/>
    </row>
    <row r="1023" spans="4:16" x14ac:dyDescent="0.25">
      <c r="D1023" s="2"/>
      <c r="E1023" s="310"/>
      <c r="G1023" s="2"/>
      <c r="H1023" s="310"/>
      <c r="I1023" s="2"/>
      <c r="O1023" s="2"/>
      <c r="P1023" s="2"/>
    </row>
    <row r="1024" spans="4:16" x14ac:dyDescent="0.25">
      <c r="D1024" s="2"/>
      <c r="E1024" s="310"/>
      <c r="G1024" s="2"/>
      <c r="H1024" s="310"/>
      <c r="I1024" s="2"/>
      <c r="O1024" s="2"/>
      <c r="P1024" s="2"/>
    </row>
    <row r="1025" spans="4:16" x14ac:dyDescent="0.25">
      <c r="D1025" s="2"/>
      <c r="E1025" s="310"/>
      <c r="G1025" s="2"/>
      <c r="H1025" s="310"/>
      <c r="I1025" s="2"/>
      <c r="O1025" s="2"/>
      <c r="P1025" s="2"/>
    </row>
    <row r="1026" spans="4:16" x14ac:dyDescent="0.25">
      <c r="D1026" s="2"/>
      <c r="E1026" s="310"/>
      <c r="G1026" s="2"/>
      <c r="H1026" s="310"/>
      <c r="I1026" s="2"/>
      <c r="O1026" s="2"/>
      <c r="P1026" s="2"/>
    </row>
    <row r="1027" spans="4:16" x14ac:dyDescent="0.25">
      <c r="D1027" s="2"/>
      <c r="E1027" s="310"/>
      <c r="G1027" s="2"/>
      <c r="H1027" s="310"/>
      <c r="I1027" s="2"/>
      <c r="O1027" s="2"/>
      <c r="P1027" s="2"/>
    </row>
    <row r="1028" spans="4:16" x14ac:dyDescent="0.25">
      <c r="D1028" s="2"/>
      <c r="E1028" s="310"/>
      <c r="G1028" s="2"/>
      <c r="H1028" s="310"/>
      <c r="I1028" s="2"/>
      <c r="O1028" s="2"/>
      <c r="P1028" s="2"/>
    </row>
    <row r="1029" spans="4:16" x14ac:dyDescent="0.25">
      <c r="D1029" s="2"/>
      <c r="E1029" s="310"/>
      <c r="G1029" s="2"/>
      <c r="H1029" s="310"/>
      <c r="I1029" s="2"/>
      <c r="O1029" s="2"/>
      <c r="P1029" s="2"/>
    </row>
    <row r="1030" spans="4:16" x14ac:dyDescent="0.25">
      <c r="D1030" s="2"/>
      <c r="E1030" s="310"/>
      <c r="G1030" s="2"/>
      <c r="H1030" s="310"/>
      <c r="I1030" s="2"/>
      <c r="O1030" s="2"/>
      <c r="P1030" s="2"/>
    </row>
    <row r="1031" spans="4:16" x14ac:dyDescent="0.25">
      <c r="D1031" s="2"/>
      <c r="E1031" s="310"/>
      <c r="G1031" s="2"/>
      <c r="H1031" s="310"/>
      <c r="I1031" s="2"/>
      <c r="O1031" s="2"/>
      <c r="P1031" s="2"/>
    </row>
    <row r="1032" spans="4:16" x14ac:dyDescent="0.25">
      <c r="D1032" s="2"/>
      <c r="E1032" s="310"/>
      <c r="G1032" s="2"/>
      <c r="H1032" s="310"/>
      <c r="I1032" s="2"/>
      <c r="O1032" s="2"/>
      <c r="P1032" s="2"/>
    </row>
    <row r="1033" spans="4:16" x14ac:dyDescent="0.25">
      <c r="D1033" s="2"/>
      <c r="E1033" s="310"/>
      <c r="G1033" s="2"/>
      <c r="H1033" s="310"/>
      <c r="I1033" s="2"/>
      <c r="O1033" s="2"/>
      <c r="P1033" s="2"/>
    </row>
    <row r="1034" spans="4:16" x14ac:dyDescent="0.25">
      <c r="D1034" s="2"/>
      <c r="E1034" s="310"/>
      <c r="G1034" s="2"/>
      <c r="H1034" s="310"/>
      <c r="I1034" s="2"/>
      <c r="O1034" s="2"/>
      <c r="P1034" s="2"/>
    </row>
    <row r="1035" spans="4:16" x14ac:dyDescent="0.25">
      <c r="D1035" s="2"/>
      <c r="E1035" s="310"/>
      <c r="G1035" s="2"/>
      <c r="H1035" s="310"/>
      <c r="I1035" s="2"/>
      <c r="O1035" s="2"/>
      <c r="P1035" s="2"/>
    </row>
    <row r="1036" spans="4:16" x14ac:dyDescent="0.25">
      <c r="D1036" s="2"/>
      <c r="E1036" s="310"/>
      <c r="G1036" s="2"/>
      <c r="H1036" s="310"/>
      <c r="I1036" s="2"/>
      <c r="O1036" s="2"/>
      <c r="P1036" s="2"/>
    </row>
    <row r="1037" spans="4:16" x14ac:dyDescent="0.25">
      <c r="D1037" s="2"/>
      <c r="E1037" s="310"/>
      <c r="G1037" s="2"/>
      <c r="H1037" s="310"/>
      <c r="I1037" s="2"/>
      <c r="O1037" s="2"/>
      <c r="P1037" s="2"/>
    </row>
    <row r="1038" spans="4:16" x14ac:dyDescent="0.25">
      <c r="D1038" s="2"/>
      <c r="E1038" s="310"/>
      <c r="G1038" s="2"/>
      <c r="H1038" s="310"/>
      <c r="I1038" s="2"/>
      <c r="O1038" s="2"/>
      <c r="P1038" s="2"/>
    </row>
    <row r="1039" spans="4:16" x14ac:dyDescent="0.25">
      <c r="D1039" s="2"/>
      <c r="E1039" s="310"/>
      <c r="G1039" s="2"/>
      <c r="H1039" s="310"/>
      <c r="I1039" s="2"/>
      <c r="O1039" s="2"/>
      <c r="P1039" s="2"/>
    </row>
    <row r="1040" spans="4:16" x14ac:dyDescent="0.25">
      <c r="D1040" s="2"/>
      <c r="E1040" s="310"/>
      <c r="G1040" s="2"/>
      <c r="H1040" s="310"/>
      <c r="I1040" s="2"/>
      <c r="O1040" s="2"/>
      <c r="P1040" s="2"/>
    </row>
    <row r="1041" spans="4:16" x14ac:dyDescent="0.25">
      <c r="D1041" s="2"/>
      <c r="E1041" s="310"/>
      <c r="G1041" s="2"/>
      <c r="H1041" s="310"/>
      <c r="I1041" s="2"/>
      <c r="O1041" s="2"/>
      <c r="P1041" s="2"/>
    </row>
    <row r="1042" spans="4:16" x14ac:dyDescent="0.25">
      <c r="D1042" s="2"/>
      <c r="E1042" s="310"/>
      <c r="G1042" s="2"/>
      <c r="H1042" s="310"/>
      <c r="I1042" s="2"/>
      <c r="O1042" s="2"/>
      <c r="P1042" s="2"/>
    </row>
    <row r="1043" spans="4:16" x14ac:dyDescent="0.25">
      <c r="D1043" s="2"/>
      <c r="E1043" s="310"/>
      <c r="G1043" s="2"/>
      <c r="H1043" s="310"/>
      <c r="I1043" s="2"/>
      <c r="O1043" s="2"/>
      <c r="P1043" s="2"/>
    </row>
    <row r="1044" spans="4:16" x14ac:dyDescent="0.25">
      <c r="D1044" s="2"/>
      <c r="E1044" s="310"/>
      <c r="G1044" s="2"/>
      <c r="H1044" s="310"/>
      <c r="I1044" s="2"/>
      <c r="O1044" s="2"/>
      <c r="P1044" s="2"/>
    </row>
    <row r="1045" spans="4:16" x14ac:dyDescent="0.25">
      <c r="D1045" s="2"/>
      <c r="E1045" s="310"/>
      <c r="G1045" s="2"/>
      <c r="H1045" s="310"/>
      <c r="I1045" s="2"/>
      <c r="O1045" s="2"/>
      <c r="P1045" s="2"/>
    </row>
    <row r="1046" spans="4:16" x14ac:dyDescent="0.25">
      <c r="D1046" s="2"/>
      <c r="E1046" s="310"/>
      <c r="G1046" s="2"/>
      <c r="H1046" s="310"/>
      <c r="I1046" s="2"/>
      <c r="O1046" s="2"/>
      <c r="P1046" s="2"/>
    </row>
    <row r="1047" spans="4:16" x14ac:dyDescent="0.25">
      <c r="D1047" s="2"/>
      <c r="E1047" s="310"/>
      <c r="G1047" s="2"/>
      <c r="H1047" s="310"/>
      <c r="I1047" s="2"/>
      <c r="O1047" s="2"/>
      <c r="P1047" s="2"/>
    </row>
    <row r="1048" spans="4:16" x14ac:dyDescent="0.25">
      <c r="D1048" s="2"/>
      <c r="E1048" s="310"/>
      <c r="G1048" s="2"/>
      <c r="H1048" s="310"/>
      <c r="I1048" s="2"/>
      <c r="O1048" s="2"/>
      <c r="P1048" s="2"/>
    </row>
    <row r="1049" spans="4:16" x14ac:dyDescent="0.25">
      <c r="D1049" s="2"/>
      <c r="E1049" s="310"/>
      <c r="G1049" s="2"/>
      <c r="H1049" s="310"/>
      <c r="I1049" s="2"/>
      <c r="O1049" s="2"/>
      <c r="P1049" s="2"/>
    </row>
    <row r="1050" spans="4:16" x14ac:dyDescent="0.25">
      <c r="D1050" s="2"/>
      <c r="E1050" s="310"/>
      <c r="G1050" s="2"/>
      <c r="H1050" s="310"/>
      <c r="I1050" s="2"/>
      <c r="O1050" s="2"/>
      <c r="P1050" s="2"/>
    </row>
    <row r="1051" spans="4:16" x14ac:dyDescent="0.25">
      <c r="D1051" s="2"/>
      <c r="E1051" s="310"/>
      <c r="G1051" s="2"/>
      <c r="H1051" s="310"/>
      <c r="I1051" s="2"/>
      <c r="O1051" s="2"/>
      <c r="P1051" s="2"/>
    </row>
    <row r="1052" spans="4:16" x14ac:dyDescent="0.25">
      <c r="D1052" s="2"/>
      <c r="E1052" s="310"/>
      <c r="G1052" s="2"/>
      <c r="H1052" s="310"/>
      <c r="I1052" s="2"/>
      <c r="O1052" s="2"/>
      <c r="P1052" s="2"/>
    </row>
    <row r="1053" spans="4:16" x14ac:dyDescent="0.25">
      <c r="D1053" s="2"/>
      <c r="E1053" s="310"/>
      <c r="G1053" s="2"/>
      <c r="H1053" s="310"/>
      <c r="I1053" s="2"/>
      <c r="O1053" s="2"/>
      <c r="P1053" s="2"/>
    </row>
    <row r="1054" spans="4:16" x14ac:dyDescent="0.25">
      <c r="D1054" s="2"/>
      <c r="E1054" s="310"/>
      <c r="G1054" s="2"/>
      <c r="H1054" s="310"/>
      <c r="I1054" s="2"/>
      <c r="O1054" s="2"/>
      <c r="P1054" s="2"/>
    </row>
    <row r="1055" spans="4:16" x14ac:dyDescent="0.25">
      <c r="D1055" s="2"/>
      <c r="E1055" s="310"/>
      <c r="G1055" s="2"/>
      <c r="H1055" s="310"/>
      <c r="I1055" s="2"/>
      <c r="O1055" s="2"/>
      <c r="P1055" s="2"/>
    </row>
    <row r="1056" spans="4:16" x14ac:dyDescent="0.25">
      <c r="D1056" s="2"/>
      <c r="E1056" s="310"/>
      <c r="G1056" s="2"/>
      <c r="H1056" s="310"/>
      <c r="I1056" s="2"/>
      <c r="O1056" s="2"/>
      <c r="P1056" s="2"/>
    </row>
    <row r="1057" spans="4:16" x14ac:dyDescent="0.25">
      <c r="D1057" s="2"/>
      <c r="E1057" s="310"/>
      <c r="G1057" s="2"/>
      <c r="H1057" s="310"/>
      <c r="I1057" s="2"/>
      <c r="O1057" s="2"/>
      <c r="P1057" s="2"/>
    </row>
    <row r="1058" spans="4:16" x14ac:dyDescent="0.25">
      <c r="D1058" s="2"/>
      <c r="E1058" s="310"/>
      <c r="G1058" s="2"/>
      <c r="H1058" s="310"/>
      <c r="I1058" s="2"/>
      <c r="O1058" s="2"/>
      <c r="P1058" s="2"/>
    </row>
    <row r="1059" spans="4:16" x14ac:dyDescent="0.25">
      <c r="D1059" s="2"/>
      <c r="E1059" s="310"/>
      <c r="G1059" s="2"/>
      <c r="H1059" s="310"/>
      <c r="I1059" s="2"/>
      <c r="O1059" s="2"/>
      <c r="P1059" s="2"/>
    </row>
    <row r="1060" spans="4:16" x14ac:dyDescent="0.25">
      <c r="D1060" s="2"/>
      <c r="E1060" s="310"/>
      <c r="G1060" s="2"/>
      <c r="H1060" s="310"/>
      <c r="I1060" s="2"/>
      <c r="O1060" s="2"/>
      <c r="P1060" s="2"/>
    </row>
    <row r="1061" spans="4:16" x14ac:dyDescent="0.25">
      <c r="D1061" s="2"/>
      <c r="E1061" s="310"/>
      <c r="G1061" s="2"/>
      <c r="H1061" s="310"/>
      <c r="I1061" s="2"/>
      <c r="O1061" s="2"/>
      <c r="P1061" s="2"/>
    </row>
    <row r="1062" spans="4:16" x14ac:dyDescent="0.25">
      <c r="D1062" s="2"/>
      <c r="E1062" s="310"/>
      <c r="G1062" s="2"/>
      <c r="H1062" s="310"/>
      <c r="I1062" s="2"/>
      <c r="O1062" s="2"/>
      <c r="P1062" s="2"/>
    </row>
    <row r="1063" spans="4:16" x14ac:dyDescent="0.25">
      <c r="D1063" s="2"/>
      <c r="E1063" s="310"/>
      <c r="G1063" s="2"/>
      <c r="H1063" s="310"/>
      <c r="I1063" s="2"/>
      <c r="O1063" s="2"/>
      <c r="P1063" s="2"/>
    </row>
    <row r="1064" spans="4:16" x14ac:dyDescent="0.25">
      <c r="D1064" s="2"/>
      <c r="E1064" s="310"/>
      <c r="G1064" s="2"/>
      <c r="H1064" s="310"/>
      <c r="I1064" s="2"/>
      <c r="O1064" s="2"/>
      <c r="P1064" s="2"/>
    </row>
    <row r="1065" spans="4:16" x14ac:dyDescent="0.25">
      <c r="D1065" s="2"/>
      <c r="E1065" s="310"/>
      <c r="G1065" s="2"/>
      <c r="H1065" s="310"/>
      <c r="I1065" s="2"/>
      <c r="O1065" s="2"/>
      <c r="P1065" s="2"/>
    </row>
    <row r="1066" spans="4:16" x14ac:dyDescent="0.25">
      <c r="D1066" s="2"/>
      <c r="E1066" s="310"/>
      <c r="G1066" s="2"/>
      <c r="H1066" s="310"/>
      <c r="I1066" s="2"/>
      <c r="O1066" s="2"/>
      <c r="P1066" s="2"/>
    </row>
    <row r="1067" spans="4:16" x14ac:dyDescent="0.25">
      <c r="D1067" s="2"/>
      <c r="E1067" s="310"/>
      <c r="G1067" s="2"/>
      <c r="H1067" s="310"/>
      <c r="I1067" s="2"/>
      <c r="O1067" s="2"/>
      <c r="P1067" s="2"/>
    </row>
    <row r="1068" spans="4:16" x14ac:dyDescent="0.25">
      <c r="D1068" s="2"/>
      <c r="E1068" s="310"/>
      <c r="G1068" s="2"/>
      <c r="H1068" s="310"/>
      <c r="I1068" s="2"/>
      <c r="O1068" s="2"/>
      <c r="P1068" s="2"/>
    </row>
    <row r="1069" spans="4:16" x14ac:dyDescent="0.25">
      <c r="D1069" s="2"/>
      <c r="E1069" s="310"/>
      <c r="G1069" s="2"/>
      <c r="H1069" s="310"/>
      <c r="I1069" s="2"/>
      <c r="O1069" s="2"/>
      <c r="P1069" s="2"/>
    </row>
    <row r="1070" spans="4:16" x14ac:dyDescent="0.25">
      <c r="D1070" s="2"/>
      <c r="E1070" s="310"/>
      <c r="G1070" s="2"/>
      <c r="H1070" s="310"/>
      <c r="I1070" s="2"/>
      <c r="O1070" s="2"/>
      <c r="P1070" s="2"/>
    </row>
    <row r="1071" spans="4:16" x14ac:dyDescent="0.25">
      <c r="D1071" s="2"/>
      <c r="E1071" s="310"/>
      <c r="G1071" s="2"/>
      <c r="H1071" s="310"/>
      <c r="I1071" s="2"/>
      <c r="O1071" s="2"/>
      <c r="P1071" s="2"/>
    </row>
    <row r="1072" spans="4:16" x14ac:dyDescent="0.25">
      <c r="D1072" s="2"/>
      <c r="E1072" s="310"/>
      <c r="G1072" s="2"/>
      <c r="H1072" s="310"/>
      <c r="I1072" s="2"/>
      <c r="O1072" s="2"/>
      <c r="P1072" s="2"/>
    </row>
    <row r="1073" spans="4:16" x14ac:dyDescent="0.25">
      <c r="D1073" s="2"/>
      <c r="E1073" s="310"/>
      <c r="G1073" s="2"/>
      <c r="H1073" s="310"/>
      <c r="I1073" s="2"/>
      <c r="O1073" s="2"/>
      <c r="P1073" s="2"/>
    </row>
    <row r="1074" spans="4:16" x14ac:dyDescent="0.25">
      <c r="D1074" s="2"/>
      <c r="E1074" s="310"/>
      <c r="G1074" s="2"/>
      <c r="H1074" s="310"/>
      <c r="I1074" s="2"/>
      <c r="O1074" s="2"/>
      <c r="P1074" s="2"/>
    </row>
    <row r="1075" spans="4:16" x14ac:dyDescent="0.25">
      <c r="D1075" s="2"/>
      <c r="E1075" s="310"/>
      <c r="G1075" s="2"/>
      <c r="H1075" s="310"/>
      <c r="I1075" s="2"/>
      <c r="O1075" s="2"/>
      <c r="P1075" s="2"/>
    </row>
    <row r="1076" spans="4:16" x14ac:dyDescent="0.25">
      <c r="D1076" s="2"/>
      <c r="E1076" s="310"/>
      <c r="G1076" s="2"/>
      <c r="H1076" s="310"/>
      <c r="I1076" s="2"/>
      <c r="O1076" s="2"/>
      <c r="P1076" s="2"/>
    </row>
    <row r="1077" spans="4:16" x14ac:dyDescent="0.25">
      <c r="D1077" s="2"/>
      <c r="E1077" s="310"/>
      <c r="G1077" s="2"/>
      <c r="H1077" s="310"/>
      <c r="I1077" s="2"/>
      <c r="O1077" s="2"/>
      <c r="P1077" s="2"/>
    </row>
    <row r="1078" spans="4:16" x14ac:dyDescent="0.25">
      <c r="D1078" s="2"/>
      <c r="E1078" s="310"/>
      <c r="G1078" s="2"/>
      <c r="H1078" s="310"/>
      <c r="I1078" s="2"/>
      <c r="O1078" s="2"/>
      <c r="P1078" s="2"/>
    </row>
    <row r="1079" spans="4:16" x14ac:dyDescent="0.25">
      <c r="D1079" s="2"/>
      <c r="E1079" s="310"/>
      <c r="G1079" s="2"/>
      <c r="H1079" s="310"/>
      <c r="I1079" s="2"/>
      <c r="O1079" s="2"/>
      <c r="P1079" s="2"/>
    </row>
    <row r="1080" spans="4:16" x14ac:dyDescent="0.25">
      <c r="D1080" s="2"/>
      <c r="E1080" s="310"/>
      <c r="G1080" s="2"/>
      <c r="H1080" s="310"/>
      <c r="I1080" s="2"/>
      <c r="O1080" s="2"/>
      <c r="P1080" s="2"/>
    </row>
    <row r="1081" spans="4:16" x14ac:dyDescent="0.25">
      <c r="D1081" s="2"/>
      <c r="E1081" s="310"/>
      <c r="G1081" s="2"/>
      <c r="H1081" s="310"/>
      <c r="I1081" s="2"/>
      <c r="O1081" s="2"/>
      <c r="P1081" s="2"/>
    </row>
    <row r="1082" spans="4:16" x14ac:dyDescent="0.25">
      <c r="D1082" s="2"/>
      <c r="E1082" s="310"/>
      <c r="G1082" s="2"/>
      <c r="H1082" s="310"/>
      <c r="I1082" s="2"/>
      <c r="O1082" s="2"/>
      <c r="P1082" s="2"/>
    </row>
    <row r="1083" spans="4:16" x14ac:dyDescent="0.25">
      <c r="D1083" s="2"/>
      <c r="E1083" s="310"/>
      <c r="G1083" s="2"/>
      <c r="H1083" s="310"/>
      <c r="I1083" s="2"/>
      <c r="O1083" s="2"/>
      <c r="P1083" s="2"/>
    </row>
    <row r="1084" spans="4:16" x14ac:dyDescent="0.25">
      <c r="D1084" s="2"/>
      <c r="E1084" s="310"/>
      <c r="G1084" s="2"/>
      <c r="H1084" s="310"/>
      <c r="I1084" s="2"/>
      <c r="O1084" s="2"/>
      <c r="P1084" s="2"/>
    </row>
    <row r="1085" spans="4:16" x14ac:dyDescent="0.25">
      <c r="D1085" s="2"/>
      <c r="E1085" s="310"/>
      <c r="G1085" s="2"/>
      <c r="H1085" s="310"/>
      <c r="I1085" s="2"/>
      <c r="O1085" s="2"/>
      <c r="P1085" s="2"/>
    </row>
    <row r="1086" spans="4:16" x14ac:dyDescent="0.25">
      <c r="D1086" s="2"/>
      <c r="E1086" s="310"/>
      <c r="G1086" s="2"/>
      <c r="H1086" s="310"/>
      <c r="I1086" s="2"/>
      <c r="O1086" s="2"/>
      <c r="P1086" s="2"/>
    </row>
    <row r="1087" spans="4:16" x14ac:dyDescent="0.25">
      <c r="D1087" s="2"/>
      <c r="E1087" s="310"/>
      <c r="G1087" s="2"/>
      <c r="H1087" s="310"/>
      <c r="I1087" s="2"/>
      <c r="O1087" s="2"/>
      <c r="P1087" s="2"/>
    </row>
    <row r="1088" spans="4:16" x14ac:dyDescent="0.25">
      <c r="D1088" s="2"/>
      <c r="E1088" s="310"/>
      <c r="G1088" s="2"/>
      <c r="H1088" s="310"/>
      <c r="I1088" s="2"/>
      <c r="O1088" s="2"/>
      <c r="P1088" s="2"/>
    </row>
    <row r="1089" spans="4:16" x14ac:dyDescent="0.25">
      <c r="D1089" s="2"/>
      <c r="E1089" s="310"/>
      <c r="G1089" s="2"/>
      <c r="H1089" s="310"/>
      <c r="I1089" s="2"/>
      <c r="O1089" s="2"/>
      <c r="P1089" s="2"/>
    </row>
    <row r="1090" spans="4:16" x14ac:dyDescent="0.25">
      <c r="D1090" s="2"/>
      <c r="E1090" s="310"/>
      <c r="G1090" s="2"/>
      <c r="H1090" s="310"/>
      <c r="I1090" s="2"/>
      <c r="O1090" s="2"/>
      <c r="P1090" s="2"/>
    </row>
    <row r="1091" spans="4:16" x14ac:dyDescent="0.25">
      <c r="D1091" s="2"/>
      <c r="E1091" s="310"/>
      <c r="G1091" s="2"/>
      <c r="H1091" s="310"/>
      <c r="I1091" s="2"/>
      <c r="O1091" s="2"/>
      <c r="P1091" s="2"/>
    </row>
    <row r="1092" spans="4:16" x14ac:dyDescent="0.25">
      <c r="D1092" s="2"/>
      <c r="E1092" s="310"/>
      <c r="G1092" s="2"/>
      <c r="H1092" s="310"/>
      <c r="I1092" s="2"/>
      <c r="O1092" s="2"/>
      <c r="P1092" s="2"/>
    </row>
    <row r="1093" spans="4:16" x14ac:dyDescent="0.25">
      <c r="D1093" s="2"/>
      <c r="E1093" s="310"/>
      <c r="G1093" s="2"/>
      <c r="H1093" s="310"/>
      <c r="I1093" s="2"/>
      <c r="O1093" s="2"/>
      <c r="P1093" s="2"/>
    </row>
    <row r="1094" spans="4:16" x14ac:dyDescent="0.25">
      <c r="D1094" s="2"/>
      <c r="E1094" s="310"/>
      <c r="G1094" s="2"/>
      <c r="H1094" s="310"/>
      <c r="I1094" s="2"/>
      <c r="O1094" s="2"/>
      <c r="P1094" s="2"/>
    </row>
    <row r="1095" spans="4:16" x14ac:dyDescent="0.25">
      <c r="D1095" s="2"/>
      <c r="E1095" s="310"/>
      <c r="G1095" s="2"/>
      <c r="H1095" s="310"/>
      <c r="I1095" s="2"/>
      <c r="O1095" s="2"/>
      <c r="P1095" s="2"/>
    </row>
    <row r="1096" spans="4:16" x14ac:dyDescent="0.25">
      <c r="D1096" s="2"/>
      <c r="E1096" s="310"/>
      <c r="G1096" s="2"/>
      <c r="H1096" s="310"/>
      <c r="I1096" s="2"/>
      <c r="O1096" s="2"/>
      <c r="P1096" s="2"/>
    </row>
    <row r="1097" spans="4:16" x14ac:dyDescent="0.25">
      <c r="D1097" s="2"/>
      <c r="E1097" s="310"/>
      <c r="G1097" s="2"/>
      <c r="H1097" s="310"/>
      <c r="I1097" s="2"/>
      <c r="O1097" s="2"/>
      <c r="P1097" s="2"/>
    </row>
    <row r="1098" spans="4:16" x14ac:dyDescent="0.25">
      <c r="D1098" s="2"/>
      <c r="E1098" s="310"/>
      <c r="G1098" s="2"/>
      <c r="H1098" s="310"/>
      <c r="I1098" s="2"/>
      <c r="O1098" s="2"/>
      <c r="P1098" s="2"/>
    </row>
    <row r="1099" spans="4:16" x14ac:dyDescent="0.25">
      <c r="D1099" s="2"/>
      <c r="E1099" s="310"/>
      <c r="G1099" s="2"/>
      <c r="H1099" s="310"/>
      <c r="I1099" s="2"/>
      <c r="O1099" s="2"/>
      <c r="P1099" s="2"/>
    </row>
    <row r="1100" spans="4:16" x14ac:dyDescent="0.25">
      <c r="D1100" s="2"/>
      <c r="E1100" s="310"/>
      <c r="G1100" s="2"/>
      <c r="H1100" s="310"/>
      <c r="I1100" s="2"/>
      <c r="O1100" s="2"/>
      <c r="P1100" s="2"/>
    </row>
    <row r="1101" spans="4:16" x14ac:dyDescent="0.25">
      <c r="D1101" s="2"/>
      <c r="E1101" s="310"/>
      <c r="G1101" s="2"/>
      <c r="H1101" s="310"/>
      <c r="I1101" s="2"/>
      <c r="O1101" s="2"/>
      <c r="P1101" s="2"/>
    </row>
    <row r="1102" spans="4:16" x14ac:dyDescent="0.25">
      <c r="D1102" s="2"/>
      <c r="E1102" s="310"/>
      <c r="G1102" s="2"/>
      <c r="H1102" s="310"/>
      <c r="I1102" s="2"/>
      <c r="O1102" s="2"/>
      <c r="P1102" s="2"/>
    </row>
    <row r="1103" spans="4:16" x14ac:dyDescent="0.25">
      <c r="D1103" s="2"/>
      <c r="E1103" s="310"/>
      <c r="G1103" s="2"/>
      <c r="H1103" s="310"/>
      <c r="I1103" s="2"/>
      <c r="O1103" s="2"/>
      <c r="P1103" s="2"/>
    </row>
    <row r="1104" spans="4:16" x14ac:dyDescent="0.25">
      <c r="D1104" s="2"/>
      <c r="E1104" s="310"/>
      <c r="G1104" s="2"/>
      <c r="H1104" s="310"/>
      <c r="I1104" s="2"/>
      <c r="O1104" s="2"/>
      <c r="P1104" s="2"/>
    </row>
    <row r="1105" spans="4:16" x14ac:dyDescent="0.25">
      <c r="D1105" s="2"/>
      <c r="E1105" s="310"/>
      <c r="G1105" s="2"/>
      <c r="H1105" s="310"/>
      <c r="I1105" s="2"/>
      <c r="O1105" s="2"/>
      <c r="P1105" s="2"/>
    </row>
    <row r="1106" spans="4:16" x14ac:dyDescent="0.25">
      <c r="D1106" s="2"/>
      <c r="E1106" s="310"/>
      <c r="G1106" s="2"/>
      <c r="H1106" s="310"/>
      <c r="I1106" s="2"/>
      <c r="O1106" s="2"/>
      <c r="P1106" s="2"/>
    </row>
    <row r="1107" spans="4:16" x14ac:dyDescent="0.25">
      <c r="D1107" s="2"/>
      <c r="E1107" s="310"/>
      <c r="G1107" s="2"/>
      <c r="H1107" s="310"/>
      <c r="I1107" s="2"/>
      <c r="O1107" s="2"/>
      <c r="P1107" s="2"/>
    </row>
    <row r="1108" spans="4:16" x14ac:dyDescent="0.25">
      <c r="D1108" s="2"/>
      <c r="E1108" s="310"/>
      <c r="G1108" s="2"/>
      <c r="H1108" s="310"/>
      <c r="I1108" s="2"/>
      <c r="O1108" s="2"/>
      <c r="P1108" s="2"/>
    </row>
    <row r="1109" spans="4:16" x14ac:dyDescent="0.25">
      <c r="D1109" s="2"/>
      <c r="E1109" s="310"/>
      <c r="G1109" s="2"/>
      <c r="H1109" s="310"/>
      <c r="I1109" s="2"/>
      <c r="O1109" s="2"/>
      <c r="P1109" s="2"/>
    </row>
    <row r="1110" spans="4:16" x14ac:dyDescent="0.25">
      <c r="D1110" s="2"/>
      <c r="E1110" s="310"/>
      <c r="G1110" s="2"/>
      <c r="H1110" s="310"/>
      <c r="I1110" s="2"/>
      <c r="O1110" s="2"/>
      <c r="P1110" s="2"/>
    </row>
    <row r="1111" spans="4:16" x14ac:dyDescent="0.25">
      <c r="D1111" s="2"/>
      <c r="E1111" s="310"/>
      <c r="G1111" s="2"/>
      <c r="H1111" s="310"/>
      <c r="I1111" s="2"/>
      <c r="O1111" s="2"/>
      <c r="P1111" s="2"/>
    </row>
    <row r="1112" spans="4:16" x14ac:dyDescent="0.25">
      <c r="D1112" s="2"/>
      <c r="E1112" s="310"/>
      <c r="G1112" s="2"/>
      <c r="H1112" s="310"/>
      <c r="I1112" s="2"/>
      <c r="O1112" s="2"/>
      <c r="P1112" s="2"/>
    </row>
    <row r="1113" spans="4:16" x14ac:dyDescent="0.25">
      <c r="D1113" s="2"/>
      <c r="E1113" s="310"/>
      <c r="G1113" s="2"/>
      <c r="H1113" s="310"/>
      <c r="I1113" s="2"/>
      <c r="O1113" s="2"/>
      <c r="P1113" s="2"/>
    </row>
    <row r="1114" spans="4:16" x14ac:dyDescent="0.25">
      <c r="D1114" s="2"/>
      <c r="E1114" s="310"/>
      <c r="G1114" s="2"/>
      <c r="H1114" s="310"/>
      <c r="I1114" s="2"/>
      <c r="O1114" s="2"/>
      <c r="P1114" s="2"/>
    </row>
    <row r="1115" spans="4:16" x14ac:dyDescent="0.25">
      <c r="D1115" s="2"/>
      <c r="E1115" s="310"/>
      <c r="G1115" s="2"/>
      <c r="H1115" s="310"/>
      <c r="I1115" s="2"/>
      <c r="O1115" s="2"/>
      <c r="P1115" s="2"/>
    </row>
    <row r="1116" spans="4:16" x14ac:dyDescent="0.25">
      <c r="D1116" s="2"/>
      <c r="E1116" s="310"/>
      <c r="G1116" s="2"/>
      <c r="H1116" s="310"/>
      <c r="I1116" s="2"/>
      <c r="O1116" s="2"/>
      <c r="P1116" s="2"/>
    </row>
    <row r="1117" spans="4:16" x14ac:dyDescent="0.25">
      <c r="D1117" s="2"/>
      <c r="E1117" s="310"/>
      <c r="G1117" s="2"/>
      <c r="H1117" s="310"/>
      <c r="I1117" s="2"/>
      <c r="O1117" s="2"/>
      <c r="P1117" s="2"/>
    </row>
    <row r="1118" spans="4:16" x14ac:dyDescent="0.25">
      <c r="D1118" s="2"/>
      <c r="E1118" s="310"/>
      <c r="G1118" s="2"/>
      <c r="H1118" s="310"/>
      <c r="I1118" s="2"/>
      <c r="O1118" s="2"/>
      <c r="P1118" s="2"/>
    </row>
    <row r="1119" spans="4:16" x14ac:dyDescent="0.25">
      <c r="D1119" s="2"/>
      <c r="E1119" s="310"/>
      <c r="G1119" s="2"/>
      <c r="H1119" s="310"/>
      <c r="I1119" s="2"/>
      <c r="O1119" s="2"/>
      <c r="P1119" s="2"/>
    </row>
    <row r="1120" spans="4:16" x14ac:dyDescent="0.25">
      <c r="D1120" s="2"/>
      <c r="E1120" s="310"/>
      <c r="G1120" s="2"/>
      <c r="H1120" s="310"/>
      <c r="I1120" s="2"/>
      <c r="O1120" s="2"/>
      <c r="P1120" s="2"/>
    </row>
    <row r="1121" spans="4:16" x14ac:dyDescent="0.25">
      <c r="D1121" s="2"/>
      <c r="E1121" s="310"/>
      <c r="G1121" s="2"/>
      <c r="H1121" s="310"/>
      <c r="I1121" s="2"/>
      <c r="O1121" s="2"/>
      <c r="P1121" s="2"/>
    </row>
    <row r="1122" spans="4:16" x14ac:dyDescent="0.25">
      <c r="D1122" s="2"/>
      <c r="E1122" s="310"/>
      <c r="G1122" s="2"/>
      <c r="H1122" s="310"/>
      <c r="I1122" s="2"/>
      <c r="O1122" s="2"/>
      <c r="P1122" s="2"/>
    </row>
    <row r="1123" spans="4:16" x14ac:dyDescent="0.25">
      <c r="D1123" s="2"/>
      <c r="E1123" s="310"/>
      <c r="G1123" s="2"/>
      <c r="H1123" s="310"/>
      <c r="I1123" s="2"/>
      <c r="O1123" s="2"/>
      <c r="P1123" s="2"/>
    </row>
    <row r="1124" spans="4:16" x14ac:dyDescent="0.25">
      <c r="D1124" s="2"/>
      <c r="E1124" s="310"/>
      <c r="G1124" s="2"/>
      <c r="H1124" s="310"/>
      <c r="I1124" s="2"/>
      <c r="O1124" s="2"/>
      <c r="P1124" s="2"/>
    </row>
    <row r="1125" spans="4:16" x14ac:dyDescent="0.25">
      <c r="D1125" s="2"/>
      <c r="E1125" s="310"/>
      <c r="G1125" s="2"/>
      <c r="H1125" s="310"/>
      <c r="I1125" s="2"/>
      <c r="O1125" s="2"/>
      <c r="P1125" s="2"/>
    </row>
    <row r="1126" spans="4:16" x14ac:dyDescent="0.25">
      <c r="D1126" s="2"/>
      <c r="E1126" s="310"/>
      <c r="G1126" s="2"/>
      <c r="H1126" s="310"/>
      <c r="I1126" s="2"/>
      <c r="O1126" s="2"/>
      <c r="P1126" s="2"/>
    </row>
    <row r="1127" spans="4:16" x14ac:dyDescent="0.25">
      <c r="D1127" s="2"/>
      <c r="E1127" s="310"/>
      <c r="G1127" s="2"/>
      <c r="H1127" s="310"/>
      <c r="I1127" s="2"/>
      <c r="O1127" s="2"/>
      <c r="P1127" s="2"/>
    </row>
    <row r="1128" spans="4:16" x14ac:dyDescent="0.25">
      <c r="D1128" s="2"/>
      <c r="E1128" s="310"/>
      <c r="G1128" s="2"/>
      <c r="H1128" s="310"/>
      <c r="I1128" s="2"/>
      <c r="O1128" s="2"/>
      <c r="P1128" s="2"/>
    </row>
    <row r="1129" spans="4:16" x14ac:dyDescent="0.25">
      <c r="D1129" s="2"/>
      <c r="E1129" s="310"/>
      <c r="G1129" s="2"/>
      <c r="H1129" s="310"/>
      <c r="I1129" s="2"/>
      <c r="O1129" s="2"/>
      <c r="P1129" s="2"/>
    </row>
    <row r="1130" spans="4:16" x14ac:dyDescent="0.25">
      <c r="D1130" s="2"/>
      <c r="E1130" s="310"/>
      <c r="G1130" s="2"/>
      <c r="H1130" s="310"/>
      <c r="I1130" s="2"/>
      <c r="O1130" s="2"/>
      <c r="P1130" s="2"/>
    </row>
    <row r="1131" spans="4:16" x14ac:dyDescent="0.25">
      <c r="D1131" s="2"/>
      <c r="E1131" s="310"/>
      <c r="G1131" s="2"/>
      <c r="H1131" s="310"/>
      <c r="I1131" s="2"/>
      <c r="O1131" s="2"/>
      <c r="P1131" s="2"/>
    </row>
    <row r="1132" spans="4:16" x14ac:dyDescent="0.25">
      <c r="D1132" s="2"/>
      <c r="E1132" s="310"/>
      <c r="G1132" s="2"/>
      <c r="H1132" s="310"/>
      <c r="I1132" s="2"/>
      <c r="O1132" s="2"/>
      <c r="P1132" s="2"/>
    </row>
    <row r="1133" spans="4:16" x14ac:dyDescent="0.25">
      <c r="D1133" s="2"/>
      <c r="E1133" s="310"/>
      <c r="G1133" s="2"/>
      <c r="H1133" s="310"/>
      <c r="I1133" s="2"/>
      <c r="O1133" s="2"/>
      <c r="P1133" s="2"/>
    </row>
    <row r="1134" spans="4:16" x14ac:dyDescent="0.25">
      <c r="D1134" s="2"/>
      <c r="E1134" s="310"/>
      <c r="G1134" s="2"/>
      <c r="H1134" s="310"/>
      <c r="I1134" s="2"/>
      <c r="O1134" s="2"/>
      <c r="P1134" s="2"/>
    </row>
    <row r="1135" spans="4:16" x14ac:dyDescent="0.25">
      <c r="D1135" s="2"/>
      <c r="E1135" s="310"/>
      <c r="G1135" s="2"/>
      <c r="H1135" s="310"/>
      <c r="I1135" s="2"/>
      <c r="O1135" s="2"/>
      <c r="P1135" s="2"/>
    </row>
    <row r="1136" spans="4:16" x14ac:dyDescent="0.25">
      <c r="D1136" s="2"/>
      <c r="E1136" s="310"/>
      <c r="G1136" s="2"/>
      <c r="H1136" s="310"/>
      <c r="I1136" s="2"/>
      <c r="O1136" s="2"/>
      <c r="P1136" s="2"/>
    </row>
    <row r="1137" spans="4:16" x14ac:dyDescent="0.25">
      <c r="D1137" s="2"/>
      <c r="E1137" s="310"/>
      <c r="G1137" s="2"/>
      <c r="H1137" s="310"/>
      <c r="I1137" s="2"/>
      <c r="O1137" s="2"/>
      <c r="P1137" s="2"/>
    </row>
    <row r="1138" spans="4:16" x14ac:dyDescent="0.25">
      <c r="D1138" s="2"/>
      <c r="E1138" s="310"/>
      <c r="G1138" s="2"/>
      <c r="H1138" s="310"/>
      <c r="I1138" s="2"/>
      <c r="O1138" s="2"/>
      <c r="P1138" s="2"/>
    </row>
    <row r="1139" spans="4:16" x14ac:dyDescent="0.25">
      <c r="D1139" s="2"/>
      <c r="E1139" s="310"/>
      <c r="G1139" s="2"/>
      <c r="H1139" s="310"/>
      <c r="I1139" s="2"/>
      <c r="O1139" s="2"/>
      <c r="P1139" s="2"/>
    </row>
    <row r="1140" spans="4:16" x14ac:dyDescent="0.25">
      <c r="D1140" s="2"/>
      <c r="E1140" s="310"/>
      <c r="G1140" s="2"/>
      <c r="H1140" s="310"/>
      <c r="I1140" s="2"/>
      <c r="O1140" s="2"/>
      <c r="P1140" s="2"/>
    </row>
    <row r="1141" spans="4:16" x14ac:dyDescent="0.25">
      <c r="D1141" s="2"/>
      <c r="E1141" s="310"/>
      <c r="G1141" s="2"/>
      <c r="H1141" s="310"/>
      <c r="I1141" s="2"/>
      <c r="O1141" s="2"/>
      <c r="P1141" s="2"/>
    </row>
    <row r="1142" spans="4:16" x14ac:dyDescent="0.25">
      <c r="D1142" s="2"/>
      <c r="E1142" s="310"/>
      <c r="G1142" s="2"/>
      <c r="H1142" s="310"/>
      <c r="I1142" s="2"/>
      <c r="O1142" s="2"/>
      <c r="P1142" s="2"/>
    </row>
    <row r="1143" spans="4:16" x14ac:dyDescent="0.25">
      <c r="D1143" s="2"/>
      <c r="E1143" s="310"/>
      <c r="G1143" s="2"/>
      <c r="H1143" s="310"/>
      <c r="I1143" s="2"/>
      <c r="O1143" s="2"/>
      <c r="P1143" s="2"/>
    </row>
    <row r="1144" spans="4:16" x14ac:dyDescent="0.25">
      <c r="D1144" s="2"/>
      <c r="E1144" s="310"/>
      <c r="G1144" s="2"/>
      <c r="H1144" s="310"/>
      <c r="I1144" s="2"/>
      <c r="O1144" s="2"/>
      <c r="P1144" s="2"/>
    </row>
    <row r="1145" spans="4:16" x14ac:dyDescent="0.25">
      <c r="D1145" s="2"/>
      <c r="E1145" s="310"/>
      <c r="G1145" s="2"/>
      <c r="H1145" s="310"/>
      <c r="I1145" s="2"/>
      <c r="O1145" s="2"/>
      <c r="P1145" s="2"/>
    </row>
    <row r="1146" spans="4:16" x14ac:dyDescent="0.25">
      <c r="D1146" s="2"/>
      <c r="E1146" s="310"/>
      <c r="G1146" s="2"/>
      <c r="H1146" s="310"/>
      <c r="I1146" s="2"/>
      <c r="O1146" s="2"/>
      <c r="P1146" s="2"/>
    </row>
    <row r="1147" spans="4:16" x14ac:dyDescent="0.25">
      <c r="D1147" s="2"/>
      <c r="E1147" s="310"/>
      <c r="G1147" s="2"/>
      <c r="H1147" s="310"/>
      <c r="I1147" s="2"/>
      <c r="O1147" s="2"/>
      <c r="P1147" s="2"/>
    </row>
    <row r="1148" spans="4:16" x14ac:dyDescent="0.25">
      <c r="D1148" s="2"/>
      <c r="E1148" s="310"/>
      <c r="G1148" s="2"/>
      <c r="H1148" s="310"/>
      <c r="I1148" s="2"/>
      <c r="O1148" s="2"/>
      <c r="P1148" s="2"/>
    </row>
    <row r="1149" spans="4:16" x14ac:dyDescent="0.25">
      <c r="D1149" s="2"/>
      <c r="E1149" s="310"/>
      <c r="G1149" s="2"/>
      <c r="H1149" s="310"/>
      <c r="I1149" s="2"/>
      <c r="O1149" s="2"/>
      <c r="P1149" s="2"/>
    </row>
    <row r="1150" spans="4:16" x14ac:dyDescent="0.25">
      <c r="D1150" s="2"/>
      <c r="E1150" s="310"/>
      <c r="G1150" s="2"/>
      <c r="H1150" s="310"/>
      <c r="I1150" s="2"/>
      <c r="O1150" s="2"/>
      <c r="P1150" s="2"/>
    </row>
    <row r="1151" spans="4:16" x14ac:dyDescent="0.25">
      <c r="D1151" s="2"/>
      <c r="E1151" s="310"/>
      <c r="G1151" s="2"/>
      <c r="H1151" s="310"/>
      <c r="I1151" s="2"/>
      <c r="O1151" s="2"/>
      <c r="P1151" s="2"/>
    </row>
    <row r="1152" spans="4:16" x14ac:dyDescent="0.25">
      <c r="D1152" s="2"/>
      <c r="E1152" s="310"/>
      <c r="G1152" s="2"/>
      <c r="H1152" s="310"/>
      <c r="I1152" s="2"/>
      <c r="O1152" s="2"/>
      <c r="P1152" s="2"/>
    </row>
    <row r="1153" spans="4:16" x14ac:dyDescent="0.25">
      <c r="D1153" s="2"/>
      <c r="E1153" s="310"/>
      <c r="G1153" s="2"/>
      <c r="H1153" s="310"/>
      <c r="I1153" s="2"/>
      <c r="O1153" s="2"/>
      <c r="P1153" s="2"/>
    </row>
    <row r="1154" spans="4:16" x14ac:dyDescent="0.25">
      <c r="D1154" s="2"/>
      <c r="E1154" s="310"/>
      <c r="G1154" s="2"/>
      <c r="H1154" s="310"/>
      <c r="I1154" s="2"/>
      <c r="O1154" s="2"/>
      <c r="P1154" s="2"/>
    </row>
    <row r="1155" spans="4:16" x14ac:dyDescent="0.25">
      <c r="D1155" s="2"/>
      <c r="E1155" s="310"/>
      <c r="G1155" s="2"/>
      <c r="H1155" s="310"/>
      <c r="I1155" s="2"/>
      <c r="O1155" s="2"/>
      <c r="P1155" s="2"/>
    </row>
    <row r="1156" spans="4:16" x14ac:dyDescent="0.25">
      <c r="D1156" s="2"/>
      <c r="E1156" s="310"/>
      <c r="G1156" s="2"/>
      <c r="H1156" s="310"/>
      <c r="I1156" s="2"/>
      <c r="O1156" s="2"/>
      <c r="P1156" s="2"/>
    </row>
    <row r="1157" spans="4:16" x14ac:dyDescent="0.25">
      <c r="D1157" s="2"/>
      <c r="E1157" s="310"/>
      <c r="G1157" s="2"/>
      <c r="H1157" s="310"/>
      <c r="I1157" s="2"/>
      <c r="O1157" s="2"/>
      <c r="P1157" s="2"/>
    </row>
    <row r="1158" spans="4:16" x14ac:dyDescent="0.25">
      <c r="D1158" s="2"/>
      <c r="E1158" s="310"/>
      <c r="G1158" s="2"/>
      <c r="H1158" s="310"/>
      <c r="I1158" s="2"/>
      <c r="O1158" s="2"/>
      <c r="P1158" s="2"/>
    </row>
    <row r="1159" spans="4:16" x14ac:dyDescent="0.25">
      <c r="D1159" s="2"/>
      <c r="E1159" s="310"/>
      <c r="G1159" s="2"/>
      <c r="H1159" s="310"/>
      <c r="I1159" s="2"/>
      <c r="O1159" s="2"/>
      <c r="P1159" s="2"/>
    </row>
    <row r="1160" spans="4:16" x14ac:dyDescent="0.25">
      <c r="D1160" s="2"/>
      <c r="E1160" s="310"/>
      <c r="G1160" s="2"/>
      <c r="H1160" s="310"/>
      <c r="I1160" s="2"/>
      <c r="O1160" s="2"/>
      <c r="P1160" s="2"/>
    </row>
    <row r="1161" spans="4:16" x14ac:dyDescent="0.25">
      <c r="D1161" s="2"/>
      <c r="E1161" s="310"/>
      <c r="G1161" s="2"/>
      <c r="H1161" s="310"/>
      <c r="I1161" s="2"/>
      <c r="O1161" s="2"/>
      <c r="P1161" s="2"/>
    </row>
    <row r="1162" spans="4:16" x14ac:dyDescent="0.25">
      <c r="D1162" s="2"/>
      <c r="E1162" s="310"/>
      <c r="G1162" s="2"/>
      <c r="H1162" s="310"/>
      <c r="I1162" s="2"/>
      <c r="O1162" s="2"/>
      <c r="P1162" s="2"/>
    </row>
    <row r="1163" spans="4:16" x14ac:dyDescent="0.25">
      <c r="D1163" s="2"/>
      <c r="E1163" s="310"/>
      <c r="G1163" s="2"/>
      <c r="H1163" s="310"/>
      <c r="I1163" s="2"/>
      <c r="O1163" s="2"/>
      <c r="P1163" s="2"/>
    </row>
    <row r="1164" spans="4:16" x14ac:dyDescent="0.25">
      <c r="D1164" s="2"/>
      <c r="E1164" s="310"/>
      <c r="G1164" s="2"/>
      <c r="H1164" s="310"/>
      <c r="I1164" s="2"/>
      <c r="O1164" s="2"/>
      <c r="P1164" s="2"/>
    </row>
    <row r="1165" spans="4:16" x14ac:dyDescent="0.25">
      <c r="D1165" s="2"/>
      <c r="E1165" s="310"/>
      <c r="G1165" s="2"/>
      <c r="H1165" s="310"/>
      <c r="I1165" s="2"/>
      <c r="O1165" s="2"/>
      <c r="P1165" s="2"/>
    </row>
    <row r="1166" spans="4:16" x14ac:dyDescent="0.25">
      <c r="D1166" s="2"/>
      <c r="E1166" s="310"/>
      <c r="G1166" s="2"/>
      <c r="H1166" s="310"/>
      <c r="I1166" s="2"/>
      <c r="O1166" s="2"/>
      <c r="P1166" s="2"/>
    </row>
    <row r="1167" spans="4:16" x14ac:dyDescent="0.25">
      <c r="D1167" s="2"/>
      <c r="E1167" s="310"/>
      <c r="G1167" s="2"/>
      <c r="H1167" s="310"/>
      <c r="I1167" s="2"/>
      <c r="O1167" s="2"/>
      <c r="P1167" s="2"/>
    </row>
    <row r="1168" spans="4:16" x14ac:dyDescent="0.25">
      <c r="D1168" s="2"/>
      <c r="E1168" s="310"/>
      <c r="G1168" s="2"/>
      <c r="H1168" s="310"/>
      <c r="I1168" s="2"/>
      <c r="O1168" s="2"/>
      <c r="P1168" s="2"/>
    </row>
    <row r="1169" spans="4:16" x14ac:dyDescent="0.25">
      <c r="D1169" s="2"/>
      <c r="E1169" s="310"/>
      <c r="G1169" s="2"/>
      <c r="H1169" s="310"/>
      <c r="I1169" s="2"/>
      <c r="O1169" s="2"/>
      <c r="P1169" s="2"/>
    </row>
    <row r="1170" spans="4:16" x14ac:dyDescent="0.25">
      <c r="D1170" s="2"/>
      <c r="E1170" s="310"/>
      <c r="G1170" s="2"/>
      <c r="H1170" s="310"/>
      <c r="I1170" s="2"/>
      <c r="O1170" s="2"/>
      <c r="P1170" s="2"/>
    </row>
    <row r="1171" spans="4:16" x14ac:dyDescent="0.25">
      <c r="D1171" s="2"/>
      <c r="E1171" s="310"/>
      <c r="G1171" s="2"/>
      <c r="H1171" s="310"/>
      <c r="I1171" s="2"/>
      <c r="O1171" s="2"/>
      <c r="P1171" s="2"/>
    </row>
    <row r="1172" spans="4:16" x14ac:dyDescent="0.25">
      <c r="D1172" s="2"/>
      <c r="E1172" s="310"/>
      <c r="G1172" s="2"/>
      <c r="H1172" s="310"/>
      <c r="I1172" s="2"/>
      <c r="O1172" s="2"/>
      <c r="P1172" s="2"/>
    </row>
    <row r="1173" spans="4:16" x14ac:dyDescent="0.25">
      <c r="D1173" s="2"/>
      <c r="E1173" s="310"/>
      <c r="G1173" s="2"/>
      <c r="H1173" s="310"/>
      <c r="I1173" s="2"/>
      <c r="O1173" s="2"/>
      <c r="P1173" s="2"/>
    </row>
    <row r="1174" spans="4:16" x14ac:dyDescent="0.25">
      <c r="D1174" s="2"/>
      <c r="E1174" s="310"/>
      <c r="G1174" s="2"/>
      <c r="H1174" s="310"/>
      <c r="I1174" s="2"/>
      <c r="O1174" s="2"/>
      <c r="P1174" s="2"/>
    </row>
    <row r="1175" spans="4:16" x14ac:dyDescent="0.25">
      <c r="D1175" s="2"/>
      <c r="E1175" s="310"/>
      <c r="G1175" s="2"/>
      <c r="H1175" s="310"/>
      <c r="I1175" s="2"/>
      <c r="O1175" s="2"/>
      <c r="P1175" s="2"/>
    </row>
    <row r="1176" spans="4:16" x14ac:dyDescent="0.25">
      <c r="D1176" s="2"/>
      <c r="E1176" s="310"/>
      <c r="G1176" s="2"/>
      <c r="H1176" s="310"/>
      <c r="I1176" s="2"/>
      <c r="O1176" s="2"/>
      <c r="P1176" s="2"/>
    </row>
    <row r="1177" spans="4:16" x14ac:dyDescent="0.25">
      <c r="D1177" s="2"/>
      <c r="E1177" s="310"/>
      <c r="G1177" s="2"/>
      <c r="H1177" s="310"/>
      <c r="I1177" s="2"/>
      <c r="O1177" s="2"/>
      <c r="P1177" s="2"/>
    </row>
    <row r="1178" spans="4:16" x14ac:dyDescent="0.25">
      <c r="D1178" s="2"/>
      <c r="E1178" s="310"/>
      <c r="G1178" s="2"/>
      <c r="H1178" s="310"/>
      <c r="I1178" s="2"/>
      <c r="O1178" s="2"/>
      <c r="P1178" s="2"/>
    </row>
    <row r="1179" spans="4:16" x14ac:dyDescent="0.25">
      <c r="D1179" s="2"/>
      <c r="E1179" s="310"/>
      <c r="G1179" s="2"/>
      <c r="H1179" s="310"/>
      <c r="I1179" s="2"/>
      <c r="O1179" s="2"/>
      <c r="P1179" s="2"/>
    </row>
    <row r="1180" spans="4:16" x14ac:dyDescent="0.25">
      <c r="D1180" s="2"/>
      <c r="E1180" s="310"/>
      <c r="G1180" s="2"/>
      <c r="H1180" s="310"/>
      <c r="I1180" s="2"/>
      <c r="O1180" s="2"/>
      <c r="P1180" s="2"/>
    </row>
    <row r="1181" spans="4:16" x14ac:dyDescent="0.25">
      <c r="D1181" s="2"/>
      <c r="E1181" s="310"/>
      <c r="G1181" s="2"/>
      <c r="H1181" s="310"/>
      <c r="I1181" s="2"/>
      <c r="O1181" s="2"/>
      <c r="P1181" s="2"/>
    </row>
    <row r="1182" spans="4:16" x14ac:dyDescent="0.25">
      <c r="D1182" s="2"/>
      <c r="E1182" s="310"/>
      <c r="G1182" s="2"/>
      <c r="H1182" s="310"/>
      <c r="I1182" s="2"/>
      <c r="O1182" s="2"/>
      <c r="P1182" s="2"/>
    </row>
    <row r="1183" spans="4:16" x14ac:dyDescent="0.25">
      <c r="D1183" s="2"/>
      <c r="E1183" s="310"/>
      <c r="G1183" s="2"/>
      <c r="H1183" s="310"/>
      <c r="I1183" s="2"/>
      <c r="O1183" s="2"/>
      <c r="P1183" s="2"/>
    </row>
    <row r="1184" spans="4:16" x14ac:dyDescent="0.25">
      <c r="D1184" s="2"/>
      <c r="E1184" s="310"/>
      <c r="G1184" s="2"/>
      <c r="H1184" s="310"/>
      <c r="I1184" s="2"/>
      <c r="O1184" s="2"/>
      <c r="P1184" s="2"/>
    </row>
    <row r="1185" spans="4:16" x14ac:dyDescent="0.25">
      <c r="D1185" s="2"/>
      <c r="E1185" s="310"/>
      <c r="G1185" s="2"/>
      <c r="H1185" s="310"/>
      <c r="I1185" s="2"/>
      <c r="O1185" s="2"/>
      <c r="P1185" s="2"/>
    </row>
    <row r="1186" spans="4:16" x14ac:dyDescent="0.25">
      <c r="D1186" s="2"/>
      <c r="E1186" s="310"/>
      <c r="G1186" s="2"/>
      <c r="H1186" s="310"/>
      <c r="I1186" s="2"/>
      <c r="O1186" s="2"/>
      <c r="P1186" s="2"/>
    </row>
    <row r="1187" spans="4:16" x14ac:dyDescent="0.25">
      <c r="D1187" s="2"/>
      <c r="E1187" s="310"/>
      <c r="G1187" s="2"/>
      <c r="H1187" s="310"/>
      <c r="I1187" s="2"/>
      <c r="O1187" s="2"/>
      <c r="P1187" s="2"/>
    </row>
    <row r="1188" spans="4:16" x14ac:dyDescent="0.25">
      <c r="D1188" s="2"/>
      <c r="E1188" s="310"/>
      <c r="G1188" s="2"/>
      <c r="H1188" s="310"/>
      <c r="I1188" s="2"/>
      <c r="O1188" s="2"/>
      <c r="P1188" s="2"/>
    </row>
    <row r="1189" spans="4:16" x14ac:dyDescent="0.25">
      <c r="D1189" s="2"/>
      <c r="E1189" s="310"/>
      <c r="G1189" s="2"/>
      <c r="H1189" s="310"/>
      <c r="I1189" s="2"/>
      <c r="O1189" s="2"/>
      <c r="P1189" s="2"/>
    </row>
    <row r="1190" spans="4:16" x14ac:dyDescent="0.25">
      <c r="D1190" s="2"/>
      <c r="E1190" s="310"/>
      <c r="G1190" s="2"/>
      <c r="H1190" s="310"/>
      <c r="I1190" s="2"/>
      <c r="O1190" s="2"/>
      <c r="P1190" s="2"/>
    </row>
    <row r="1191" spans="4:16" x14ac:dyDescent="0.25">
      <c r="D1191" s="2"/>
      <c r="E1191" s="310"/>
      <c r="G1191" s="2"/>
      <c r="H1191" s="310"/>
      <c r="I1191" s="2"/>
      <c r="O1191" s="2"/>
      <c r="P1191" s="2"/>
    </row>
    <row r="1192" spans="4:16" x14ac:dyDescent="0.25">
      <c r="D1192" s="2"/>
      <c r="E1192" s="310"/>
      <c r="G1192" s="2"/>
      <c r="H1192" s="310"/>
      <c r="I1192" s="2"/>
      <c r="O1192" s="2"/>
      <c r="P1192" s="2"/>
    </row>
    <row r="1193" spans="4:16" x14ac:dyDescent="0.25">
      <c r="D1193" s="2"/>
      <c r="E1193" s="310"/>
      <c r="G1193" s="2"/>
      <c r="H1193" s="310"/>
      <c r="I1193" s="2"/>
      <c r="O1193" s="2"/>
      <c r="P1193" s="2"/>
    </row>
    <row r="1194" spans="4:16" x14ac:dyDescent="0.25">
      <c r="D1194" s="2"/>
      <c r="E1194" s="310"/>
      <c r="G1194" s="2"/>
      <c r="H1194" s="310"/>
      <c r="I1194" s="2"/>
      <c r="O1194" s="2"/>
      <c r="P1194" s="2"/>
    </row>
    <row r="1195" spans="4:16" x14ac:dyDescent="0.25">
      <c r="D1195" s="2"/>
      <c r="E1195" s="310"/>
      <c r="G1195" s="2"/>
      <c r="H1195" s="310"/>
      <c r="I1195" s="2"/>
      <c r="O1195" s="2"/>
      <c r="P1195" s="2"/>
    </row>
    <row r="1196" spans="4:16" x14ac:dyDescent="0.25">
      <c r="D1196" s="2"/>
      <c r="E1196" s="310"/>
      <c r="G1196" s="2"/>
      <c r="H1196" s="310"/>
      <c r="I1196" s="2"/>
      <c r="O1196" s="2"/>
      <c r="P1196" s="2"/>
    </row>
    <row r="1197" spans="4:16" x14ac:dyDescent="0.25">
      <c r="D1197" s="2"/>
      <c r="E1197" s="310"/>
      <c r="G1197" s="2"/>
      <c r="H1197" s="310"/>
      <c r="I1197" s="2"/>
      <c r="O1197" s="2"/>
      <c r="P1197" s="2"/>
    </row>
    <row r="1198" spans="4:16" x14ac:dyDescent="0.25">
      <c r="D1198" s="2"/>
      <c r="E1198" s="310"/>
      <c r="G1198" s="2"/>
      <c r="H1198" s="310"/>
      <c r="I1198" s="2"/>
      <c r="O1198" s="2"/>
      <c r="P1198" s="2"/>
    </row>
    <row r="1199" spans="4:16" x14ac:dyDescent="0.25">
      <c r="D1199" s="2"/>
      <c r="E1199" s="310"/>
      <c r="G1199" s="2"/>
      <c r="H1199" s="310"/>
      <c r="I1199" s="2"/>
      <c r="O1199" s="2"/>
      <c r="P1199" s="2"/>
    </row>
    <row r="1200" spans="4:16" x14ac:dyDescent="0.25">
      <c r="D1200" s="2"/>
      <c r="E1200" s="310"/>
      <c r="G1200" s="2"/>
      <c r="H1200" s="310"/>
      <c r="I1200" s="2"/>
      <c r="O1200" s="2"/>
      <c r="P1200" s="2"/>
    </row>
    <row r="1201" spans="4:16" x14ac:dyDescent="0.25">
      <c r="D1201" s="2"/>
      <c r="E1201" s="310"/>
      <c r="G1201" s="2"/>
      <c r="H1201" s="310"/>
      <c r="I1201" s="2"/>
      <c r="O1201" s="2"/>
      <c r="P1201" s="2"/>
    </row>
    <row r="1202" spans="4:16" x14ac:dyDescent="0.25">
      <c r="D1202" s="2"/>
      <c r="E1202" s="310"/>
      <c r="G1202" s="2"/>
      <c r="H1202" s="310"/>
      <c r="I1202" s="2"/>
      <c r="O1202" s="2"/>
      <c r="P1202" s="2"/>
    </row>
    <row r="1203" spans="4:16" x14ac:dyDescent="0.25">
      <c r="D1203" s="2"/>
      <c r="E1203" s="310"/>
      <c r="G1203" s="2"/>
      <c r="H1203" s="310"/>
      <c r="I1203" s="2"/>
      <c r="O1203" s="2"/>
      <c r="P1203" s="2"/>
    </row>
    <row r="1204" spans="4:16" x14ac:dyDescent="0.25">
      <c r="D1204" s="2"/>
      <c r="E1204" s="310"/>
      <c r="G1204" s="2"/>
      <c r="H1204" s="310"/>
      <c r="I1204" s="2"/>
      <c r="O1204" s="2"/>
      <c r="P1204" s="2"/>
    </row>
    <row r="1205" spans="4:16" x14ac:dyDescent="0.25">
      <c r="D1205" s="2"/>
      <c r="E1205" s="310"/>
      <c r="G1205" s="2"/>
      <c r="H1205" s="310"/>
      <c r="I1205" s="2"/>
      <c r="O1205" s="2"/>
      <c r="P1205" s="2"/>
    </row>
    <row r="1206" spans="4:16" x14ac:dyDescent="0.25">
      <c r="D1206" s="2"/>
      <c r="E1206" s="310"/>
      <c r="G1206" s="2"/>
      <c r="H1206" s="310"/>
      <c r="I1206" s="2"/>
      <c r="O1206" s="2"/>
      <c r="P1206" s="2"/>
    </row>
    <row r="1207" spans="4:16" x14ac:dyDescent="0.25">
      <c r="D1207" s="2"/>
      <c r="E1207" s="310"/>
      <c r="G1207" s="2"/>
      <c r="H1207" s="310"/>
      <c r="I1207" s="2"/>
      <c r="O1207" s="2"/>
      <c r="P1207" s="2"/>
    </row>
    <row r="1208" spans="4:16" x14ac:dyDescent="0.25">
      <c r="D1208" s="2"/>
      <c r="E1208" s="310"/>
      <c r="G1208" s="2"/>
      <c r="H1208" s="310"/>
      <c r="I1208" s="2"/>
      <c r="O1208" s="2"/>
      <c r="P1208" s="2"/>
    </row>
    <row r="1209" spans="4:16" x14ac:dyDescent="0.25">
      <c r="D1209" s="2"/>
      <c r="E1209" s="310"/>
      <c r="G1209" s="2"/>
      <c r="H1209" s="310"/>
      <c r="I1209" s="2"/>
      <c r="O1209" s="2"/>
      <c r="P1209" s="2"/>
    </row>
    <row r="1210" spans="4:16" x14ac:dyDescent="0.25">
      <c r="D1210" s="2"/>
      <c r="E1210" s="310"/>
      <c r="G1210" s="2"/>
      <c r="H1210" s="310"/>
      <c r="I1210" s="2"/>
      <c r="O1210" s="2"/>
      <c r="P1210" s="2"/>
    </row>
    <row r="1211" spans="4:16" x14ac:dyDescent="0.25">
      <c r="D1211" s="2"/>
      <c r="E1211" s="310"/>
      <c r="G1211" s="2"/>
      <c r="H1211" s="310"/>
      <c r="I1211" s="2"/>
      <c r="O1211" s="2"/>
      <c r="P1211" s="2"/>
    </row>
    <row r="1212" spans="4:16" x14ac:dyDescent="0.25">
      <c r="D1212" s="2"/>
      <c r="E1212" s="310"/>
      <c r="G1212" s="2"/>
      <c r="H1212" s="310"/>
      <c r="I1212" s="2"/>
      <c r="O1212" s="2"/>
      <c r="P1212" s="2"/>
    </row>
    <row r="1213" spans="4:16" x14ac:dyDescent="0.25">
      <c r="D1213" s="2"/>
      <c r="E1213" s="310"/>
      <c r="G1213" s="2"/>
      <c r="H1213" s="310"/>
      <c r="I1213" s="2"/>
      <c r="O1213" s="2"/>
      <c r="P1213" s="2"/>
    </row>
    <row r="1214" spans="4:16" x14ac:dyDescent="0.25">
      <c r="D1214" s="2"/>
      <c r="E1214" s="310"/>
      <c r="G1214" s="2"/>
      <c r="H1214" s="310"/>
      <c r="I1214" s="2"/>
      <c r="O1214" s="2"/>
      <c r="P1214" s="2"/>
    </row>
    <row r="1215" spans="4:16" x14ac:dyDescent="0.25">
      <c r="D1215" s="2"/>
      <c r="E1215" s="310"/>
      <c r="G1215" s="2"/>
      <c r="H1215" s="310"/>
      <c r="I1215" s="2"/>
      <c r="O1215" s="2"/>
      <c r="P1215" s="2"/>
    </row>
    <row r="1216" spans="4:16" x14ac:dyDescent="0.25">
      <c r="D1216" s="2"/>
      <c r="E1216" s="310"/>
      <c r="G1216" s="2"/>
      <c r="H1216" s="310"/>
      <c r="I1216" s="2"/>
      <c r="O1216" s="2"/>
      <c r="P1216" s="2"/>
    </row>
    <row r="1217" spans="4:16" x14ac:dyDescent="0.25">
      <c r="D1217" s="2"/>
      <c r="E1217" s="310"/>
      <c r="G1217" s="2"/>
      <c r="H1217" s="310"/>
      <c r="I1217" s="2"/>
      <c r="O1217" s="2"/>
      <c r="P1217" s="2"/>
    </row>
    <row r="1218" spans="4:16" x14ac:dyDescent="0.25">
      <c r="D1218" s="2"/>
      <c r="E1218" s="310"/>
      <c r="G1218" s="2"/>
      <c r="H1218" s="310"/>
      <c r="I1218" s="2"/>
      <c r="O1218" s="2"/>
      <c r="P1218" s="2"/>
    </row>
    <row r="1219" spans="4:16" x14ac:dyDescent="0.25">
      <c r="D1219" s="2"/>
      <c r="E1219" s="310"/>
      <c r="G1219" s="2"/>
      <c r="H1219" s="310"/>
      <c r="I1219" s="2"/>
      <c r="O1219" s="2"/>
      <c r="P1219" s="2"/>
    </row>
    <row r="1220" spans="4:16" x14ac:dyDescent="0.25">
      <c r="D1220" s="2"/>
      <c r="E1220" s="310"/>
      <c r="G1220" s="2"/>
      <c r="H1220" s="310"/>
      <c r="I1220" s="2"/>
      <c r="O1220" s="2"/>
      <c r="P1220" s="2"/>
    </row>
    <row r="1221" spans="4:16" x14ac:dyDescent="0.25">
      <c r="D1221" s="2"/>
      <c r="E1221" s="310"/>
      <c r="G1221" s="2"/>
      <c r="H1221" s="310"/>
      <c r="I1221" s="2"/>
      <c r="O1221" s="2"/>
      <c r="P1221" s="2"/>
    </row>
    <row r="1222" spans="4:16" x14ac:dyDescent="0.25">
      <c r="D1222" s="2"/>
      <c r="E1222" s="310"/>
      <c r="G1222" s="2"/>
      <c r="H1222" s="310"/>
      <c r="I1222" s="2"/>
      <c r="O1222" s="2"/>
      <c r="P1222" s="2"/>
    </row>
    <row r="1223" spans="4:16" x14ac:dyDescent="0.25">
      <c r="D1223" s="2"/>
      <c r="E1223" s="310"/>
      <c r="G1223" s="2"/>
      <c r="H1223" s="310"/>
      <c r="I1223" s="2"/>
      <c r="O1223" s="2"/>
      <c r="P1223" s="2"/>
    </row>
    <row r="1224" spans="4:16" x14ac:dyDescent="0.25">
      <c r="D1224" s="2"/>
      <c r="E1224" s="310"/>
      <c r="G1224" s="2"/>
      <c r="H1224" s="310"/>
      <c r="I1224" s="2"/>
      <c r="O1224" s="2"/>
      <c r="P1224" s="2"/>
    </row>
    <row r="1225" spans="4:16" x14ac:dyDescent="0.25">
      <c r="D1225" s="2"/>
      <c r="E1225" s="310"/>
      <c r="G1225" s="2"/>
      <c r="H1225" s="310"/>
      <c r="I1225" s="2"/>
      <c r="O1225" s="2"/>
      <c r="P1225" s="2"/>
    </row>
    <row r="1226" spans="4:16" x14ac:dyDescent="0.25">
      <c r="D1226" s="2"/>
      <c r="E1226" s="310"/>
      <c r="G1226" s="2"/>
      <c r="H1226" s="310"/>
      <c r="I1226" s="2"/>
      <c r="O1226" s="2"/>
      <c r="P1226" s="2"/>
    </row>
    <row r="1227" spans="4:16" x14ac:dyDescent="0.25">
      <c r="D1227" s="2"/>
      <c r="E1227" s="310"/>
      <c r="G1227" s="2"/>
      <c r="H1227" s="310"/>
      <c r="I1227" s="2"/>
      <c r="O1227" s="2"/>
      <c r="P1227" s="2"/>
    </row>
    <row r="1228" spans="4:16" x14ac:dyDescent="0.25">
      <c r="D1228" s="2"/>
      <c r="E1228" s="310"/>
      <c r="G1228" s="2"/>
      <c r="H1228" s="310"/>
      <c r="I1228" s="2"/>
      <c r="O1228" s="2"/>
      <c r="P1228" s="2"/>
    </row>
    <row r="1229" spans="4:16" x14ac:dyDescent="0.25">
      <c r="D1229" s="2"/>
      <c r="E1229" s="310"/>
      <c r="G1229" s="2"/>
      <c r="H1229" s="310"/>
      <c r="I1229" s="2"/>
      <c r="O1229" s="2"/>
      <c r="P1229" s="2"/>
    </row>
    <row r="1230" spans="4:16" x14ac:dyDescent="0.25">
      <c r="D1230" s="2"/>
      <c r="E1230" s="310"/>
      <c r="G1230" s="2"/>
      <c r="H1230" s="310"/>
      <c r="I1230" s="2"/>
      <c r="O1230" s="2"/>
      <c r="P1230" s="2"/>
    </row>
    <row r="1231" spans="4:16" x14ac:dyDescent="0.25">
      <c r="D1231" s="2"/>
      <c r="E1231" s="310"/>
      <c r="G1231" s="2"/>
      <c r="H1231" s="310"/>
      <c r="I1231" s="2"/>
      <c r="O1231" s="2"/>
      <c r="P1231" s="2"/>
    </row>
    <row r="1232" spans="4:16" x14ac:dyDescent="0.25">
      <c r="D1232" s="2"/>
      <c r="E1232" s="310"/>
      <c r="G1232" s="2"/>
      <c r="H1232" s="310"/>
      <c r="I1232" s="2"/>
      <c r="O1232" s="2"/>
      <c r="P1232" s="2"/>
    </row>
    <row r="1233" spans="4:16" x14ac:dyDescent="0.25">
      <c r="D1233" s="2"/>
      <c r="E1233" s="310"/>
      <c r="G1233" s="2"/>
      <c r="H1233" s="310"/>
      <c r="I1233" s="2"/>
      <c r="O1233" s="2"/>
      <c r="P1233" s="2"/>
    </row>
    <row r="1234" spans="4:16" x14ac:dyDescent="0.25">
      <c r="D1234" s="2"/>
      <c r="E1234" s="310"/>
      <c r="G1234" s="2"/>
      <c r="H1234" s="310"/>
      <c r="I1234" s="2"/>
      <c r="O1234" s="2"/>
      <c r="P1234" s="2"/>
    </row>
    <row r="1235" spans="4:16" x14ac:dyDescent="0.25">
      <c r="D1235" s="2"/>
      <c r="E1235" s="310"/>
      <c r="G1235" s="2"/>
      <c r="H1235" s="310"/>
      <c r="I1235" s="2"/>
      <c r="O1235" s="2"/>
      <c r="P1235" s="2"/>
    </row>
    <row r="1236" spans="4:16" x14ac:dyDescent="0.25">
      <c r="D1236" s="2"/>
      <c r="E1236" s="310"/>
      <c r="G1236" s="2"/>
      <c r="H1236" s="310"/>
      <c r="I1236" s="2"/>
      <c r="O1236" s="2"/>
      <c r="P1236" s="2"/>
    </row>
    <row r="1237" spans="4:16" x14ac:dyDescent="0.25">
      <c r="D1237" s="2"/>
      <c r="E1237" s="310"/>
      <c r="G1237" s="2"/>
      <c r="H1237" s="310"/>
      <c r="I1237" s="2"/>
      <c r="O1237" s="2"/>
      <c r="P1237" s="2"/>
    </row>
    <row r="1238" spans="4:16" x14ac:dyDescent="0.25">
      <c r="D1238" s="2"/>
      <c r="E1238" s="310"/>
      <c r="G1238" s="2"/>
      <c r="H1238" s="310"/>
      <c r="I1238" s="2"/>
      <c r="O1238" s="2"/>
      <c r="P1238" s="2"/>
    </row>
    <row r="1239" spans="4:16" x14ac:dyDescent="0.25">
      <c r="D1239" s="2"/>
      <c r="E1239" s="310"/>
      <c r="G1239" s="2"/>
      <c r="H1239" s="310"/>
      <c r="I1239" s="2"/>
      <c r="O1239" s="2"/>
      <c r="P1239" s="2"/>
    </row>
    <row r="1240" spans="4:16" x14ac:dyDescent="0.25">
      <c r="D1240" s="2"/>
      <c r="E1240" s="310"/>
      <c r="G1240" s="2"/>
      <c r="H1240" s="310"/>
      <c r="I1240" s="2"/>
      <c r="O1240" s="2"/>
      <c r="P1240" s="2"/>
    </row>
    <row r="1241" spans="4:16" x14ac:dyDescent="0.25">
      <c r="D1241" s="2"/>
      <c r="E1241" s="310"/>
      <c r="G1241" s="2"/>
      <c r="H1241" s="310"/>
      <c r="I1241" s="2"/>
      <c r="O1241" s="2"/>
      <c r="P1241" s="2"/>
    </row>
    <row r="1242" spans="4:16" x14ac:dyDescent="0.25">
      <c r="D1242" s="2"/>
      <c r="E1242" s="310"/>
      <c r="G1242" s="2"/>
      <c r="H1242" s="310"/>
      <c r="I1242" s="2"/>
      <c r="O1242" s="2"/>
      <c r="P1242" s="2"/>
    </row>
    <row r="1243" spans="4:16" x14ac:dyDescent="0.25">
      <c r="D1243" s="2"/>
      <c r="E1243" s="310"/>
      <c r="G1243" s="2"/>
      <c r="H1243" s="310"/>
      <c r="I1243" s="2"/>
      <c r="O1243" s="2"/>
      <c r="P1243" s="2"/>
    </row>
    <row r="1244" spans="4:16" x14ac:dyDescent="0.25">
      <c r="D1244" s="2"/>
      <c r="E1244" s="310"/>
      <c r="G1244" s="2"/>
      <c r="H1244" s="310"/>
      <c r="I1244" s="2"/>
      <c r="O1244" s="2"/>
      <c r="P1244" s="2"/>
    </row>
    <row r="1245" spans="4:16" x14ac:dyDescent="0.25">
      <c r="D1245" s="2"/>
      <c r="E1245" s="310"/>
      <c r="G1245" s="2"/>
      <c r="H1245" s="310"/>
      <c r="I1245" s="2"/>
      <c r="O1245" s="2"/>
      <c r="P1245" s="2"/>
    </row>
    <row r="1246" spans="4:16" x14ac:dyDescent="0.25">
      <c r="D1246" s="2"/>
      <c r="E1246" s="310"/>
      <c r="G1246" s="2"/>
      <c r="H1246" s="310"/>
      <c r="I1246" s="2"/>
      <c r="O1246" s="2"/>
      <c r="P1246" s="2"/>
    </row>
    <row r="1247" spans="4:16" x14ac:dyDescent="0.25">
      <c r="D1247" s="2"/>
      <c r="E1247" s="310"/>
      <c r="G1247" s="2"/>
      <c r="H1247" s="310"/>
      <c r="I1247" s="2"/>
      <c r="O1247" s="2"/>
      <c r="P1247" s="2"/>
    </row>
    <row r="1248" spans="4:16" x14ac:dyDescent="0.25">
      <c r="D1248" s="2"/>
      <c r="E1248" s="310"/>
      <c r="G1248" s="2"/>
      <c r="H1248" s="310"/>
      <c r="I1248" s="2"/>
      <c r="O1248" s="2"/>
      <c r="P1248" s="2"/>
    </row>
    <row r="1249" spans="4:16" x14ac:dyDescent="0.25">
      <c r="D1249" s="2"/>
      <c r="E1249" s="310"/>
      <c r="G1249" s="2"/>
      <c r="H1249" s="310"/>
      <c r="I1249" s="2"/>
      <c r="O1249" s="2"/>
      <c r="P1249" s="2"/>
    </row>
    <row r="1250" spans="4:16" x14ac:dyDescent="0.25">
      <c r="D1250" s="2"/>
      <c r="E1250" s="310"/>
      <c r="G1250" s="2"/>
      <c r="H1250" s="310"/>
      <c r="I1250" s="2"/>
      <c r="O1250" s="2"/>
      <c r="P1250" s="2"/>
    </row>
    <row r="1251" spans="4:16" x14ac:dyDescent="0.25">
      <c r="D1251" s="2"/>
      <c r="E1251" s="310"/>
      <c r="G1251" s="2"/>
      <c r="H1251" s="310"/>
      <c r="I1251" s="2"/>
      <c r="O1251" s="2"/>
      <c r="P1251" s="2"/>
    </row>
    <row r="1252" spans="4:16" x14ac:dyDescent="0.25">
      <c r="D1252" s="2"/>
      <c r="E1252" s="310"/>
      <c r="G1252" s="2"/>
      <c r="H1252" s="310"/>
      <c r="I1252" s="2"/>
      <c r="O1252" s="2"/>
      <c r="P1252" s="2"/>
    </row>
    <row r="1253" spans="4:16" x14ac:dyDescent="0.25">
      <c r="D1253" s="2"/>
      <c r="E1253" s="310"/>
      <c r="G1253" s="2"/>
      <c r="H1253" s="310"/>
      <c r="I1253" s="2"/>
      <c r="O1253" s="2"/>
      <c r="P1253" s="2"/>
    </row>
    <row r="1254" spans="4:16" x14ac:dyDescent="0.25">
      <c r="D1254" s="2"/>
      <c r="E1254" s="310"/>
      <c r="G1254" s="2"/>
      <c r="H1254" s="310"/>
      <c r="I1254" s="2"/>
      <c r="O1254" s="2"/>
      <c r="P1254" s="2"/>
    </row>
    <row r="1255" spans="4:16" x14ac:dyDescent="0.25">
      <c r="D1255" s="2"/>
      <c r="E1255" s="310"/>
      <c r="G1255" s="2"/>
      <c r="H1255" s="310"/>
      <c r="I1255" s="2"/>
      <c r="O1255" s="2"/>
      <c r="P1255" s="2"/>
    </row>
    <row r="1256" spans="4:16" x14ac:dyDescent="0.25">
      <c r="D1256" s="2"/>
      <c r="E1256" s="310"/>
      <c r="G1256" s="2"/>
      <c r="H1256" s="310"/>
      <c r="I1256" s="2"/>
      <c r="O1256" s="2"/>
      <c r="P1256" s="2"/>
    </row>
    <row r="1257" spans="4:16" x14ac:dyDescent="0.25">
      <c r="D1257" s="2"/>
      <c r="E1257" s="310"/>
      <c r="G1257" s="2"/>
      <c r="H1257" s="310"/>
      <c r="I1257" s="2"/>
      <c r="O1257" s="2"/>
      <c r="P1257" s="2"/>
    </row>
    <row r="1258" spans="4:16" x14ac:dyDescent="0.25">
      <c r="D1258" s="2"/>
      <c r="E1258" s="310"/>
      <c r="G1258" s="2"/>
      <c r="H1258" s="310"/>
      <c r="I1258" s="2"/>
      <c r="O1258" s="2"/>
      <c r="P1258" s="2"/>
    </row>
    <row r="1259" spans="4:16" x14ac:dyDescent="0.25">
      <c r="D1259" s="2"/>
      <c r="E1259" s="310"/>
      <c r="G1259" s="2"/>
      <c r="H1259" s="310"/>
      <c r="I1259" s="2"/>
      <c r="O1259" s="2"/>
      <c r="P1259" s="2"/>
    </row>
    <row r="1260" spans="4:16" x14ac:dyDescent="0.25">
      <c r="D1260" s="2"/>
      <c r="E1260" s="310"/>
      <c r="G1260" s="2"/>
      <c r="H1260" s="310"/>
      <c r="I1260" s="2"/>
      <c r="O1260" s="2"/>
      <c r="P1260" s="2"/>
    </row>
    <row r="1261" spans="4:16" x14ac:dyDescent="0.25">
      <c r="D1261" s="2"/>
      <c r="E1261" s="310"/>
      <c r="G1261" s="2"/>
      <c r="H1261" s="310"/>
      <c r="I1261" s="2"/>
      <c r="O1261" s="2"/>
      <c r="P1261" s="2"/>
    </row>
    <row r="1262" spans="4:16" x14ac:dyDescent="0.25">
      <c r="D1262" s="2"/>
      <c r="E1262" s="310"/>
      <c r="G1262" s="2"/>
      <c r="H1262" s="310"/>
      <c r="I1262" s="2"/>
      <c r="O1262" s="2"/>
      <c r="P1262" s="2"/>
    </row>
    <row r="1263" spans="4:16" x14ac:dyDescent="0.25">
      <c r="D1263" s="2"/>
      <c r="E1263" s="310"/>
      <c r="G1263" s="2"/>
      <c r="H1263" s="310"/>
      <c r="I1263" s="2"/>
      <c r="O1263" s="2"/>
      <c r="P1263" s="2"/>
    </row>
    <row r="1264" spans="4:16" x14ac:dyDescent="0.25">
      <c r="D1264" s="2"/>
      <c r="E1264" s="310"/>
      <c r="G1264" s="2"/>
      <c r="H1264" s="310"/>
      <c r="I1264" s="2"/>
      <c r="O1264" s="2"/>
      <c r="P1264" s="2"/>
    </row>
    <row r="1265" spans="4:16" x14ac:dyDescent="0.25">
      <c r="D1265" s="2"/>
      <c r="E1265" s="310"/>
      <c r="G1265" s="2"/>
      <c r="H1265" s="310"/>
      <c r="I1265" s="2"/>
      <c r="O1265" s="2"/>
      <c r="P1265" s="2"/>
    </row>
    <row r="1266" spans="4:16" x14ac:dyDescent="0.25">
      <c r="D1266" s="2"/>
      <c r="E1266" s="310"/>
      <c r="G1266" s="2"/>
      <c r="H1266" s="310"/>
      <c r="I1266" s="2"/>
      <c r="O1266" s="2"/>
      <c r="P1266" s="2"/>
    </row>
    <row r="1267" spans="4:16" x14ac:dyDescent="0.25">
      <c r="D1267" s="2"/>
      <c r="E1267" s="310"/>
      <c r="G1267" s="2"/>
      <c r="H1267" s="310"/>
      <c r="I1267" s="2"/>
      <c r="O1267" s="2"/>
      <c r="P1267" s="2"/>
    </row>
    <row r="1268" spans="4:16" x14ac:dyDescent="0.25">
      <c r="D1268" s="2"/>
      <c r="E1268" s="310"/>
      <c r="G1268" s="2"/>
      <c r="H1268" s="310"/>
      <c r="I1268" s="2"/>
      <c r="O1268" s="2"/>
      <c r="P1268" s="2"/>
    </row>
    <row r="1269" spans="4:16" x14ac:dyDescent="0.25">
      <c r="D1269" s="2"/>
      <c r="E1269" s="310"/>
      <c r="G1269" s="2"/>
      <c r="H1269" s="310"/>
      <c r="I1269" s="2"/>
      <c r="O1269" s="2"/>
      <c r="P1269" s="2"/>
    </row>
    <row r="1270" spans="4:16" x14ac:dyDescent="0.25">
      <c r="D1270" s="2"/>
      <c r="E1270" s="310"/>
      <c r="G1270" s="2"/>
      <c r="H1270" s="310"/>
      <c r="I1270" s="2"/>
      <c r="O1270" s="2"/>
      <c r="P1270" s="2"/>
    </row>
    <row r="1271" spans="4:16" x14ac:dyDescent="0.25">
      <c r="D1271" s="2"/>
      <c r="E1271" s="310"/>
      <c r="G1271" s="2"/>
      <c r="H1271" s="310"/>
      <c r="I1271" s="2"/>
      <c r="O1271" s="2"/>
      <c r="P1271" s="2"/>
    </row>
    <row r="1272" spans="4:16" x14ac:dyDescent="0.25">
      <c r="D1272" s="2"/>
      <c r="E1272" s="310"/>
      <c r="G1272" s="2"/>
      <c r="H1272" s="310"/>
      <c r="I1272" s="2"/>
      <c r="O1272" s="2"/>
      <c r="P1272" s="2"/>
    </row>
    <row r="1273" spans="4:16" x14ac:dyDescent="0.25">
      <c r="D1273" s="2"/>
      <c r="E1273" s="310"/>
      <c r="G1273" s="2"/>
      <c r="H1273" s="310"/>
      <c r="I1273" s="2"/>
      <c r="O1273" s="2"/>
      <c r="P1273" s="2"/>
    </row>
    <row r="1274" spans="4:16" x14ac:dyDescent="0.25">
      <c r="D1274" s="2"/>
      <c r="E1274" s="310"/>
      <c r="G1274" s="2"/>
      <c r="H1274" s="310"/>
      <c r="I1274" s="2"/>
      <c r="O1274" s="2"/>
      <c r="P1274" s="2"/>
    </row>
    <row r="1275" spans="4:16" x14ac:dyDescent="0.25">
      <c r="D1275" s="2"/>
      <c r="E1275" s="310"/>
      <c r="G1275" s="2"/>
      <c r="H1275" s="310"/>
      <c r="I1275" s="2"/>
      <c r="O1275" s="2"/>
      <c r="P1275" s="2"/>
    </row>
    <row r="1276" spans="4:16" x14ac:dyDescent="0.25">
      <c r="D1276" s="2"/>
      <c r="E1276" s="310"/>
      <c r="G1276" s="2"/>
      <c r="H1276" s="310"/>
      <c r="I1276" s="2"/>
      <c r="O1276" s="2"/>
      <c r="P1276" s="2"/>
    </row>
    <row r="1277" spans="4:16" x14ac:dyDescent="0.25">
      <c r="D1277" s="2"/>
      <c r="E1277" s="310"/>
      <c r="G1277" s="2"/>
      <c r="H1277" s="310"/>
      <c r="I1277" s="2"/>
      <c r="O1277" s="2"/>
      <c r="P1277" s="2"/>
    </row>
    <row r="1278" spans="4:16" x14ac:dyDescent="0.25">
      <c r="D1278" s="2"/>
      <c r="E1278" s="310"/>
      <c r="G1278" s="2"/>
      <c r="H1278" s="310"/>
      <c r="I1278" s="2"/>
      <c r="O1278" s="2"/>
      <c r="P1278" s="2"/>
    </row>
    <row r="1279" spans="4:16" x14ac:dyDescent="0.25">
      <c r="D1279" s="2"/>
      <c r="E1279" s="310"/>
      <c r="G1279" s="2"/>
      <c r="H1279" s="310"/>
      <c r="I1279" s="2"/>
      <c r="O1279" s="2"/>
      <c r="P1279" s="2"/>
    </row>
    <row r="1280" spans="4:16" x14ac:dyDescent="0.25">
      <c r="D1280" s="2"/>
      <c r="E1280" s="310"/>
      <c r="G1280" s="2"/>
      <c r="H1280" s="310"/>
      <c r="I1280" s="2"/>
      <c r="O1280" s="2"/>
      <c r="P1280" s="2"/>
    </row>
    <row r="1281" spans="4:16" x14ac:dyDescent="0.25">
      <c r="D1281" s="2"/>
      <c r="E1281" s="310"/>
      <c r="G1281" s="2"/>
      <c r="H1281" s="310"/>
      <c r="I1281" s="2"/>
      <c r="O1281" s="2"/>
      <c r="P1281" s="2"/>
    </row>
    <row r="1282" spans="4:16" x14ac:dyDescent="0.25">
      <c r="D1282" s="2"/>
      <c r="E1282" s="310"/>
      <c r="G1282" s="2"/>
      <c r="H1282" s="310"/>
      <c r="I1282" s="2"/>
      <c r="O1282" s="2"/>
      <c r="P1282" s="2"/>
    </row>
    <row r="1283" spans="4:16" x14ac:dyDescent="0.25">
      <c r="D1283" s="2"/>
      <c r="E1283" s="310"/>
      <c r="G1283" s="2"/>
      <c r="H1283" s="310"/>
      <c r="I1283" s="2"/>
      <c r="O1283" s="2"/>
      <c r="P1283" s="2"/>
    </row>
    <row r="1284" spans="4:16" x14ac:dyDescent="0.25">
      <c r="D1284" s="2"/>
      <c r="E1284" s="310"/>
      <c r="G1284" s="2"/>
      <c r="H1284" s="310"/>
      <c r="I1284" s="2"/>
      <c r="O1284" s="2"/>
      <c r="P1284" s="2"/>
    </row>
    <row r="1285" spans="4:16" x14ac:dyDescent="0.25">
      <c r="D1285" s="2"/>
      <c r="E1285" s="310"/>
      <c r="G1285" s="2"/>
      <c r="H1285" s="310"/>
      <c r="I1285" s="2"/>
      <c r="O1285" s="2"/>
      <c r="P1285" s="2"/>
    </row>
    <row r="1286" spans="4:16" x14ac:dyDescent="0.25">
      <c r="D1286" s="2"/>
      <c r="E1286" s="310"/>
      <c r="G1286" s="2"/>
      <c r="H1286" s="310"/>
      <c r="I1286" s="2"/>
      <c r="O1286" s="2"/>
      <c r="P1286" s="2"/>
    </row>
    <row r="1287" spans="4:16" x14ac:dyDescent="0.25">
      <c r="D1287" s="2"/>
      <c r="E1287" s="310"/>
      <c r="G1287" s="2"/>
      <c r="H1287" s="310"/>
      <c r="I1287" s="2"/>
      <c r="O1287" s="2"/>
      <c r="P1287" s="2"/>
    </row>
    <row r="1288" spans="4:16" x14ac:dyDescent="0.25">
      <c r="D1288" s="2"/>
      <c r="E1288" s="310"/>
      <c r="G1288" s="2"/>
      <c r="H1288" s="310"/>
      <c r="I1288" s="2"/>
      <c r="O1288" s="2"/>
      <c r="P1288" s="2"/>
    </row>
    <row r="1289" spans="4:16" x14ac:dyDescent="0.25">
      <c r="D1289" s="2"/>
      <c r="E1289" s="310"/>
      <c r="G1289" s="2"/>
      <c r="H1289" s="310"/>
      <c r="I1289" s="2"/>
      <c r="O1289" s="2"/>
      <c r="P1289" s="2"/>
    </row>
    <row r="1290" spans="4:16" x14ac:dyDescent="0.25">
      <c r="D1290" s="2"/>
      <c r="E1290" s="310"/>
      <c r="G1290" s="2"/>
      <c r="H1290" s="310"/>
      <c r="I1290" s="2"/>
      <c r="O1290" s="2"/>
      <c r="P1290" s="2"/>
    </row>
    <row r="1291" spans="4:16" x14ac:dyDescent="0.25">
      <c r="D1291" s="2"/>
      <c r="E1291" s="310"/>
      <c r="G1291" s="2"/>
      <c r="H1291" s="310"/>
      <c r="I1291" s="2"/>
      <c r="O1291" s="2"/>
      <c r="P1291" s="2"/>
    </row>
    <row r="1292" spans="4:16" x14ac:dyDescent="0.25">
      <c r="D1292" s="2"/>
      <c r="E1292" s="310"/>
      <c r="G1292" s="2"/>
      <c r="H1292" s="310"/>
      <c r="I1292" s="2"/>
      <c r="O1292" s="2"/>
      <c r="P1292" s="2"/>
    </row>
    <row r="1293" spans="4:16" x14ac:dyDescent="0.25">
      <c r="D1293" s="2"/>
      <c r="E1293" s="310"/>
      <c r="G1293" s="2"/>
      <c r="H1293" s="310"/>
      <c r="I1293" s="2"/>
      <c r="O1293" s="2"/>
      <c r="P1293" s="2"/>
    </row>
    <row r="1294" spans="4:16" x14ac:dyDescent="0.25">
      <c r="D1294" s="2"/>
      <c r="E1294" s="310"/>
      <c r="G1294" s="2"/>
      <c r="H1294" s="310"/>
      <c r="I1294" s="2"/>
      <c r="O1294" s="2"/>
      <c r="P1294" s="2"/>
    </row>
    <row r="1295" spans="4:16" x14ac:dyDescent="0.25">
      <c r="D1295" s="2"/>
      <c r="E1295" s="310"/>
      <c r="G1295" s="2"/>
      <c r="H1295" s="310"/>
      <c r="I1295" s="2"/>
      <c r="O1295" s="2"/>
      <c r="P1295" s="2"/>
    </row>
    <row r="1296" spans="4:16" x14ac:dyDescent="0.25">
      <c r="D1296" s="2"/>
      <c r="E1296" s="310"/>
      <c r="G1296" s="2"/>
      <c r="H1296" s="310"/>
      <c r="I1296" s="2"/>
      <c r="O1296" s="2"/>
      <c r="P1296" s="2"/>
    </row>
    <row r="1297" spans="4:16" x14ac:dyDescent="0.25">
      <c r="D1297" s="2"/>
      <c r="E1297" s="310"/>
      <c r="G1297" s="2"/>
      <c r="H1297" s="310"/>
      <c r="I1297" s="2"/>
      <c r="O1297" s="2"/>
      <c r="P1297" s="2"/>
    </row>
    <row r="1298" spans="4:16" x14ac:dyDescent="0.25">
      <c r="D1298" s="2"/>
      <c r="E1298" s="310"/>
      <c r="G1298" s="2"/>
      <c r="H1298" s="310"/>
      <c r="I1298" s="2"/>
      <c r="O1298" s="2"/>
      <c r="P1298" s="2"/>
    </row>
    <row r="1299" spans="4:16" x14ac:dyDescent="0.25">
      <c r="D1299" s="2"/>
      <c r="E1299" s="310"/>
      <c r="G1299" s="2"/>
      <c r="H1299" s="310"/>
      <c r="I1299" s="2"/>
      <c r="O1299" s="2"/>
      <c r="P1299" s="2"/>
    </row>
    <row r="1300" spans="4:16" x14ac:dyDescent="0.25">
      <c r="D1300" s="2"/>
      <c r="E1300" s="310"/>
      <c r="G1300" s="2"/>
      <c r="H1300" s="310"/>
      <c r="I1300" s="2"/>
      <c r="O1300" s="2"/>
      <c r="P1300" s="2"/>
    </row>
    <row r="1301" spans="4:16" x14ac:dyDescent="0.25">
      <c r="D1301" s="2"/>
      <c r="E1301" s="310"/>
      <c r="G1301" s="2"/>
      <c r="H1301" s="310"/>
      <c r="I1301" s="2"/>
      <c r="O1301" s="2"/>
      <c r="P1301" s="2"/>
    </row>
    <row r="1302" spans="4:16" x14ac:dyDescent="0.25">
      <c r="D1302" s="2"/>
      <c r="E1302" s="310"/>
      <c r="G1302" s="2"/>
      <c r="H1302" s="310"/>
      <c r="I1302" s="2"/>
      <c r="O1302" s="2"/>
      <c r="P1302" s="2"/>
    </row>
    <row r="1303" spans="4:16" x14ac:dyDescent="0.25">
      <c r="D1303" s="2"/>
      <c r="E1303" s="310"/>
      <c r="G1303" s="2"/>
      <c r="H1303" s="310"/>
      <c r="I1303" s="2"/>
      <c r="O1303" s="2"/>
      <c r="P1303" s="2"/>
    </row>
    <row r="1304" spans="4:16" x14ac:dyDescent="0.25">
      <c r="D1304" s="2"/>
      <c r="E1304" s="310"/>
      <c r="G1304" s="2"/>
      <c r="H1304" s="310"/>
      <c r="I1304" s="2"/>
      <c r="O1304" s="2"/>
      <c r="P1304" s="2"/>
    </row>
    <row r="1305" spans="4:16" x14ac:dyDescent="0.25">
      <c r="D1305" s="2"/>
      <c r="E1305" s="310"/>
      <c r="G1305" s="2"/>
      <c r="H1305" s="310"/>
      <c r="I1305" s="2"/>
      <c r="O1305" s="2"/>
      <c r="P1305" s="2"/>
    </row>
    <row r="1306" spans="4:16" x14ac:dyDescent="0.25">
      <c r="D1306" s="2"/>
      <c r="E1306" s="310"/>
      <c r="G1306" s="2"/>
      <c r="H1306" s="310"/>
      <c r="I1306" s="2"/>
      <c r="O1306" s="2"/>
      <c r="P1306" s="2"/>
    </row>
    <row r="1307" spans="4:16" x14ac:dyDescent="0.25">
      <c r="D1307" s="2"/>
      <c r="E1307" s="310"/>
      <c r="G1307" s="2"/>
      <c r="H1307" s="310"/>
      <c r="I1307" s="2"/>
      <c r="O1307" s="2"/>
      <c r="P1307" s="2"/>
    </row>
    <row r="1308" spans="4:16" x14ac:dyDescent="0.25">
      <c r="D1308" s="2"/>
      <c r="E1308" s="310"/>
      <c r="G1308" s="2"/>
      <c r="H1308" s="310"/>
      <c r="I1308" s="2"/>
      <c r="O1308" s="2"/>
      <c r="P1308" s="2"/>
    </row>
    <row r="1309" spans="4:16" x14ac:dyDescent="0.25">
      <c r="D1309" s="2"/>
      <c r="E1309" s="310"/>
      <c r="G1309" s="2"/>
      <c r="H1309" s="310"/>
      <c r="I1309" s="2"/>
      <c r="O1309" s="2"/>
      <c r="P1309" s="2"/>
    </row>
    <row r="1310" spans="4:16" x14ac:dyDescent="0.25">
      <c r="D1310" s="2"/>
      <c r="E1310" s="310"/>
      <c r="G1310" s="2"/>
      <c r="H1310" s="310"/>
      <c r="I1310" s="2"/>
      <c r="O1310" s="2"/>
      <c r="P1310" s="2"/>
    </row>
    <row r="1311" spans="4:16" x14ac:dyDescent="0.25">
      <c r="D1311" s="2"/>
      <c r="E1311" s="310"/>
      <c r="G1311" s="2"/>
      <c r="H1311" s="310"/>
      <c r="I1311" s="2"/>
      <c r="O1311" s="2"/>
      <c r="P1311" s="2"/>
    </row>
    <row r="1312" spans="4:16" x14ac:dyDescent="0.25">
      <c r="D1312" s="2"/>
      <c r="E1312" s="310"/>
      <c r="G1312" s="2"/>
      <c r="H1312" s="310"/>
      <c r="I1312" s="2"/>
      <c r="O1312" s="2"/>
      <c r="P1312" s="2"/>
    </row>
    <row r="1313" spans="4:16" x14ac:dyDescent="0.25">
      <c r="D1313" s="2"/>
      <c r="E1313" s="310"/>
      <c r="G1313" s="2"/>
      <c r="H1313" s="310"/>
      <c r="I1313" s="2"/>
      <c r="O1313" s="2"/>
      <c r="P1313" s="2"/>
    </row>
    <row r="1314" spans="4:16" x14ac:dyDescent="0.25">
      <c r="D1314" s="2"/>
      <c r="E1314" s="310"/>
      <c r="G1314" s="2"/>
      <c r="H1314" s="310"/>
      <c r="I1314" s="2"/>
      <c r="O1314" s="2"/>
      <c r="P1314" s="2"/>
    </row>
    <row r="1315" spans="4:16" x14ac:dyDescent="0.25">
      <c r="D1315" s="2"/>
      <c r="E1315" s="310"/>
      <c r="G1315" s="2"/>
      <c r="H1315" s="310"/>
      <c r="I1315" s="2"/>
      <c r="O1315" s="2"/>
      <c r="P1315" s="2"/>
    </row>
    <row r="1316" spans="4:16" x14ac:dyDescent="0.25">
      <c r="D1316" s="2"/>
      <c r="E1316" s="310"/>
      <c r="G1316" s="2"/>
      <c r="H1316" s="310"/>
      <c r="I1316" s="2"/>
      <c r="O1316" s="2"/>
      <c r="P1316" s="2"/>
    </row>
    <row r="1317" spans="4:16" x14ac:dyDescent="0.25">
      <c r="D1317" s="2"/>
      <c r="E1317" s="310"/>
      <c r="G1317" s="2"/>
      <c r="H1317" s="310"/>
      <c r="I1317" s="2"/>
      <c r="O1317" s="2"/>
      <c r="P1317" s="2"/>
    </row>
    <row r="1318" spans="4:16" x14ac:dyDescent="0.25">
      <c r="D1318" s="2"/>
      <c r="E1318" s="310"/>
      <c r="G1318" s="2"/>
      <c r="H1318" s="310"/>
      <c r="I1318" s="2"/>
      <c r="O1318" s="2"/>
      <c r="P1318" s="2"/>
    </row>
    <row r="1319" spans="4:16" x14ac:dyDescent="0.25">
      <c r="D1319" s="2"/>
      <c r="E1319" s="310"/>
      <c r="G1319" s="2"/>
      <c r="H1319" s="310"/>
      <c r="I1319" s="2"/>
      <c r="O1319" s="2"/>
      <c r="P1319" s="2"/>
    </row>
    <row r="1320" spans="4:16" x14ac:dyDescent="0.25">
      <c r="D1320" s="2"/>
      <c r="E1320" s="310"/>
      <c r="G1320" s="2"/>
      <c r="H1320" s="310"/>
      <c r="I1320" s="2"/>
      <c r="O1320" s="2"/>
      <c r="P1320" s="2"/>
    </row>
    <row r="1321" spans="4:16" x14ac:dyDescent="0.25">
      <c r="D1321" s="2"/>
      <c r="E1321" s="310"/>
      <c r="G1321" s="2"/>
      <c r="H1321" s="310"/>
      <c r="I1321" s="2"/>
      <c r="O1321" s="2"/>
      <c r="P1321" s="2"/>
    </row>
    <row r="1322" spans="4:16" x14ac:dyDescent="0.25">
      <c r="D1322" s="2"/>
      <c r="E1322" s="310"/>
      <c r="G1322" s="2"/>
      <c r="H1322" s="310"/>
      <c r="I1322" s="2"/>
      <c r="O1322" s="2"/>
      <c r="P1322" s="2"/>
    </row>
    <row r="1323" spans="4:16" x14ac:dyDescent="0.25">
      <c r="D1323" s="2"/>
      <c r="E1323" s="310"/>
      <c r="G1323" s="2"/>
      <c r="H1323" s="310"/>
      <c r="I1323" s="2"/>
      <c r="O1323" s="2"/>
      <c r="P1323" s="2"/>
    </row>
    <row r="1324" spans="4:16" x14ac:dyDescent="0.25">
      <c r="D1324" s="2"/>
      <c r="E1324" s="310"/>
      <c r="G1324" s="2"/>
      <c r="H1324" s="310"/>
      <c r="I1324" s="2"/>
      <c r="O1324" s="2"/>
      <c r="P1324" s="2"/>
    </row>
    <row r="1325" spans="4:16" x14ac:dyDescent="0.25">
      <c r="D1325" s="2"/>
      <c r="E1325" s="310"/>
      <c r="G1325" s="2"/>
      <c r="H1325" s="310"/>
      <c r="I1325" s="2"/>
      <c r="O1325" s="2"/>
      <c r="P1325" s="2"/>
    </row>
    <row r="1326" spans="4:16" x14ac:dyDescent="0.25">
      <c r="D1326" s="2"/>
      <c r="E1326" s="310"/>
      <c r="G1326" s="2"/>
      <c r="H1326" s="310"/>
      <c r="I1326" s="2"/>
      <c r="O1326" s="2"/>
      <c r="P1326" s="2"/>
    </row>
    <row r="1327" spans="4:16" x14ac:dyDescent="0.25">
      <c r="D1327" s="2"/>
      <c r="E1327" s="310"/>
      <c r="G1327" s="2"/>
      <c r="H1327" s="310"/>
      <c r="I1327" s="2"/>
      <c r="O1327" s="2"/>
      <c r="P1327" s="2"/>
    </row>
    <row r="1328" spans="4:16" x14ac:dyDescent="0.25">
      <c r="D1328" s="2"/>
      <c r="E1328" s="310"/>
      <c r="G1328" s="2"/>
      <c r="H1328" s="310"/>
      <c r="I1328" s="2"/>
      <c r="O1328" s="2"/>
      <c r="P1328" s="2"/>
    </row>
    <row r="1329" spans="4:16" x14ac:dyDescent="0.25">
      <c r="D1329" s="2"/>
      <c r="E1329" s="310"/>
      <c r="G1329" s="2"/>
      <c r="H1329" s="310"/>
      <c r="I1329" s="2"/>
      <c r="O1329" s="2"/>
      <c r="P1329" s="2"/>
    </row>
    <row r="1330" spans="4:16" x14ac:dyDescent="0.25">
      <c r="D1330" s="2"/>
      <c r="E1330" s="310"/>
      <c r="G1330" s="2"/>
      <c r="H1330" s="310"/>
      <c r="I1330" s="2"/>
      <c r="O1330" s="2"/>
      <c r="P1330" s="2"/>
    </row>
    <row r="1331" spans="4:16" x14ac:dyDescent="0.25">
      <c r="D1331" s="2"/>
      <c r="E1331" s="310"/>
      <c r="G1331" s="2"/>
      <c r="H1331" s="310"/>
      <c r="I1331" s="2"/>
      <c r="O1331" s="2"/>
      <c r="P1331" s="2"/>
    </row>
    <row r="1332" spans="4:16" x14ac:dyDescent="0.25">
      <c r="D1332" s="2"/>
      <c r="E1332" s="310"/>
      <c r="G1332" s="2"/>
      <c r="H1332" s="310"/>
      <c r="I1332" s="2"/>
      <c r="O1332" s="2"/>
      <c r="P1332" s="2"/>
    </row>
    <row r="1333" spans="4:16" x14ac:dyDescent="0.25">
      <c r="D1333" s="2"/>
      <c r="E1333" s="310"/>
      <c r="G1333" s="2"/>
      <c r="H1333" s="310"/>
      <c r="I1333" s="2"/>
      <c r="O1333" s="2"/>
      <c r="P1333" s="2"/>
    </row>
    <row r="1334" spans="4:16" x14ac:dyDescent="0.25">
      <c r="D1334" s="2"/>
      <c r="E1334" s="310"/>
      <c r="G1334" s="2"/>
      <c r="H1334" s="310"/>
      <c r="I1334" s="2"/>
      <c r="O1334" s="2"/>
      <c r="P1334" s="2"/>
    </row>
    <row r="1335" spans="4:16" x14ac:dyDescent="0.25">
      <c r="D1335" s="2"/>
      <c r="E1335" s="310"/>
      <c r="G1335" s="2"/>
      <c r="H1335" s="310"/>
      <c r="I1335" s="2"/>
      <c r="O1335" s="2"/>
      <c r="P1335" s="2"/>
    </row>
    <row r="1336" spans="4:16" x14ac:dyDescent="0.25">
      <c r="D1336" s="2"/>
      <c r="E1336" s="310"/>
      <c r="G1336" s="2"/>
      <c r="H1336" s="310"/>
      <c r="I1336" s="2"/>
      <c r="O1336" s="2"/>
      <c r="P1336" s="2"/>
    </row>
    <row r="1337" spans="4:16" x14ac:dyDescent="0.25">
      <c r="D1337" s="2"/>
      <c r="E1337" s="310"/>
      <c r="G1337" s="2"/>
      <c r="H1337" s="310"/>
      <c r="I1337" s="2"/>
      <c r="O1337" s="2"/>
      <c r="P1337" s="2"/>
    </row>
    <row r="1338" spans="4:16" x14ac:dyDescent="0.25">
      <c r="D1338" s="2"/>
      <c r="E1338" s="310"/>
      <c r="G1338" s="2"/>
      <c r="H1338" s="310"/>
      <c r="I1338" s="2"/>
      <c r="O1338" s="2"/>
      <c r="P1338" s="2"/>
    </row>
    <row r="1339" spans="4:16" x14ac:dyDescent="0.25">
      <c r="D1339" s="2"/>
      <c r="E1339" s="310"/>
      <c r="G1339" s="2"/>
      <c r="H1339" s="310"/>
      <c r="I1339" s="2"/>
      <c r="O1339" s="2"/>
      <c r="P1339" s="2"/>
    </row>
    <row r="1340" spans="4:16" x14ac:dyDescent="0.25">
      <c r="D1340" s="2"/>
      <c r="E1340" s="310"/>
      <c r="G1340" s="2"/>
      <c r="H1340" s="310"/>
      <c r="I1340" s="2"/>
      <c r="O1340" s="2"/>
      <c r="P1340" s="2"/>
    </row>
    <row r="1341" spans="4:16" x14ac:dyDescent="0.25">
      <c r="D1341" s="2"/>
      <c r="E1341" s="310"/>
      <c r="G1341" s="2"/>
      <c r="H1341" s="310"/>
      <c r="I1341" s="2"/>
      <c r="O1341" s="2"/>
      <c r="P1341" s="2"/>
    </row>
    <row r="1342" spans="4:16" x14ac:dyDescent="0.25">
      <c r="D1342" s="2"/>
      <c r="E1342" s="310"/>
      <c r="G1342" s="2"/>
      <c r="H1342" s="310"/>
      <c r="I1342" s="2"/>
      <c r="O1342" s="2"/>
      <c r="P1342" s="2"/>
    </row>
    <row r="1343" spans="4:16" x14ac:dyDescent="0.25">
      <c r="D1343" s="2"/>
      <c r="E1343" s="310"/>
      <c r="G1343" s="2"/>
      <c r="H1343" s="310"/>
      <c r="I1343" s="2"/>
      <c r="O1343" s="2"/>
      <c r="P1343" s="2"/>
    </row>
    <row r="1344" spans="4:16" x14ac:dyDescent="0.25">
      <c r="D1344" s="2"/>
      <c r="E1344" s="310"/>
      <c r="G1344" s="2"/>
      <c r="H1344" s="310"/>
      <c r="I1344" s="2"/>
      <c r="O1344" s="2"/>
      <c r="P1344" s="2"/>
    </row>
    <row r="1345" spans="4:16" x14ac:dyDescent="0.25">
      <c r="D1345" s="2"/>
      <c r="E1345" s="310"/>
      <c r="G1345" s="2"/>
      <c r="H1345" s="310"/>
      <c r="I1345" s="2"/>
      <c r="O1345" s="2"/>
      <c r="P1345" s="2"/>
    </row>
    <row r="1346" spans="4:16" x14ac:dyDescent="0.25">
      <c r="D1346" s="2"/>
      <c r="E1346" s="310"/>
      <c r="G1346" s="2"/>
      <c r="H1346" s="310"/>
      <c r="I1346" s="2"/>
      <c r="O1346" s="2"/>
      <c r="P1346" s="2"/>
    </row>
    <row r="1347" spans="4:16" x14ac:dyDescent="0.25">
      <c r="D1347" s="2"/>
      <c r="E1347" s="310"/>
      <c r="G1347" s="2"/>
      <c r="H1347" s="310"/>
      <c r="I1347" s="2"/>
      <c r="O1347" s="2"/>
      <c r="P1347" s="2"/>
    </row>
    <row r="1348" spans="4:16" x14ac:dyDescent="0.25">
      <c r="D1348" s="2"/>
      <c r="E1348" s="310"/>
      <c r="G1348" s="2"/>
      <c r="H1348" s="310"/>
      <c r="I1348" s="2"/>
      <c r="O1348" s="2"/>
      <c r="P1348" s="2"/>
    </row>
    <row r="1349" spans="4:16" x14ac:dyDescent="0.25">
      <c r="D1349" s="2"/>
      <c r="E1349" s="310"/>
      <c r="G1349" s="2"/>
      <c r="H1349" s="310"/>
      <c r="I1349" s="2"/>
      <c r="O1349" s="2"/>
      <c r="P1349" s="2"/>
    </row>
    <row r="1350" spans="4:16" x14ac:dyDescent="0.25">
      <c r="D1350" s="2"/>
      <c r="E1350" s="310"/>
      <c r="G1350" s="2"/>
      <c r="H1350" s="310"/>
      <c r="I1350" s="2"/>
      <c r="O1350" s="2"/>
      <c r="P1350" s="2"/>
    </row>
    <row r="1351" spans="4:16" x14ac:dyDescent="0.25">
      <c r="D1351" s="2"/>
      <c r="E1351" s="310"/>
      <c r="G1351" s="2"/>
      <c r="H1351" s="310"/>
      <c r="I1351" s="2"/>
      <c r="O1351" s="2"/>
      <c r="P1351" s="2"/>
    </row>
    <row r="1352" spans="4:16" x14ac:dyDescent="0.25">
      <c r="D1352" s="2"/>
      <c r="E1352" s="310"/>
      <c r="G1352" s="2"/>
      <c r="H1352" s="310"/>
      <c r="I1352" s="2"/>
      <c r="O1352" s="2"/>
      <c r="P1352" s="2"/>
    </row>
    <row r="1353" spans="4:16" x14ac:dyDescent="0.25">
      <c r="D1353" s="2"/>
      <c r="E1353" s="310"/>
      <c r="G1353" s="2"/>
      <c r="H1353" s="310"/>
      <c r="I1353" s="2"/>
      <c r="O1353" s="2"/>
      <c r="P1353" s="2"/>
    </row>
    <row r="1354" spans="4:16" x14ac:dyDescent="0.25">
      <c r="D1354" s="2"/>
      <c r="E1354" s="310"/>
      <c r="G1354" s="2"/>
      <c r="H1354" s="310"/>
      <c r="I1354" s="2"/>
      <c r="O1354" s="2"/>
      <c r="P1354" s="2"/>
    </row>
    <row r="1355" spans="4:16" x14ac:dyDescent="0.25">
      <c r="D1355" s="2"/>
      <c r="E1355" s="310"/>
      <c r="G1355" s="2"/>
      <c r="H1355" s="310"/>
      <c r="I1355" s="2"/>
      <c r="O1355" s="2"/>
      <c r="P1355" s="2"/>
    </row>
    <row r="1356" spans="4:16" x14ac:dyDescent="0.25">
      <c r="D1356" s="2"/>
      <c r="E1356" s="310"/>
      <c r="G1356" s="2"/>
      <c r="H1356" s="310"/>
      <c r="I1356" s="2"/>
      <c r="O1356" s="2"/>
      <c r="P1356" s="2"/>
    </row>
    <row r="1357" spans="4:16" x14ac:dyDescent="0.25">
      <c r="D1357" s="2"/>
      <c r="E1357" s="310"/>
      <c r="G1357" s="2"/>
      <c r="H1357" s="310"/>
      <c r="I1357" s="2"/>
      <c r="O1357" s="2"/>
      <c r="P1357" s="2"/>
    </row>
    <row r="1358" spans="4:16" x14ac:dyDescent="0.25">
      <c r="D1358" s="2"/>
      <c r="E1358" s="310"/>
      <c r="G1358" s="2"/>
      <c r="H1358" s="310"/>
      <c r="I1358" s="2"/>
      <c r="O1358" s="2"/>
      <c r="P1358" s="2"/>
    </row>
    <row r="1359" spans="4:16" x14ac:dyDescent="0.25">
      <c r="D1359" s="2"/>
      <c r="E1359" s="310"/>
      <c r="G1359" s="2"/>
      <c r="H1359" s="310"/>
      <c r="I1359" s="2"/>
      <c r="O1359" s="2"/>
      <c r="P1359" s="2"/>
    </row>
    <row r="1360" spans="4:16" x14ac:dyDescent="0.25">
      <c r="D1360" s="2"/>
      <c r="E1360" s="310"/>
      <c r="G1360" s="2"/>
      <c r="H1360" s="310"/>
      <c r="I1360" s="2"/>
      <c r="O1360" s="2"/>
      <c r="P1360" s="2"/>
    </row>
    <row r="1361" spans="4:16" x14ac:dyDescent="0.25">
      <c r="D1361" s="2"/>
      <c r="E1361" s="310"/>
      <c r="G1361" s="2"/>
      <c r="H1361" s="310"/>
      <c r="I1361" s="2"/>
      <c r="O1361" s="2"/>
      <c r="P1361" s="2"/>
    </row>
    <row r="1362" spans="4:16" x14ac:dyDescent="0.25">
      <c r="D1362" s="2"/>
      <c r="E1362" s="310"/>
      <c r="G1362" s="2"/>
      <c r="H1362" s="310"/>
      <c r="I1362" s="2"/>
      <c r="O1362" s="2"/>
      <c r="P1362" s="2"/>
    </row>
    <row r="1363" spans="4:16" x14ac:dyDescent="0.25">
      <c r="D1363" s="2"/>
      <c r="E1363" s="310"/>
      <c r="G1363" s="2"/>
      <c r="H1363" s="310"/>
      <c r="I1363" s="2"/>
      <c r="O1363" s="2"/>
      <c r="P1363" s="2"/>
    </row>
    <row r="1364" spans="4:16" x14ac:dyDescent="0.25">
      <c r="D1364" s="2"/>
      <c r="E1364" s="310"/>
      <c r="G1364" s="2"/>
      <c r="H1364" s="310"/>
      <c r="I1364" s="2"/>
      <c r="O1364" s="2"/>
      <c r="P1364" s="2"/>
    </row>
    <row r="1365" spans="4:16" x14ac:dyDescent="0.25">
      <c r="D1365" s="2"/>
      <c r="E1365" s="310"/>
      <c r="G1365" s="2"/>
      <c r="H1365" s="310"/>
      <c r="I1365" s="2"/>
      <c r="O1365" s="2"/>
      <c r="P1365" s="2"/>
    </row>
    <row r="1366" spans="4:16" x14ac:dyDescent="0.25">
      <c r="D1366" s="2"/>
      <c r="E1366" s="310"/>
      <c r="G1366" s="2"/>
      <c r="H1366" s="310"/>
      <c r="I1366" s="2"/>
      <c r="O1366" s="2"/>
      <c r="P1366" s="2"/>
    </row>
    <row r="1367" spans="4:16" x14ac:dyDescent="0.25">
      <c r="D1367" s="2"/>
      <c r="E1367" s="310"/>
      <c r="G1367" s="2"/>
      <c r="H1367" s="310"/>
      <c r="I1367" s="2"/>
      <c r="O1367" s="2"/>
      <c r="P1367" s="2"/>
    </row>
    <row r="1368" spans="4:16" x14ac:dyDescent="0.25">
      <c r="D1368" s="2"/>
      <c r="E1368" s="310"/>
      <c r="G1368" s="2"/>
      <c r="H1368" s="310"/>
      <c r="I1368" s="2"/>
      <c r="O1368" s="2"/>
      <c r="P1368" s="2"/>
    </row>
    <row r="1369" spans="4:16" x14ac:dyDescent="0.25">
      <c r="D1369" s="2"/>
      <c r="E1369" s="310"/>
      <c r="G1369" s="2"/>
      <c r="H1369" s="310"/>
      <c r="I1369" s="2"/>
      <c r="O1369" s="2"/>
      <c r="P1369" s="2"/>
    </row>
    <row r="1370" spans="4:16" x14ac:dyDescent="0.25">
      <c r="D1370" s="2"/>
      <c r="E1370" s="310"/>
      <c r="G1370" s="2"/>
      <c r="H1370" s="310"/>
      <c r="I1370" s="2"/>
      <c r="O1370" s="2"/>
      <c r="P1370" s="2"/>
    </row>
    <row r="1371" spans="4:16" x14ac:dyDescent="0.25">
      <c r="D1371" s="2"/>
      <c r="E1371" s="310"/>
      <c r="G1371" s="2"/>
      <c r="H1371" s="310"/>
      <c r="I1371" s="2"/>
      <c r="O1371" s="2"/>
      <c r="P1371" s="2"/>
    </row>
    <row r="1372" spans="4:16" x14ac:dyDescent="0.25">
      <c r="D1372" s="2"/>
      <c r="E1372" s="310"/>
      <c r="G1372" s="2"/>
      <c r="H1372" s="310"/>
      <c r="I1372" s="2"/>
      <c r="O1372" s="2"/>
      <c r="P1372" s="2"/>
    </row>
    <row r="1373" spans="4:16" x14ac:dyDescent="0.25">
      <c r="D1373" s="2"/>
      <c r="E1373" s="310"/>
      <c r="G1373" s="2"/>
      <c r="H1373" s="310"/>
      <c r="I1373" s="2"/>
      <c r="O1373" s="2"/>
      <c r="P1373" s="2"/>
    </row>
    <row r="1374" spans="4:16" x14ac:dyDescent="0.25">
      <c r="D1374" s="2"/>
      <c r="E1374" s="310"/>
      <c r="G1374" s="2"/>
      <c r="H1374" s="310"/>
      <c r="I1374" s="2"/>
      <c r="O1374" s="2"/>
      <c r="P1374" s="2"/>
    </row>
    <row r="1375" spans="4:16" x14ac:dyDescent="0.25">
      <c r="D1375" s="2"/>
      <c r="E1375" s="310"/>
      <c r="G1375" s="2"/>
      <c r="H1375" s="310"/>
      <c r="I1375" s="2"/>
      <c r="O1375" s="2"/>
      <c r="P1375" s="2"/>
    </row>
    <row r="1376" spans="4:16" x14ac:dyDescent="0.25">
      <c r="D1376" s="2"/>
      <c r="E1376" s="310"/>
      <c r="G1376" s="2"/>
      <c r="H1376" s="310"/>
      <c r="I1376" s="2"/>
      <c r="O1376" s="2"/>
      <c r="P1376" s="2"/>
    </row>
    <row r="1377" spans="4:16" x14ac:dyDescent="0.25">
      <c r="D1377" s="2"/>
      <c r="E1377" s="310"/>
      <c r="G1377" s="2"/>
      <c r="H1377" s="310"/>
      <c r="I1377" s="2"/>
      <c r="O1377" s="2"/>
      <c r="P1377" s="2"/>
    </row>
    <row r="1378" spans="4:16" x14ac:dyDescent="0.25">
      <c r="D1378" s="2"/>
      <c r="E1378" s="310"/>
      <c r="G1378" s="2"/>
      <c r="H1378" s="310"/>
      <c r="I1378" s="2"/>
      <c r="O1378" s="2"/>
      <c r="P1378" s="2"/>
    </row>
    <row r="1379" spans="4:16" x14ac:dyDescent="0.25">
      <c r="D1379" s="2"/>
      <c r="E1379" s="310"/>
      <c r="G1379" s="2"/>
      <c r="H1379" s="310"/>
      <c r="I1379" s="2"/>
      <c r="O1379" s="2"/>
      <c r="P1379" s="2"/>
    </row>
    <row r="1380" spans="4:16" x14ac:dyDescent="0.25">
      <c r="D1380" s="2"/>
      <c r="E1380" s="310"/>
      <c r="G1380" s="2"/>
      <c r="H1380" s="310"/>
      <c r="I1380" s="2"/>
      <c r="O1380" s="2"/>
      <c r="P1380" s="2"/>
    </row>
    <row r="1381" spans="4:16" x14ac:dyDescent="0.25">
      <c r="D1381" s="2"/>
      <c r="E1381" s="310"/>
      <c r="G1381" s="2"/>
      <c r="H1381" s="310"/>
      <c r="I1381" s="2"/>
      <c r="O1381" s="2"/>
      <c r="P1381" s="2"/>
    </row>
    <row r="1382" spans="4:16" x14ac:dyDescent="0.25">
      <c r="D1382" s="2"/>
      <c r="E1382" s="310"/>
      <c r="G1382" s="2"/>
      <c r="H1382" s="310"/>
      <c r="I1382" s="2"/>
      <c r="O1382" s="2"/>
      <c r="P1382" s="2"/>
    </row>
    <row r="1383" spans="4:16" x14ac:dyDescent="0.25">
      <c r="D1383" s="2"/>
      <c r="E1383" s="310"/>
      <c r="G1383" s="2"/>
      <c r="H1383" s="310"/>
      <c r="I1383" s="2"/>
      <c r="O1383" s="2"/>
      <c r="P1383" s="2"/>
    </row>
    <row r="1384" spans="4:16" x14ac:dyDescent="0.25">
      <c r="D1384" s="2"/>
      <c r="E1384" s="310"/>
      <c r="G1384" s="2"/>
      <c r="H1384" s="310"/>
      <c r="I1384" s="2"/>
      <c r="O1384" s="2"/>
      <c r="P1384" s="2"/>
    </row>
    <row r="1385" spans="4:16" x14ac:dyDescent="0.25">
      <c r="D1385" s="2"/>
      <c r="E1385" s="310"/>
      <c r="G1385" s="2"/>
      <c r="H1385" s="310"/>
      <c r="I1385" s="2"/>
      <c r="O1385" s="2"/>
      <c r="P1385" s="2"/>
    </row>
    <row r="1386" spans="4:16" x14ac:dyDescent="0.25">
      <c r="D1386" s="2"/>
      <c r="E1386" s="310"/>
      <c r="G1386" s="2"/>
      <c r="H1386" s="310"/>
      <c r="I1386" s="2"/>
      <c r="O1386" s="2"/>
      <c r="P1386" s="2"/>
    </row>
    <row r="1387" spans="4:16" x14ac:dyDescent="0.25">
      <c r="D1387" s="2"/>
      <c r="E1387" s="310"/>
      <c r="G1387" s="2"/>
      <c r="H1387" s="310"/>
      <c r="I1387" s="2"/>
      <c r="O1387" s="2"/>
      <c r="P1387" s="2"/>
    </row>
    <row r="1388" spans="4:16" x14ac:dyDescent="0.25">
      <c r="D1388" s="2"/>
      <c r="E1388" s="310"/>
      <c r="G1388" s="2"/>
      <c r="H1388" s="310"/>
      <c r="I1388" s="2"/>
      <c r="O1388" s="2"/>
      <c r="P1388" s="2"/>
    </row>
    <row r="1389" spans="4:16" x14ac:dyDescent="0.25">
      <c r="D1389" s="2"/>
      <c r="E1389" s="310"/>
      <c r="G1389" s="2"/>
      <c r="H1389" s="310"/>
      <c r="I1389" s="2"/>
      <c r="O1389" s="2"/>
      <c r="P1389" s="2"/>
    </row>
    <row r="1390" spans="4:16" x14ac:dyDescent="0.25">
      <c r="D1390" s="2"/>
      <c r="E1390" s="310"/>
      <c r="G1390" s="2"/>
      <c r="H1390" s="310"/>
      <c r="I1390" s="2"/>
      <c r="O1390" s="2"/>
      <c r="P1390" s="2"/>
    </row>
    <row r="1391" spans="4:16" x14ac:dyDescent="0.25">
      <c r="D1391" s="2"/>
      <c r="E1391" s="310"/>
      <c r="G1391" s="2"/>
      <c r="H1391" s="310"/>
      <c r="I1391" s="2"/>
      <c r="O1391" s="2"/>
      <c r="P1391" s="2"/>
    </row>
    <row r="1392" spans="4:16" x14ac:dyDescent="0.25">
      <c r="D1392" s="2"/>
      <c r="E1392" s="310"/>
      <c r="G1392" s="2"/>
      <c r="H1392" s="310"/>
      <c r="I1392" s="2"/>
      <c r="O1392" s="2"/>
      <c r="P1392" s="2"/>
    </row>
    <row r="1393" spans="4:16" x14ac:dyDescent="0.25">
      <c r="D1393" s="2"/>
      <c r="E1393" s="310"/>
      <c r="G1393" s="2"/>
      <c r="H1393" s="310"/>
      <c r="I1393" s="2"/>
      <c r="O1393" s="2"/>
      <c r="P1393" s="2"/>
    </row>
    <row r="1394" spans="4:16" x14ac:dyDescent="0.25">
      <c r="D1394" s="2"/>
      <c r="E1394" s="310"/>
      <c r="G1394" s="2"/>
      <c r="H1394" s="310"/>
      <c r="I1394" s="2"/>
      <c r="O1394" s="2"/>
      <c r="P1394" s="2"/>
    </row>
    <row r="1395" spans="4:16" x14ac:dyDescent="0.25">
      <c r="D1395" s="2"/>
      <c r="E1395" s="310"/>
      <c r="G1395" s="2"/>
      <c r="H1395" s="310"/>
      <c r="I1395" s="2"/>
      <c r="O1395" s="2"/>
      <c r="P1395" s="2"/>
    </row>
    <row r="1396" spans="4:16" x14ac:dyDescent="0.25">
      <c r="D1396" s="2"/>
      <c r="E1396" s="310"/>
      <c r="G1396" s="2"/>
      <c r="H1396" s="310"/>
      <c r="I1396" s="2"/>
      <c r="O1396" s="2"/>
      <c r="P1396" s="2"/>
    </row>
    <row r="1397" spans="4:16" x14ac:dyDescent="0.25">
      <c r="D1397" s="2"/>
      <c r="E1397" s="310"/>
      <c r="G1397" s="2"/>
      <c r="H1397" s="310"/>
      <c r="I1397" s="2"/>
      <c r="O1397" s="2"/>
      <c r="P1397" s="2"/>
    </row>
    <row r="1398" spans="4:16" x14ac:dyDescent="0.25">
      <c r="D1398" s="2"/>
      <c r="E1398" s="310"/>
      <c r="G1398" s="2"/>
      <c r="H1398" s="310"/>
      <c r="I1398" s="2"/>
      <c r="O1398" s="2"/>
      <c r="P1398" s="2"/>
    </row>
    <row r="1399" spans="4:16" x14ac:dyDescent="0.25">
      <c r="D1399" s="2"/>
      <c r="E1399" s="310"/>
      <c r="G1399" s="2"/>
      <c r="H1399" s="310"/>
      <c r="I1399" s="2"/>
      <c r="O1399" s="2"/>
      <c r="P1399" s="2"/>
    </row>
    <row r="1400" spans="4:16" x14ac:dyDescent="0.25">
      <c r="D1400" s="2"/>
      <c r="E1400" s="310"/>
      <c r="G1400" s="2"/>
      <c r="H1400" s="310"/>
      <c r="I1400" s="2"/>
      <c r="O1400" s="2"/>
      <c r="P1400" s="2"/>
    </row>
    <row r="1401" spans="4:16" x14ac:dyDescent="0.25">
      <c r="D1401" s="2"/>
      <c r="E1401" s="310"/>
      <c r="G1401" s="2"/>
      <c r="H1401" s="310"/>
      <c r="I1401" s="2"/>
      <c r="O1401" s="2"/>
      <c r="P1401" s="2"/>
    </row>
    <row r="1402" spans="4:16" x14ac:dyDescent="0.25">
      <c r="D1402" s="2"/>
      <c r="E1402" s="310"/>
      <c r="G1402" s="2"/>
      <c r="H1402" s="310"/>
      <c r="I1402" s="2"/>
      <c r="O1402" s="2"/>
      <c r="P1402" s="2"/>
    </row>
    <row r="1403" spans="4:16" x14ac:dyDescent="0.25">
      <c r="D1403" s="2"/>
      <c r="E1403" s="310"/>
      <c r="G1403" s="2"/>
      <c r="H1403" s="310"/>
      <c r="I1403" s="2"/>
      <c r="O1403" s="2"/>
      <c r="P1403" s="2"/>
    </row>
    <row r="1404" spans="4:16" x14ac:dyDescent="0.25">
      <c r="D1404" s="2"/>
      <c r="E1404" s="310"/>
      <c r="G1404" s="2"/>
      <c r="H1404" s="310"/>
      <c r="I1404" s="2"/>
      <c r="O1404" s="2"/>
      <c r="P1404" s="2"/>
    </row>
    <row r="1405" spans="4:16" x14ac:dyDescent="0.25">
      <c r="D1405" s="2"/>
      <c r="E1405" s="310"/>
      <c r="G1405" s="2"/>
      <c r="H1405" s="310"/>
      <c r="I1405" s="2"/>
      <c r="O1405" s="2"/>
      <c r="P1405" s="2"/>
    </row>
    <row r="1406" spans="4:16" x14ac:dyDescent="0.25">
      <c r="D1406" s="2"/>
      <c r="E1406" s="310"/>
      <c r="G1406" s="2"/>
      <c r="H1406" s="310"/>
      <c r="I1406" s="2"/>
      <c r="O1406" s="2"/>
      <c r="P1406" s="2"/>
    </row>
    <row r="1407" spans="4:16" x14ac:dyDescent="0.25">
      <c r="D1407" s="2"/>
      <c r="E1407" s="310"/>
      <c r="G1407" s="2"/>
      <c r="H1407" s="310"/>
      <c r="I1407" s="2"/>
      <c r="O1407" s="2"/>
      <c r="P1407" s="2"/>
    </row>
    <row r="1408" spans="4:16" x14ac:dyDescent="0.25">
      <c r="D1408" s="2"/>
      <c r="E1408" s="310"/>
      <c r="G1408" s="2"/>
      <c r="H1408" s="310"/>
      <c r="I1408" s="2"/>
      <c r="O1408" s="2"/>
      <c r="P1408" s="2"/>
    </row>
    <row r="1409" spans="4:16" x14ac:dyDescent="0.25">
      <c r="D1409" s="2"/>
      <c r="E1409" s="310"/>
      <c r="G1409" s="2"/>
      <c r="H1409" s="310"/>
      <c r="I1409" s="2"/>
      <c r="O1409" s="2"/>
      <c r="P1409" s="2"/>
    </row>
    <row r="1410" spans="4:16" x14ac:dyDescent="0.25">
      <c r="D1410" s="2"/>
      <c r="E1410" s="310"/>
      <c r="G1410" s="2"/>
      <c r="H1410" s="310"/>
      <c r="I1410" s="2"/>
      <c r="O1410" s="2"/>
      <c r="P1410" s="2"/>
    </row>
    <row r="1411" spans="4:16" x14ac:dyDescent="0.25">
      <c r="D1411" s="2"/>
      <c r="E1411" s="310"/>
      <c r="G1411" s="2"/>
      <c r="H1411" s="310"/>
      <c r="I1411" s="2"/>
      <c r="O1411" s="2"/>
      <c r="P1411" s="2"/>
    </row>
    <row r="1412" spans="4:16" x14ac:dyDescent="0.25">
      <c r="D1412" s="2"/>
      <c r="E1412" s="310"/>
      <c r="G1412" s="2"/>
      <c r="H1412" s="310"/>
      <c r="I1412" s="2"/>
      <c r="O1412" s="2"/>
      <c r="P1412" s="2"/>
    </row>
    <row r="1413" spans="4:16" x14ac:dyDescent="0.25">
      <c r="D1413" s="2"/>
      <c r="E1413" s="310"/>
      <c r="G1413" s="2"/>
      <c r="H1413" s="310"/>
      <c r="I1413" s="2"/>
      <c r="O1413" s="2"/>
      <c r="P1413" s="2"/>
    </row>
    <row r="1414" spans="4:16" x14ac:dyDescent="0.25">
      <c r="D1414" s="2"/>
      <c r="E1414" s="310"/>
      <c r="G1414" s="2"/>
      <c r="H1414" s="310"/>
      <c r="I1414" s="2"/>
      <c r="O1414" s="2"/>
      <c r="P1414" s="2"/>
    </row>
    <row r="1415" spans="4:16" x14ac:dyDescent="0.25">
      <c r="D1415" s="2"/>
      <c r="E1415" s="310"/>
      <c r="G1415" s="2"/>
      <c r="H1415" s="310"/>
      <c r="I1415" s="2"/>
      <c r="O1415" s="2"/>
      <c r="P1415" s="2"/>
    </row>
    <row r="1416" spans="4:16" x14ac:dyDescent="0.25">
      <c r="D1416" s="2"/>
      <c r="E1416" s="310"/>
      <c r="G1416" s="2"/>
      <c r="H1416" s="310"/>
      <c r="I1416" s="2"/>
      <c r="O1416" s="2"/>
      <c r="P1416" s="2"/>
    </row>
    <row r="1417" spans="4:16" x14ac:dyDescent="0.25">
      <c r="D1417" s="2"/>
      <c r="E1417" s="310"/>
      <c r="G1417" s="2"/>
      <c r="H1417" s="310"/>
      <c r="I1417" s="2"/>
      <c r="O1417" s="2"/>
      <c r="P1417" s="2"/>
    </row>
    <row r="1418" spans="4:16" x14ac:dyDescent="0.25">
      <c r="D1418" s="2"/>
      <c r="E1418" s="310"/>
      <c r="G1418" s="2"/>
      <c r="H1418" s="310"/>
      <c r="I1418" s="2"/>
      <c r="O1418" s="2"/>
      <c r="P1418" s="2"/>
    </row>
    <row r="1419" spans="4:16" x14ac:dyDescent="0.25">
      <c r="D1419" s="2"/>
      <c r="E1419" s="310"/>
      <c r="G1419" s="2"/>
      <c r="H1419" s="310"/>
      <c r="I1419" s="2"/>
      <c r="O1419" s="2"/>
      <c r="P1419" s="2"/>
    </row>
    <row r="1420" spans="4:16" x14ac:dyDescent="0.25">
      <c r="D1420" s="2"/>
      <c r="E1420" s="310"/>
      <c r="G1420" s="2"/>
      <c r="H1420" s="310"/>
      <c r="I1420" s="2"/>
      <c r="O1420" s="2"/>
      <c r="P1420" s="2"/>
    </row>
    <row r="1421" spans="4:16" x14ac:dyDescent="0.25">
      <c r="D1421" s="2"/>
      <c r="E1421" s="310"/>
      <c r="G1421" s="2"/>
      <c r="H1421" s="310"/>
      <c r="I1421" s="2"/>
      <c r="O1421" s="2"/>
      <c r="P1421" s="2"/>
    </row>
    <row r="1422" spans="4:16" x14ac:dyDescent="0.25">
      <c r="D1422" s="2"/>
      <c r="E1422" s="310"/>
      <c r="G1422" s="2"/>
      <c r="H1422" s="310"/>
      <c r="I1422" s="2"/>
      <c r="O1422" s="2"/>
      <c r="P1422" s="2"/>
    </row>
    <row r="1423" spans="4:16" x14ac:dyDescent="0.25">
      <c r="D1423" s="2"/>
      <c r="E1423" s="310"/>
      <c r="G1423" s="2"/>
      <c r="H1423" s="310"/>
      <c r="I1423" s="2"/>
      <c r="O1423" s="2"/>
      <c r="P1423" s="2"/>
    </row>
    <row r="1424" spans="4:16" x14ac:dyDescent="0.25">
      <c r="D1424" s="2"/>
      <c r="E1424" s="310"/>
      <c r="G1424" s="2"/>
      <c r="H1424" s="310"/>
      <c r="I1424" s="2"/>
      <c r="O1424" s="2"/>
      <c r="P1424" s="2"/>
    </row>
    <row r="1425" spans="4:16" x14ac:dyDescent="0.25">
      <c r="D1425" s="2"/>
      <c r="E1425" s="310"/>
      <c r="G1425" s="2"/>
      <c r="H1425" s="310"/>
      <c r="I1425" s="2"/>
      <c r="O1425" s="2"/>
      <c r="P1425" s="2"/>
    </row>
    <row r="1426" spans="4:16" x14ac:dyDescent="0.25">
      <c r="D1426" s="2"/>
      <c r="E1426" s="310"/>
      <c r="G1426" s="2"/>
      <c r="H1426" s="310"/>
      <c r="I1426" s="2"/>
      <c r="O1426" s="2"/>
      <c r="P1426" s="2"/>
    </row>
    <row r="1427" spans="4:16" x14ac:dyDescent="0.25">
      <c r="D1427" s="2"/>
      <c r="E1427" s="310"/>
      <c r="G1427" s="2"/>
      <c r="H1427" s="310"/>
      <c r="I1427" s="2"/>
      <c r="O1427" s="2"/>
      <c r="P1427" s="2"/>
    </row>
    <row r="1428" spans="4:16" x14ac:dyDescent="0.25">
      <c r="D1428" s="2"/>
      <c r="E1428" s="310"/>
      <c r="G1428" s="2"/>
      <c r="H1428" s="310"/>
      <c r="I1428" s="2"/>
      <c r="O1428" s="2"/>
      <c r="P1428" s="2"/>
    </row>
    <row r="1429" spans="4:16" x14ac:dyDescent="0.25">
      <c r="D1429" s="2"/>
      <c r="E1429" s="310"/>
      <c r="G1429" s="2"/>
      <c r="H1429" s="310"/>
      <c r="I1429" s="2"/>
      <c r="O1429" s="2"/>
      <c r="P1429" s="2"/>
    </row>
    <row r="1430" spans="4:16" x14ac:dyDescent="0.25">
      <c r="D1430" s="2"/>
      <c r="E1430" s="310"/>
      <c r="G1430" s="2"/>
      <c r="H1430" s="310"/>
      <c r="I1430" s="2"/>
      <c r="O1430" s="2"/>
      <c r="P1430" s="2"/>
    </row>
    <row r="1431" spans="4:16" x14ac:dyDescent="0.25">
      <c r="D1431" s="2"/>
      <c r="E1431" s="310"/>
      <c r="G1431" s="2"/>
      <c r="H1431" s="310"/>
      <c r="I1431" s="2"/>
      <c r="O1431" s="2"/>
      <c r="P1431" s="2"/>
    </row>
    <row r="1432" spans="4:16" x14ac:dyDescent="0.25">
      <c r="D1432" s="2"/>
      <c r="E1432" s="310"/>
      <c r="G1432" s="2"/>
      <c r="H1432" s="310"/>
      <c r="I1432" s="2"/>
      <c r="O1432" s="2"/>
      <c r="P1432" s="2"/>
    </row>
    <row r="1433" spans="4:16" x14ac:dyDescent="0.25">
      <c r="D1433" s="2"/>
      <c r="E1433" s="310"/>
      <c r="G1433" s="2"/>
      <c r="H1433" s="310"/>
      <c r="I1433" s="2"/>
      <c r="O1433" s="2"/>
      <c r="P1433" s="2"/>
    </row>
    <row r="1434" spans="4:16" x14ac:dyDescent="0.25">
      <c r="D1434" s="2"/>
      <c r="E1434" s="310"/>
      <c r="G1434" s="2"/>
      <c r="H1434" s="310"/>
      <c r="I1434" s="2"/>
      <c r="O1434" s="2"/>
      <c r="P1434" s="2"/>
    </row>
    <row r="1435" spans="4:16" x14ac:dyDescent="0.25">
      <c r="D1435" s="2"/>
      <c r="E1435" s="310"/>
      <c r="G1435" s="2"/>
      <c r="H1435" s="310"/>
      <c r="I1435" s="2"/>
      <c r="O1435" s="2"/>
      <c r="P1435" s="2"/>
    </row>
    <row r="1436" spans="4:16" x14ac:dyDescent="0.25">
      <c r="D1436" s="2"/>
      <c r="E1436" s="310"/>
      <c r="G1436" s="2"/>
      <c r="H1436" s="310"/>
      <c r="I1436" s="2"/>
      <c r="O1436" s="2"/>
      <c r="P1436" s="2"/>
    </row>
    <row r="1437" spans="4:16" x14ac:dyDescent="0.25">
      <c r="D1437" s="2"/>
      <c r="E1437" s="310"/>
      <c r="G1437" s="2"/>
      <c r="H1437" s="310"/>
      <c r="I1437" s="2"/>
      <c r="O1437" s="2"/>
      <c r="P1437" s="2"/>
    </row>
    <row r="1438" spans="4:16" x14ac:dyDescent="0.25">
      <c r="D1438" s="2"/>
      <c r="E1438" s="310"/>
      <c r="G1438" s="2"/>
      <c r="H1438" s="310"/>
      <c r="I1438" s="2"/>
      <c r="O1438" s="2"/>
      <c r="P1438" s="2"/>
    </row>
    <row r="1439" spans="4:16" x14ac:dyDescent="0.25">
      <c r="D1439" s="2"/>
      <c r="E1439" s="310"/>
      <c r="G1439" s="2"/>
      <c r="H1439" s="310"/>
      <c r="I1439" s="2"/>
      <c r="O1439" s="2"/>
      <c r="P1439" s="2"/>
    </row>
    <row r="1440" spans="4:16" x14ac:dyDescent="0.25">
      <c r="D1440" s="2"/>
      <c r="E1440" s="310"/>
      <c r="G1440" s="2"/>
      <c r="H1440" s="310"/>
      <c r="I1440" s="2"/>
      <c r="O1440" s="2"/>
      <c r="P1440" s="2"/>
    </row>
    <row r="1441" spans="4:16" x14ac:dyDescent="0.25">
      <c r="D1441" s="2"/>
      <c r="E1441" s="310"/>
      <c r="G1441" s="2"/>
      <c r="H1441" s="310"/>
      <c r="I1441" s="2"/>
      <c r="O1441" s="2"/>
      <c r="P1441" s="2"/>
    </row>
    <row r="1442" spans="4:16" x14ac:dyDescent="0.25">
      <c r="D1442" s="2"/>
      <c r="E1442" s="310"/>
      <c r="G1442" s="2"/>
      <c r="H1442" s="310"/>
      <c r="I1442" s="2"/>
      <c r="O1442" s="2"/>
      <c r="P1442" s="2"/>
    </row>
    <row r="1443" spans="4:16" x14ac:dyDescent="0.25">
      <c r="D1443" s="2"/>
      <c r="E1443" s="310"/>
      <c r="G1443" s="2"/>
      <c r="H1443" s="310"/>
      <c r="I1443" s="2"/>
      <c r="O1443" s="2"/>
      <c r="P1443" s="2"/>
    </row>
    <row r="1444" spans="4:16" x14ac:dyDescent="0.25">
      <c r="D1444" s="2"/>
      <c r="E1444" s="310"/>
      <c r="G1444" s="2"/>
      <c r="H1444" s="310"/>
      <c r="I1444" s="2"/>
      <c r="O1444" s="2"/>
      <c r="P1444" s="2"/>
    </row>
    <row r="1445" spans="4:16" x14ac:dyDescent="0.25">
      <c r="D1445" s="2"/>
      <c r="E1445" s="310"/>
      <c r="G1445" s="2"/>
      <c r="H1445" s="310"/>
      <c r="I1445" s="2"/>
      <c r="O1445" s="2"/>
      <c r="P1445" s="2"/>
    </row>
    <row r="1446" spans="4:16" x14ac:dyDescent="0.25">
      <c r="D1446" s="2"/>
      <c r="E1446" s="310"/>
      <c r="G1446" s="2"/>
      <c r="H1446" s="310"/>
      <c r="I1446" s="2"/>
      <c r="O1446" s="2"/>
      <c r="P1446" s="2"/>
    </row>
    <row r="1447" spans="4:16" x14ac:dyDescent="0.25">
      <c r="D1447" s="2"/>
      <c r="E1447" s="310"/>
      <c r="G1447" s="2"/>
      <c r="H1447" s="310"/>
      <c r="I1447" s="2"/>
      <c r="O1447" s="2"/>
      <c r="P1447" s="2"/>
    </row>
    <row r="1448" spans="4:16" x14ac:dyDescent="0.25">
      <c r="D1448" s="2"/>
      <c r="E1448" s="310"/>
      <c r="G1448" s="2"/>
      <c r="H1448" s="310"/>
      <c r="I1448" s="2"/>
      <c r="O1448" s="2"/>
      <c r="P1448" s="2"/>
    </row>
    <row r="1449" spans="4:16" x14ac:dyDescent="0.25">
      <c r="D1449" s="2"/>
      <c r="E1449" s="310"/>
      <c r="G1449" s="2"/>
      <c r="H1449" s="310"/>
      <c r="I1449" s="2"/>
      <c r="O1449" s="2"/>
      <c r="P1449" s="2"/>
    </row>
    <row r="1450" spans="4:16" x14ac:dyDescent="0.25">
      <c r="D1450" s="2"/>
      <c r="E1450" s="310"/>
      <c r="G1450" s="2"/>
      <c r="H1450" s="310"/>
      <c r="I1450" s="2"/>
      <c r="O1450" s="2"/>
      <c r="P1450" s="2"/>
    </row>
    <row r="1451" spans="4:16" x14ac:dyDescent="0.25">
      <c r="D1451" s="2"/>
      <c r="E1451" s="310"/>
      <c r="G1451" s="2"/>
      <c r="H1451" s="310"/>
      <c r="I1451" s="2"/>
      <c r="O1451" s="2"/>
      <c r="P1451" s="2"/>
    </row>
    <row r="1452" spans="4:16" x14ac:dyDescent="0.25">
      <c r="D1452" s="2"/>
      <c r="E1452" s="310"/>
      <c r="G1452" s="2"/>
      <c r="H1452" s="310"/>
      <c r="I1452" s="2"/>
      <c r="O1452" s="2"/>
      <c r="P1452" s="2"/>
    </row>
    <row r="1453" spans="4:16" x14ac:dyDescent="0.25">
      <c r="D1453" s="2"/>
      <c r="E1453" s="310"/>
      <c r="G1453" s="2"/>
      <c r="H1453" s="310"/>
      <c r="I1453" s="2"/>
      <c r="O1453" s="2"/>
      <c r="P1453" s="2"/>
    </row>
    <row r="1454" spans="4:16" x14ac:dyDescent="0.25">
      <c r="D1454" s="2"/>
      <c r="E1454" s="310"/>
      <c r="G1454" s="2"/>
      <c r="H1454" s="310"/>
      <c r="I1454" s="2"/>
      <c r="O1454" s="2"/>
      <c r="P1454" s="2"/>
    </row>
    <row r="1455" spans="4:16" x14ac:dyDescent="0.25">
      <c r="D1455" s="2"/>
      <c r="E1455" s="310"/>
      <c r="G1455" s="2"/>
      <c r="H1455" s="310"/>
      <c r="I1455" s="2"/>
      <c r="O1455" s="2"/>
      <c r="P1455" s="2"/>
    </row>
    <row r="1456" spans="4:16" x14ac:dyDescent="0.25">
      <c r="D1456" s="2"/>
      <c r="E1456" s="310"/>
      <c r="G1456" s="2"/>
      <c r="H1456" s="310"/>
      <c r="I1456" s="2"/>
      <c r="O1456" s="2"/>
      <c r="P1456" s="2"/>
    </row>
    <row r="1457" spans="4:16" x14ac:dyDescent="0.25">
      <c r="D1457" s="2"/>
      <c r="E1457" s="310"/>
      <c r="G1457" s="2"/>
      <c r="H1457" s="310"/>
      <c r="I1457" s="2"/>
      <c r="O1457" s="2"/>
      <c r="P1457" s="2"/>
    </row>
    <row r="1458" spans="4:16" x14ac:dyDescent="0.25">
      <c r="D1458" s="2"/>
      <c r="E1458" s="310"/>
      <c r="G1458" s="2"/>
      <c r="H1458" s="310"/>
      <c r="I1458" s="2"/>
      <c r="O1458" s="2"/>
      <c r="P1458" s="2"/>
    </row>
    <row r="1459" spans="4:16" x14ac:dyDescent="0.25">
      <c r="D1459" s="2"/>
      <c r="E1459" s="310"/>
      <c r="G1459" s="2"/>
      <c r="H1459" s="310"/>
      <c r="I1459" s="2"/>
      <c r="O1459" s="2"/>
      <c r="P1459" s="2"/>
    </row>
    <row r="1460" spans="4:16" x14ac:dyDescent="0.25">
      <c r="D1460" s="2"/>
      <c r="E1460" s="310"/>
      <c r="G1460" s="2"/>
      <c r="H1460" s="310"/>
      <c r="I1460" s="2"/>
      <c r="O1460" s="2"/>
      <c r="P1460" s="2"/>
    </row>
    <row r="1461" spans="4:16" x14ac:dyDescent="0.25">
      <c r="D1461" s="2"/>
      <c r="E1461" s="310"/>
      <c r="G1461" s="2"/>
      <c r="H1461" s="310"/>
      <c r="I1461" s="2"/>
      <c r="O1461" s="2"/>
      <c r="P1461" s="2"/>
    </row>
    <row r="1462" spans="4:16" x14ac:dyDescent="0.25">
      <c r="D1462" s="2"/>
      <c r="E1462" s="310"/>
      <c r="G1462" s="2"/>
      <c r="H1462" s="310"/>
      <c r="I1462" s="2"/>
      <c r="O1462" s="2"/>
      <c r="P1462" s="2"/>
    </row>
    <row r="1463" spans="4:16" x14ac:dyDescent="0.25">
      <c r="D1463" s="2"/>
      <c r="E1463" s="310"/>
      <c r="G1463" s="2"/>
      <c r="H1463" s="310"/>
      <c r="I1463" s="2"/>
      <c r="O1463" s="2"/>
      <c r="P1463" s="2"/>
    </row>
    <row r="1464" spans="4:16" x14ac:dyDescent="0.25">
      <c r="D1464" s="2"/>
      <c r="E1464" s="310"/>
      <c r="G1464" s="2"/>
      <c r="H1464" s="310"/>
      <c r="I1464" s="2"/>
      <c r="O1464" s="2"/>
      <c r="P1464" s="2"/>
    </row>
    <row r="1465" spans="4:16" x14ac:dyDescent="0.25">
      <c r="D1465" s="2"/>
      <c r="E1465" s="310"/>
      <c r="G1465" s="2"/>
      <c r="H1465" s="310"/>
      <c r="I1465" s="2"/>
      <c r="O1465" s="2"/>
      <c r="P1465" s="2"/>
    </row>
    <row r="1466" spans="4:16" x14ac:dyDescent="0.25">
      <c r="D1466" s="2"/>
      <c r="E1466" s="310"/>
      <c r="G1466" s="2"/>
      <c r="H1466" s="310"/>
      <c r="I1466" s="2"/>
      <c r="O1466" s="2"/>
      <c r="P1466" s="2"/>
    </row>
    <row r="1467" spans="4:16" x14ac:dyDescent="0.25">
      <c r="D1467" s="2"/>
      <c r="E1467" s="310"/>
      <c r="G1467" s="2"/>
      <c r="H1467" s="310"/>
      <c r="I1467" s="2"/>
      <c r="O1467" s="2"/>
      <c r="P1467" s="2"/>
    </row>
    <row r="1468" spans="4:16" x14ac:dyDescent="0.25">
      <c r="D1468" s="2"/>
      <c r="E1468" s="310"/>
      <c r="G1468" s="2"/>
      <c r="H1468" s="310"/>
      <c r="I1468" s="2"/>
      <c r="O1468" s="2"/>
      <c r="P1468" s="2"/>
    </row>
    <row r="1469" spans="4:16" x14ac:dyDescent="0.25">
      <c r="D1469" s="2"/>
      <c r="E1469" s="310"/>
      <c r="G1469" s="2"/>
      <c r="H1469" s="310"/>
      <c r="I1469" s="2"/>
      <c r="O1469" s="2"/>
      <c r="P1469" s="2"/>
    </row>
    <row r="1470" spans="4:16" x14ac:dyDescent="0.25">
      <c r="D1470" s="2"/>
      <c r="E1470" s="310"/>
      <c r="G1470" s="2"/>
      <c r="H1470" s="310"/>
      <c r="I1470" s="2"/>
      <c r="O1470" s="2"/>
      <c r="P1470" s="2"/>
    </row>
    <row r="1471" spans="4:16" x14ac:dyDescent="0.25">
      <c r="D1471" s="2"/>
      <c r="E1471" s="310"/>
      <c r="G1471" s="2"/>
      <c r="H1471" s="310"/>
      <c r="I1471" s="2"/>
      <c r="O1471" s="2"/>
      <c r="P1471" s="2"/>
    </row>
    <row r="1472" spans="4:16" x14ac:dyDescent="0.25">
      <c r="D1472" s="2"/>
      <c r="E1472" s="310"/>
      <c r="G1472" s="2"/>
      <c r="H1472" s="310"/>
      <c r="I1472" s="2"/>
      <c r="O1472" s="2"/>
      <c r="P1472" s="2"/>
    </row>
    <row r="1473" spans="4:16" x14ac:dyDescent="0.25">
      <c r="D1473" s="2"/>
      <c r="E1473" s="310"/>
      <c r="G1473" s="2"/>
      <c r="H1473" s="310"/>
      <c r="I1473" s="2"/>
      <c r="O1473" s="2"/>
      <c r="P1473" s="2"/>
    </row>
    <row r="1474" spans="4:16" x14ac:dyDescent="0.25">
      <c r="D1474" s="2"/>
      <c r="E1474" s="310"/>
      <c r="G1474" s="2"/>
      <c r="H1474" s="310"/>
      <c r="I1474" s="2"/>
      <c r="O1474" s="2"/>
      <c r="P1474" s="2"/>
    </row>
    <row r="1475" spans="4:16" x14ac:dyDescent="0.25">
      <c r="D1475" s="2"/>
      <c r="E1475" s="310"/>
      <c r="G1475" s="2"/>
      <c r="H1475" s="310"/>
      <c r="I1475" s="2"/>
      <c r="O1475" s="2"/>
      <c r="P1475" s="2"/>
    </row>
    <row r="1476" spans="4:16" x14ac:dyDescent="0.25">
      <c r="D1476" s="2"/>
      <c r="E1476" s="310"/>
      <c r="G1476" s="2"/>
      <c r="H1476" s="310"/>
      <c r="I1476" s="2"/>
      <c r="O1476" s="2"/>
      <c r="P1476" s="2"/>
    </row>
    <row r="1477" spans="4:16" x14ac:dyDescent="0.25">
      <c r="D1477" s="2"/>
      <c r="E1477" s="310"/>
      <c r="G1477" s="2"/>
      <c r="H1477" s="310"/>
      <c r="I1477" s="2"/>
      <c r="O1477" s="2"/>
      <c r="P1477" s="2"/>
    </row>
    <row r="1478" spans="4:16" x14ac:dyDescent="0.25">
      <c r="D1478" s="2"/>
      <c r="E1478" s="310"/>
      <c r="G1478" s="2"/>
      <c r="H1478" s="310"/>
      <c r="I1478" s="2"/>
      <c r="O1478" s="2"/>
      <c r="P1478" s="2"/>
    </row>
    <row r="1479" spans="4:16" x14ac:dyDescent="0.25">
      <c r="D1479" s="2"/>
      <c r="E1479" s="310"/>
      <c r="G1479" s="2"/>
      <c r="H1479" s="310"/>
      <c r="I1479" s="2"/>
      <c r="O1479" s="2"/>
      <c r="P1479" s="2"/>
    </row>
    <row r="1480" spans="4:16" x14ac:dyDescent="0.25">
      <c r="D1480" s="2"/>
      <c r="E1480" s="310"/>
      <c r="G1480" s="2"/>
      <c r="H1480" s="310"/>
      <c r="I1480" s="2"/>
      <c r="O1480" s="2"/>
      <c r="P1480" s="2"/>
    </row>
    <row r="1481" spans="4:16" x14ac:dyDescent="0.25">
      <c r="D1481" s="2"/>
      <c r="E1481" s="310"/>
      <c r="G1481" s="2"/>
      <c r="H1481" s="310"/>
      <c r="I1481" s="2"/>
      <c r="O1481" s="2"/>
      <c r="P1481" s="2"/>
    </row>
    <row r="1482" spans="4:16" x14ac:dyDescent="0.25">
      <c r="D1482" s="2"/>
      <c r="E1482" s="310"/>
      <c r="G1482" s="2"/>
      <c r="H1482" s="310"/>
      <c r="I1482" s="2"/>
      <c r="O1482" s="2"/>
      <c r="P1482" s="2"/>
    </row>
    <row r="1483" spans="4:16" x14ac:dyDescent="0.25">
      <c r="D1483" s="2"/>
      <c r="E1483" s="310"/>
      <c r="G1483" s="2"/>
      <c r="H1483" s="310"/>
      <c r="I1483" s="2"/>
      <c r="O1483" s="2"/>
      <c r="P1483" s="2"/>
    </row>
    <row r="1484" spans="4:16" x14ac:dyDescent="0.25">
      <c r="D1484" s="2"/>
      <c r="E1484" s="310"/>
      <c r="G1484" s="2"/>
      <c r="H1484" s="310"/>
      <c r="I1484" s="2"/>
      <c r="O1484" s="2"/>
      <c r="P1484" s="2"/>
    </row>
    <row r="1485" spans="4:16" x14ac:dyDescent="0.25">
      <c r="D1485" s="2"/>
      <c r="E1485" s="310"/>
      <c r="G1485" s="2"/>
      <c r="H1485" s="310"/>
      <c r="I1485" s="2"/>
      <c r="O1485" s="2"/>
      <c r="P1485" s="2"/>
    </row>
    <row r="1486" spans="4:16" x14ac:dyDescent="0.25">
      <c r="D1486" s="2"/>
      <c r="E1486" s="310"/>
      <c r="G1486" s="2"/>
      <c r="H1486" s="310"/>
      <c r="I1486" s="2"/>
      <c r="O1486" s="2"/>
      <c r="P1486" s="2"/>
    </row>
    <row r="1487" spans="4:16" x14ac:dyDescent="0.25">
      <c r="D1487" s="2"/>
      <c r="E1487" s="310"/>
      <c r="G1487" s="2"/>
      <c r="H1487" s="310"/>
      <c r="I1487" s="2"/>
      <c r="O1487" s="2"/>
      <c r="P1487" s="2"/>
    </row>
    <row r="1488" spans="4:16" x14ac:dyDescent="0.25">
      <c r="D1488" s="2"/>
      <c r="E1488" s="310"/>
      <c r="G1488" s="2"/>
      <c r="H1488" s="310"/>
      <c r="I1488" s="2"/>
      <c r="O1488" s="2"/>
      <c r="P1488" s="2"/>
    </row>
    <row r="1489" spans="4:16" x14ac:dyDescent="0.25">
      <c r="D1489" s="2"/>
      <c r="E1489" s="310"/>
      <c r="G1489" s="2"/>
      <c r="H1489" s="310"/>
      <c r="I1489" s="2"/>
      <c r="O1489" s="2"/>
      <c r="P1489" s="2"/>
    </row>
    <row r="1490" spans="4:16" x14ac:dyDescent="0.25">
      <c r="D1490" s="2"/>
      <c r="E1490" s="310"/>
      <c r="G1490" s="2"/>
      <c r="H1490" s="310"/>
      <c r="I1490" s="2"/>
      <c r="O1490" s="2"/>
      <c r="P1490" s="2"/>
    </row>
    <row r="1491" spans="4:16" x14ac:dyDescent="0.25">
      <c r="D1491" s="2"/>
      <c r="E1491" s="310"/>
      <c r="G1491" s="2"/>
      <c r="H1491" s="310"/>
      <c r="I1491" s="2"/>
      <c r="O1491" s="2"/>
      <c r="P1491" s="2"/>
    </row>
    <row r="1492" spans="4:16" x14ac:dyDescent="0.25">
      <c r="D1492" s="2"/>
      <c r="E1492" s="310"/>
      <c r="G1492" s="2"/>
      <c r="H1492" s="310"/>
      <c r="I1492" s="2"/>
      <c r="O1492" s="2"/>
      <c r="P1492" s="2"/>
    </row>
    <row r="1493" spans="4:16" x14ac:dyDescent="0.25">
      <c r="D1493" s="2"/>
      <c r="E1493" s="310"/>
      <c r="G1493" s="2"/>
      <c r="H1493" s="310"/>
      <c r="I1493" s="2"/>
      <c r="O1493" s="2"/>
      <c r="P1493" s="2"/>
    </row>
    <row r="1494" spans="4:16" x14ac:dyDescent="0.25">
      <c r="D1494" s="2"/>
      <c r="E1494" s="310"/>
      <c r="G1494" s="2"/>
      <c r="H1494" s="310"/>
      <c r="I1494" s="2"/>
      <c r="O1494" s="2"/>
      <c r="P1494" s="2"/>
    </row>
    <row r="1495" spans="4:16" x14ac:dyDescent="0.25">
      <c r="D1495" s="2"/>
      <c r="E1495" s="310"/>
      <c r="G1495" s="2"/>
      <c r="H1495" s="310"/>
      <c r="I1495" s="2"/>
      <c r="O1495" s="2"/>
      <c r="P1495" s="2"/>
    </row>
    <row r="1496" spans="4:16" x14ac:dyDescent="0.25">
      <c r="D1496" s="2"/>
      <c r="E1496" s="310"/>
      <c r="G1496" s="2"/>
      <c r="H1496" s="310"/>
      <c r="I1496" s="2"/>
      <c r="O1496" s="2"/>
      <c r="P1496" s="2"/>
    </row>
    <row r="1497" spans="4:16" x14ac:dyDescent="0.25">
      <c r="D1497" s="2"/>
      <c r="E1497" s="310"/>
      <c r="G1497" s="2"/>
      <c r="H1497" s="310"/>
      <c r="I1497" s="2"/>
      <c r="O1497" s="2"/>
      <c r="P1497" s="2"/>
    </row>
    <row r="1498" spans="4:16" x14ac:dyDescent="0.25">
      <c r="D1498" s="2"/>
      <c r="E1498" s="310"/>
      <c r="G1498" s="2"/>
      <c r="H1498" s="310"/>
      <c r="I1498" s="2"/>
      <c r="O1498" s="2"/>
      <c r="P1498" s="2"/>
    </row>
    <row r="1499" spans="4:16" x14ac:dyDescent="0.25">
      <c r="D1499" s="2"/>
      <c r="E1499" s="310"/>
      <c r="G1499" s="2"/>
      <c r="H1499" s="310"/>
      <c r="I1499" s="2"/>
      <c r="O1499" s="2"/>
      <c r="P1499" s="2"/>
    </row>
    <row r="1500" spans="4:16" x14ac:dyDescent="0.25">
      <c r="D1500" s="2"/>
      <c r="E1500" s="310"/>
      <c r="G1500" s="2"/>
      <c r="H1500" s="310"/>
      <c r="I1500" s="2"/>
      <c r="O1500" s="2"/>
      <c r="P1500" s="2"/>
    </row>
    <row r="1501" spans="4:16" x14ac:dyDescent="0.25">
      <c r="D1501" s="2"/>
      <c r="E1501" s="310"/>
      <c r="G1501" s="2"/>
      <c r="H1501" s="310"/>
      <c r="I1501" s="2"/>
      <c r="O1501" s="2"/>
      <c r="P1501" s="2"/>
    </row>
    <row r="1502" spans="4:16" x14ac:dyDescent="0.25">
      <c r="D1502" s="2"/>
      <c r="E1502" s="310"/>
      <c r="G1502" s="2"/>
      <c r="H1502" s="310"/>
      <c r="I1502" s="2"/>
      <c r="O1502" s="2"/>
      <c r="P1502" s="2"/>
    </row>
    <row r="1503" spans="4:16" x14ac:dyDescent="0.25">
      <c r="D1503" s="2"/>
      <c r="E1503" s="310"/>
      <c r="G1503" s="2"/>
      <c r="H1503" s="310"/>
      <c r="I1503" s="2"/>
      <c r="O1503" s="2"/>
      <c r="P1503" s="2"/>
    </row>
    <row r="1504" spans="4:16" x14ac:dyDescent="0.25">
      <c r="D1504" s="2"/>
      <c r="E1504" s="310"/>
      <c r="G1504" s="2"/>
      <c r="H1504" s="310"/>
      <c r="I1504" s="2"/>
      <c r="O1504" s="2"/>
      <c r="P1504" s="2"/>
    </row>
    <row r="1505" spans="4:16" x14ac:dyDescent="0.25">
      <c r="D1505" s="2"/>
      <c r="E1505" s="310"/>
      <c r="G1505" s="2"/>
      <c r="H1505" s="310"/>
      <c r="I1505" s="2"/>
      <c r="O1505" s="2"/>
      <c r="P1505" s="2"/>
    </row>
    <row r="1506" spans="4:16" x14ac:dyDescent="0.25">
      <c r="D1506" s="2"/>
      <c r="E1506" s="310"/>
      <c r="G1506" s="2"/>
      <c r="H1506" s="310"/>
      <c r="I1506" s="2"/>
      <c r="O1506" s="2"/>
      <c r="P1506" s="2"/>
    </row>
    <row r="1507" spans="4:16" x14ac:dyDescent="0.25">
      <c r="D1507" s="2"/>
      <c r="E1507" s="310"/>
      <c r="G1507" s="2"/>
      <c r="H1507" s="310"/>
      <c r="I1507" s="2"/>
      <c r="O1507" s="2"/>
      <c r="P1507" s="2"/>
    </row>
    <row r="1508" spans="4:16" x14ac:dyDescent="0.25">
      <c r="D1508" s="2"/>
      <c r="E1508" s="310"/>
      <c r="G1508" s="2"/>
      <c r="H1508" s="310"/>
      <c r="I1508" s="2"/>
      <c r="O1508" s="2"/>
      <c r="P1508" s="2"/>
    </row>
    <row r="1509" spans="4:16" x14ac:dyDescent="0.25">
      <c r="D1509" s="2"/>
      <c r="E1509" s="310"/>
      <c r="G1509" s="2"/>
      <c r="H1509" s="310"/>
      <c r="I1509" s="2"/>
      <c r="O1509" s="2"/>
      <c r="P1509" s="2"/>
    </row>
    <row r="1510" spans="4:16" x14ac:dyDescent="0.25">
      <c r="D1510" s="2"/>
      <c r="E1510" s="310"/>
      <c r="G1510" s="2"/>
      <c r="H1510" s="310"/>
      <c r="I1510" s="2"/>
      <c r="O1510" s="2"/>
      <c r="P1510" s="2"/>
    </row>
    <row r="1511" spans="4:16" x14ac:dyDescent="0.25">
      <c r="D1511" s="2"/>
      <c r="E1511" s="310"/>
      <c r="G1511" s="2"/>
      <c r="H1511" s="310"/>
      <c r="I1511" s="2"/>
      <c r="O1511" s="2"/>
      <c r="P1511" s="2"/>
    </row>
    <row r="1512" spans="4:16" x14ac:dyDescent="0.25">
      <c r="D1512" s="2"/>
      <c r="E1512" s="310"/>
      <c r="G1512" s="2"/>
      <c r="H1512" s="310"/>
      <c r="I1512" s="2"/>
      <c r="O1512" s="2"/>
      <c r="P1512" s="2"/>
    </row>
    <row r="1513" spans="4:16" x14ac:dyDescent="0.25">
      <c r="D1513" s="2"/>
      <c r="E1513" s="310"/>
      <c r="G1513" s="2"/>
      <c r="H1513" s="310"/>
      <c r="I1513" s="2"/>
      <c r="O1513" s="2"/>
      <c r="P1513" s="2"/>
    </row>
    <row r="1514" spans="4:16" x14ac:dyDescent="0.25">
      <c r="D1514" s="2"/>
      <c r="E1514" s="310"/>
      <c r="G1514" s="2"/>
      <c r="H1514" s="310"/>
      <c r="I1514" s="2"/>
      <c r="O1514" s="2"/>
      <c r="P1514" s="2"/>
    </row>
    <row r="1515" spans="4:16" x14ac:dyDescent="0.25">
      <c r="D1515" s="2"/>
      <c r="E1515" s="310"/>
      <c r="G1515" s="2"/>
      <c r="H1515" s="310"/>
      <c r="I1515" s="2"/>
      <c r="O1515" s="2"/>
      <c r="P1515" s="2"/>
    </row>
    <row r="1516" spans="4:16" x14ac:dyDescent="0.25">
      <c r="D1516" s="2"/>
      <c r="E1516" s="310"/>
      <c r="G1516" s="2"/>
      <c r="H1516" s="310"/>
      <c r="I1516" s="2"/>
      <c r="O1516" s="2"/>
      <c r="P1516" s="2"/>
    </row>
    <row r="1517" spans="4:16" x14ac:dyDescent="0.25">
      <c r="D1517" s="2"/>
      <c r="E1517" s="310"/>
      <c r="G1517" s="2"/>
      <c r="H1517" s="310"/>
      <c r="I1517" s="2"/>
      <c r="O1517" s="2"/>
      <c r="P1517" s="2"/>
    </row>
    <row r="1518" spans="4:16" x14ac:dyDescent="0.25">
      <c r="D1518" s="2"/>
      <c r="E1518" s="310"/>
      <c r="G1518" s="2"/>
      <c r="H1518" s="310"/>
      <c r="I1518" s="2"/>
      <c r="O1518" s="2"/>
      <c r="P1518" s="2"/>
    </row>
    <row r="1519" spans="4:16" x14ac:dyDescent="0.25">
      <c r="D1519" s="2"/>
      <c r="E1519" s="310"/>
      <c r="G1519" s="2"/>
      <c r="H1519" s="310"/>
      <c r="I1519" s="2"/>
      <c r="O1519" s="2"/>
      <c r="P1519" s="2"/>
    </row>
    <row r="1520" spans="4:16" x14ac:dyDescent="0.25">
      <c r="D1520" s="2"/>
      <c r="E1520" s="310"/>
      <c r="G1520" s="2"/>
      <c r="H1520" s="310"/>
      <c r="I1520" s="2"/>
      <c r="O1520" s="2"/>
      <c r="P1520" s="2"/>
    </row>
    <row r="1521" spans="4:16" x14ac:dyDescent="0.25">
      <c r="D1521" s="2"/>
      <c r="E1521" s="310"/>
      <c r="G1521" s="2"/>
      <c r="H1521" s="310"/>
      <c r="I1521" s="2"/>
      <c r="O1521" s="2"/>
      <c r="P1521" s="2"/>
    </row>
    <row r="1522" spans="4:16" x14ac:dyDescent="0.25">
      <c r="D1522" s="2"/>
      <c r="E1522" s="310"/>
      <c r="G1522" s="2"/>
      <c r="H1522" s="310"/>
      <c r="I1522" s="2"/>
      <c r="O1522" s="2"/>
      <c r="P1522" s="2"/>
    </row>
    <row r="1523" spans="4:16" x14ac:dyDescent="0.25">
      <c r="D1523" s="2"/>
      <c r="E1523" s="310"/>
      <c r="G1523" s="2"/>
      <c r="H1523" s="310"/>
      <c r="I1523" s="2"/>
      <c r="O1523" s="2"/>
      <c r="P1523" s="2"/>
    </row>
    <row r="1524" spans="4:16" x14ac:dyDescent="0.25">
      <c r="D1524" s="2"/>
      <c r="E1524" s="310"/>
      <c r="G1524" s="2"/>
      <c r="H1524" s="310"/>
      <c r="I1524" s="2"/>
      <c r="O1524" s="2"/>
      <c r="P1524" s="2"/>
    </row>
    <row r="1525" spans="4:16" x14ac:dyDescent="0.25">
      <c r="D1525" s="2"/>
      <c r="E1525" s="310"/>
      <c r="G1525" s="2"/>
      <c r="H1525" s="310"/>
      <c r="I1525" s="2"/>
      <c r="O1525" s="2"/>
      <c r="P1525" s="2"/>
    </row>
    <row r="1526" spans="4:16" x14ac:dyDescent="0.25">
      <c r="D1526" s="2"/>
      <c r="E1526" s="310"/>
      <c r="G1526" s="2"/>
      <c r="H1526" s="310"/>
      <c r="I1526" s="2"/>
      <c r="O1526" s="2"/>
      <c r="P1526" s="2"/>
    </row>
    <row r="1527" spans="4:16" x14ac:dyDescent="0.25">
      <c r="D1527" s="2"/>
      <c r="E1527" s="310"/>
      <c r="G1527" s="2"/>
      <c r="H1527" s="310"/>
      <c r="I1527" s="2"/>
      <c r="O1527" s="2"/>
      <c r="P1527" s="2"/>
    </row>
    <row r="1528" spans="4:16" x14ac:dyDescent="0.25">
      <c r="D1528" s="2"/>
      <c r="E1528" s="310"/>
      <c r="G1528" s="2"/>
      <c r="H1528" s="310"/>
      <c r="I1528" s="2"/>
      <c r="O1528" s="2"/>
      <c r="P1528" s="2"/>
    </row>
    <row r="1529" spans="4:16" x14ac:dyDescent="0.25">
      <c r="D1529" s="2"/>
      <c r="E1529" s="310"/>
      <c r="G1529" s="2"/>
      <c r="H1529" s="310"/>
      <c r="I1529" s="2"/>
      <c r="O1529" s="2"/>
      <c r="P1529" s="2"/>
    </row>
    <row r="1530" spans="4:16" x14ac:dyDescent="0.25">
      <c r="D1530" s="2"/>
      <c r="E1530" s="310"/>
      <c r="G1530" s="2"/>
      <c r="H1530" s="310"/>
      <c r="I1530" s="2"/>
      <c r="O1530" s="2"/>
      <c r="P1530" s="2"/>
    </row>
    <row r="1531" spans="4:16" x14ac:dyDescent="0.25">
      <c r="D1531" s="2"/>
      <c r="E1531" s="310"/>
      <c r="G1531" s="2"/>
      <c r="H1531" s="310"/>
      <c r="I1531" s="2"/>
      <c r="O1531" s="2"/>
      <c r="P1531" s="2"/>
    </row>
    <row r="1532" spans="4:16" x14ac:dyDescent="0.25">
      <c r="D1532" s="2"/>
      <c r="E1532" s="310"/>
      <c r="G1532" s="2"/>
      <c r="H1532" s="310"/>
      <c r="I1532" s="2"/>
      <c r="O1532" s="2"/>
      <c r="P1532" s="2"/>
    </row>
    <row r="1533" spans="4:16" x14ac:dyDescent="0.25">
      <c r="D1533" s="2"/>
      <c r="E1533" s="310"/>
      <c r="G1533" s="2"/>
      <c r="H1533" s="310"/>
      <c r="I1533" s="2"/>
      <c r="O1533" s="2"/>
      <c r="P1533" s="2"/>
    </row>
    <row r="1534" spans="4:16" x14ac:dyDescent="0.25">
      <c r="D1534" s="2"/>
      <c r="E1534" s="310"/>
      <c r="G1534" s="2"/>
      <c r="H1534" s="310"/>
      <c r="I1534" s="2"/>
      <c r="O1534" s="2"/>
      <c r="P1534" s="2"/>
    </row>
    <row r="1535" spans="4:16" x14ac:dyDescent="0.25">
      <c r="D1535" s="2"/>
      <c r="E1535" s="310"/>
      <c r="G1535" s="2"/>
      <c r="H1535" s="310"/>
      <c r="I1535" s="2"/>
      <c r="O1535" s="2"/>
      <c r="P1535" s="2"/>
    </row>
    <row r="1536" spans="4:16" x14ac:dyDescent="0.25">
      <c r="D1536" s="2"/>
      <c r="E1536" s="310"/>
      <c r="G1536" s="2"/>
      <c r="H1536" s="310"/>
      <c r="I1536" s="2"/>
      <c r="O1536" s="2"/>
      <c r="P1536" s="2"/>
    </row>
    <row r="1537" spans="4:16" x14ac:dyDescent="0.25">
      <c r="D1537" s="2"/>
      <c r="E1537" s="310"/>
      <c r="G1537" s="2"/>
      <c r="H1537" s="310"/>
      <c r="I1537" s="2"/>
      <c r="O1537" s="2"/>
      <c r="P1537" s="2"/>
    </row>
    <row r="1538" spans="4:16" x14ac:dyDescent="0.25">
      <c r="D1538" s="2"/>
      <c r="E1538" s="310"/>
      <c r="G1538" s="2"/>
      <c r="H1538" s="310"/>
      <c r="I1538" s="2"/>
      <c r="O1538" s="2"/>
      <c r="P1538" s="2"/>
    </row>
    <row r="1539" spans="4:16" x14ac:dyDescent="0.25">
      <c r="D1539" s="2"/>
      <c r="E1539" s="310"/>
      <c r="G1539" s="2"/>
      <c r="H1539" s="310"/>
      <c r="I1539" s="2"/>
      <c r="O1539" s="2"/>
      <c r="P1539" s="2"/>
    </row>
    <row r="1540" spans="4:16" x14ac:dyDescent="0.25">
      <c r="D1540" s="2"/>
      <c r="E1540" s="310"/>
      <c r="G1540" s="2"/>
      <c r="H1540" s="310"/>
      <c r="I1540" s="2"/>
      <c r="O1540" s="2"/>
      <c r="P1540" s="2"/>
    </row>
    <row r="1541" spans="4:16" x14ac:dyDescent="0.25">
      <c r="D1541" s="2"/>
      <c r="E1541" s="310"/>
      <c r="G1541" s="2"/>
      <c r="H1541" s="310"/>
      <c r="I1541" s="2"/>
      <c r="O1541" s="2"/>
      <c r="P1541" s="2"/>
    </row>
    <row r="1542" spans="4:16" x14ac:dyDescent="0.25">
      <c r="D1542" s="2"/>
      <c r="E1542" s="310"/>
      <c r="G1542" s="2"/>
      <c r="H1542" s="310"/>
      <c r="I1542" s="2"/>
      <c r="O1542" s="2"/>
      <c r="P1542" s="2"/>
    </row>
    <row r="1543" spans="4:16" x14ac:dyDescent="0.25">
      <c r="D1543" s="2"/>
      <c r="E1543" s="310"/>
      <c r="G1543" s="2"/>
      <c r="H1543" s="310"/>
      <c r="I1543" s="2"/>
      <c r="O1543" s="2"/>
      <c r="P1543" s="2"/>
    </row>
    <row r="1544" spans="4:16" x14ac:dyDescent="0.25">
      <c r="D1544" s="2"/>
      <c r="E1544" s="310"/>
      <c r="G1544" s="2"/>
      <c r="H1544" s="310"/>
      <c r="I1544" s="2"/>
      <c r="O1544" s="2"/>
      <c r="P1544" s="2"/>
    </row>
    <row r="1545" spans="4:16" x14ac:dyDescent="0.25">
      <c r="D1545" s="2"/>
      <c r="E1545" s="310"/>
      <c r="G1545" s="2"/>
      <c r="H1545" s="310"/>
      <c r="I1545" s="2"/>
      <c r="O1545" s="2"/>
      <c r="P1545" s="2"/>
    </row>
    <row r="1546" spans="4:16" x14ac:dyDescent="0.25">
      <c r="D1546" s="2"/>
      <c r="E1546" s="310"/>
      <c r="G1546" s="2"/>
      <c r="H1546" s="310"/>
      <c r="I1546" s="2"/>
      <c r="O1546" s="2"/>
      <c r="P1546" s="2"/>
    </row>
    <row r="1547" spans="4:16" x14ac:dyDescent="0.25">
      <c r="D1547" s="2"/>
      <c r="E1547" s="310"/>
      <c r="G1547" s="2"/>
      <c r="H1547" s="310"/>
      <c r="I1547" s="2"/>
      <c r="O1547" s="2"/>
      <c r="P1547" s="2"/>
    </row>
    <row r="1548" spans="4:16" x14ac:dyDescent="0.25">
      <c r="D1548" s="2"/>
      <c r="E1548" s="310"/>
      <c r="G1548" s="2"/>
      <c r="H1548" s="310"/>
      <c r="I1548" s="2"/>
      <c r="O1548" s="2"/>
      <c r="P1548" s="2"/>
    </row>
    <row r="1549" spans="4:16" x14ac:dyDescent="0.25">
      <c r="D1549" s="2"/>
      <c r="E1549" s="310"/>
      <c r="G1549" s="2"/>
      <c r="H1549" s="310"/>
      <c r="I1549" s="2"/>
      <c r="O1549" s="2"/>
      <c r="P1549" s="2"/>
    </row>
    <row r="1550" spans="4:16" x14ac:dyDescent="0.25">
      <c r="D1550" s="2"/>
      <c r="E1550" s="310"/>
      <c r="G1550" s="2"/>
      <c r="H1550" s="310"/>
      <c r="I1550" s="2"/>
      <c r="O1550" s="2"/>
      <c r="P1550" s="2"/>
    </row>
    <row r="1551" spans="4:16" x14ac:dyDescent="0.25">
      <c r="D1551" s="2"/>
      <c r="E1551" s="310"/>
      <c r="G1551" s="2"/>
      <c r="H1551" s="310"/>
      <c r="I1551" s="2"/>
      <c r="O1551" s="2"/>
      <c r="P1551" s="2"/>
    </row>
    <row r="1552" spans="4:16" x14ac:dyDescent="0.25">
      <c r="D1552" s="2"/>
      <c r="E1552" s="310"/>
      <c r="G1552" s="2"/>
      <c r="H1552" s="310"/>
      <c r="I1552" s="2"/>
      <c r="O1552" s="2"/>
      <c r="P1552" s="2"/>
    </row>
    <row r="1553" spans="4:16" x14ac:dyDescent="0.25">
      <c r="D1553" s="2"/>
      <c r="E1553" s="310"/>
      <c r="G1553" s="2"/>
      <c r="H1553" s="310"/>
      <c r="I1553" s="2"/>
      <c r="O1553" s="2"/>
      <c r="P1553" s="2"/>
    </row>
    <row r="1554" spans="4:16" x14ac:dyDescent="0.25">
      <c r="D1554" s="2"/>
      <c r="E1554" s="310"/>
      <c r="G1554" s="2"/>
      <c r="H1554" s="310"/>
      <c r="I1554" s="2"/>
      <c r="O1554" s="2"/>
      <c r="P1554" s="2"/>
    </row>
    <row r="1555" spans="4:16" x14ac:dyDescent="0.25">
      <c r="D1555" s="2"/>
      <c r="E1555" s="310"/>
      <c r="G1555" s="2"/>
      <c r="H1555" s="310"/>
      <c r="I1555" s="2"/>
      <c r="O1555" s="2"/>
      <c r="P1555" s="2"/>
    </row>
    <row r="1556" spans="4:16" x14ac:dyDescent="0.25">
      <c r="D1556" s="2"/>
      <c r="E1556" s="310"/>
      <c r="G1556" s="2"/>
      <c r="H1556" s="310"/>
      <c r="I1556" s="2"/>
      <c r="O1556" s="2"/>
      <c r="P1556" s="2"/>
    </row>
    <row r="1557" spans="4:16" x14ac:dyDescent="0.25">
      <c r="D1557" s="2"/>
      <c r="E1557" s="310"/>
      <c r="G1557" s="2"/>
      <c r="H1557" s="310"/>
      <c r="I1557" s="2"/>
      <c r="O1557" s="2"/>
      <c r="P1557" s="2"/>
    </row>
    <row r="1558" spans="4:16" x14ac:dyDescent="0.25">
      <c r="D1558" s="2"/>
      <c r="E1558" s="310"/>
      <c r="G1558" s="2"/>
      <c r="H1558" s="310"/>
      <c r="I1558" s="2"/>
      <c r="O1558" s="2"/>
      <c r="P1558" s="2"/>
    </row>
    <row r="1559" spans="4:16" x14ac:dyDescent="0.25">
      <c r="D1559" s="2"/>
      <c r="E1559" s="310"/>
      <c r="G1559" s="2"/>
      <c r="H1559" s="310"/>
      <c r="I1559" s="2"/>
      <c r="O1559" s="2"/>
      <c r="P1559" s="2"/>
    </row>
    <row r="1560" spans="4:16" x14ac:dyDescent="0.25">
      <c r="D1560" s="2"/>
      <c r="E1560" s="310"/>
      <c r="G1560" s="2"/>
      <c r="H1560" s="310"/>
      <c r="I1560" s="2"/>
      <c r="O1560" s="2"/>
      <c r="P1560" s="2"/>
    </row>
    <row r="1561" spans="4:16" x14ac:dyDescent="0.25">
      <c r="D1561" s="2"/>
      <c r="E1561" s="310"/>
      <c r="G1561" s="2"/>
      <c r="H1561" s="310"/>
      <c r="I1561" s="2"/>
      <c r="O1561" s="2"/>
      <c r="P1561" s="2"/>
    </row>
    <row r="1562" spans="4:16" x14ac:dyDescent="0.25">
      <c r="D1562" s="2"/>
      <c r="E1562" s="310"/>
      <c r="G1562" s="2"/>
      <c r="H1562" s="310"/>
      <c r="I1562" s="2"/>
      <c r="O1562" s="2"/>
      <c r="P1562" s="2"/>
    </row>
    <row r="1563" spans="4:16" x14ac:dyDescent="0.25">
      <c r="D1563" s="2"/>
      <c r="E1563" s="310"/>
      <c r="G1563" s="2"/>
      <c r="H1563" s="310"/>
      <c r="I1563" s="2"/>
      <c r="O1563" s="2"/>
      <c r="P1563" s="2"/>
    </row>
    <row r="1564" spans="4:16" x14ac:dyDescent="0.25">
      <c r="D1564" s="2"/>
      <c r="E1564" s="310"/>
      <c r="G1564" s="2"/>
      <c r="H1564" s="310"/>
      <c r="I1564" s="2"/>
      <c r="O1564" s="2"/>
      <c r="P1564" s="2"/>
    </row>
    <row r="1565" spans="4:16" x14ac:dyDescent="0.25">
      <c r="D1565" s="2"/>
      <c r="E1565" s="310"/>
      <c r="G1565" s="2"/>
      <c r="H1565" s="310"/>
      <c r="I1565" s="2"/>
      <c r="O1565" s="2"/>
      <c r="P1565" s="2"/>
    </row>
    <row r="1566" spans="4:16" x14ac:dyDescent="0.25">
      <c r="D1566" s="2"/>
      <c r="E1566" s="310"/>
      <c r="G1566" s="2"/>
      <c r="H1566" s="310"/>
      <c r="I1566" s="2"/>
      <c r="O1566" s="2"/>
      <c r="P1566" s="2"/>
    </row>
    <row r="1567" spans="4:16" x14ac:dyDescent="0.25">
      <c r="D1567" s="2"/>
      <c r="E1567" s="310"/>
      <c r="G1567" s="2"/>
      <c r="H1567" s="310"/>
      <c r="I1567" s="2"/>
      <c r="O1567" s="2"/>
      <c r="P1567" s="2"/>
    </row>
    <row r="1568" spans="4:16" x14ac:dyDescent="0.25">
      <c r="D1568" s="2"/>
      <c r="E1568" s="310"/>
      <c r="G1568" s="2"/>
      <c r="H1568" s="310"/>
      <c r="I1568" s="2"/>
      <c r="O1568" s="2"/>
      <c r="P1568" s="2"/>
    </row>
    <row r="1569" spans="4:16" x14ac:dyDescent="0.25">
      <c r="D1569" s="2"/>
      <c r="E1569" s="310"/>
      <c r="G1569" s="2"/>
      <c r="H1569" s="310"/>
      <c r="I1569" s="2"/>
      <c r="O1569" s="2"/>
      <c r="P1569" s="2"/>
    </row>
    <row r="1570" spans="4:16" x14ac:dyDescent="0.25">
      <c r="D1570" s="2"/>
      <c r="E1570" s="310"/>
      <c r="G1570" s="2"/>
      <c r="H1570" s="310"/>
      <c r="I1570" s="2"/>
      <c r="O1570" s="2"/>
      <c r="P1570" s="2"/>
    </row>
    <row r="1571" spans="4:16" x14ac:dyDescent="0.25">
      <c r="D1571" s="2"/>
      <c r="E1571" s="310"/>
      <c r="G1571" s="2"/>
      <c r="H1571" s="310"/>
      <c r="I1571" s="2"/>
      <c r="O1571" s="2"/>
      <c r="P1571" s="2"/>
    </row>
    <row r="1572" spans="4:16" x14ac:dyDescent="0.25">
      <c r="D1572" s="2"/>
      <c r="E1572" s="310"/>
      <c r="G1572" s="2"/>
      <c r="H1572" s="310"/>
      <c r="I1572" s="2"/>
      <c r="O1572" s="2"/>
      <c r="P1572" s="2"/>
    </row>
    <row r="1573" spans="4:16" x14ac:dyDescent="0.25">
      <c r="D1573" s="2"/>
      <c r="E1573" s="310"/>
      <c r="G1573" s="2"/>
      <c r="H1573" s="310"/>
      <c r="I1573" s="2"/>
      <c r="O1573" s="2"/>
      <c r="P1573" s="2"/>
    </row>
    <row r="1574" spans="4:16" x14ac:dyDescent="0.25">
      <c r="D1574" s="2"/>
      <c r="E1574" s="310"/>
      <c r="G1574" s="2"/>
      <c r="H1574" s="310"/>
      <c r="I1574" s="2"/>
      <c r="O1574" s="2"/>
      <c r="P1574" s="2"/>
    </row>
    <row r="1575" spans="4:16" x14ac:dyDescent="0.25">
      <c r="D1575" s="2"/>
      <c r="E1575" s="310"/>
      <c r="G1575" s="2"/>
      <c r="H1575" s="310"/>
      <c r="I1575" s="2"/>
      <c r="O1575" s="2"/>
      <c r="P1575" s="2"/>
    </row>
    <row r="1576" spans="4:16" x14ac:dyDescent="0.25">
      <c r="D1576" s="2"/>
      <c r="E1576" s="310"/>
      <c r="G1576" s="2"/>
      <c r="H1576" s="310"/>
      <c r="I1576" s="2"/>
      <c r="O1576" s="2"/>
      <c r="P1576" s="2"/>
    </row>
    <row r="1577" spans="4:16" x14ac:dyDescent="0.25">
      <c r="D1577" s="2"/>
      <c r="E1577" s="310"/>
      <c r="G1577" s="2"/>
      <c r="H1577" s="310"/>
      <c r="I1577" s="2"/>
      <c r="O1577" s="2"/>
      <c r="P1577" s="2"/>
    </row>
    <row r="1578" spans="4:16" x14ac:dyDescent="0.25">
      <c r="D1578" s="2"/>
      <c r="E1578" s="310"/>
      <c r="G1578" s="2"/>
      <c r="H1578" s="310"/>
      <c r="I1578" s="2"/>
      <c r="O1578" s="2"/>
      <c r="P1578" s="2"/>
    </row>
    <row r="1579" spans="4:16" x14ac:dyDescent="0.25">
      <c r="D1579" s="2"/>
      <c r="E1579" s="310"/>
      <c r="G1579" s="2"/>
      <c r="H1579" s="310"/>
      <c r="I1579" s="2"/>
      <c r="O1579" s="2"/>
      <c r="P1579" s="2"/>
    </row>
    <row r="1580" spans="4:16" x14ac:dyDescent="0.25">
      <c r="D1580" s="2"/>
      <c r="E1580" s="310"/>
      <c r="G1580" s="2"/>
      <c r="H1580" s="310"/>
      <c r="I1580" s="2"/>
      <c r="O1580" s="2"/>
      <c r="P1580" s="2"/>
    </row>
    <row r="1581" spans="4:16" x14ac:dyDescent="0.25">
      <c r="D1581" s="2"/>
      <c r="E1581" s="310"/>
      <c r="G1581" s="2"/>
      <c r="H1581" s="310"/>
      <c r="I1581" s="2"/>
      <c r="O1581" s="2"/>
      <c r="P1581" s="2"/>
    </row>
    <row r="1582" spans="4:16" x14ac:dyDescent="0.25">
      <c r="D1582" s="2"/>
      <c r="E1582" s="310"/>
      <c r="G1582" s="2"/>
      <c r="H1582" s="310"/>
      <c r="I1582" s="2"/>
      <c r="O1582" s="2"/>
      <c r="P1582" s="2"/>
    </row>
    <row r="1583" spans="4:16" x14ac:dyDescent="0.25">
      <c r="D1583" s="2"/>
      <c r="E1583" s="310"/>
      <c r="G1583" s="2"/>
      <c r="H1583" s="310"/>
      <c r="I1583" s="2"/>
      <c r="O1583" s="2"/>
      <c r="P1583" s="2"/>
    </row>
    <row r="1584" spans="4:16" x14ac:dyDescent="0.25">
      <c r="D1584" s="2"/>
      <c r="E1584" s="310"/>
      <c r="G1584" s="2"/>
      <c r="H1584" s="310"/>
      <c r="I1584" s="2"/>
      <c r="O1584" s="2"/>
      <c r="P1584" s="2"/>
    </row>
    <row r="1585" spans="4:16" x14ac:dyDescent="0.25">
      <c r="D1585" s="2"/>
      <c r="E1585" s="310"/>
      <c r="G1585" s="2"/>
      <c r="H1585" s="310"/>
      <c r="I1585" s="2"/>
      <c r="O1585" s="2"/>
      <c r="P1585" s="2"/>
    </row>
    <row r="1586" spans="4:16" x14ac:dyDescent="0.25">
      <c r="D1586" s="2"/>
      <c r="E1586" s="310"/>
      <c r="G1586" s="2"/>
      <c r="H1586" s="310"/>
      <c r="I1586" s="2"/>
      <c r="O1586" s="2"/>
      <c r="P1586" s="2"/>
    </row>
    <row r="1587" spans="4:16" x14ac:dyDescent="0.25">
      <c r="D1587" s="2"/>
      <c r="E1587" s="310"/>
      <c r="G1587" s="2"/>
      <c r="H1587" s="310"/>
      <c r="I1587" s="2"/>
      <c r="O1587" s="2"/>
      <c r="P1587" s="2"/>
    </row>
    <row r="1588" spans="4:16" x14ac:dyDescent="0.25">
      <c r="D1588" s="2"/>
      <c r="E1588" s="310"/>
      <c r="G1588" s="2"/>
      <c r="H1588" s="310"/>
      <c r="I1588" s="2"/>
      <c r="O1588" s="2"/>
      <c r="P1588" s="2"/>
    </row>
    <row r="1589" spans="4:16" x14ac:dyDescent="0.25">
      <c r="D1589" s="2"/>
      <c r="E1589" s="310"/>
      <c r="G1589" s="2"/>
      <c r="H1589" s="310"/>
      <c r="I1589" s="2"/>
      <c r="O1589" s="2"/>
      <c r="P1589" s="2"/>
    </row>
    <row r="1590" spans="4:16" x14ac:dyDescent="0.25">
      <c r="D1590" s="2"/>
      <c r="E1590" s="310"/>
      <c r="G1590" s="2"/>
      <c r="H1590" s="310"/>
      <c r="I1590" s="2"/>
      <c r="O1590" s="2"/>
      <c r="P1590" s="2"/>
    </row>
    <row r="1591" spans="4:16" x14ac:dyDescent="0.25">
      <c r="D1591" s="2"/>
      <c r="E1591" s="310"/>
      <c r="G1591" s="2"/>
      <c r="H1591" s="310"/>
      <c r="I1591" s="2"/>
      <c r="O1591" s="2"/>
      <c r="P1591" s="2"/>
    </row>
    <row r="1592" spans="4:16" x14ac:dyDescent="0.25">
      <c r="D1592" s="2"/>
      <c r="E1592" s="310"/>
      <c r="G1592" s="2"/>
      <c r="H1592" s="310"/>
      <c r="I1592" s="2"/>
      <c r="O1592" s="2"/>
      <c r="P1592" s="2"/>
    </row>
    <row r="1593" spans="4:16" x14ac:dyDescent="0.25">
      <c r="D1593" s="2"/>
      <c r="E1593" s="310"/>
      <c r="G1593" s="2"/>
      <c r="H1593" s="310"/>
      <c r="I1593" s="2"/>
      <c r="O1593" s="2"/>
      <c r="P1593" s="2"/>
    </row>
    <row r="1594" spans="4:16" x14ac:dyDescent="0.25">
      <c r="D1594" s="2"/>
      <c r="E1594" s="310"/>
      <c r="G1594" s="2"/>
      <c r="H1594" s="310"/>
      <c r="I1594" s="2"/>
      <c r="O1594" s="2"/>
      <c r="P1594" s="2"/>
    </row>
    <row r="1595" spans="4:16" x14ac:dyDescent="0.25">
      <c r="D1595" s="2"/>
      <c r="E1595" s="310"/>
      <c r="G1595" s="2"/>
      <c r="H1595" s="310"/>
      <c r="I1595" s="2"/>
      <c r="O1595" s="2"/>
      <c r="P1595" s="2"/>
    </row>
    <row r="1596" spans="4:16" x14ac:dyDescent="0.25">
      <c r="D1596" s="2"/>
      <c r="E1596" s="310"/>
      <c r="G1596" s="2"/>
      <c r="H1596" s="310"/>
      <c r="I1596" s="2"/>
      <c r="O1596" s="2"/>
      <c r="P1596" s="2"/>
    </row>
    <row r="1597" spans="4:16" x14ac:dyDescent="0.25">
      <c r="D1597" s="2"/>
      <c r="E1597" s="310"/>
      <c r="G1597" s="2"/>
      <c r="H1597" s="310"/>
      <c r="I1597" s="2"/>
      <c r="O1597" s="2"/>
      <c r="P1597" s="2"/>
    </row>
    <row r="1598" spans="4:16" x14ac:dyDescent="0.25">
      <c r="D1598" s="2"/>
      <c r="E1598" s="310"/>
      <c r="G1598" s="2"/>
      <c r="H1598" s="310"/>
      <c r="I1598" s="2"/>
      <c r="O1598" s="2"/>
      <c r="P1598" s="2"/>
    </row>
    <row r="1599" spans="4:16" x14ac:dyDescent="0.25">
      <c r="D1599" s="2"/>
      <c r="E1599" s="310"/>
      <c r="G1599" s="2"/>
      <c r="H1599" s="310"/>
      <c r="I1599" s="2"/>
      <c r="O1599" s="2"/>
      <c r="P1599" s="2"/>
    </row>
    <row r="1600" spans="4:16" x14ac:dyDescent="0.25">
      <c r="D1600" s="2"/>
      <c r="E1600" s="310"/>
      <c r="G1600" s="2"/>
      <c r="H1600" s="310"/>
      <c r="I1600" s="2"/>
      <c r="O1600" s="2"/>
      <c r="P1600" s="2"/>
    </row>
    <row r="1601" spans="4:16" x14ac:dyDescent="0.25">
      <c r="D1601" s="2"/>
      <c r="E1601" s="310"/>
      <c r="G1601" s="2"/>
      <c r="H1601" s="310"/>
      <c r="I1601" s="2"/>
      <c r="O1601" s="2"/>
      <c r="P1601" s="2"/>
    </row>
    <row r="1602" spans="4:16" x14ac:dyDescent="0.25">
      <c r="D1602" s="2"/>
      <c r="E1602" s="310"/>
      <c r="G1602" s="2"/>
      <c r="H1602" s="310"/>
      <c r="I1602" s="2"/>
      <c r="O1602" s="2"/>
      <c r="P1602" s="2"/>
    </row>
    <row r="1603" spans="4:16" x14ac:dyDescent="0.25">
      <c r="D1603" s="2"/>
      <c r="E1603" s="310"/>
      <c r="G1603" s="2"/>
      <c r="H1603" s="310"/>
      <c r="I1603" s="2"/>
      <c r="O1603" s="2"/>
      <c r="P1603" s="2"/>
    </row>
    <row r="1604" spans="4:16" x14ac:dyDescent="0.25">
      <c r="D1604" s="2"/>
      <c r="E1604" s="310"/>
      <c r="G1604" s="2"/>
      <c r="H1604" s="310"/>
      <c r="I1604" s="2"/>
      <c r="O1604" s="2"/>
      <c r="P1604" s="2"/>
    </row>
    <row r="1605" spans="4:16" x14ac:dyDescent="0.25">
      <c r="D1605" s="2"/>
      <c r="E1605" s="310"/>
      <c r="G1605" s="2"/>
      <c r="H1605" s="310"/>
      <c r="I1605" s="2"/>
      <c r="O1605" s="2"/>
      <c r="P1605" s="2"/>
    </row>
    <row r="1606" spans="4:16" x14ac:dyDescent="0.25">
      <c r="D1606" s="2"/>
      <c r="E1606" s="310"/>
      <c r="G1606" s="2"/>
      <c r="H1606" s="310"/>
      <c r="I1606" s="2"/>
      <c r="O1606" s="2"/>
      <c r="P1606" s="2"/>
    </row>
    <row r="1607" spans="4:16" x14ac:dyDescent="0.25">
      <c r="D1607" s="2"/>
      <c r="E1607" s="310"/>
      <c r="G1607" s="2"/>
      <c r="H1607" s="310"/>
      <c r="I1607" s="2"/>
      <c r="O1607" s="2"/>
      <c r="P1607" s="2"/>
    </row>
    <row r="1608" spans="4:16" x14ac:dyDescent="0.25">
      <c r="D1608" s="2"/>
      <c r="E1608" s="310"/>
      <c r="G1608" s="2"/>
      <c r="H1608" s="310"/>
      <c r="I1608" s="2"/>
      <c r="O1608" s="2"/>
      <c r="P1608" s="2"/>
    </row>
    <row r="1609" spans="4:16" x14ac:dyDescent="0.25">
      <c r="D1609" s="2"/>
      <c r="E1609" s="310"/>
      <c r="G1609" s="2"/>
      <c r="H1609" s="310"/>
      <c r="I1609" s="2"/>
      <c r="O1609" s="2"/>
      <c r="P1609" s="2"/>
    </row>
    <row r="1610" spans="4:16" x14ac:dyDescent="0.25">
      <c r="D1610" s="2"/>
      <c r="E1610" s="310"/>
      <c r="G1610" s="2"/>
      <c r="H1610" s="310"/>
      <c r="I1610" s="2"/>
      <c r="O1610" s="2"/>
      <c r="P1610" s="2"/>
    </row>
    <row r="1611" spans="4:16" x14ac:dyDescent="0.25">
      <c r="D1611" s="2"/>
      <c r="E1611" s="310"/>
      <c r="G1611" s="2"/>
      <c r="H1611" s="310"/>
      <c r="I1611" s="2"/>
      <c r="O1611" s="2"/>
      <c r="P1611" s="2"/>
    </row>
    <row r="1612" spans="4:16" x14ac:dyDescent="0.25">
      <c r="D1612" s="2"/>
      <c r="E1612" s="310"/>
      <c r="G1612" s="2"/>
      <c r="H1612" s="310"/>
      <c r="I1612" s="2"/>
      <c r="O1612" s="2"/>
      <c r="P1612" s="2"/>
    </row>
    <row r="1613" spans="4:16" x14ac:dyDescent="0.25">
      <c r="D1613" s="2"/>
      <c r="E1613" s="310"/>
      <c r="G1613" s="2"/>
      <c r="H1613" s="310"/>
      <c r="I1613" s="2"/>
      <c r="O1613" s="2"/>
      <c r="P1613" s="2"/>
    </row>
    <row r="1614" spans="4:16" x14ac:dyDescent="0.25">
      <c r="D1614" s="2"/>
      <c r="E1614" s="310"/>
      <c r="G1614" s="2"/>
      <c r="H1614" s="310"/>
      <c r="I1614" s="2"/>
      <c r="O1614" s="2"/>
      <c r="P1614" s="2"/>
    </row>
    <row r="1615" spans="4:16" x14ac:dyDescent="0.25">
      <c r="D1615" s="2"/>
      <c r="E1615" s="310"/>
      <c r="G1615" s="2"/>
      <c r="H1615" s="310"/>
      <c r="I1615" s="2"/>
      <c r="O1615" s="2"/>
      <c r="P1615" s="2"/>
    </row>
    <row r="1616" spans="4:16" x14ac:dyDescent="0.25">
      <c r="D1616" s="2"/>
      <c r="E1616" s="310"/>
      <c r="G1616" s="2"/>
      <c r="H1616" s="310"/>
      <c r="I1616" s="2"/>
      <c r="O1616" s="2"/>
      <c r="P1616" s="2"/>
    </row>
    <row r="1617" spans="4:16" x14ac:dyDescent="0.25">
      <c r="D1617" s="2"/>
      <c r="E1617" s="310"/>
      <c r="G1617" s="2"/>
      <c r="H1617" s="310"/>
      <c r="I1617" s="2"/>
      <c r="O1617" s="2"/>
      <c r="P1617" s="2"/>
    </row>
    <row r="1618" spans="4:16" x14ac:dyDescent="0.25">
      <c r="D1618" s="2"/>
      <c r="E1618" s="310"/>
      <c r="G1618" s="2"/>
      <c r="H1618" s="310"/>
      <c r="I1618" s="2"/>
      <c r="O1618" s="2"/>
      <c r="P1618" s="2"/>
    </row>
    <row r="1619" spans="4:16" x14ac:dyDescent="0.25">
      <c r="D1619" s="2"/>
      <c r="E1619" s="310"/>
      <c r="G1619" s="2"/>
      <c r="H1619" s="310"/>
      <c r="I1619" s="2"/>
      <c r="O1619" s="2"/>
      <c r="P1619" s="2"/>
    </row>
    <row r="1620" spans="4:16" x14ac:dyDescent="0.25">
      <c r="D1620" s="2"/>
      <c r="E1620" s="310"/>
      <c r="G1620" s="2"/>
      <c r="H1620" s="310"/>
      <c r="I1620" s="2"/>
      <c r="O1620" s="2"/>
      <c r="P1620" s="2"/>
    </row>
    <row r="1621" spans="4:16" x14ac:dyDescent="0.25">
      <c r="D1621" s="2"/>
      <c r="E1621" s="310"/>
      <c r="G1621" s="2"/>
      <c r="H1621" s="310"/>
      <c r="I1621" s="2"/>
      <c r="O1621" s="2"/>
      <c r="P1621" s="2"/>
    </row>
    <row r="1622" spans="4:16" x14ac:dyDescent="0.25">
      <c r="D1622" s="2"/>
      <c r="E1622" s="310"/>
      <c r="G1622" s="2"/>
      <c r="H1622" s="310"/>
      <c r="I1622" s="2"/>
      <c r="O1622" s="2"/>
      <c r="P1622" s="2"/>
    </row>
    <row r="1623" spans="4:16" x14ac:dyDescent="0.25">
      <c r="D1623" s="2"/>
      <c r="E1623" s="310"/>
      <c r="G1623" s="2"/>
      <c r="H1623" s="310"/>
      <c r="I1623" s="2"/>
      <c r="O1623" s="2"/>
      <c r="P1623" s="2"/>
    </row>
    <row r="1624" spans="4:16" x14ac:dyDescent="0.25">
      <c r="D1624" s="2"/>
      <c r="E1624" s="310"/>
      <c r="G1624" s="2"/>
      <c r="H1624" s="310"/>
      <c r="I1624" s="2"/>
      <c r="O1624" s="2"/>
      <c r="P1624" s="2"/>
    </row>
    <row r="1625" spans="4:16" x14ac:dyDescent="0.25">
      <c r="D1625" s="2"/>
      <c r="E1625" s="310"/>
      <c r="G1625" s="2"/>
      <c r="H1625" s="310"/>
      <c r="I1625" s="2"/>
      <c r="O1625" s="2"/>
      <c r="P1625" s="2"/>
    </row>
    <row r="1626" spans="4:16" x14ac:dyDescent="0.25">
      <c r="D1626" s="2"/>
      <c r="E1626" s="310"/>
      <c r="G1626" s="2"/>
      <c r="H1626" s="310"/>
      <c r="I1626" s="2"/>
      <c r="O1626" s="2"/>
      <c r="P1626" s="2"/>
    </row>
    <row r="1627" spans="4:16" x14ac:dyDescent="0.25">
      <c r="D1627" s="2"/>
      <c r="E1627" s="310"/>
      <c r="G1627" s="2"/>
      <c r="H1627" s="310"/>
      <c r="I1627" s="2"/>
      <c r="O1627" s="2"/>
      <c r="P1627" s="2"/>
    </row>
    <row r="1628" spans="4:16" x14ac:dyDescent="0.25">
      <c r="D1628" s="2"/>
      <c r="E1628" s="310"/>
      <c r="G1628" s="2"/>
      <c r="H1628" s="310"/>
      <c r="I1628" s="2"/>
      <c r="O1628" s="2"/>
      <c r="P1628" s="2"/>
    </row>
    <row r="1629" spans="4:16" x14ac:dyDescent="0.25">
      <c r="D1629" s="2"/>
      <c r="E1629" s="310"/>
      <c r="G1629" s="2"/>
      <c r="H1629" s="310"/>
      <c r="I1629" s="2"/>
      <c r="O1629" s="2"/>
      <c r="P1629" s="2"/>
    </row>
    <row r="1630" spans="4:16" x14ac:dyDescent="0.25">
      <c r="D1630" s="2"/>
      <c r="E1630" s="310"/>
      <c r="G1630" s="2"/>
      <c r="H1630" s="310"/>
      <c r="I1630" s="2"/>
      <c r="O1630" s="2"/>
      <c r="P1630" s="2"/>
    </row>
    <row r="1631" spans="4:16" x14ac:dyDescent="0.25">
      <c r="D1631" s="2"/>
      <c r="E1631" s="310"/>
      <c r="G1631" s="2"/>
      <c r="H1631" s="310"/>
      <c r="I1631" s="2"/>
      <c r="O1631" s="2"/>
      <c r="P1631" s="2"/>
    </row>
    <row r="1632" spans="4:16" x14ac:dyDescent="0.25">
      <c r="D1632" s="2"/>
      <c r="E1632" s="310"/>
      <c r="G1632" s="2"/>
      <c r="H1632" s="310"/>
      <c r="I1632" s="2"/>
      <c r="O1632" s="2"/>
      <c r="P1632" s="2"/>
    </row>
    <row r="1633" spans="4:16" x14ac:dyDescent="0.25">
      <c r="D1633" s="2"/>
      <c r="E1633" s="310"/>
      <c r="G1633" s="2"/>
      <c r="H1633" s="310"/>
      <c r="I1633" s="2"/>
      <c r="O1633" s="2"/>
      <c r="P1633" s="2"/>
    </row>
    <row r="1634" spans="4:16" x14ac:dyDescent="0.25">
      <c r="D1634" s="2"/>
      <c r="E1634" s="310"/>
      <c r="G1634" s="2"/>
      <c r="H1634" s="310"/>
      <c r="I1634" s="2"/>
      <c r="O1634" s="2"/>
      <c r="P1634" s="2"/>
    </row>
    <row r="1635" spans="4:16" x14ac:dyDescent="0.25">
      <c r="D1635" s="2"/>
      <c r="E1635" s="310"/>
      <c r="G1635" s="2"/>
      <c r="H1635" s="310"/>
      <c r="I1635" s="2"/>
      <c r="O1635" s="2"/>
      <c r="P1635" s="2"/>
    </row>
    <row r="1636" spans="4:16" x14ac:dyDescent="0.25">
      <c r="D1636" s="2"/>
      <c r="E1636" s="310"/>
      <c r="G1636" s="2"/>
      <c r="H1636" s="310"/>
      <c r="I1636" s="2"/>
      <c r="O1636" s="2"/>
      <c r="P1636" s="2"/>
    </row>
    <row r="1637" spans="4:16" x14ac:dyDescent="0.25">
      <c r="D1637" s="2"/>
      <c r="E1637" s="310"/>
      <c r="G1637" s="2"/>
      <c r="H1637" s="310"/>
      <c r="I1637" s="2"/>
      <c r="O1637" s="2"/>
      <c r="P1637" s="2"/>
    </row>
    <row r="1638" spans="4:16" x14ac:dyDescent="0.25">
      <c r="D1638" s="2"/>
      <c r="E1638" s="310"/>
      <c r="G1638" s="2"/>
      <c r="H1638" s="310"/>
      <c r="I1638" s="2"/>
      <c r="O1638" s="2"/>
      <c r="P1638" s="2"/>
    </row>
    <row r="1639" spans="4:16" x14ac:dyDescent="0.25">
      <c r="D1639" s="2"/>
      <c r="E1639" s="310"/>
      <c r="G1639" s="2"/>
      <c r="H1639" s="310"/>
      <c r="I1639" s="2"/>
      <c r="O1639" s="2"/>
      <c r="P1639" s="2"/>
    </row>
    <row r="1640" spans="4:16" x14ac:dyDescent="0.25">
      <c r="D1640" s="2"/>
      <c r="E1640" s="310"/>
      <c r="G1640" s="2"/>
      <c r="H1640" s="310"/>
      <c r="I1640" s="2"/>
      <c r="O1640" s="2"/>
      <c r="P1640" s="2"/>
    </row>
    <row r="1641" spans="4:16" x14ac:dyDescent="0.25">
      <c r="D1641" s="2"/>
      <c r="E1641" s="310"/>
      <c r="G1641" s="2"/>
      <c r="H1641" s="310"/>
      <c r="I1641" s="2"/>
      <c r="O1641" s="2"/>
      <c r="P1641" s="2"/>
    </row>
    <row r="1642" spans="4:16" x14ac:dyDescent="0.25">
      <c r="D1642" s="2"/>
      <c r="E1642" s="310"/>
      <c r="G1642" s="2"/>
      <c r="H1642" s="310"/>
      <c r="I1642" s="2"/>
      <c r="O1642" s="2"/>
      <c r="P1642" s="2"/>
    </row>
    <row r="1643" spans="4:16" x14ac:dyDescent="0.25">
      <c r="D1643" s="2"/>
      <c r="E1643" s="310"/>
      <c r="G1643" s="2"/>
      <c r="H1643" s="310"/>
      <c r="I1643" s="2"/>
      <c r="O1643" s="2"/>
      <c r="P1643" s="2"/>
    </row>
    <row r="1644" spans="4:16" x14ac:dyDescent="0.25">
      <c r="D1644" s="2"/>
      <c r="E1644" s="310"/>
      <c r="G1644" s="2"/>
      <c r="H1644" s="310"/>
      <c r="I1644" s="2"/>
      <c r="O1644" s="2"/>
      <c r="P1644" s="2"/>
    </row>
    <row r="1645" spans="4:16" x14ac:dyDescent="0.25">
      <c r="D1645" s="2"/>
      <c r="E1645" s="310"/>
      <c r="G1645" s="2"/>
      <c r="H1645" s="310"/>
      <c r="I1645" s="2"/>
      <c r="O1645" s="2"/>
      <c r="P1645" s="2"/>
    </row>
    <row r="1646" spans="4:16" x14ac:dyDescent="0.25">
      <c r="D1646" s="2"/>
      <c r="E1646" s="310"/>
      <c r="G1646" s="2"/>
      <c r="H1646" s="310"/>
      <c r="I1646" s="2"/>
      <c r="O1646" s="2"/>
      <c r="P1646" s="2"/>
    </row>
    <row r="1647" spans="4:16" x14ac:dyDescent="0.25">
      <c r="D1647" s="2"/>
      <c r="E1647" s="310"/>
      <c r="G1647" s="2"/>
      <c r="H1647" s="310"/>
      <c r="I1647" s="2"/>
      <c r="O1647" s="2"/>
      <c r="P1647" s="2"/>
    </row>
    <row r="1648" spans="4:16" x14ac:dyDescent="0.25">
      <c r="D1648" s="2"/>
      <c r="E1648" s="310"/>
      <c r="G1648" s="2"/>
      <c r="H1648" s="310"/>
      <c r="I1648" s="2"/>
      <c r="O1648" s="2"/>
      <c r="P1648" s="2"/>
    </row>
    <row r="1649" spans="4:16" x14ac:dyDescent="0.25">
      <c r="D1649" s="2"/>
      <c r="E1649" s="310"/>
      <c r="G1649" s="2"/>
      <c r="H1649" s="310"/>
      <c r="I1649" s="2"/>
      <c r="O1649" s="2"/>
      <c r="P1649" s="2"/>
    </row>
    <row r="1650" spans="4:16" x14ac:dyDescent="0.25">
      <c r="D1650" s="2"/>
      <c r="E1650" s="310"/>
      <c r="G1650" s="2"/>
      <c r="H1650" s="310"/>
      <c r="I1650" s="2"/>
      <c r="O1650" s="2"/>
      <c r="P1650" s="2"/>
    </row>
    <row r="1651" spans="4:16" x14ac:dyDescent="0.25">
      <c r="D1651" s="2"/>
      <c r="E1651" s="310"/>
      <c r="G1651" s="2"/>
      <c r="H1651" s="310"/>
      <c r="I1651" s="2"/>
      <c r="O1651" s="2"/>
      <c r="P1651" s="2"/>
    </row>
    <row r="1652" spans="4:16" x14ac:dyDescent="0.25">
      <c r="D1652" s="2"/>
      <c r="E1652" s="310"/>
      <c r="G1652" s="2"/>
      <c r="H1652" s="310"/>
      <c r="I1652" s="2"/>
      <c r="O1652" s="2"/>
      <c r="P1652" s="2"/>
    </row>
    <row r="1653" spans="4:16" x14ac:dyDescent="0.25">
      <c r="D1653" s="2"/>
      <c r="E1653" s="310"/>
      <c r="G1653" s="2"/>
      <c r="H1653" s="310"/>
      <c r="I1653" s="2"/>
      <c r="O1653" s="2"/>
      <c r="P1653" s="2"/>
    </row>
    <row r="1654" spans="4:16" x14ac:dyDescent="0.25">
      <c r="D1654" s="2"/>
      <c r="E1654" s="310"/>
      <c r="G1654" s="2"/>
      <c r="H1654" s="310"/>
      <c r="I1654" s="2"/>
      <c r="O1654" s="2"/>
      <c r="P1654" s="2"/>
    </row>
    <row r="1655" spans="4:16" x14ac:dyDescent="0.25">
      <c r="D1655" s="2"/>
      <c r="E1655" s="310"/>
      <c r="G1655" s="2"/>
      <c r="H1655" s="310"/>
      <c r="I1655" s="2"/>
      <c r="O1655" s="2"/>
      <c r="P1655" s="2"/>
    </row>
    <row r="1656" spans="4:16" x14ac:dyDescent="0.25">
      <c r="D1656" s="2"/>
      <c r="E1656" s="310"/>
      <c r="G1656" s="2"/>
      <c r="H1656" s="310"/>
      <c r="I1656" s="2"/>
      <c r="O1656" s="2"/>
      <c r="P1656" s="2"/>
    </row>
    <row r="1657" spans="4:16" x14ac:dyDescent="0.25">
      <c r="D1657" s="2"/>
      <c r="E1657" s="310"/>
      <c r="G1657" s="2"/>
      <c r="H1657" s="310"/>
      <c r="I1657" s="2"/>
      <c r="O1657" s="2"/>
      <c r="P1657" s="2"/>
    </row>
    <row r="1658" spans="4:16" x14ac:dyDescent="0.25">
      <c r="D1658" s="2"/>
      <c r="E1658" s="310"/>
      <c r="G1658" s="2"/>
      <c r="H1658" s="310"/>
      <c r="I1658" s="2"/>
      <c r="O1658" s="2"/>
      <c r="P1658" s="2"/>
    </row>
    <row r="1659" spans="4:16" x14ac:dyDescent="0.25">
      <c r="D1659" s="2"/>
      <c r="E1659" s="310"/>
      <c r="G1659" s="2"/>
      <c r="H1659" s="310"/>
      <c r="I1659" s="2"/>
      <c r="O1659" s="2"/>
      <c r="P1659" s="2"/>
    </row>
    <row r="1660" spans="4:16" x14ac:dyDescent="0.25">
      <c r="D1660" s="2"/>
      <c r="E1660" s="310"/>
      <c r="G1660" s="2"/>
      <c r="H1660" s="310"/>
      <c r="I1660" s="2"/>
      <c r="O1660" s="2"/>
      <c r="P1660" s="2"/>
    </row>
    <row r="1661" spans="4:16" x14ac:dyDescent="0.25">
      <c r="D1661" s="2"/>
      <c r="E1661" s="310"/>
      <c r="G1661" s="2"/>
      <c r="H1661" s="310"/>
      <c r="I1661" s="2"/>
      <c r="O1661" s="2"/>
      <c r="P1661" s="2"/>
    </row>
    <row r="1662" spans="4:16" x14ac:dyDescent="0.25">
      <c r="D1662" s="2"/>
      <c r="E1662" s="310"/>
      <c r="G1662" s="2"/>
      <c r="H1662" s="310"/>
      <c r="I1662" s="2"/>
      <c r="O1662" s="2"/>
      <c r="P1662" s="2"/>
    </row>
    <row r="1663" spans="4:16" x14ac:dyDescent="0.25">
      <c r="D1663" s="2"/>
      <c r="E1663" s="310"/>
      <c r="G1663" s="2"/>
      <c r="H1663" s="310"/>
      <c r="I1663" s="2"/>
      <c r="O1663" s="2"/>
      <c r="P1663" s="2"/>
    </row>
    <row r="1664" spans="4:16" x14ac:dyDescent="0.25">
      <c r="D1664" s="2"/>
      <c r="E1664" s="310"/>
      <c r="G1664" s="2"/>
      <c r="H1664" s="310"/>
      <c r="I1664" s="2"/>
      <c r="O1664" s="2"/>
      <c r="P1664" s="2"/>
    </row>
    <row r="1665" spans="4:16" x14ac:dyDescent="0.25">
      <c r="D1665" s="2"/>
      <c r="E1665" s="310"/>
      <c r="G1665" s="2"/>
      <c r="H1665" s="310"/>
      <c r="I1665" s="2"/>
      <c r="O1665" s="2"/>
      <c r="P1665" s="2"/>
    </row>
    <row r="1666" spans="4:16" x14ac:dyDescent="0.25">
      <c r="D1666" s="2"/>
      <c r="E1666" s="310"/>
      <c r="G1666" s="2"/>
      <c r="H1666" s="310"/>
      <c r="I1666" s="2"/>
      <c r="O1666" s="2"/>
      <c r="P1666" s="2"/>
    </row>
    <row r="1667" spans="4:16" x14ac:dyDescent="0.25">
      <c r="D1667" s="2"/>
      <c r="E1667" s="310"/>
      <c r="G1667" s="2"/>
      <c r="H1667" s="310"/>
      <c r="I1667" s="2"/>
      <c r="O1667" s="2"/>
      <c r="P1667" s="2"/>
    </row>
    <row r="1668" spans="4:16" x14ac:dyDescent="0.25">
      <c r="D1668" s="2"/>
      <c r="E1668" s="310"/>
      <c r="G1668" s="2"/>
      <c r="H1668" s="310"/>
      <c r="I1668" s="2"/>
      <c r="O1668" s="2"/>
      <c r="P1668" s="2"/>
    </row>
    <row r="1669" spans="4:16" x14ac:dyDescent="0.25">
      <c r="D1669" s="2"/>
      <c r="E1669" s="310"/>
      <c r="G1669" s="2"/>
      <c r="H1669" s="310"/>
      <c r="I1669" s="2"/>
      <c r="O1669" s="2"/>
      <c r="P1669" s="2"/>
    </row>
    <row r="1670" spans="4:16" x14ac:dyDescent="0.25">
      <c r="D1670" s="2"/>
      <c r="E1670" s="310"/>
      <c r="G1670" s="2"/>
      <c r="H1670" s="310"/>
      <c r="I1670" s="2"/>
      <c r="O1670" s="2"/>
      <c r="P1670" s="2"/>
    </row>
    <row r="1671" spans="4:16" x14ac:dyDescent="0.25">
      <c r="D1671" s="2"/>
      <c r="E1671" s="310"/>
      <c r="G1671" s="2"/>
      <c r="H1671" s="310"/>
      <c r="I1671" s="2"/>
      <c r="O1671" s="2"/>
      <c r="P1671" s="2"/>
    </row>
    <row r="1672" spans="4:16" x14ac:dyDescent="0.25">
      <c r="D1672" s="2"/>
      <c r="E1672" s="310"/>
      <c r="G1672" s="2"/>
      <c r="H1672" s="310"/>
      <c r="I1672" s="2"/>
      <c r="O1672" s="2"/>
      <c r="P1672" s="2"/>
    </row>
    <row r="1673" spans="4:16" x14ac:dyDescent="0.25">
      <c r="D1673" s="2"/>
      <c r="E1673" s="310"/>
      <c r="G1673" s="2"/>
      <c r="H1673" s="310"/>
      <c r="I1673" s="2"/>
      <c r="O1673" s="2"/>
      <c r="P1673" s="2"/>
    </row>
    <row r="1674" spans="4:16" x14ac:dyDescent="0.25">
      <c r="D1674" s="2"/>
      <c r="E1674" s="310"/>
      <c r="G1674" s="2"/>
      <c r="H1674" s="310"/>
      <c r="I1674" s="2"/>
      <c r="O1674" s="2"/>
      <c r="P1674" s="2"/>
    </row>
    <row r="1675" spans="4:16" x14ac:dyDescent="0.25">
      <c r="D1675" s="2"/>
      <c r="E1675" s="310"/>
      <c r="G1675" s="2"/>
      <c r="H1675" s="310"/>
      <c r="I1675" s="2"/>
      <c r="O1675" s="2"/>
      <c r="P1675" s="2"/>
    </row>
    <row r="1676" spans="4:16" x14ac:dyDescent="0.25">
      <c r="D1676" s="2"/>
      <c r="E1676" s="310"/>
      <c r="G1676" s="2"/>
      <c r="H1676" s="310"/>
      <c r="I1676" s="2"/>
      <c r="O1676" s="2"/>
      <c r="P1676" s="2"/>
    </row>
    <row r="1677" spans="4:16" x14ac:dyDescent="0.25">
      <c r="D1677" s="2"/>
      <c r="E1677" s="310"/>
      <c r="G1677" s="2"/>
      <c r="H1677" s="310"/>
      <c r="I1677" s="2"/>
      <c r="O1677" s="2"/>
      <c r="P1677" s="2"/>
    </row>
    <row r="1678" spans="4:16" x14ac:dyDescent="0.25">
      <c r="D1678" s="2"/>
      <c r="E1678" s="310"/>
      <c r="G1678" s="2"/>
      <c r="H1678" s="310"/>
      <c r="I1678" s="2"/>
      <c r="O1678" s="2"/>
      <c r="P1678" s="2"/>
    </row>
    <row r="1679" spans="4:16" x14ac:dyDescent="0.25">
      <c r="D1679" s="2"/>
      <c r="E1679" s="310"/>
      <c r="G1679" s="2"/>
      <c r="H1679" s="310"/>
      <c r="I1679" s="2"/>
      <c r="O1679" s="2"/>
      <c r="P1679" s="2"/>
    </row>
    <row r="1680" spans="4:16" x14ac:dyDescent="0.25">
      <c r="D1680" s="2"/>
      <c r="E1680" s="310"/>
      <c r="G1680" s="2"/>
      <c r="H1680" s="310"/>
      <c r="I1680" s="2"/>
      <c r="O1680" s="2"/>
      <c r="P1680" s="2"/>
    </row>
    <row r="1681" spans="4:16" x14ac:dyDescent="0.25">
      <c r="D1681" s="2"/>
      <c r="E1681" s="310"/>
      <c r="G1681" s="2"/>
      <c r="H1681" s="310"/>
      <c r="I1681" s="2"/>
      <c r="O1681" s="2"/>
      <c r="P1681" s="2"/>
    </row>
    <row r="1682" spans="4:16" x14ac:dyDescent="0.25">
      <c r="D1682" s="2"/>
      <c r="E1682" s="310"/>
      <c r="G1682" s="2"/>
      <c r="H1682" s="310"/>
      <c r="I1682" s="2"/>
      <c r="O1682" s="2"/>
      <c r="P1682" s="2"/>
    </row>
    <row r="1683" spans="4:16" x14ac:dyDescent="0.25">
      <c r="D1683" s="2"/>
      <c r="E1683" s="310"/>
      <c r="G1683" s="2"/>
      <c r="H1683" s="310"/>
      <c r="I1683" s="2"/>
      <c r="O1683" s="2"/>
      <c r="P1683" s="2"/>
    </row>
    <row r="1684" spans="4:16" x14ac:dyDescent="0.25">
      <c r="D1684" s="2"/>
      <c r="E1684" s="310"/>
      <c r="G1684" s="2"/>
      <c r="H1684" s="310"/>
      <c r="I1684" s="2"/>
      <c r="O1684" s="2"/>
      <c r="P1684" s="2"/>
    </row>
    <row r="1685" spans="4:16" x14ac:dyDescent="0.25">
      <c r="D1685" s="2"/>
      <c r="E1685" s="310"/>
      <c r="G1685" s="2"/>
      <c r="H1685" s="310"/>
      <c r="I1685" s="2"/>
      <c r="O1685" s="2"/>
      <c r="P1685" s="2"/>
    </row>
    <row r="1686" spans="4:16" x14ac:dyDescent="0.25">
      <c r="D1686" s="2"/>
      <c r="E1686" s="310"/>
      <c r="G1686" s="2"/>
      <c r="H1686" s="310"/>
      <c r="I1686" s="2"/>
      <c r="O1686" s="2"/>
      <c r="P1686" s="2"/>
    </row>
    <row r="1687" spans="4:16" x14ac:dyDescent="0.25">
      <c r="D1687" s="2"/>
      <c r="E1687" s="310"/>
      <c r="G1687" s="2"/>
      <c r="H1687" s="310"/>
      <c r="I1687" s="2"/>
      <c r="O1687" s="2"/>
      <c r="P1687" s="2"/>
    </row>
    <row r="1688" spans="4:16" x14ac:dyDescent="0.25">
      <c r="D1688" s="2"/>
      <c r="E1688" s="310"/>
      <c r="G1688" s="2"/>
      <c r="H1688" s="310"/>
      <c r="I1688" s="2"/>
      <c r="O1688" s="2"/>
      <c r="P1688" s="2"/>
    </row>
    <row r="1689" spans="4:16" x14ac:dyDescent="0.25">
      <c r="D1689" s="2"/>
      <c r="E1689" s="310"/>
      <c r="G1689" s="2"/>
      <c r="H1689" s="310"/>
      <c r="I1689" s="2"/>
      <c r="O1689" s="2"/>
      <c r="P1689" s="2"/>
    </row>
    <row r="1690" spans="4:16" x14ac:dyDescent="0.25">
      <c r="D1690" s="2"/>
      <c r="E1690" s="310"/>
      <c r="G1690" s="2"/>
      <c r="H1690" s="310"/>
      <c r="I1690" s="2"/>
      <c r="O1690" s="2"/>
      <c r="P1690" s="2"/>
    </row>
    <row r="1691" spans="4:16" x14ac:dyDescent="0.25">
      <c r="D1691" s="2"/>
      <c r="E1691" s="310"/>
      <c r="G1691" s="2"/>
      <c r="H1691" s="310"/>
      <c r="I1691" s="2"/>
      <c r="O1691" s="2"/>
      <c r="P1691" s="2"/>
    </row>
    <row r="1692" spans="4:16" x14ac:dyDescent="0.25">
      <c r="D1692" s="2"/>
      <c r="E1692" s="310"/>
      <c r="G1692" s="2"/>
      <c r="H1692" s="310"/>
      <c r="I1692" s="2"/>
      <c r="O1692" s="2"/>
      <c r="P1692" s="2"/>
    </row>
    <row r="1693" spans="4:16" x14ac:dyDescent="0.25">
      <c r="D1693" s="2"/>
      <c r="E1693" s="310"/>
      <c r="G1693" s="2"/>
      <c r="H1693" s="310"/>
      <c r="I1693" s="2"/>
      <c r="O1693" s="2"/>
      <c r="P1693" s="2"/>
    </row>
    <row r="1694" spans="4:16" x14ac:dyDescent="0.25">
      <c r="D1694" s="2"/>
      <c r="E1694" s="310"/>
      <c r="G1694" s="2"/>
      <c r="H1694" s="310"/>
      <c r="I1694" s="2"/>
      <c r="O1694" s="2"/>
      <c r="P1694" s="2"/>
    </row>
    <row r="1695" spans="4:16" x14ac:dyDescent="0.25">
      <c r="D1695" s="2"/>
      <c r="E1695" s="310"/>
      <c r="G1695" s="2"/>
      <c r="H1695" s="310"/>
      <c r="I1695" s="2"/>
      <c r="O1695" s="2"/>
      <c r="P1695" s="2"/>
    </row>
    <row r="1696" spans="4:16" x14ac:dyDescent="0.25">
      <c r="D1696" s="2"/>
      <c r="E1696" s="310"/>
      <c r="G1696" s="2"/>
      <c r="H1696" s="310"/>
      <c r="I1696" s="2"/>
      <c r="O1696" s="2"/>
      <c r="P1696" s="2"/>
    </row>
    <row r="1697" spans="4:16" x14ac:dyDescent="0.25">
      <c r="D1697" s="2"/>
      <c r="E1697" s="310"/>
      <c r="G1697" s="2"/>
      <c r="H1697" s="310"/>
      <c r="I1697" s="2"/>
      <c r="O1697" s="2"/>
      <c r="P1697" s="2"/>
    </row>
    <row r="1698" spans="4:16" x14ac:dyDescent="0.25">
      <c r="D1698" s="2"/>
      <c r="E1698" s="310"/>
      <c r="G1698" s="2"/>
      <c r="H1698" s="310"/>
      <c r="I1698" s="2"/>
      <c r="O1698" s="2"/>
      <c r="P1698" s="2"/>
    </row>
    <row r="1699" spans="4:16" x14ac:dyDescent="0.25">
      <c r="D1699" s="2"/>
      <c r="E1699" s="310"/>
      <c r="G1699" s="2"/>
      <c r="H1699" s="310"/>
      <c r="I1699" s="2"/>
      <c r="O1699" s="2"/>
      <c r="P1699" s="2"/>
    </row>
    <row r="1700" spans="4:16" x14ac:dyDescent="0.25">
      <c r="D1700" s="2"/>
      <c r="E1700" s="310"/>
      <c r="G1700" s="2"/>
      <c r="H1700" s="310"/>
      <c r="I1700" s="2"/>
      <c r="O1700" s="2"/>
      <c r="P1700" s="2"/>
    </row>
    <row r="1701" spans="4:16" x14ac:dyDescent="0.25">
      <c r="D1701" s="2"/>
      <c r="E1701" s="310"/>
      <c r="G1701" s="2"/>
      <c r="H1701" s="310"/>
      <c r="I1701" s="2"/>
      <c r="O1701" s="2"/>
      <c r="P1701" s="2"/>
    </row>
    <row r="1702" spans="4:16" x14ac:dyDescent="0.25">
      <c r="D1702" s="2"/>
      <c r="E1702" s="310"/>
      <c r="G1702" s="2"/>
      <c r="H1702" s="310"/>
      <c r="I1702" s="2"/>
      <c r="O1702" s="2"/>
      <c r="P1702" s="2"/>
    </row>
    <row r="1703" spans="4:16" x14ac:dyDescent="0.25">
      <c r="D1703" s="2"/>
      <c r="E1703" s="310"/>
      <c r="G1703" s="2"/>
      <c r="H1703" s="310"/>
      <c r="I1703" s="2"/>
      <c r="O1703" s="2"/>
      <c r="P1703" s="2"/>
    </row>
    <row r="1704" spans="4:16" x14ac:dyDescent="0.25">
      <c r="D1704" s="2"/>
      <c r="E1704" s="310"/>
      <c r="G1704" s="2"/>
      <c r="H1704" s="310"/>
      <c r="I1704" s="2"/>
      <c r="O1704" s="2"/>
      <c r="P1704" s="2"/>
    </row>
    <row r="1705" spans="4:16" x14ac:dyDescent="0.25">
      <c r="D1705" s="2"/>
      <c r="E1705" s="310"/>
      <c r="G1705" s="2"/>
      <c r="H1705" s="310"/>
      <c r="I1705" s="2"/>
      <c r="O1705" s="2"/>
      <c r="P1705" s="2"/>
    </row>
    <row r="1706" spans="4:16" x14ac:dyDescent="0.25">
      <c r="D1706" s="2"/>
      <c r="E1706" s="310"/>
      <c r="G1706" s="2"/>
      <c r="H1706" s="310"/>
      <c r="I1706" s="2"/>
      <c r="O1706" s="2"/>
      <c r="P1706" s="2"/>
    </row>
    <row r="1707" spans="4:16" x14ac:dyDescent="0.25">
      <c r="D1707" s="2"/>
      <c r="E1707" s="310"/>
      <c r="G1707" s="2"/>
      <c r="H1707" s="310"/>
      <c r="I1707" s="2"/>
      <c r="O1707" s="2"/>
      <c r="P1707" s="2"/>
    </row>
    <row r="1708" spans="4:16" x14ac:dyDescent="0.25">
      <c r="D1708" s="2"/>
      <c r="E1708" s="310"/>
      <c r="G1708" s="2"/>
      <c r="H1708" s="310"/>
      <c r="I1708" s="2"/>
      <c r="O1708" s="2"/>
      <c r="P1708" s="2"/>
    </row>
    <row r="1709" spans="4:16" x14ac:dyDescent="0.25">
      <c r="D1709" s="2"/>
      <c r="E1709" s="310"/>
      <c r="G1709" s="2"/>
      <c r="H1709" s="310"/>
      <c r="I1709" s="2"/>
      <c r="O1709" s="2"/>
      <c r="P1709" s="2"/>
    </row>
    <row r="1710" spans="4:16" x14ac:dyDescent="0.25">
      <c r="D1710" s="2"/>
      <c r="E1710" s="310"/>
      <c r="G1710" s="2"/>
      <c r="H1710" s="310"/>
      <c r="I1710" s="2"/>
      <c r="O1710" s="2"/>
      <c r="P1710" s="2"/>
    </row>
    <row r="1711" spans="4:16" x14ac:dyDescent="0.25">
      <c r="D1711" s="2"/>
      <c r="E1711" s="310"/>
      <c r="G1711" s="2"/>
      <c r="H1711" s="310"/>
      <c r="I1711" s="2"/>
      <c r="O1711" s="2"/>
      <c r="P1711" s="2"/>
    </row>
    <row r="1712" spans="4:16" x14ac:dyDescent="0.25">
      <c r="D1712" s="2"/>
      <c r="E1712" s="310"/>
      <c r="G1712" s="2"/>
      <c r="H1712" s="310"/>
      <c r="I1712" s="2"/>
      <c r="O1712" s="2"/>
      <c r="P1712" s="2"/>
    </row>
    <row r="1713" spans="4:16" x14ac:dyDescent="0.25">
      <c r="D1713" s="2"/>
      <c r="E1713" s="310"/>
      <c r="G1713" s="2"/>
      <c r="H1713" s="310"/>
      <c r="I1713" s="2"/>
      <c r="O1713" s="2"/>
      <c r="P1713" s="2"/>
    </row>
    <row r="1714" spans="4:16" x14ac:dyDescent="0.25">
      <c r="D1714" s="2"/>
      <c r="E1714" s="310"/>
      <c r="G1714" s="2"/>
      <c r="H1714" s="310"/>
      <c r="I1714" s="2"/>
      <c r="O1714" s="2"/>
      <c r="P1714" s="2"/>
    </row>
    <row r="1715" spans="4:16" x14ac:dyDescent="0.25">
      <c r="D1715" s="2"/>
      <c r="E1715" s="310"/>
      <c r="G1715" s="2"/>
      <c r="H1715" s="310"/>
      <c r="I1715" s="2"/>
      <c r="O1715" s="2"/>
      <c r="P1715" s="2"/>
    </row>
    <row r="1716" spans="4:16" x14ac:dyDescent="0.25">
      <c r="D1716" s="2"/>
      <c r="E1716" s="310"/>
      <c r="G1716" s="2"/>
      <c r="H1716" s="310"/>
      <c r="I1716" s="2"/>
      <c r="O1716" s="2"/>
      <c r="P1716" s="2"/>
    </row>
    <row r="1717" spans="4:16" x14ac:dyDescent="0.25">
      <c r="D1717" s="2"/>
      <c r="E1717" s="310"/>
      <c r="G1717" s="2"/>
      <c r="H1717" s="310"/>
      <c r="I1717" s="2"/>
      <c r="O1717" s="2"/>
      <c r="P1717" s="2"/>
    </row>
    <row r="1718" spans="4:16" x14ac:dyDescent="0.25">
      <c r="D1718" s="2"/>
      <c r="E1718" s="310"/>
      <c r="G1718" s="2"/>
      <c r="H1718" s="310"/>
      <c r="I1718" s="2"/>
      <c r="O1718" s="2"/>
      <c r="P1718" s="2"/>
    </row>
    <row r="1719" spans="4:16" x14ac:dyDescent="0.25">
      <c r="D1719" s="2"/>
      <c r="E1719" s="310"/>
      <c r="G1719" s="2"/>
      <c r="H1719" s="310"/>
      <c r="I1719" s="2"/>
      <c r="O1719" s="2"/>
      <c r="P1719" s="2"/>
    </row>
    <row r="1720" spans="4:16" x14ac:dyDescent="0.25">
      <c r="D1720" s="2"/>
      <c r="E1720" s="310"/>
      <c r="G1720" s="2"/>
      <c r="H1720" s="310"/>
      <c r="I1720" s="2"/>
      <c r="O1720" s="2"/>
      <c r="P1720" s="2"/>
    </row>
    <row r="1721" spans="4:16" x14ac:dyDescent="0.25">
      <c r="D1721" s="2"/>
      <c r="E1721" s="310"/>
      <c r="G1721" s="2"/>
      <c r="H1721" s="310"/>
      <c r="I1721" s="2"/>
      <c r="O1721" s="2"/>
      <c r="P1721" s="2"/>
    </row>
    <row r="1722" spans="4:16" x14ac:dyDescent="0.25">
      <c r="D1722" s="2"/>
      <c r="E1722" s="310"/>
      <c r="G1722" s="2"/>
      <c r="H1722" s="310"/>
      <c r="I1722" s="2"/>
      <c r="O1722" s="2"/>
      <c r="P1722" s="2"/>
    </row>
    <row r="1723" spans="4:16" x14ac:dyDescent="0.25">
      <c r="D1723" s="2"/>
      <c r="E1723" s="310"/>
      <c r="G1723" s="2"/>
      <c r="H1723" s="310"/>
      <c r="I1723" s="2"/>
      <c r="O1723" s="2"/>
      <c r="P1723" s="2"/>
    </row>
    <row r="1724" spans="4:16" x14ac:dyDescent="0.25">
      <c r="D1724" s="2"/>
      <c r="E1724" s="310"/>
      <c r="G1724" s="2"/>
      <c r="H1724" s="310"/>
      <c r="I1724" s="2"/>
      <c r="O1724" s="2"/>
      <c r="P1724" s="2"/>
    </row>
    <row r="1725" spans="4:16" x14ac:dyDescent="0.25">
      <c r="D1725" s="2"/>
      <c r="E1725" s="310"/>
      <c r="G1725" s="2"/>
      <c r="H1725" s="310"/>
      <c r="I1725" s="2"/>
      <c r="O1725" s="2"/>
      <c r="P1725" s="2"/>
    </row>
    <row r="1726" spans="4:16" x14ac:dyDescent="0.25">
      <c r="D1726" s="2"/>
      <c r="E1726" s="310"/>
      <c r="G1726" s="2"/>
      <c r="H1726" s="310"/>
      <c r="I1726" s="2"/>
      <c r="O1726" s="2"/>
      <c r="P1726" s="2"/>
    </row>
    <row r="1727" spans="4:16" x14ac:dyDescent="0.25">
      <c r="D1727" s="2"/>
      <c r="E1727" s="310"/>
      <c r="G1727" s="2"/>
      <c r="H1727" s="310"/>
      <c r="I1727" s="2"/>
      <c r="O1727" s="2"/>
      <c r="P1727" s="2"/>
    </row>
    <row r="1728" spans="4:16" x14ac:dyDescent="0.25">
      <c r="D1728" s="2"/>
      <c r="E1728" s="310"/>
      <c r="G1728" s="2"/>
      <c r="H1728" s="310"/>
      <c r="I1728" s="2"/>
      <c r="O1728" s="2"/>
      <c r="P1728" s="2"/>
    </row>
    <row r="1729" spans="4:16" x14ac:dyDescent="0.25">
      <c r="D1729" s="2"/>
      <c r="E1729" s="310"/>
      <c r="G1729" s="2"/>
      <c r="H1729" s="310"/>
      <c r="I1729" s="2"/>
      <c r="O1729" s="2"/>
      <c r="P1729" s="2"/>
    </row>
    <row r="1730" spans="4:16" x14ac:dyDescent="0.25">
      <c r="D1730" s="2"/>
      <c r="E1730" s="310"/>
      <c r="G1730" s="2"/>
      <c r="H1730" s="310"/>
      <c r="I1730" s="2"/>
      <c r="O1730" s="2"/>
      <c r="P1730" s="2"/>
    </row>
    <row r="1731" spans="4:16" x14ac:dyDescent="0.25">
      <c r="D1731" s="2"/>
      <c r="E1731" s="310"/>
      <c r="G1731" s="2"/>
      <c r="H1731" s="310"/>
      <c r="I1731" s="2"/>
      <c r="O1731" s="2"/>
      <c r="P1731" s="2"/>
    </row>
    <row r="1732" spans="4:16" x14ac:dyDescent="0.25">
      <c r="D1732" s="2"/>
      <c r="E1732" s="310"/>
      <c r="G1732" s="2"/>
      <c r="H1732" s="310"/>
      <c r="I1732" s="2"/>
      <c r="O1732" s="2"/>
      <c r="P1732" s="2"/>
    </row>
    <row r="1733" spans="4:16" x14ac:dyDescent="0.25">
      <c r="D1733" s="2"/>
      <c r="E1733" s="310"/>
      <c r="G1733" s="2"/>
      <c r="H1733" s="310"/>
      <c r="I1733" s="2"/>
      <c r="O1733" s="2"/>
      <c r="P1733" s="2"/>
    </row>
    <row r="1734" spans="4:16" x14ac:dyDescent="0.25">
      <c r="D1734" s="2"/>
      <c r="E1734" s="310"/>
      <c r="G1734" s="2"/>
      <c r="H1734" s="310"/>
      <c r="I1734" s="2"/>
      <c r="O1734" s="2"/>
      <c r="P1734" s="2"/>
    </row>
    <row r="1735" spans="4:16" x14ac:dyDescent="0.25">
      <c r="D1735" s="2"/>
      <c r="E1735" s="310"/>
      <c r="G1735" s="2"/>
      <c r="H1735" s="310"/>
      <c r="I1735" s="2"/>
      <c r="O1735" s="2"/>
      <c r="P1735" s="2"/>
    </row>
    <row r="1736" spans="4:16" x14ac:dyDescent="0.25">
      <c r="D1736" s="2"/>
      <c r="E1736" s="310"/>
      <c r="G1736" s="2"/>
      <c r="H1736" s="310"/>
      <c r="I1736" s="2"/>
      <c r="O1736" s="2"/>
      <c r="P1736" s="2"/>
    </row>
    <row r="1737" spans="4:16" x14ac:dyDescent="0.25">
      <c r="D1737" s="2"/>
      <c r="E1737" s="310"/>
      <c r="G1737" s="2"/>
      <c r="H1737" s="310"/>
      <c r="I1737" s="2"/>
      <c r="O1737" s="2"/>
      <c r="P1737" s="2"/>
    </row>
    <row r="1738" spans="4:16" x14ac:dyDescent="0.25">
      <c r="D1738" s="2"/>
      <c r="E1738" s="310"/>
      <c r="G1738" s="2"/>
      <c r="H1738" s="310"/>
      <c r="I1738" s="2"/>
      <c r="O1738" s="2"/>
      <c r="P1738" s="2"/>
    </row>
    <row r="1739" spans="4:16" x14ac:dyDescent="0.25">
      <c r="D1739" s="2"/>
      <c r="E1739" s="310"/>
      <c r="G1739" s="2"/>
      <c r="H1739" s="310"/>
      <c r="I1739" s="2"/>
      <c r="O1739" s="2"/>
      <c r="P1739" s="2"/>
    </row>
    <row r="1740" spans="4:16" x14ac:dyDescent="0.25">
      <c r="D1740" s="2"/>
      <c r="E1740" s="310"/>
      <c r="G1740" s="2"/>
      <c r="H1740" s="310"/>
      <c r="I1740" s="2"/>
      <c r="O1740" s="2"/>
      <c r="P1740" s="2"/>
    </row>
    <row r="1741" spans="4:16" x14ac:dyDescent="0.25">
      <c r="D1741" s="2"/>
      <c r="E1741" s="310"/>
      <c r="G1741" s="2"/>
      <c r="H1741" s="310"/>
      <c r="I1741" s="2"/>
      <c r="O1741" s="2"/>
      <c r="P1741" s="2"/>
    </row>
    <row r="1742" spans="4:16" x14ac:dyDescent="0.25">
      <c r="D1742" s="2"/>
      <c r="E1742" s="310"/>
      <c r="G1742" s="2"/>
      <c r="H1742" s="310"/>
      <c r="I1742" s="2"/>
      <c r="O1742" s="2"/>
      <c r="P1742" s="2"/>
    </row>
    <row r="1743" spans="4:16" x14ac:dyDescent="0.25">
      <c r="D1743" s="2"/>
      <c r="E1743" s="310"/>
      <c r="G1743" s="2"/>
      <c r="H1743" s="310"/>
      <c r="I1743" s="2"/>
      <c r="O1743" s="2"/>
      <c r="P1743" s="2"/>
    </row>
    <row r="1744" spans="4:16" x14ac:dyDescent="0.25">
      <c r="D1744" s="2"/>
      <c r="E1744" s="310"/>
      <c r="G1744" s="2"/>
      <c r="H1744" s="310"/>
      <c r="I1744" s="2"/>
      <c r="O1744" s="2"/>
      <c r="P1744" s="2"/>
    </row>
    <row r="1745" spans="4:16" x14ac:dyDescent="0.25">
      <c r="D1745" s="2"/>
      <c r="E1745" s="310"/>
      <c r="G1745" s="2"/>
      <c r="H1745" s="310"/>
      <c r="I1745" s="2"/>
      <c r="O1745" s="2"/>
      <c r="P1745" s="2"/>
    </row>
    <row r="1746" spans="4:16" x14ac:dyDescent="0.25">
      <c r="D1746" s="2"/>
      <c r="E1746" s="310"/>
      <c r="G1746" s="2"/>
      <c r="H1746" s="310"/>
      <c r="I1746" s="2"/>
      <c r="O1746" s="2"/>
      <c r="P1746" s="2"/>
    </row>
    <row r="1747" spans="4:16" x14ac:dyDescent="0.25">
      <c r="D1747" s="2"/>
      <c r="E1747" s="310"/>
      <c r="G1747" s="2"/>
      <c r="H1747" s="310"/>
      <c r="I1747" s="2"/>
      <c r="O1747" s="2"/>
      <c r="P1747" s="2"/>
    </row>
    <row r="1748" spans="4:16" x14ac:dyDescent="0.25">
      <c r="D1748" s="2"/>
      <c r="E1748" s="310"/>
      <c r="G1748" s="2"/>
      <c r="H1748" s="310"/>
      <c r="I1748" s="2"/>
      <c r="O1748" s="2"/>
      <c r="P1748" s="2"/>
    </row>
    <row r="1749" spans="4:16" x14ac:dyDescent="0.25">
      <c r="D1749" s="2"/>
      <c r="E1749" s="310"/>
      <c r="G1749" s="2"/>
      <c r="H1749" s="310"/>
      <c r="I1749" s="2"/>
      <c r="O1749" s="2"/>
      <c r="P1749" s="2"/>
    </row>
    <row r="1750" spans="4:16" x14ac:dyDescent="0.25">
      <c r="D1750" s="2"/>
      <c r="E1750" s="310"/>
      <c r="G1750" s="2"/>
      <c r="H1750" s="310"/>
      <c r="I1750" s="2"/>
      <c r="O1750" s="2"/>
      <c r="P1750" s="2"/>
    </row>
    <row r="1751" spans="4:16" x14ac:dyDescent="0.25">
      <c r="D1751" s="2"/>
      <c r="E1751" s="310"/>
      <c r="G1751" s="2"/>
      <c r="H1751" s="310"/>
      <c r="I1751" s="2"/>
      <c r="O1751" s="2"/>
      <c r="P1751" s="2"/>
    </row>
    <row r="1752" spans="4:16" x14ac:dyDescent="0.25">
      <c r="D1752" s="2"/>
      <c r="E1752" s="310"/>
      <c r="G1752" s="2"/>
      <c r="H1752" s="310"/>
      <c r="I1752" s="2"/>
      <c r="O1752" s="2"/>
      <c r="P1752" s="2"/>
    </row>
    <row r="1753" spans="4:16" x14ac:dyDescent="0.25">
      <c r="D1753" s="2"/>
      <c r="E1753" s="310"/>
      <c r="G1753" s="2"/>
      <c r="H1753" s="310"/>
      <c r="I1753" s="2"/>
      <c r="O1753" s="2"/>
      <c r="P1753" s="2"/>
    </row>
    <row r="1754" spans="4:16" x14ac:dyDescent="0.25">
      <c r="D1754" s="2"/>
      <c r="E1754" s="310"/>
      <c r="G1754" s="2"/>
      <c r="H1754" s="310"/>
      <c r="I1754" s="2"/>
      <c r="O1754" s="2"/>
      <c r="P1754" s="2"/>
    </row>
    <row r="1755" spans="4:16" x14ac:dyDescent="0.25">
      <c r="D1755" s="2"/>
      <c r="E1755" s="310"/>
      <c r="G1755" s="2"/>
      <c r="H1755" s="310"/>
      <c r="I1755" s="2"/>
      <c r="O1755" s="2"/>
      <c r="P1755" s="2"/>
    </row>
    <row r="1756" spans="4:16" x14ac:dyDescent="0.25">
      <c r="D1756" s="2"/>
      <c r="E1756" s="310"/>
      <c r="G1756" s="2"/>
      <c r="H1756" s="310"/>
      <c r="I1756" s="2"/>
      <c r="O1756" s="2"/>
      <c r="P1756" s="2"/>
    </row>
    <row r="1757" spans="4:16" x14ac:dyDescent="0.25">
      <c r="D1757" s="2"/>
      <c r="E1757" s="310"/>
      <c r="G1757" s="2"/>
      <c r="H1757" s="310"/>
      <c r="I1757" s="2"/>
      <c r="O1757" s="2"/>
      <c r="P1757" s="2"/>
    </row>
    <row r="1758" spans="4:16" x14ac:dyDescent="0.25">
      <c r="D1758" s="2"/>
      <c r="E1758" s="310"/>
      <c r="G1758" s="2"/>
      <c r="H1758" s="310"/>
      <c r="I1758" s="2"/>
      <c r="O1758" s="2"/>
      <c r="P1758" s="2"/>
    </row>
    <row r="1759" spans="4:16" x14ac:dyDescent="0.25">
      <c r="D1759" s="2"/>
      <c r="E1759" s="310"/>
      <c r="G1759" s="2"/>
      <c r="H1759" s="310"/>
      <c r="I1759" s="2"/>
      <c r="O1759" s="2"/>
      <c r="P1759" s="2"/>
    </row>
    <row r="1760" spans="4:16" x14ac:dyDescent="0.25">
      <c r="D1760" s="2"/>
      <c r="E1760" s="310"/>
      <c r="G1760" s="2"/>
      <c r="H1760" s="310"/>
      <c r="I1760" s="2"/>
      <c r="O1760" s="2"/>
      <c r="P1760" s="2"/>
    </row>
    <row r="1761" spans="4:16" x14ac:dyDescent="0.25">
      <c r="D1761" s="2"/>
      <c r="E1761" s="310"/>
      <c r="G1761" s="2"/>
      <c r="H1761" s="310"/>
      <c r="I1761" s="2"/>
      <c r="O1761" s="2"/>
      <c r="P1761" s="2"/>
    </row>
    <row r="1762" spans="4:16" x14ac:dyDescent="0.25">
      <c r="D1762" s="2"/>
      <c r="E1762" s="310"/>
      <c r="G1762" s="2"/>
      <c r="H1762" s="310"/>
      <c r="I1762" s="2"/>
      <c r="O1762" s="2"/>
      <c r="P1762" s="2"/>
    </row>
    <row r="1763" spans="4:16" x14ac:dyDescent="0.25">
      <c r="D1763" s="2"/>
      <c r="E1763" s="310"/>
      <c r="G1763" s="2"/>
      <c r="H1763" s="310"/>
      <c r="I1763" s="2"/>
      <c r="O1763" s="2"/>
      <c r="P1763" s="2"/>
    </row>
    <row r="1764" spans="4:16" x14ac:dyDescent="0.25">
      <c r="D1764" s="2"/>
      <c r="E1764" s="310"/>
      <c r="G1764" s="2"/>
      <c r="H1764" s="310"/>
      <c r="I1764" s="2"/>
      <c r="O1764" s="2"/>
      <c r="P1764" s="2"/>
    </row>
    <row r="1765" spans="4:16" x14ac:dyDescent="0.25">
      <c r="D1765" s="2"/>
      <c r="E1765" s="310"/>
      <c r="G1765" s="2"/>
      <c r="H1765" s="310"/>
      <c r="I1765" s="2"/>
      <c r="O1765" s="2"/>
      <c r="P1765" s="2"/>
    </row>
    <row r="1766" spans="4:16" x14ac:dyDescent="0.25">
      <c r="D1766" s="2"/>
      <c r="E1766" s="310"/>
      <c r="G1766" s="2"/>
      <c r="H1766" s="310"/>
      <c r="I1766" s="2"/>
      <c r="O1766" s="2"/>
      <c r="P1766" s="2"/>
    </row>
    <row r="1767" spans="4:16" x14ac:dyDescent="0.25">
      <c r="D1767" s="2"/>
      <c r="E1767" s="310"/>
      <c r="G1767" s="2"/>
      <c r="H1767" s="310"/>
      <c r="I1767" s="2"/>
      <c r="O1767" s="2"/>
      <c r="P1767" s="2"/>
    </row>
    <row r="1768" spans="4:16" x14ac:dyDescent="0.25">
      <c r="D1768" s="2"/>
      <c r="E1768" s="310"/>
      <c r="G1768" s="2"/>
      <c r="H1768" s="310"/>
      <c r="I1768" s="2"/>
      <c r="O1768" s="2"/>
      <c r="P1768" s="2"/>
    </row>
    <row r="1769" spans="4:16" x14ac:dyDescent="0.25">
      <c r="D1769" s="2"/>
      <c r="E1769" s="310"/>
      <c r="G1769" s="2"/>
      <c r="H1769" s="310"/>
      <c r="I1769" s="2"/>
      <c r="O1769" s="2"/>
      <c r="P1769" s="2"/>
    </row>
    <row r="1770" spans="4:16" x14ac:dyDescent="0.25">
      <c r="D1770" s="2"/>
      <c r="E1770" s="310"/>
      <c r="G1770" s="2"/>
      <c r="H1770" s="310"/>
      <c r="I1770" s="2"/>
      <c r="O1770" s="2"/>
      <c r="P1770" s="2"/>
    </row>
    <row r="1771" spans="4:16" x14ac:dyDescent="0.25">
      <c r="D1771" s="2"/>
      <c r="E1771" s="310"/>
      <c r="G1771" s="2"/>
      <c r="H1771" s="310"/>
      <c r="I1771" s="2"/>
      <c r="O1771" s="2"/>
      <c r="P1771" s="2"/>
    </row>
    <row r="1772" spans="4:16" x14ac:dyDescent="0.25">
      <c r="D1772" s="2"/>
      <c r="E1772" s="310"/>
      <c r="G1772" s="2"/>
      <c r="H1772" s="310"/>
      <c r="I1772" s="2"/>
      <c r="O1772" s="2"/>
      <c r="P1772" s="2"/>
    </row>
    <row r="1773" spans="4:16" x14ac:dyDescent="0.25">
      <c r="D1773" s="2"/>
      <c r="E1773" s="310"/>
      <c r="G1773" s="2"/>
      <c r="H1773" s="310"/>
      <c r="I1773" s="2"/>
      <c r="O1773" s="2"/>
      <c r="P1773" s="2"/>
    </row>
    <row r="1774" spans="4:16" x14ac:dyDescent="0.25">
      <c r="D1774" s="2"/>
      <c r="E1774" s="310"/>
      <c r="G1774" s="2"/>
      <c r="H1774" s="310"/>
      <c r="I1774" s="2"/>
      <c r="O1774" s="2"/>
      <c r="P1774" s="2"/>
    </row>
    <row r="1775" spans="4:16" x14ac:dyDescent="0.25">
      <c r="D1775" s="2"/>
      <c r="E1775" s="310"/>
      <c r="G1775" s="2"/>
      <c r="H1775" s="310"/>
      <c r="I1775" s="2"/>
      <c r="O1775" s="2"/>
      <c r="P1775" s="2"/>
    </row>
    <row r="1776" spans="4:16" x14ac:dyDescent="0.25">
      <c r="D1776" s="2"/>
      <c r="E1776" s="310"/>
      <c r="G1776" s="2"/>
      <c r="H1776" s="310"/>
      <c r="I1776" s="2"/>
      <c r="O1776" s="2"/>
      <c r="P1776" s="2"/>
    </row>
    <row r="1777" spans="4:16" x14ac:dyDescent="0.25">
      <c r="D1777" s="2"/>
      <c r="E1777" s="310"/>
      <c r="G1777" s="2"/>
      <c r="H1777" s="310"/>
      <c r="I1777" s="2"/>
      <c r="O1777" s="2"/>
      <c r="P1777" s="2"/>
    </row>
    <row r="1778" spans="4:16" x14ac:dyDescent="0.25">
      <c r="D1778" s="2"/>
      <c r="E1778" s="310"/>
      <c r="G1778" s="2"/>
      <c r="H1778" s="310"/>
      <c r="I1778" s="2"/>
      <c r="O1778" s="2"/>
      <c r="P1778" s="2"/>
    </row>
    <row r="1779" spans="4:16" x14ac:dyDescent="0.25">
      <c r="D1779" s="2"/>
      <c r="E1779" s="310"/>
      <c r="G1779" s="2"/>
      <c r="H1779" s="310"/>
      <c r="I1779" s="2"/>
      <c r="O1779" s="2"/>
      <c r="P1779" s="2"/>
    </row>
    <row r="1780" spans="4:16" x14ac:dyDescent="0.25">
      <c r="D1780" s="2"/>
      <c r="E1780" s="310"/>
      <c r="G1780" s="2"/>
      <c r="H1780" s="310"/>
      <c r="I1780" s="2"/>
      <c r="O1780" s="2"/>
      <c r="P1780" s="2"/>
    </row>
    <row r="1781" spans="4:16" x14ac:dyDescent="0.25">
      <c r="D1781" s="2"/>
      <c r="E1781" s="310"/>
      <c r="G1781" s="2"/>
      <c r="H1781" s="310"/>
      <c r="I1781" s="2"/>
      <c r="O1781" s="2"/>
      <c r="P1781" s="2"/>
    </row>
    <row r="1782" spans="4:16" x14ac:dyDescent="0.25">
      <c r="D1782" s="2"/>
      <c r="E1782" s="310"/>
      <c r="G1782" s="2"/>
      <c r="H1782" s="310"/>
      <c r="I1782" s="2"/>
      <c r="O1782" s="2"/>
      <c r="P1782" s="2"/>
    </row>
    <row r="1783" spans="4:16" x14ac:dyDescent="0.25">
      <c r="D1783" s="2"/>
      <c r="E1783" s="310"/>
      <c r="G1783" s="2"/>
      <c r="H1783" s="310"/>
      <c r="I1783" s="2"/>
      <c r="O1783" s="2"/>
      <c r="P1783" s="2"/>
    </row>
    <row r="1784" spans="4:16" x14ac:dyDescent="0.25">
      <c r="D1784" s="2"/>
      <c r="E1784" s="310"/>
      <c r="G1784" s="2"/>
      <c r="H1784" s="310"/>
      <c r="I1784" s="2"/>
      <c r="O1784" s="2"/>
      <c r="P1784" s="2"/>
    </row>
    <row r="1785" spans="4:16" x14ac:dyDescent="0.25">
      <c r="D1785" s="2"/>
      <c r="E1785" s="310"/>
      <c r="G1785" s="2"/>
      <c r="H1785" s="310"/>
      <c r="I1785" s="2"/>
      <c r="O1785" s="2"/>
      <c r="P1785" s="2"/>
    </row>
    <row r="1786" spans="4:16" x14ac:dyDescent="0.25">
      <c r="D1786" s="2"/>
      <c r="E1786" s="310"/>
      <c r="G1786" s="2"/>
      <c r="H1786" s="310"/>
      <c r="I1786" s="2"/>
      <c r="O1786" s="2"/>
      <c r="P1786" s="2"/>
    </row>
    <row r="1787" spans="4:16" x14ac:dyDescent="0.25">
      <c r="D1787" s="2"/>
      <c r="E1787" s="310"/>
      <c r="G1787" s="2"/>
      <c r="H1787" s="310"/>
      <c r="I1787" s="2"/>
      <c r="O1787" s="2"/>
      <c r="P1787" s="2"/>
    </row>
    <row r="1788" spans="4:16" x14ac:dyDescent="0.25">
      <c r="D1788" s="2"/>
      <c r="E1788" s="310"/>
      <c r="G1788" s="2"/>
      <c r="H1788" s="310"/>
      <c r="I1788" s="2"/>
      <c r="O1788" s="2"/>
      <c r="P1788" s="2"/>
    </row>
    <row r="1789" spans="4:16" x14ac:dyDescent="0.25">
      <c r="D1789" s="2"/>
      <c r="E1789" s="310"/>
      <c r="G1789" s="2"/>
      <c r="H1789" s="310"/>
      <c r="I1789" s="2"/>
      <c r="O1789" s="2"/>
      <c r="P1789" s="2"/>
    </row>
    <row r="1790" spans="4:16" x14ac:dyDescent="0.25">
      <c r="D1790" s="2"/>
      <c r="E1790" s="310"/>
      <c r="G1790" s="2"/>
      <c r="H1790" s="310"/>
      <c r="I1790" s="2"/>
      <c r="O1790" s="2"/>
      <c r="P1790" s="2"/>
    </row>
    <row r="1791" spans="4:16" x14ac:dyDescent="0.25">
      <c r="D1791" s="2"/>
      <c r="E1791" s="310"/>
      <c r="G1791" s="2"/>
      <c r="H1791" s="310"/>
      <c r="I1791" s="2"/>
      <c r="O1791" s="2"/>
      <c r="P1791" s="2"/>
    </row>
    <row r="1792" spans="4:16" x14ac:dyDescent="0.25">
      <c r="D1792" s="2"/>
      <c r="E1792" s="310"/>
      <c r="G1792" s="2"/>
      <c r="H1792" s="310"/>
      <c r="I1792" s="2"/>
      <c r="O1792" s="2"/>
      <c r="P1792" s="2"/>
    </row>
    <row r="1793" spans="4:16" x14ac:dyDescent="0.25">
      <c r="D1793" s="2"/>
      <c r="E1793" s="310"/>
      <c r="G1793" s="2"/>
      <c r="H1793" s="310"/>
      <c r="I1793" s="2"/>
      <c r="O1793" s="2"/>
      <c r="P1793" s="2"/>
    </row>
    <row r="1794" spans="4:16" x14ac:dyDescent="0.25">
      <c r="D1794" s="2"/>
      <c r="E1794" s="310"/>
      <c r="G1794" s="2"/>
      <c r="H1794" s="310"/>
      <c r="I1794" s="2"/>
      <c r="O1794" s="2"/>
      <c r="P1794" s="2"/>
    </row>
    <row r="1795" spans="4:16" x14ac:dyDescent="0.25">
      <c r="D1795" s="2"/>
      <c r="E1795" s="310"/>
      <c r="G1795" s="2"/>
      <c r="H1795" s="310"/>
      <c r="I1795" s="2"/>
      <c r="O1795" s="2"/>
      <c r="P1795" s="2"/>
    </row>
    <row r="1796" spans="4:16" x14ac:dyDescent="0.25">
      <c r="D1796" s="2"/>
      <c r="E1796" s="310"/>
      <c r="G1796" s="2"/>
      <c r="H1796" s="310"/>
      <c r="I1796" s="2"/>
      <c r="O1796" s="2"/>
      <c r="P1796" s="2"/>
    </row>
    <row r="1797" spans="4:16" x14ac:dyDescent="0.25">
      <c r="D1797" s="2"/>
      <c r="E1797" s="310"/>
      <c r="G1797" s="2"/>
      <c r="H1797" s="310"/>
      <c r="I1797" s="2"/>
      <c r="O1797" s="2"/>
      <c r="P1797" s="2"/>
    </row>
    <row r="1798" spans="4:16" x14ac:dyDescent="0.25">
      <c r="D1798" s="2"/>
      <c r="E1798" s="310"/>
      <c r="G1798" s="2"/>
      <c r="H1798" s="310"/>
      <c r="I1798" s="2"/>
      <c r="O1798" s="2"/>
      <c r="P1798" s="2"/>
    </row>
    <row r="1799" spans="4:16" x14ac:dyDescent="0.25">
      <c r="D1799" s="2"/>
      <c r="E1799" s="310"/>
      <c r="G1799" s="2"/>
      <c r="H1799" s="310"/>
      <c r="I1799" s="2"/>
      <c r="O1799" s="2"/>
      <c r="P1799" s="2"/>
    </row>
    <row r="1800" spans="4:16" x14ac:dyDescent="0.25">
      <c r="D1800" s="2"/>
      <c r="E1800" s="310"/>
      <c r="G1800" s="2"/>
      <c r="H1800" s="310"/>
      <c r="I1800" s="2"/>
      <c r="O1800" s="2"/>
      <c r="P1800" s="2"/>
    </row>
    <row r="1801" spans="4:16" x14ac:dyDescent="0.25">
      <c r="D1801" s="2"/>
      <c r="E1801" s="310"/>
      <c r="G1801" s="2"/>
      <c r="H1801" s="310"/>
      <c r="I1801" s="2"/>
      <c r="O1801" s="2"/>
      <c r="P1801" s="2"/>
    </row>
    <row r="1802" spans="4:16" x14ac:dyDescent="0.25">
      <c r="D1802" s="2"/>
      <c r="E1802" s="310"/>
      <c r="G1802" s="2"/>
      <c r="H1802" s="310"/>
      <c r="I1802" s="2"/>
      <c r="O1802" s="2"/>
      <c r="P1802" s="2"/>
    </row>
    <row r="1803" spans="4:16" x14ac:dyDescent="0.25">
      <c r="D1803" s="2"/>
      <c r="E1803" s="310"/>
      <c r="G1803" s="2"/>
      <c r="H1803" s="310"/>
      <c r="I1803" s="2"/>
      <c r="O1803" s="2"/>
      <c r="P1803" s="2"/>
    </row>
    <row r="1804" spans="4:16" x14ac:dyDescent="0.25">
      <c r="D1804" s="2"/>
      <c r="E1804" s="310"/>
      <c r="G1804" s="2"/>
      <c r="H1804" s="310"/>
      <c r="I1804" s="2"/>
      <c r="O1804" s="2"/>
      <c r="P1804" s="2"/>
    </row>
    <row r="1805" spans="4:16" x14ac:dyDescent="0.25">
      <c r="D1805" s="2"/>
      <c r="E1805" s="310"/>
      <c r="G1805" s="2"/>
      <c r="H1805" s="310"/>
      <c r="I1805" s="2"/>
      <c r="O1805" s="2"/>
      <c r="P1805" s="2"/>
    </row>
    <row r="1806" spans="4:16" x14ac:dyDescent="0.25">
      <c r="D1806" s="2"/>
      <c r="E1806" s="310"/>
      <c r="G1806" s="2"/>
      <c r="H1806" s="310"/>
      <c r="I1806" s="2"/>
      <c r="O1806" s="2"/>
      <c r="P1806" s="2"/>
    </row>
    <row r="1807" spans="4:16" x14ac:dyDescent="0.25">
      <c r="D1807" s="2"/>
      <c r="E1807" s="310"/>
      <c r="G1807" s="2"/>
      <c r="H1807" s="310"/>
      <c r="I1807" s="2"/>
      <c r="O1807" s="2"/>
      <c r="P1807" s="2"/>
    </row>
    <row r="1808" spans="4:16" x14ac:dyDescent="0.25">
      <c r="D1808" s="2"/>
      <c r="E1808" s="310"/>
      <c r="G1808" s="2"/>
      <c r="H1808" s="310"/>
      <c r="I1808" s="2"/>
      <c r="O1808" s="2"/>
      <c r="P1808" s="2"/>
    </row>
    <row r="1809" spans="4:16" x14ac:dyDescent="0.25">
      <c r="D1809" s="2"/>
      <c r="E1809" s="310"/>
      <c r="G1809" s="2"/>
      <c r="H1809" s="310"/>
      <c r="I1809" s="2"/>
      <c r="O1809" s="2"/>
      <c r="P1809" s="2"/>
    </row>
    <row r="1810" spans="4:16" x14ac:dyDescent="0.25">
      <c r="D1810" s="2"/>
      <c r="E1810" s="310"/>
      <c r="G1810" s="2"/>
      <c r="H1810" s="310"/>
      <c r="I1810" s="2"/>
      <c r="O1810" s="2"/>
      <c r="P1810" s="2"/>
    </row>
    <row r="1811" spans="4:16" x14ac:dyDescent="0.25">
      <c r="D1811" s="2"/>
      <c r="E1811" s="310"/>
      <c r="G1811" s="2"/>
      <c r="H1811" s="310"/>
      <c r="I1811" s="2"/>
      <c r="O1811" s="2"/>
      <c r="P1811" s="2"/>
    </row>
    <row r="1812" spans="4:16" x14ac:dyDescent="0.25">
      <c r="D1812" s="2"/>
      <c r="E1812" s="310"/>
      <c r="G1812" s="2"/>
      <c r="H1812" s="310"/>
      <c r="I1812" s="2"/>
      <c r="O1812" s="2"/>
      <c r="P1812" s="2"/>
    </row>
    <row r="1813" spans="4:16" x14ac:dyDescent="0.25">
      <c r="D1813" s="2"/>
      <c r="E1813" s="310"/>
      <c r="G1813" s="2"/>
      <c r="H1813" s="310"/>
      <c r="I1813" s="2"/>
      <c r="O1813" s="2"/>
      <c r="P1813" s="2"/>
    </row>
    <row r="1814" spans="4:16" x14ac:dyDescent="0.25">
      <c r="D1814" s="2"/>
      <c r="E1814" s="310"/>
      <c r="G1814" s="2"/>
      <c r="H1814" s="310"/>
      <c r="I1814" s="2"/>
      <c r="O1814" s="2"/>
      <c r="P1814" s="2"/>
    </row>
    <row r="1815" spans="4:16" x14ac:dyDescent="0.25">
      <c r="D1815" s="2"/>
      <c r="E1815" s="310"/>
      <c r="G1815" s="2"/>
      <c r="H1815" s="310"/>
      <c r="I1815" s="2"/>
      <c r="O1815" s="2"/>
      <c r="P1815" s="2"/>
    </row>
    <row r="1816" spans="4:16" x14ac:dyDescent="0.25">
      <c r="D1816" s="2"/>
      <c r="E1816" s="310"/>
      <c r="G1816" s="2"/>
      <c r="H1816" s="310"/>
      <c r="I1816" s="2"/>
      <c r="O1816" s="2"/>
      <c r="P1816" s="2"/>
    </row>
    <row r="1817" spans="4:16" x14ac:dyDescent="0.25">
      <c r="D1817" s="2"/>
      <c r="E1817" s="310"/>
      <c r="G1817" s="2"/>
      <c r="H1817" s="310"/>
      <c r="I1817" s="2"/>
      <c r="O1817" s="2"/>
      <c r="P1817" s="2"/>
    </row>
    <row r="1818" spans="4:16" x14ac:dyDescent="0.25">
      <c r="D1818" s="2"/>
      <c r="E1818" s="310"/>
      <c r="G1818" s="2"/>
      <c r="H1818" s="310"/>
      <c r="I1818" s="2"/>
      <c r="O1818" s="2"/>
      <c r="P1818" s="2"/>
    </row>
    <row r="1819" spans="4:16" x14ac:dyDescent="0.25">
      <c r="D1819" s="2"/>
      <c r="E1819" s="310"/>
      <c r="G1819" s="2"/>
      <c r="H1819" s="310"/>
      <c r="I1819" s="2"/>
      <c r="O1819" s="2"/>
      <c r="P1819" s="2"/>
    </row>
    <row r="1820" spans="4:16" x14ac:dyDescent="0.25">
      <c r="D1820" s="2"/>
      <c r="E1820" s="310"/>
      <c r="G1820" s="2"/>
      <c r="H1820" s="310"/>
      <c r="I1820" s="2"/>
      <c r="O1820" s="2"/>
      <c r="P1820" s="2"/>
    </row>
    <row r="1821" spans="4:16" x14ac:dyDescent="0.25">
      <c r="D1821" s="2"/>
      <c r="E1821" s="310"/>
      <c r="G1821" s="2"/>
      <c r="H1821" s="310"/>
      <c r="I1821" s="2"/>
      <c r="O1821" s="2"/>
      <c r="P1821" s="2"/>
    </row>
    <row r="1822" spans="4:16" x14ac:dyDescent="0.25">
      <c r="D1822" s="2"/>
      <c r="E1822" s="310"/>
      <c r="G1822" s="2"/>
      <c r="H1822" s="310"/>
      <c r="I1822" s="2"/>
      <c r="O1822" s="2"/>
      <c r="P1822" s="2"/>
    </row>
    <row r="1823" spans="4:16" x14ac:dyDescent="0.25">
      <c r="D1823" s="2"/>
      <c r="E1823" s="310"/>
      <c r="G1823" s="2"/>
      <c r="H1823" s="310"/>
      <c r="I1823" s="2"/>
      <c r="O1823" s="2"/>
      <c r="P1823" s="2"/>
    </row>
    <row r="1824" spans="4:16" x14ac:dyDescent="0.25">
      <c r="D1824" s="2"/>
      <c r="E1824" s="310"/>
      <c r="G1824" s="2"/>
      <c r="H1824" s="310"/>
      <c r="I1824" s="2"/>
      <c r="O1824" s="2"/>
      <c r="P1824" s="2"/>
    </row>
    <row r="1825" spans="4:16" x14ac:dyDescent="0.25">
      <c r="D1825" s="2"/>
      <c r="E1825" s="310"/>
      <c r="G1825" s="2"/>
      <c r="H1825" s="310"/>
      <c r="I1825" s="2"/>
      <c r="O1825" s="2"/>
      <c r="P1825" s="2"/>
    </row>
    <row r="1826" spans="4:16" x14ac:dyDescent="0.25">
      <c r="D1826" s="2"/>
      <c r="E1826" s="310"/>
      <c r="G1826" s="2"/>
      <c r="H1826" s="310"/>
      <c r="I1826" s="2"/>
      <c r="O1826" s="2"/>
      <c r="P1826" s="2"/>
    </row>
    <row r="1827" spans="4:16" x14ac:dyDescent="0.25">
      <c r="D1827" s="2"/>
      <c r="E1827" s="310"/>
      <c r="G1827" s="2"/>
      <c r="H1827" s="310"/>
      <c r="I1827" s="2"/>
      <c r="O1827" s="2"/>
      <c r="P1827" s="2"/>
    </row>
    <row r="1828" spans="4:16" x14ac:dyDescent="0.25">
      <c r="D1828" s="2"/>
      <c r="E1828" s="310"/>
      <c r="G1828" s="2"/>
      <c r="H1828" s="310"/>
      <c r="I1828" s="2"/>
      <c r="O1828" s="2"/>
      <c r="P1828" s="2"/>
    </row>
    <row r="1829" spans="4:16" x14ac:dyDescent="0.25">
      <c r="D1829" s="2"/>
      <c r="E1829" s="310"/>
      <c r="G1829" s="2"/>
      <c r="H1829" s="310"/>
      <c r="I1829" s="2"/>
      <c r="O1829" s="2"/>
      <c r="P1829" s="2"/>
    </row>
    <row r="1830" spans="4:16" x14ac:dyDescent="0.25">
      <c r="D1830" s="2"/>
      <c r="E1830" s="310"/>
      <c r="G1830" s="2"/>
      <c r="H1830" s="310"/>
      <c r="I1830" s="2"/>
      <c r="O1830" s="2"/>
      <c r="P1830" s="2"/>
    </row>
    <row r="1831" spans="4:16" x14ac:dyDescent="0.25">
      <c r="D1831" s="2"/>
      <c r="E1831" s="310"/>
      <c r="G1831" s="2"/>
      <c r="H1831" s="310"/>
      <c r="I1831" s="2"/>
      <c r="O1831" s="2"/>
      <c r="P1831" s="2"/>
    </row>
    <row r="1832" spans="4:16" x14ac:dyDescent="0.25">
      <c r="D1832" s="2"/>
      <c r="E1832" s="310"/>
      <c r="G1832" s="2"/>
      <c r="H1832" s="310"/>
      <c r="I1832" s="2"/>
      <c r="O1832" s="2"/>
      <c r="P1832" s="2"/>
    </row>
    <row r="1833" spans="4:16" x14ac:dyDescent="0.25">
      <c r="D1833" s="2"/>
      <c r="E1833" s="310"/>
      <c r="G1833" s="2"/>
      <c r="H1833" s="310"/>
      <c r="I1833" s="2"/>
      <c r="O1833" s="2"/>
      <c r="P1833" s="2"/>
    </row>
    <row r="1834" spans="4:16" x14ac:dyDescent="0.25">
      <c r="D1834" s="2"/>
      <c r="E1834" s="310"/>
      <c r="G1834" s="2"/>
      <c r="H1834" s="310"/>
      <c r="I1834" s="2"/>
      <c r="O1834" s="2"/>
      <c r="P1834" s="2"/>
    </row>
    <row r="1835" spans="4:16" x14ac:dyDescent="0.25">
      <c r="D1835" s="2"/>
      <c r="E1835" s="310"/>
      <c r="G1835" s="2"/>
      <c r="H1835" s="310"/>
      <c r="I1835" s="2"/>
      <c r="O1835" s="2"/>
      <c r="P1835" s="2"/>
    </row>
    <row r="1836" spans="4:16" x14ac:dyDescent="0.25">
      <c r="D1836" s="2"/>
      <c r="E1836" s="310"/>
      <c r="G1836" s="2"/>
      <c r="H1836" s="310"/>
      <c r="I1836" s="2"/>
      <c r="O1836" s="2"/>
      <c r="P1836" s="2"/>
    </row>
    <row r="1837" spans="4:16" x14ac:dyDescent="0.25">
      <c r="D1837" s="2"/>
      <c r="E1837" s="310"/>
      <c r="G1837" s="2"/>
      <c r="H1837" s="310"/>
      <c r="I1837" s="2"/>
      <c r="O1837" s="2"/>
      <c r="P1837" s="2"/>
    </row>
    <row r="1838" spans="4:16" x14ac:dyDescent="0.25">
      <c r="D1838" s="2"/>
      <c r="E1838" s="310"/>
      <c r="G1838" s="2"/>
      <c r="H1838" s="310"/>
      <c r="I1838" s="2"/>
      <c r="O1838" s="2"/>
      <c r="P1838" s="2"/>
    </row>
    <row r="1839" spans="4:16" x14ac:dyDescent="0.25">
      <c r="D1839" s="2"/>
      <c r="E1839" s="310"/>
      <c r="G1839" s="2"/>
      <c r="H1839" s="310"/>
      <c r="I1839" s="2"/>
      <c r="O1839" s="2"/>
      <c r="P1839" s="2"/>
    </row>
    <row r="1840" spans="4:16" x14ac:dyDescent="0.25">
      <c r="D1840" s="2"/>
      <c r="E1840" s="310"/>
      <c r="G1840" s="2"/>
      <c r="H1840" s="310"/>
      <c r="I1840" s="2"/>
      <c r="O1840" s="2"/>
      <c r="P1840" s="2"/>
    </row>
    <row r="1841" spans="4:16" x14ac:dyDescent="0.25">
      <c r="D1841" s="2"/>
      <c r="E1841" s="310"/>
      <c r="G1841" s="2"/>
      <c r="H1841" s="310"/>
      <c r="I1841" s="2"/>
      <c r="O1841" s="2"/>
      <c r="P1841" s="2"/>
    </row>
    <row r="1842" spans="4:16" x14ac:dyDescent="0.25">
      <c r="D1842" s="2"/>
      <c r="E1842" s="310"/>
      <c r="G1842" s="2"/>
      <c r="H1842" s="310"/>
      <c r="I1842" s="2"/>
      <c r="O1842" s="2"/>
      <c r="P1842" s="2"/>
    </row>
    <row r="1843" spans="4:16" x14ac:dyDescent="0.25">
      <c r="D1843" s="2"/>
      <c r="E1843" s="310"/>
      <c r="G1843" s="2"/>
      <c r="H1843" s="310"/>
      <c r="I1843" s="2"/>
      <c r="O1843" s="2"/>
      <c r="P1843" s="2"/>
    </row>
    <row r="1844" spans="4:16" x14ac:dyDescent="0.25">
      <c r="D1844" s="2"/>
      <c r="E1844" s="310"/>
      <c r="G1844" s="2"/>
      <c r="H1844" s="310"/>
      <c r="I1844" s="2"/>
      <c r="O1844" s="2"/>
      <c r="P1844" s="2"/>
    </row>
    <row r="1845" spans="4:16" x14ac:dyDescent="0.25">
      <c r="D1845" s="2"/>
      <c r="E1845" s="310"/>
      <c r="G1845" s="2"/>
      <c r="H1845" s="310"/>
      <c r="I1845" s="2"/>
      <c r="O1845" s="2"/>
      <c r="P1845" s="2"/>
    </row>
    <row r="1846" spans="4:16" x14ac:dyDescent="0.25">
      <c r="D1846" s="2"/>
      <c r="E1846" s="310"/>
      <c r="G1846" s="2"/>
      <c r="H1846" s="310"/>
      <c r="I1846" s="2"/>
      <c r="O1846" s="2"/>
      <c r="P1846" s="2"/>
    </row>
    <row r="1847" spans="4:16" x14ac:dyDescent="0.25">
      <c r="D1847" s="2"/>
      <c r="E1847" s="310"/>
      <c r="G1847" s="2"/>
      <c r="H1847" s="310"/>
      <c r="I1847" s="2"/>
      <c r="O1847" s="2"/>
      <c r="P1847" s="2"/>
    </row>
    <row r="1848" spans="4:16" x14ac:dyDescent="0.25">
      <c r="D1848" s="2"/>
      <c r="E1848" s="310"/>
      <c r="G1848" s="2"/>
      <c r="H1848" s="310"/>
      <c r="I1848" s="2"/>
      <c r="O1848" s="2"/>
      <c r="P1848" s="2"/>
    </row>
    <row r="1849" spans="4:16" x14ac:dyDescent="0.25">
      <c r="D1849" s="2"/>
      <c r="E1849" s="310"/>
      <c r="G1849" s="2"/>
      <c r="H1849" s="310"/>
      <c r="I1849" s="2"/>
      <c r="O1849" s="2"/>
      <c r="P1849" s="2"/>
    </row>
    <row r="1850" spans="4:16" x14ac:dyDescent="0.25">
      <c r="D1850" s="2"/>
      <c r="E1850" s="310"/>
      <c r="G1850" s="2"/>
      <c r="H1850" s="310"/>
      <c r="I1850" s="2"/>
      <c r="O1850" s="2"/>
      <c r="P1850" s="2"/>
    </row>
    <row r="1851" spans="4:16" x14ac:dyDescent="0.25">
      <c r="D1851" s="2"/>
      <c r="E1851" s="310"/>
      <c r="G1851" s="2"/>
      <c r="H1851" s="310"/>
      <c r="I1851" s="2"/>
      <c r="O1851" s="2"/>
      <c r="P1851" s="2"/>
    </row>
    <row r="1852" spans="4:16" x14ac:dyDescent="0.25">
      <c r="D1852" s="2"/>
      <c r="E1852" s="310"/>
      <c r="G1852" s="2"/>
      <c r="H1852" s="310"/>
      <c r="I1852" s="2"/>
      <c r="O1852" s="2"/>
      <c r="P1852" s="2"/>
    </row>
    <row r="1853" spans="4:16" x14ac:dyDescent="0.25">
      <c r="D1853" s="2"/>
      <c r="E1853" s="310"/>
      <c r="G1853" s="2"/>
      <c r="H1853" s="310"/>
      <c r="I1853" s="2"/>
      <c r="O1853" s="2"/>
      <c r="P1853" s="2"/>
    </row>
    <row r="1854" spans="4:16" x14ac:dyDescent="0.25">
      <c r="D1854" s="2"/>
      <c r="E1854" s="310"/>
      <c r="G1854" s="2"/>
      <c r="H1854" s="310"/>
      <c r="I1854" s="2"/>
      <c r="O1854" s="2"/>
      <c r="P1854" s="2"/>
    </row>
    <row r="1855" spans="4:16" x14ac:dyDescent="0.25">
      <c r="D1855" s="2"/>
      <c r="E1855" s="310"/>
      <c r="G1855" s="2"/>
      <c r="H1855" s="310"/>
      <c r="I1855" s="2"/>
      <c r="O1855" s="2"/>
      <c r="P1855" s="2"/>
    </row>
    <row r="1856" spans="4:16" x14ac:dyDescent="0.25">
      <c r="D1856" s="2"/>
      <c r="E1856" s="310"/>
      <c r="G1856" s="2"/>
      <c r="H1856" s="310"/>
      <c r="I1856" s="2"/>
      <c r="O1856" s="2"/>
      <c r="P1856" s="2"/>
    </row>
    <row r="1857" spans="4:16" x14ac:dyDescent="0.25">
      <c r="D1857" s="2"/>
      <c r="E1857" s="310"/>
      <c r="G1857" s="2"/>
      <c r="H1857" s="310"/>
      <c r="I1857" s="2"/>
      <c r="O1857" s="2"/>
      <c r="P1857" s="2"/>
    </row>
    <row r="1858" spans="4:16" x14ac:dyDescent="0.25">
      <c r="D1858" s="2"/>
      <c r="E1858" s="310"/>
      <c r="G1858" s="2"/>
      <c r="H1858" s="310"/>
      <c r="I1858" s="2"/>
      <c r="O1858" s="2"/>
      <c r="P1858" s="2"/>
    </row>
    <row r="1859" spans="4:16" x14ac:dyDescent="0.25">
      <c r="D1859" s="2"/>
      <c r="E1859" s="310"/>
      <c r="G1859" s="2"/>
      <c r="H1859" s="310"/>
      <c r="I1859" s="2"/>
      <c r="O1859" s="2"/>
      <c r="P1859" s="2"/>
    </row>
    <row r="1860" spans="4:16" x14ac:dyDescent="0.25">
      <c r="D1860" s="2"/>
      <c r="E1860" s="310"/>
      <c r="G1860" s="2"/>
      <c r="H1860" s="310"/>
      <c r="I1860" s="2"/>
      <c r="O1860" s="2"/>
      <c r="P1860" s="2"/>
    </row>
    <row r="1861" spans="4:16" x14ac:dyDescent="0.25">
      <c r="D1861" s="2"/>
      <c r="E1861" s="310"/>
      <c r="G1861" s="2"/>
      <c r="H1861" s="310"/>
      <c r="I1861" s="2"/>
      <c r="O1861" s="2"/>
      <c r="P1861" s="2"/>
    </row>
    <row r="1862" spans="4:16" x14ac:dyDescent="0.25">
      <c r="D1862" s="2"/>
      <c r="E1862" s="310"/>
      <c r="G1862" s="2"/>
      <c r="H1862" s="310"/>
      <c r="I1862" s="2"/>
      <c r="O1862" s="2"/>
      <c r="P1862" s="2"/>
    </row>
    <row r="1863" spans="4:16" x14ac:dyDescent="0.25">
      <c r="D1863" s="2"/>
      <c r="E1863" s="310"/>
      <c r="G1863" s="2"/>
      <c r="H1863" s="310"/>
      <c r="I1863" s="2"/>
      <c r="O1863" s="2"/>
      <c r="P1863" s="2"/>
    </row>
    <row r="1864" spans="4:16" x14ac:dyDescent="0.25">
      <c r="D1864" s="2"/>
      <c r="E1864" s="310"/>
      <c r="G1864" s="2"/>
      <c r="H1864" s="310"/>
      <c r="I1864" s="2"/>
      <c r="O1864" s="2"/>
      <c r="P1864" s="2"/>
    </row>
    <row r="1865" spans="4:16" x14ac:dyDescent="0.25">
      <c r="D1865" s="2"/>
      <c r="E1865" s="310"/>
      <c r="G1865" s="2"/>
      <c r="H1865" s="310"/>
      <c r="I1865" s="2"/>
      <c r="O1865" s="2"/>
      <c r="P1865" s="2"/>
    </row>
    <row r="1866" spans="4:16" x14ac:dyDescent="0.25">
      <c r="D1866" s="2"/>
      <c r="E1866" s="310"/>
      <c r="G1866" s="2"/>
      <c r="H1866" s="310"/>
      <c r="I1866" s="2"/>
      <c r="O1866" s="2"/>
      <c r="P1866" s="2"/>
    </row>
    <row r="1867" spans="4:16" x14ac:dyDescent="0.25">
      <c r="D1867" s="2"/>
      <c r="E1867" s="310"/>
      <c r="G1867" s="2"/>
      <c r="H1867" s="310"/>
      <c r="I1867" s="2"/>
      <c r="O1867" s="2"/>
      <c r="P1867" s="2"/>
    </row>
    <row r="1868" spans="4:16" x14ac:dyDescent="0.25">
      <c r="D1868" s="2"/>
      <c r="E1868" s="310"/>
      <c r="G1868" s="2"/>
      <c r="H1868" s="310"/>
      <c r="I1868" s="2"/>
      <c r="O1868" s="2"/>
      <c r="P1868" s="2"/>
    </row>
    <row r="1869" spans="4:16" x14ac:dyDescent="0.25">
      <c r="D1869" s="2"/>
      <c r="E1869" s="310"/>
      <c r="G1869" s="2"/>
      <c r="H1869" s="310"/>
      <c r="I1869" s="2"/>
      <c r="O1869" s="2"/>
      <c r="P1869" s="2"/>
    </row>
    <row r="1870" spans="4:16" x14ac:dyDescent="0.25">
      <c r="D1870" s="2"/>
      <c r="E1870" s="310"/>
      <c r="G1870" s="2"/>
      <c r="H1870" s="310"/>
      <c r="I1870" s="2"/>
      <c r="O1870" s="2"/>
      <c r="P1870" s="2"/>
    </row>
    <row r="1871" spans="4:16" x14ac:dyDescent="0.25">
      <c r="D1871" s="2"/>
      <c r="E1871" s="310"/>
      <c r="G1871" s="2"/>
      <c r="H1871" s="310"/>
      <c r="I1871" s="2"/>
      <c r="O1871" s="2"/>
      <c r="P1871" s="2"/>
    </row>
    <row r="1872" spans="4:16" x14ac:dyDescent="0.25">
      <c r="D1872" s="2"/>
      <c r="E1872" s="310"/>
      <c r="G1872" s="2"/>
      <c r="H1872" s="310"/>
      <c r="I1872" s="2"/>
      <c r="O1872" s="2"/>
      <c r="P1872" s="2"/>
    </row>
    <row r="1873" spans="4:16" x14ac:dyDescent="0.25">
      <c r="D1873" s="2"/>
      <c r="E1873" s="310"/>
      <c r="G1873" s="2"/>
      <c r="H1873" s="310"/>
      <c r="I1873" s="2"/>
      <c r="O1873" s="2"/>
      <c r="P1873" s="2"/>
    </row>
    <row r="1874" spans="4:16" x14ac:dyDescent="0.25">
      <c r="D1874" s="2"/>
      <c r="E1874" s="310"/>
      <c r="G1874" s="2"/>
      <c r="H1874" s="310"/>
      <c r="I1874" s="2"/>
      <c r="O1874" s="2"/>
      <c r="P1874" s="2"/>
    </row>
    <row r="1875" spans="4:16" x14ac:dyDescent="0.25">
      <c r="D1875" s="2"/>
      <c r="E1875" s="310"/>
      <c r="G1875" s="2"/>
      <c r="H1875" s="310"/>
      <c r="I1875" s="2"/>
      <c r="O1875" s="2"/>
      <c r="P1875" s="2"/>
    </row>
    <row r="1876" spans="4:16" x14ac:dyDescent="0.25">
      <c r="D1876" s="2"/>
      <c r="E1876" s="310"/>
      <c r="G1876" s="2"/>
      <c r="H1876" s="310"/>
      <c r="I1876" s="2"/>
      <c r="O1876" s="2"/>
      <c r="P1876" s="2"/>
    </row>
    <row r="1877" spans="4:16" x14ac:dyDescent="0.25">
      <c r="D1877" s="2"/>
      <c r="E1877" s="310"/>
      <c r="G1877" s="2"/>
      <c r="H1877" s="310"/>
      <c r="I1877" s="2"/>
      <c r="O1877" s="2"/>
      <c r="P1877" s="2"/>
    </row>
    <row r="1878" spans="4:16" x14ac:dyDescent="0.25">
      <c r="D1878" s="2"/>
      <c r="E1878" s="310"/>
      <c r="G1878" s="2"/>
      <c r="H1878" s="310"/>
      <c r="I1878" s="2"/>
      <c r="O1878" s="2"/>
      <c r="P1878" s="2"/>
    </row>
    <row r="1879" spans="4:16" x14ac:dyDescent="0.25">
      <c r="D1879" s="2"/>
      <c r="E1879" s="310"/>
      <c r="G1879" s="2"/>
      <c r="H1879" s="310"/>
      <c r="I1879" s="2"/>
      <c r="O1879" s="2"/>
      <c r="P1879" s="2"/>
    </row>
    <row r="1880" spans="4:16" x14ac:dyDescent="0.25">
      <c r="D1880" s="2"/>
      <c r="E1880" s="310"/>
      <c r="G1880" s="2"/>
      <c r="H1880" s="310"/>
      <c r="I1880" s="2"/>
      <c r="O1880" s="2"/>
      <c r="P1880" s="2"/>
    </row>
    <row r="1881" spans="4:16" x14ac:dyDescent="0.25">
      <c r="D1881" s="2"/>
      <c r="E1881" s="310"/>
      <c r="G1881" s="2"/>
      <c r="H1881" s="310"/>
      <c r="I1881" s="2"/>
      <c r="O1881" s="2"/>
      <c r="P1881" s="2"/>
    </row>
    <row r="1882" spans="4:16" x14ac:dyDescent="0.25">
      <c r="D1882" s="2"/>
      <c r="E1882" s="310"/>
      <c r="G1882" s="2"/>
      <c r="H1882" s="310"/>
      <c r="I1882" s="2"/>
      <c r="O1882" s="2"/>
      <c r="P1882" s="2"/>
    </row>
    <row r="1883" spans="4:16" x14ac:dyDescent="0.25">
      <c r="D1883" s="2"/>
      <c r="E1883" s="310"/>
      <c r="G1883" s="2"/>
      <c r="H1883" s="310"/>
      <c r="I1883" s="2"/>
      <c r="O1883" s="2"/>
      <c r="P1883" s="2"/>
    </row>
    <row r="1884" spans="4:16" x14ac:dyDescent="0.25">
      <c r="D1884" s="2"/>
      <c r="E1884" s="310"/>
      <c r="G1884" s="2"/>
      <c r="H1884" s="310"/>
      <c r="I1884" s="2"/>
      <c r="O1884" s="2"/>
      <c r="P1884" s="2"/>
    </row>
    <row r="1885" spans="4:16" x14ac:dyDescent="0.25">
      <c r="D1885" s="2"/>
      <c r="E1885" s="310"/>
      <c r="G1885" s="2"/>
      <c r="H1885" s="310"/>
      <c r="I1885" s="2"/>
      <c r="O1885" s="2"/>
      <c r="P1885" s="2"/>
    </row>
    <row r="1886" spans="4:16" x14ac:dyDescent="0.25">
      <c r="D1886" s="2"/>
      <c r="E1886" s="310"/>
      <c r="G1886" s="2"/>
      <c r="H1886" s="310"/>
      <c r="I1886" s="2"/>
      <c r="O1886" s="2"/>
      <c r="P1886" s="2"/>
    </row>
    <row r="1887" spans="4:16" x14ac:dyDescent="0.25">
      <c r="D1887" s="2"/>
      <c r="E1887" s="310"/>
      <c r="G1887" s="2"/>
      <c r="H1887" s="310"/>
      <c r="I1887" s="2"/>
      <c r="O1887" s="2"/>
      <c r="P1887" s="2"/>
    </row>
    <row r="1888" spans="4:16" x14ac:dyDescent="0.25">
      <c r="D1888" s="2"/>
      <c r="E1888" s="310"/>
      <c r="G1888" s="2"/>
      <c r="H1888" s="310"/>
      <c r="I1888" s="2"/>
      <c r="O1888" s="2"/>
      <c r="P1888" s="2"/>
    </row>
    <row r="1889" spans="4:16" x14ac:dyDescent="0.25">
      <c r="D1889" s="2"/>
      <c r="E1889" s="310"/>
      <c r="G1889" s="2"/>
      <c r="H1889" s="310"/>
      <c r="I1889" s="2"/>
      <c r="O1889" s="2"/>
      <c r="P1889" s="2"/>
    </row>
    <row r="1890" spans="4:16" x14ac:dyDescent="0.25">
      <c r="D1890" s="2"/>
      <c r="E1890" s="310"/>
      <c r="G1890" s="2"/>
      <c r="H1890" s="310"/>
      <c r="I1890" s="2"/>
      <c r="O1890" s="2"/>
      <c r="P1890" s="2"/>
    </row>
    <row r="1891" spans="4:16" x14ac:dyDescent="0.25">
      <c r="D1891" s="2"/>
      <c r="E1891" s="310"/>
      <c r="G1891" s="2"/>
      <c r="H1891" s="310"/>
      <c r="I1891" s="2"/>
      <c r="O1891" s="2"/>
      <c r="P1891" s="2"/>
    </row>
    <row r="1892" spans="4:16" x14ac:dyDescent="0.25">
      <c r="D1892" s="2"/>
      <c r="E1892" s="310"/>
      <c r="G1892" s="2"/>
      <c r="H1892" s="310"/>
      <c r="I1892" s="2"/>
      <c r="O1892" s="2"/>
      <c r="P1892" s="2"/>
    </row>
    <row r="1893" spans="4:16" x14ac:dyDescent="0.25">
      <c r="D1893" s="2"/>
      <c r="E1893" s="310"/>
      <c r="G1893" s="2"/>
      <c r="H1893" s="310"/>
      <c r="I1893" s="2"/>
      <c r="O1893" s="2"/>
      <c r="P1893" s="2"/>
    </row>
    <row r="1894" spans="4:16" x14ac:dyDescent="0.25">
      <c r="D1894" s="2"/>
      <c r="E1894" s="310"/>
      <c r="G1894" s="2"/>
      <c r="H1894" s="310"/>
      <c r="I1894" s="2"/>
      <c r="O1894" s="2"/>
      <c r="P1894" s="2"/>
    </row>
    <row r="1895" spans="4:16" x14ac:dyDescent="0.25">
      <c r="D1895" s="2"/>
      <c r="E1895" s="310"/>
      <c r="G1895" s="2"/>
      <c r="H1895" s="310"/>
      <c r="I1895" s="2"/>
      <c r="O1895" s="2"/>
      <c r="P1895" s="2"/>
    </row>
    <row r="1896" spans="4:16" x14ac:dyDescent="0.25">
      <c r="D1896" s="2"/>
      <c r="E1896" s="310"/>
      <c r="G1896" s="2"/>
      <c r="H1896" s="310"/>
      <c r="I1896" s="2"/>
      <c r="O1896" s="2"/>
      <c r="P1896" s="2"/>
    </row>
    <row r="1897" spans="4:16" x14ac:dyDescent="0.25">
      <c r="D1897" s="2"/>
      <c r="E1897" s="310"/>
      <c r="G1897" s="2"/>
      <c r="H1897" s="310"/>
      <c r="I1897" s="2"/>
      <c r="O1897" s="2"/>
      <c r="P1897" s="2"/>
    </row>
    <row r="1898" spans="4:16" x14ac:dyDescent="0.25">
      <c r="D1898" s="2"/>
      <c r="E1898" s="310"/>
      <c r="G1898" s="2"/>
      <c r="H1898" s="310"/>
      <c r="I1898" s="2"/>
      <c r="O1898" s="2"/>
      <c r="P1898" s="2"/>
    </row>
    <row r="1899" spans="4:16" x14ac:dyDescent="0.25">
      <c r="D1899" s="2"/>
      <c r="E1899" s="310"/>
      <c r="G1899" s="2"/>
      <c r="H1899" s="310"/>
      <c r="I1899" s="2"/>
      <c r="O1899" s="2"/>
      <c r="P1899" s="2"/>
    </row>
    <row r="1900" spans="4:16" x14ac:dyDescent="0.25">
      <c r="D1900" s="2"/>
      <c r="E1900" s="310"/>
      <c r="G1900" s="2"/>
      <c r="H1900" s="310"/>
      <c r="I1900" s="2"/>
      <c r="O1900" s="2"/>
      <c r="P1900" s="2"/>
    </row>
    <row r="1901" spans="4:16" x14ac:dyDescent="0.25">
      <c r="D1901" s="2"/>
      <c r="E1901" s="310"/>
      <c r="G1901" s="2"/>
      <c r="H1901" s="310"/>
      <c r="I1901" s="2"/>
      <c r="O1901" s="2"/>
      <c r="P1901" s="2"/>
    </row>
    <row r="1902" spans="4:16" x14ac:dyDescent="0.25">
      <c r="D1902" s="2"/>
      <c r="E1902" s="310"/>
      <c r="G1902" s="2"/>
      <c r="H1902" s="310"/>
      <c r="I1902" s="2"/>
      <c r="O1902" s="2"/>
      <c r="P1902" s="2"/>
    </row>
    <row r="1903" spans="4:16" x14ac:dyDescent="0.25">
      <c r="D1903" s="2"/>
      <c r="E1903" s="310"/>
      <c r="G1903" s="2"/>
      <c r="H1903" s="310"/>
      <c r="I1903" s="2"/>
      <c r="O1903" s="2"/>
      <c r="P1903" s="2"/>
    </row>
    <row r="1904" spans="4:16" x14ac:dyDescent="0.25">
      <c r="D1904" s="2"/>
      <c r="E1904" s="310"/>
      <c r="G1904" s="2"/>
      <c r="H1904" s="310"/>
      <c r="I1904" s="2"/>
      <c r="O1904" s="2"/>
      <c r="P1904" s="2"/>
    </row>
    <row r="1905" spans="4:16" x14ac:dyDescent="0.25">
      <c r="D1905" s="2"/>
      <c r="E1905" s="310"/>
      <c r="G1905" s="2"/>
      <c r="H1905" s="310"/>
      <c r="I1905" s="2"/>
      <c r="O1905" s="2"/>
      <c r="P1905" s="2"/>
    </row>
    <row r="1906" spans="4:16" x14ac:dyDescent="0.25">
      <c r="D1906" s="2"/>
      <c r="E1906" s="310"/>
      <c r="G1906" s="2"/>
      <c r="H1906" s="310"/>
      <c r="I1906" s="2"/>
      <c r="O1906" s="2"/>
      <c r="P1906" s="2"/>
    </row>
    <row r="1907" spans="4:16" x14ac:dyDescent="0.25">
      <c r="D1907" s="2"/>
      <c r="E1907" s="310"/>
      <c r="G1907" s="2"/>
      <c r="H1907" s="310"/>
      <c r="I1907" s="2"/>
      <c r="O1907" s="2"/>
      <c r="P1907" s="2"/>
    </row>
    <row r="1908" spans="4:16" x14ac:dyDescent="0.25">
      <c r="D1908" s="2"/>
      <c r="E1908" s="310"/>
      <c r="G1908" s="2"/>
      <c r="H1908" s="310"/>
      <c r="I1908" s="2"/>
      <c r="O1908" s="2"/>
      <c r="P1908" s="2"/>
    </row>
    <row r="1909" spans="4:16" x14ac:dyDescent="0.25">
      <c r="D1909" s="2"/>
      <c r="E1909" s="310"/>
      <c r="G1909" s="2"/>
      <c r="H1909" s="310"/>
      <c r="I1909" s="2"/>
      <c r="O1909" s="2"/>
      <c r="P1909" s="2"/>
    </row>
    <row r="1910" spans="4:16" x14ac:dyDescent="0.25">
      <c r="D1910" s="2"/>
      <c r="E1910" s="310"/>
      <c r="G1910" s="2"/>
      <c r="H1910" s="310"/>
      <c r="I1910" s="2"/>
      <c r="O1910" s="2"/>
      <c r="P1910" s="2"/>
    </row>
    <row r="1911" spans="4:16" x14ac:dyDescent="0.25">
      <c r="D1911" s="2"/>
      <c r="E1911" s="310"/>
      <c r="G1911" s="2"/>
      <c r="H1911" s="310"/>
      <c r="I1911" s="2"/>
      <c r="O1911" s="2"/>
      <c r="P1911" s="2"/>
    </row>
    <row r="1912" spans="4:16" x14ac:dyDescent="0.25">
      <c r="D1912" s="2"/>
      <c r="E1912" s="310"/>
      <c r="G1912" s="2"/>
      <c r="H1912" s="310"/>
      <c r="I1912" s="2"/>
      <c r="O1912" s="2"/>
      <c r="P1912" s="2"/>
    </row>
    <row r="1913" spans="4:16" x14ac:dyDescent="0.25">
      <c r="D1913" s="2"/>
      <c r="E1913" s="310"/>
      <c r="G1913" s="2"/>
      <c r="H1913" s="310"/>
      <c r="I1913" s="2"/>
      <c r="O1913" s="2"/>
      <c r="P1913" s="2"/>
    </row>
    <row r="1914" spans="4:16" x14ac:dyDescent="0.25">
      <c r="D1914" s="2"/>
      <c r="E1914" s="310"/>
      <c r="G1914" s="2"/>
      <c r="H1914" s="310"/>
      <c r="I1914" s="2"/>
      <c r="O1914" s="2"/>
      <c r="P1914" s="2"/>
    </row>
    <row r="1915" spans="4:16" x14ac:dyDescent="0.25">
      <c r="D1915" s="2"/>
      <c r="E1915" s="310"/>
      <c r="G1915" s="2"/>
      <c r="H1915" s="310"/>
      <c r="I1915" s="2"/>
      <c r="O1915" s="2"/>
      <c r="P1915" s="2"/>
    </row>
    <row r="1916" spans="4:16" x14ac:dyDescent="0.25">
      <c r="D1916" s="2"/>
      <c r="E1916" s="310"/>
      <c r="G1916" s="2"/>
      <c r="H1916" s="310"/>
      <c r="I1916" s="2"/>
      <c r="O1916" s="2"/>
      <c r="P1916" s="2"/>
    </row>
    <row r="1917" spans="4:16" x14ac:dyDescent="0.25">
      <c r="D1917" s="2"/>
      <c r="E1917" s="310"/>
      <c r="G1917" s="2"/>
      <c r="H1917" s="310"/>
      <c r="I1917" s="2"/>
      <c r="O1917" s="2"/>
      <c r="P1917" s="2"/>
    </row>
    <row r="1918" spans="4:16" x14ac:dyDescent="0.25">
      <c r="D1918" s="2"/>
      <c r="E1918" s="310"/>
      <c r="G1918" s="2"/>
      <c r="H1918" s="310"/>
      <c r="I1918" s="2"/>
      <c r="O1918" s="2"/>
      <c r="P1918" s="2"/>
    </row>
    <row r="1919" spans="4:16" x14ac:dyDescent="0.25">
      <c r="D1919" s="2"/>
      <c r="E1919" s="310"/>
      <c r="G1919" s="2"/>
      <c r="H1919" s="310"/>
      <c r="I1919" s="2"/>
      <c r="O1919" s="2"/>
      <c r="P1919" s="2"/>
    </row>
    <row r="1920" spans="4:16" x14ac:dyDescent="0.25">
      <c r="D1920" s="2"/>
      <c r="E1920" s="310"/>
      <c r="G1920" s="2"/>
      <c r="H1920" s="310"/>
      <c r="I1920" s="2"/>
      <c r="O1920" s="2"/>
      <c r="P1920" s="2"/>
    </row>
    <row r="1921" spans="4:16" x14ac:dyDescent="0.25">
      <c r="D1921" s="2"/>
      <c r="E1921" s="310"/>
      <c r="G1921" s="2"/>
      <c r="H1921" s="310"/>
      <c r="I1921" s="2"/>
      <c r="O1921" s="2"/>
      <c r="P1921" s="2"/>
    </row>
    <row r="1922" spans="4:16" x14ac:dyDescent="0.25">
      <c r="D1922" s="2"/>
      <c r="E1922" s="310"/>
      <c r="G1922" s="2"/>
      <c r="H1922" s="310"/>
      <c r="I1922" s="2"/>
      <c r="O1922" s="2"/>
      <c r="P1922" s="2"/>
    </row>
    <row r="1923" spans="4:16" x14ac:dyDescent="0.25">
      <c r="D1923" s="2"/>
      <c r="E1923" s="310"/>
      <c r="G1923" s="2"/>
      <c r="H1923" s="310"/>
      <c r="I1923" s="2"/>
      <c r="O1923" s="2"/>
      <c r="P1923" s="2"/>
    </row>
    <row r="1924" spans="4:16" x14ac:dyDescent="0.25">
      <c r="D1924" s="2"/>
      <c r="E1924" s="310"/>
      <c r="G1924" s="2"/>
      <c r="H1924" s="310"/>
      <c r="I1924" s="2"/>
      <c r="O1924" s="2"/>
      <c r="P1924" s="2"/>
    </row>
    <row r="1925" spans="4:16" x14ac:dyDescent="0.25">
      <c r="D1925" s="2"/>
      <c r="E1925" s="310"/>
      <c r="G1925" s="2"/>
      <c r="H1925" s="310"/>
      <c r="I1925" s="2"/>
      <c r="O1925" s="2"/>
      <c r="P1925" s="2"/>
    </row>
    <row r="1926" spans="4:16" x14ac:dyDescent="0.25">
      <c r="D1926" s="2"/>
      <c r="E1926" s="310"/>
      <c r="G1926" s="2"/>
      <c r="H1926" s="310"/>
      <c r="I1926" s="2"/>
      <c r="O1926" s="2"/>
      <c r="P1926" s="2"/>
    </row>
    <row r="1927" spans="4:16" x14ac:dyDescent="0.25">
      <c r="D1927" s="2"/>
      <c r="E1927" s="310"/>
      <c r="G1927" s="2"/>
      <c r="H1927" s="310"/>
      <c r="I1927" s="2"/>
      <c r="O1927" s="2"/>
      <c r="P1927" s="2"/>
    </row>
    <row r="1928" spans="4:16" x14ac:dyDescent="0.25">
      <c r="D1928" s="2"/>
      <c r="E1928" s="310"/>
      <c r="G1928" s="2"/>
      <c r="H1928" s="310"/>
      <c r="I1928" s="2"/>
      <c r="O1928" s="2"/>
      <c r="P1928" s="2"/>
    </row>
    <row r="1929" spans="4:16" x14ac:dyDescent="0.25">
      <c r="D1929" s="2"/>
      <c r="E1929" s="310"/>
      <c r="G1929" s="2"/>
      <c r="H1929" s="310"/>
      <c r="I1929" s="2"/>
      <c r="O1929" s="2"/>
      <c r="P1929" s="2"/>
    </row>
    <row r="1930" spans="4:16" x14ac:dyDescent="0.25">
      <c r="D1930" s="2"/>
      <c r="E1930" s="310"/>
      <c r="G1930" s="2"/>
      <c r="H1930" s="310"/>
      <c r="I1930" s="2"/>
      <c r="O1930" s="2"/>
      <c r="P1930" s="2"/>
    </row>
    <row r="1931" spans="4:16" x14ac:dyDescent="0.25">
      <c r="D1931" s="2"/>
      <c r="E1931" s="310"/>
      <c r="G1931" s="2"/>
      <c r="H1931" s="310"/>
      <c r="I1931" s="2"/>
      <c r="O1931" s="2"/>
      <c r="P1931" s="2"/>
    </row>
    <row r="1932" spans="4:16" x14ac:dyDescent="0.25">
      <c r="D1932" s="2"/>
      <c r="E1932" s="310"/>
      <c r="G1932" s="2"/>
      <c r="H1932" s="310"/>
      <c r="I1932" s="2"/>
      <c r="O1932" s="2"/>
      <c r="P1932" s="2"/>
    </row>
    <row r="1933" spans="4:16" x14ac:dyDescent="0.25">
      <c r="D1933" s="2"/>
      <c r="E1933" s="310"/>
      <c r="G1933" s="2"/>
      <c r="H1933" s="310"/>
      <c r="I1933" s="2"/>
      <c r="O1933" s="2"/>
      <c r="P1933" s="2"/>
    </row>
    <row r="1934" spans="4:16" x14ac:dyDescent="0.25">
      <c r="D1934" s="2"/>
      <c r="E1934" s="310"/>
      <c r="G1934" s="2"/>
      <c r="H1934" s="310"/>
      <c r="I1934" s="2"/>
      <c r="O1934" s="2"/>
      <c r="P1934" s="2"/>
    </row>
    <row r="1935" spans="4:16" x14ac:dyDescent="0.25">
      <c r="D1935" s="2"/>
      <c r="E1935" s="310"/>
      <c r="G1935" s="2"/>
      <c r="H1935" s="310"/>
      <c r="I1935" s="2"/>
      <c r="O1935" s="2"/>
      <c r="P1935" s="2"/>
    </row>
    <row r="1936" spans="4:16" x14ac:dyDescent="0.25">
      <c r="D1936" s="2"/>
      <c r="E1936" s="310"/>
      <c r="G1936" s="2"/>
      <c r="H1936" s="310"/>
      <c r="I1936" s="2"/>
      <c r="O1936" s="2"/>
      <c r="P1936" s="2"/>
    </row>
    <row r="1937" spans="4:16" x14ac:dyDescent="0.25">
      <c r="D1937" s="2"/>
      <c r="E1937" s="310"/>
      <c r="G1937" s="2"/>
      <c r="H1937" s="310"/>
      <c r="I1937" s="2"/>
      <c r="O1937" s="2"/>
      <c r="P1937" s="2"/>
    </row>
    <row r="1938" spans="4:16" x14ac:dyDescent="0.25">
      <c r="D1938" s="2"/>
      <c r="E1938" s="310"/>
      <c r="G1938" s="2"/>
      <c r="H1938" s="310"/>
      <c r="I1938" s="2"/>
      <c r="O1938" s="2"/>
      <c r="P1938" s="2"/>
    </row>
    <row r="1939" spans="4:16" x14ac:dyDescent="0.25">
      <c r="D1939" s="2"/>
      <c r="E1939" s="310"/>
      <c r="G1939" s="2"/>
      <c r="H1939" s="310"/>
      <c r="I1939" s="2"/>
      <c r="O1939" s="2"/>
      <c r="P1939" s="2"/>
    </row>
    <row r="1940" spans="4:16" x14ac:dyDescent="0.25">
      <c r="D1940" s="2"/>
      <c r="E1940" s="310"/>
      <c r="G1940" s="2"/>
      <c r="H1940" s="310"/>
      <c r="I1940" s="2"/>
      <c r="O1940" s="2"/>
      <c r="P1940" s="2"/>
    </row>
    <row r="1941" spans="4:16" x14ac:dyDescent="0.25">
      <c r="D1941" s="2"/>
      <c r="E1941" s="310"/>
      <c r="G1941" s="2"/>
      <c r="H1941" s="310"/>
      <c r="I1941" s="2"/>
      <c r="O1941" s="2"/>
      <c r="P1941" s="2"/>
    </row>
    <row r="1942" spans="4:16" x14ac:dyDescent="0.25">
      <c r="D1942" s="2"/>
      <c r="E1942" s="310"/>
      <c r="G1942" s="2"/>
      <c r="H1942" s="310"/>
      <c r="I1942" s="2"/>
      <c r="O1942" s="2"/>
      <c r="P1942" s="2"/>
    </row>
    <row r="1943" spans="4:16" x14ac:dyDescent="0.25">
      <c r="D1943" s="2"/>
      <c r="E1943" s="310"/>
      <c r="G1943" s="2"/>
      <c r="H1943" s="310"/>
      <c r="I1943" s="2"/>
      <c r="O1943" s="2"/>
      <c r="P1943" s="2"/>
    </row>
    <row r="1944" spans="4:16" x14ac:dyDescent="0.25">
      <c r="D1944" s="2"/>
      <c r="E1944" s="310"/>
      <c r="G1944" s="2"/>
      <c r="H1944" s="310"/>
      <c r="I1944" s="2"/>
      <c r="O1944" s="2"/>
      <c r="P1944" s="2"/>
    </row>
    <row r="1945" spans="4:16" x14ac:dyDescent="0.25">
      <c r="D1945" s="2"/>
      <c r="E1945" s="310"/>
      <c r="G1945" s="2"/>
      <c r="H1945" s="310"/>
      <c r="I1945" s="2"/>
      <c r="O1945" s="2"/>
      <c r="P1945" s="2"/>
    </row>
    <row r="1946" spans="4:16" x14ac:dyDescent="0.25">
      <c r="D1946" s="2"/>
      <c r="E1946" s="310"/>
      <c r="G1946" s="2"/>
      <c r="H1946" s="310"/>
      <c r="I1946" s="2"/>
      <c r="O1946" s="2"/>
      <c r="P1946" s="2"/>
    </row>
    <row r="1947" spans="4:16" x14ac:dyDescent="0.25">
      <c r="D1947" s="2"/>
      <c r="E1947" s="310"/>
      <c r="G1947" s="2"/>
      <c r="H1947" s="310"/>
      <c r="I1947" s="2"/>
      <c r="O1947" s="2"/>
      <c r="P1947" s="2"/>
    </row>
    <row r="1948" spans="4:16" x14ac:dyDescent="0.25">
      <c r="D1948" s="2"/>
      <c r="E1948" s="310"/>
      <c r="G1948" s="2"/>
      <c r="H1948" s="310"/>
      <c r="I1948" s="2"/>
      <c r="O1948" s="2"/>
      <c r="P1948" s="2"/>
    </row>
    <row r="1949" spans="4:16" x14ac:dyDescent="0.25">
      <c r="D1949" s="2"/>
      <c r="E1949" s="310"/>
      <c r="G1949" s="2"/>
      <c r="H1949" s="310"/>
      <c r="I1949" s="2"/>
      <c r="O1949" s="2"/>
      <c r="P1949" s="2"/>
    </row>
    <row r="1950" spans="4:16" x14ac:dyDescent="0.25">
      <c r="D1950" s="2"/>
      <c r="E1950" s="310"/>
      <c r="G1950" s="2"/>
      <c r="H1950" s="310"/>
      <c r="I1950" s="2"/>
      <c r="O1950" s="2"/>
      <c r="P1950" s="2"/>
    </row>
    <row r="1951" spans="4:16" x14ac:dyDescent="0.25">
      <c r="D1951" s="2"/>
      <c r="E1951" s="310"/>
      <c r="G1951" s="2"/>
      <c r="H1951" s="310"/>
      <c r="I1951" s="2"/>
      <c r="O1951" s="2"/>
      <c r="P1951" s="2"/>
    </row>
    <row r="1952" spans="4:16" x14ac:dyDescent="0.25">
      <c r="D1952" s="2"/>
      <c r="E1952" s="310"/>
      <c r="G1952" s="2"/>
      <c r="H1952" s="310"/>
      <c r="I1952" s="2"/>
      <c r="O1952" s="2"/>
      <c r="P1952" s="2"/>
    </row>
    <row r="1953" spans="4:16" x14ac:dyDescent="0.25">
      <c r="D1953" s="2"/>
      <c r="E1953" s="310"/>
      <c r="G1953" s="2"/>
      <c r="H1953" s="310"/>
      <c r="I1953" s="2"/>
      <c r="O1953" s="2"/>
      <c r="P1953" s="2"/>
    </row>
    <row r="1954" spans="4:16" x14ac:dyDescent="0.25">
      <c r="D1954" s="2"/>
      <c r="E1954" s="310"/>
      <c r="G1954" s="2"/>
      <c r="H1954" s="310"/>
      <c r="I1954" s="2"/>
      <c r="O1954" s="2"/>
      <c r="P1954" s="2"/>
    </row>
    <row r="1955" spans="4:16" x14ac:dyDescent="0.25">
      <c r="D1955" s="2"/>
      <c r="E1955" s="310"/>
      <c r="G1955" s="2"/>
      <c r="H1955" s="310"/>
      <c r="I1955" s="2"/>
      <c r="O1955" s="2"/>
      <c r="P1955" s="2"/>
    </row>
    <row r="1956" spans="4:16" x14ac:dyDescent="0.25">
      <c r="D1956" s="2"/>
      <c r="E1956" s="310"/>
      <c r="G1956" s="2"/>
      <c r="H1956" s="310"/>
      <c r="I1956" s="2"/>
      <c r="O1956" s="2"/>
      <c r="P1956" s="2"/>
    </row>
    <row r="1957" spans="4:16" x14ac:dyDescent="0.25">
      <c r="D1957" s="2"/>
      <c r="E1957" s="310"/>
      <c r="G1957" s="2"/>
      <c r="H1957" s="310"/>
      <c r="I1957" s="2"/>
      <c r="O1957" s="2"/>
      <c r="P1957" s="2"/>
    </row>
    <row r="1958" spans="4:16" x14ac:dyDescent="0.25">
      <c r="D1958" s="2"/>
      <c r="E1958" s="310"/>
      <c r="G1958" s="2"/>
      <c r="H1958" s="310"/>
      <c r="I1958" s="2"/>
      <c r="O1958" s="2"/>
      <c r="P1958" s="2"/>
    </row>
    <row r="1959" spans="4:16" x14ac:dyDescent="0.25">
      <c r="D1959" s="2"/>
      <c r="E1959" s="310"/>
      <c r="G1959" s="2"/>
      <c r="H1959" s="310"/>
      <c r="I1959" s="2"/>
      <c r="O1959" s="2"/>
      <c r="P1959" s="2"/>
    </row>
    <row r="1960" spans="4:16" x14ac:dyDescent="0.25">
      <c r="D1960" s="2"/>
      <c r="E1960" s="310"/>
      <c r="G1960" s="2"/>
      <c r="H1960" s="310"/>
      <c r="I1960" s="2"/>
      <c r="O1960" s="2"/>
      <c r="P1960" s="2"/>
    </row>
    <row r="1961" spans="4:16" x14ac:dyDescent="0.25">
      <c r="D1961" s="2"/>
      <c r="E1961" s="310"/>
      <c r="G1961" s="2"/>
      <c r="H1961" s="310"/>
      <c r="I1961" s="2"/>
      <c r="O1961" s="2"/>
      <c r="P1961" s="2"/>
    </row>
    <row r="1962" spans="4:16" x14ac:dyDescent="0.25">
      <c r="D1962" s="2"/>
      <c r="E1962" s="310"/>
      <c r="G1962" s="2"/>
      <c r="H1962" s="310"/>
      <c r="I1962" s="2"/>
      <c r="O1962" s="2"/>
      <c r="P1962" s="2"/>
    </row>
    <row r="1963" spans="4:16" x14ac:dyDescent="0.25">
      <c r="D1963" s="2"/>
      <c r="E1963" s="310"/>
      <c r="G1963" s="2"/>
      <c r="H1963" s="310"/>
      <c r="I1963" s="2"/>
      <c r="O1963" s="2"/>
      <c r="P1963" s="2"/>
    </row>
    <row r="1964" spans="4:16" x14ac:dyDescent="0.25">
      <c r="D1964" s="2"/>
      <c r="E1964" s="310"/>
      <c r="G1964" s="2"/>
      <c r="H1964" s="310"/>
      <c r="I1964" s="2"/>
      <c r="O1964" s="2"/>
      <c r="P1964" s="2"/>
    </row>
    <row r="1965" spans="4:16" x14ac:dyDescent="0.25">
      <c r="D1965" s="2"/>
      <c r="E1965" s="310"/>
      <c r="G1965" s="2"/>
      <c r="H1965" s="310"/>
      <c r="I1965" s="2"/>
      <c r="O1965" s="2"/>
      <c r="P1965" s="2"/>
    </row>
    <row r="1966" spans="4:16" x14ac:dyDescent="0.25">
      <c r="D1966" s="2"/>
      <c r="E1966" s="310"/>
      <c r="G1966" s="2"/>
      <c r="H1966" s="310"/>
      <c r="I1966" s="2"/>
      <c r="O1966" s="2"/>
      <c r="P1966" s="2"/>
    </row>
    <row r="1967" spans="4:16" x14ac:dyDescent="0.25">
      <c r="D1967" s="2"/>
      <c r="E1967" s="310"/>
      <c r="G1967" s="2"/>
      <c r="H1967" s="310"/>
      <c r="I1967" s="2"/>
      <c r="O1967" s="2"/>
      <c r="P1967" s="2"/>
    </row>
    <row r="1968" spans="4:16" x14ac:dyDescent="0.25">
      <c r="D1968" s="2"/>
      <c r="E1968" s="310"/>
      <c r="G1968" s="2"/>
      <c r="H1968" s="310"/>
      <c r="I1968" s="2"/>
      <c r="O1968" s="2"/>
      <c r="P1968" s="2"/>
    </row>
    <row r="1969" spans="4:16" x14ac:dyDescent="0.25">
      <c r="D1969" s="2"/>
      <c r="E1969" s="310"/>
      <c r="G1969" s="2"/>
      <c r="H1969" s="310"/>
      <c r="I1969" s="2"/>
      <c r="O1969" s="2"/>
      <c r="P1969" s="2"/>
    </row>
    <row r="1970" spans="4:16" x14ac:dyDescent="0.25">
      <c r="D1970" s="2"/>
      <c r="E1970" s="310"/>
      <c r="G1970" s="2"/>
      <c r="H1970" s="310"/>
      <c r="I1970" s="2"/>
      <c r="O1970" s="2"/>
      <c r="P1970" s="2"/>
    </row>
    <row r="1971" spans="4:16" x14ac:dyDescent="0.25">
      <c r="D1971" s="2"/>
      <c r="E1971" s="310"/>
      <c r="G1971" s="2"/>
      <c r="H1971" s="310"/>
      <c r="I1971" s="2"/>
      <c r="O1971" s="2"/>
      <c r="P1971" s="2"/>
    </row>
    <row r="1972" spans="4:16" x14ac:dyDescent="0.25">
      <c r="D1972" s="2"/>
      <c r="E1972" s="310"/>
      <c r="G1972" s="2"/>
      <c r="H1972" s="310"/>
      <c r="I1972" s="2"/>
      <c r="O1972" s="2"/>
      <c r="P1972" s="2"/>
    </row>
    <row r="1973" spans="4:16" x14ac:dyDescent="0.25">
      <c r="D1973" s="2"/>
      <c r="E1973" s="310"/>
      <c r="G1973" s="2"/>
      <c r="H1973" s="310"/>
      <c r="I1973" s="2"/>
      <c r="O1973" s="2"/>
      <c r="P1973" s="2"/>
    </row>
    <row r="1974" spans="4:16" x14ac:dyDescent="0.25">
      <c r="D1974" s="2"/>
      <c r="E1974" s="310"/>
      <c r="G1974" s="2"/>
      <c r="H1974" s="310"/>
      <c r="I1974" s="2"/>
      <c r="O1974" s="2"/>
      <c r="P1974" s="2"/>
    </row>
    <row r="1975" spans="4:16" x14ac:dyDescent="0.25">
      <c r="D1975" s="2"/>
      <c r="E1975" s="310"/>
      <c r="G1975" s="2"/>
      <c r="H1975" s="310"/>
      <c r="I1975" s="2"/>
      <c r="O1975" s="2"/>
      <c r="P1975" s="2"/>
    </row>
    <row r="1976" spans="4:16" x14ac:dyDescent="0.25">
      <c r="D1976" s="2"/>
      <c r="E1976" s="310"/>
      <c r="G1976" s="2"/>
      <c r="H1976" s="310"/>
      <c r="I1976" s="2"/>
      <c r="O1976" s="2"/>
      <c r="P1976" s="2"/>
    </row>
    <row r="1977" spans="4:16" x14ac:dyDescent="0.25">
      <c r="D1977" s="2"/>
      <c r="E1977" s="310"/>
      <c r="G1977" s="2"/>
      <c r="H1977" s="310"/>
      <c r="I1977" s="2"/>
      <c r="O1977" s="2"/>
      <c r="P1977" s="2"/>
    </row>
    <row r="1978" spans="4:16" x14ac:dyDescent="0.25">
      <c r="D1978" s="2"/>
      <c r="E1978" s="310"/>
      <c r="G1978" s="2"/>
      <c r="H1978" s="310"/>
      <c r="I1978" s="2"/>
      <c r="O1978" s="2"/>
      <c r="P1978" s="2"/>
    </row>
    <row r="1979" spans="4:16" x14ac:dyDescent="0.25">
      <c r="D1979" s="2"/>
      <c r="E1979" s="310"/>
      <c r="G1979" s="2"/>
      <c r="H1979" s="310"/>
      <c r="I1979" s="2"/>
      <c r="O1979" s="2"/>
      <c r="P1979" s="2"/>
    </row>
    <row r="1980" spans="4:16" x14ac:dyDescent="0.25">
      <c r="D1980" s="2"/>
      <c r="E1980" s="310"/>
      <c r="G1980" s="2"/>
      <c r="H1980" s="310"/>
      <c r="I1980" s="2"/>
      <c r="O1980" s="2"/>
      <c r="P1980" s="2"/>
    </row>
    <row r="1981" spans="4:16" x14ac:dyDescent="0.25">
      <c r="D1981" s="2"/>
      <c r="E1981" s="310"/>
      <c r="G1981" s="2"/>
      <c r="H1981" s="310"/>
      <c r="I1981" s="2"/>
      <c r="O1981" s="2"/>
      <c r="P1981" s="2"/>
    </row>
    <row r="1982" spans="4:16" x14ac:dyDescent="0.25">
      <c r="D1982" s="2"/>
      <c r="E1982" s="310"/>
      <c r="G1982" s="2"/>
      <c r="H1982" s="310"/>
      <c r="I1982" s="2"/>
      <c r="O1982" s="2"/>
      <c r="P1982" s="2"/>
    </row>
    <row r="1983" spans="4:16" x14ac:dyDescent="0.25">
      <c r="D1983" s="2"/>
      <c r="E1983" s="310"/>
      <c r="G1983" s="2"/>
      <c r="H1983" s="310"/>
      <c r="I1983" s="2"/>
      <c r="O1983" s="2"/>
      <c r="P1983" s="2"/>
    </row>
    <row r="1984" spans="4:16" x14ac:dyDescent="0.25">
      <c r="D1984" s="2"/>
      <c r="E1984" s="310"/>
      <c r="G1984" s="2"/>
      <c r="H1984" s="310"/>
      <c r="I1984" s="2"/>
      <c r="O1984" s="2"/>
      <c r="P1984" s="2"/>
    </row>
    <row r="1985" spans="4:16" x14ac:dyDescent="0.25">
      <c r="D1985" s="2"/>
      <c r="E1985" s="310"/>
      <c r="G1985" s="2"/>
      <c r="H1985" s="310"/>
      <c r="I1985" s="2"/>
      <c r="O1985" s="2"/>
      <c r="P1985" s="2"/>
    </row>
    <row r="1986" spans="4:16" x14ac:dyDescent="0.25">
      <c r="D1986" s="2"/>
      <c r="E1986" s="310"/>
      <c r="G1986" s="2"/>
      <c r="H1986" s="310"/>
      <c r="I1986" s="2"/>
      <c r="O1986" s="2"/>
      <c r="P1986" s="2"/>
    </row>
    <row r="1987" spans="4:16" x14ac:dyDescent="0.25">
      <c r="D1987" s="2"/>
      <c r="E1987" s="310"/>
      <c r="G1987" s="2"/>
      <c r="H1987" s="310"/>
      <c r="I1987" s="2"/>
      <c r="O1987" s="2"/>
      <c r="P1987" s="2"/>
    </row>
    <row r="1988" spans="4:16" x14ac:dyDescent="0.25">
      <c r="D1988" s="2"/>
      <c r="E1988" s="310"/>
      <c r="G1988" s="2"/>
      <c r="H1988" s="310"/>
      <c r="I1988" s="2"/>
      <c r="O1988" s="2"/>
      <c r="P1988" s="2"/>
    </row>
    <row r="1989" spans="4:16" x14ac:dyDescent="0.25">
      <c r="D1989" s="2"/>
      <c r="E1989" s="310"/>
      <c r="G1989" s="2"/>
      <c r="H1989" s="310"/>
      <c r="I1989" s="2"/>
      <c r="O1989" s="2"/>
      <c r="P1989" s="2"/>
    </row>
    <row r="1990" spans="4:16" x14ac:dyDescent="0.25">
      <c r="D1990" s="2"/>
      <c r="E1990" s="310"/>
      <c r="G1990" s="2"/>
      <c r="H1990" s="310"/>
      <c r="I1990" s="2"/>
      <c r="O1990" s="2"/>
      <c r="P1990" s="2"/>
    </row>
    <row r="1991" spans="4:16" x14ac:dyDescent="0.25">
      <c r="D1991" s="2"/>
      <c r="E1991" s="310"/>
      <c r="G1991" s="2"/>
      <c r="H1991" s="310"/>
      <c r="I1991" s="2"/>
      <c r="O1991" s="2"/>
      <c r="P1991" s="2"/>
    </row>
    <row r="1992" spans="4:16" x14ac:dyDescent="0.25">
      <c r="D1992" s="2"/>
      <c r="E1992" s="310"/>
      <c r="G1992" s="2"/>
      <c r="H1992" s="310"/>
      <c r="I1992" s="2"/>
      <c r="O1992" s="2"/>
      <c r="P1992" s="2"/>
    </row>
    <row r="1993" spans="4:16" x14ac:dyDescent="0.25">
      <c r="D1993" s="2"/>
      <c r="E1993" s="310"/>
      <c r="G1993" s="2"/>
      <c r="H1993" s="310"/>
      <c r="I1993" s="2"/>
      <c r="O1993" s="2"/>
      <c r="P1993" s="2"/>
    </row>
    <row r="1994" spans="4:16" x14ac:dyDescent="0.25">
      <c r="D1994" s="2"/>
      <c r="E1994" s="310"/>
      <c r="G1994" s="2"/>
      <c r="H1994" s="310"/>
      <c r="I1994" s="2"/>
      <c r="O1994" s="2"/>
      <c r="P1994" s="2"/>
    </row>
    <row r="1995" spans="4:16" x14ac:dyDescent="0.25">
      <c r="D1995" s="2"/>
      <c r="E1995" s="310"/>
      <c r="G1995" s="2"/>
      <c r="H1995" s="310"/>
      <c r="I1995" s="2"/>
      <c r="O1995" s="2"/>
      <c r="P1995" s="2"/>
    </row>
    <row r="1996" spans="4:16" x14ac:dyDescent="0.25">
      <c r="D1996" s="2"/>
      <c r="E1996" s="310"/>
      <c r="G1996" s="2"/>
      <c r="H1996" s="310"/>
      <c r="I1996" s="2"/>
      <c r="O1996" s="2"/>
      <c r="P1996" s="2"/>
    </row>
    <row r="1997" spans="4:16" x14ac:dyDescent="0.25">
      <c r="D1997" s="2"/>
      <c r="E1997" s="310"/>
      <c r="G1997" s="2"/>
      <c r="H1997" s="310"/>
      <c r="I1997" s="2"/>
      <c r="O1997" s="2"/>
      <c r="P1997" s="2"/>
    </row>
    <row r="1998" spans="4:16" x14ac:dyDescent="0.25">
      <c r="D1998" s="2"/>
      <c r="E1998" s="310"/>
      <c r="G1998" s="2"/>
      <c r="H1998" s="310"/>
      <c r="I1998" s="2"/>
      <c r="O1998" s="2"/>
      <c r="P1998" s="2"/>
    </row>
    <row r="1999" spans="4:16" x14ac:dyDescent="0.25">
      <c r="D1999" s="2"/>
      <c r="E1999" s="310"/>
      <c r="G1999" s="2"/>
      <c r="H1999" s="310"/>
      <c r="I1999" s="2"/>
      <c r="O1999" s="2"/>
      <c r="P1999" s="2"/>
    </row>
    <row r="2000" spans="4:16" x14ac:dyDescent="0.25">
      <c r="D2000" s="2"/>
      <c r="E2000" s="310"/>
      <c r="G2000" s="2"/>
      <c r="H2000" s="310"/>
      <c r="I2000" s="2"/>
      <c r="O2000" s="2"/>
      <c r="P2000" s="2"/>
    </row>
    <row r="2001" spans="4:16" x14ac:dyDescent="0.25">
      <c r="D2001" s="2"/>
      <c r="E2001" s="310"/>
      <c r="G2001" s="2"/>
      <c r="H2001" s="310"/>
      <c r="I2001" s="2"/>
      <c r="O2001" s="2"/>
      <c r="P2001" s="2"/>
    </row>
    <row r="2002" spans="4:16" x14ac:dyDescent="0.25">
      <c r="D2002" s="2"/>
      <c r="E2002" s="310"/>
      <c r="G2002" s="2"/>
      <c r="H2002" s="310"/>
      <c r="I2002" s="2"/>
      <c r="O2002" s="2"/>
      <c r="P2002" s="2"/>
    </row>
    <row r="2003" spans="4:16" x14ac:dyDescent="0.25">
      <c r="D2003" s="2"/>
      <c r="E2003" s="310"/>
      <c r="G2003" s="2"/>
      <c r="H2003" s="310"/>
      <c r="I2003" s="2"/>
      <c r="O2003" s="2"/>
      <c r="P2003" s="2"/>
    </row>
    <row r="2004" spans="4:16" x14ac:dyDescent="0.25">
      <c r="D2004" s="2"/>
      <c r="E2004" s="310"/>
      <c r="G2004" s="2"/>
      <c r="H2004" s="310"/>
      <c r="I2004" s="2"/>
      <c r="O2004" s="2"/>
      <c r="P2004" s="2"/>
    </row>
    <row r="2005" spans="4:16" x14ac:dyDescent="0.25">
      <c r="D2005" s="2"/>
      <c r="E2005" s="310"/>
      <c r="G2005" s="2"/>
      <c r="H2005" s="310"/>
      <c r="I2005" s="2"/>
      <c r="O2005" s="2"/>
      <c r="P2005" s="2"/>
    </row>
    <row r="2006" spans="4:16" x14ac:dyDescent="0.25">
      <c r="D2006" s="2"/>
      <c r="E2006" s="310"/>
      <c r="G2006" s="2"/>
      <c r="H2006" s="310"/>
      <c r="I2006" s="2"/>
      <c r="O2006" s="2"/>
      <c r="P2006" s="2"/>
    </row>
    <row r="2007" spans="4:16" x14ac:dyDescent="0.25">
      <c r="D2007" s="2"/>
      <c r="E2007" s="310"/>
      <c r="G2007" s="2"/>
      <c r="H2007" s="310"/>
      <c r="I2007" s="2"/>
      <c r="O2007" s="2"/>
      <c r="P2007" s="2"/>
    </row>
    <row r="2008" spans="4:16" x14ac:dyDescent="0.25">
      <c r="D2008" s="2"/>
      <c r="E2008" s="310"/>
      <c r="G2008" s="2"/>
      <c r="H2008" s="310"/>
      <c r="I2008" s="2"/>
      <c r="O2008" s="2"/>
      <c r="P2008" s="2"/>
    </row>
    <row r="2009" spans="4:16" x14ac:dyDescent="0.25">
      <c r="D2009" s="2"/>
      <c r="E2009" s="310"/>
      <c r="G2009" s="2"/>
      <c r="H2009" s="310"/>
      <c r="I2009" s="2"/>
      <c r="O2009" s="2"/>
      <c r="P2009" s="2"/>
    </row>
    <row r="2010" spans="4:16" x14ac:dyDescent="0.25">
      <c r="D2010" s="2"/>
      <c r="E2010" s="310"/>
      <c r="G2010" s="2"/>
      <c r="H2010" s="310"/>
      <c r="I2010" s="2"/>
      <c r="O2010" s="2"/>
      <c r="P2010" s="2"/>
    </row>
    <row r="2011" spans="4:16" x14ac:dyDescent="0.25">
      <c r="D2011" s="2"/>
      <c r="E2011" s="310"/>
      <c r="G2011" s="2"/>
      <c r="H2011" s="310"/>
      <c r="I2011" s="2"/>
      <c r="O2011" s="2"/>
      <c r="P2011" s="2"/>
    </row>
    <row r="2012" spans="4:16" x14ac:dyDescent="0.25">
      <c r="D2012" s="2"/>
      <c r="E2012" s="310"/>
      <c r="G2012" s="2"/>
      <c r="H2012" s="310"/>
      <c r="I2012" s="2"/>
      <c r="O2012" s="2"/>
      <c r="P2012" s="2"/>
    </row>
    <row r="2013" spans="4:16" x14ac:dyDescent="0.25">
      <c r="D2013" s="2"/>
      <c r="E2013" s="310"/>
      <c r="G2013" s="2"/>
      <c r="H2013" s="310"/>
      <c r="I2013" s="2"/>
      <c r="O2013" s="2"/>
      <c r="P2013" s="2"/>
    </row>
    <row r="2014" spans="4:16" x14ac:dyDescent="0.25">
      <c r="D2014" s="2"/>
      <c r="E2014" s="310"/>
      <c r="G2014" s="2"/>
      <c r="H2014" s="310"/>
      <c r="I2014" s="2"/>
      <c r="O2014" s="2"/>
      <c r="P2014" s="2"/>
    </row>
    <row r="2015" spans="4:16" x14ac:dyDescent="0.25">
      <c r="D2015" s="2"/>
      <c r="E2015" s="310"/>
      <c r="G2015" s="2"/>
      <c r="H2015" s="310"/>
      <c r="I2015" s="2"/>
      <c r="O2015" s="2"/>
      <c r="P2015" s="2"/>
    </row>
    <row r="2016" spans="4:16" x14ac:dyDescent="0.25">
      <c r="D2016" s="2"/>
      <c r="E2016" s="310"/>
      <c r="G2016" s="2"/>
      <c r="H2016" s="310"/>
      <c r="I2016" s="2"/>
      <c r="O2016" s="2"/>
      <c r="P2016" s="2"/>
    </row>
    <row r="2017" spans="4:16" x14ac:dyDescent="0.25">
      <c r="D2017" s="2"/>
      <c r="E2017" s="310"/>
      <c r="G2017" s="2"/>
      <c r="H2017" s="310"/>
      <c r="I2017" s="2"/>
      <c r="O2017" s="2"/>
      <c r="P2017" s="2"/>
    </row>
    <row r="2018" spans="4:16" x14ac:dyDescent="0.25">
      <c r="D2018" s="2"/>
      <c r="E2018" s="310"/>
      <c r="G2018" s="2"/>
      <c r="H2018" s="310"/>
      <c r="I2018" s="2"/>
      <c r="O2018" s="2"/>
      <c r="P2018" s="2"/>
    </row>
    <row r="2019" spans="4:16" x14ac:dyDescent="0.25">
      <c r="D2019" s="2"/>
      <c r="E2019" s="310"/>
      <c r="G2019" s="2"/>
      <c r="H2019" s="310"/>
      <c r="I2019" s="2"/>
      <c r="O2019" s="2"/>
      <c r="P2019" s="2"/>
    </row>
    <row r="2020" spans="4:16" x14ac:dyDescent="0.25">
      <c r="D2020" s="2"/>
      <c r="E2020" s="310"/>
      <c r="G2020" s="2"/>
      <c r="H2020" s="310"/>
      <c r="I2020" s="2"/>
      <c r="O2020" s="2"/>
      <c r="P2020" s="2"/>
    </row>
    <row r="2021" spans="4:16" x14ac:dyDescent="0.25">
      <c r="D2021" s="2"/>
      <c r="E2021" s="310"/>
      <c r="G2021" s="2"/>
      <c r="H2021" s="310"/>
      <c r="I2021" s="2"/>
      <c r="O2021" s="2"/>
      <c r="P2021" s="2"/>
    </row>
    <row r="2022" spans="4:16" x14ac:dyDescent="0.25">
      <c r="D2022" s="2"/>
      <c r="E2022" s="310"/>
      <c r="G2022" s="2"/>
      <c r="H2022" s="310"/>
      <c r="I2022" s="2"/>
      <c r="O2022" s="2"/>
      <c r="P2022" s="2"/>
    </row>
    <row r="2023" spans="4:16" x14ac:dyDescent="0.25">
      <c r="D2023" s="2"/>
      <c r="E2023" s="310"/>
      <c r="G2023" s="2"/>
      <c r="H2023" s="310"/>
      <c r="I2023" s="2"/>
      <c r="O2023" s="2"/>
      <c r="P2023" s="2"/>
    </row>
    <row r="2024" spans="4:16" x14ac:dyDescent="0.25">
      <c r="D2024" s="2"/>
      <c r="E2024" s="310"/>
      <c r="G2024" s="2"/>
      <c r="H2024" s="310"/>
      <c r="I2024" s="2"/>
      <c r="O2024" s="2"/>
      <c r="P2024" s="2"/>
    </row>
    <row r="2025" spans="4:16" x14ac:dyDescent="0.25">
      <c r="D2025" s="2"/>
      <c r="E2025" s="310"/>
      <c r="G2025" s="2"/>
      <c r="H2025" s="310"/>
      <c r="I2025" s="2"/>
      <c r="O2025" s="2"/>
      <c r="P2025" s="2"/>
    </row>
    <row r="2026" spans="4:16" x14ac:dyDescent="0.25">
      <c r="D2026" s="2"/>
      <c r="E2026" s="310"/>
      <c r="G2026" s="2"/>
      <c r="H2026" s="310"/>
      <c r="I2026" s="2"/>
      <c r="O2026" s="2"/>
      <c r="P2026" s="2"/>
    </row>
    <row r="2027" spans="4:16" x14ac:dyDescent="0.25">
      <c r="D2027" s="2"/>
      <c r="E2027" s="310"/>
      <c r="G2027" s="2"/>
      <c r="H2027" s="310"/>
      <c r="I2027" s="2"/>
      <c r="O2027" s="2"/>
      <c r="P2027" s="2"/>
    </row>
    <row r="2028" spans="4:16" x14ac:dyDescent="0.25">
      <c r="D2028" s="2"/>
      <c r="E2028" s="310"/>
      <c r="G2028" s="2"/>
      <c r="H2028" s="310"/>
      <c r="I2028" s="2"/>
      <c r="O2028" s="2"/>
      <c r="P2028" s="2"/>
    </row>
    <row r="2029" spans="4:16" x14ac:dyDescent="0.25">
      <c r="D2029" s="2"/>
      <c r="E2029" s="310"/>
      <c r="G2029" s="2"/>
      <c r="H2029" s="310"/>
      <c r="I2029" s="2"/>
      <c r="O2029" s="2"/>
      <c r="P2029" s="2"/>
    </row>
    <row r="2030" spans="4:16" x14ac:dyDescent="0.25">
      <c r="D2030" s="2"/>
      <c r="E2030" s="310"/>
      <c r="G2030" s="2"/>
      <c r="H2030" s="310"/>
      <c r="I2030" s="2"/>
      <c r="O2030" s="2"/>
      <c r="P2030" s="2"/>
    </row>
    <row r="2031" spans="4:16" x14ac:dyDescent="0.25">
      <c r="D2031" s="2"/>
      <c r="E2031" s="310"/>
      <c r="G2031" s="2"/>
      <c r="H2031" s="310"/>
      <c r="I2031" s="2"/>
      <c r="O2031" s="2"/>
      <c r="P2031" s="2"/>
    </row>
    <row r="2032" spans="4:16" x14ac:dyDescent="0.25">
      <c r="D2032" s="2"/>
      <c r="E2032" s="310"/>
      <c r="G2032" s="2"/>
      <c r="H2032" s="310"/>
      <c r="I2032" s="2"/>
      <c r="O2032" s="2"/>
      <c r="P2032" s="2"/>
    </row>
    <row r="2033" spans="4:16" x14ac:dyDescent="0.25">
      <c r="D2033" s="2"/>
      <c r="E2033" s="310"/>
      <c r="G2033" s="2"/>
      <c r="H2033" s="310"/>
      <c r="I2033" s="2"/>
      <c r="O2033" s="2"/>
      <c r="P2033" s="2"/>
    </row>
    <row r="2034" spans="4:16" x14ac:dyDescent="0.25">
      <c r="D2034" s="2"/>
      <c r="E2034" s="310"/>
      <c r="G2034" s="2"/>
      <c r="H2034" s="310"/>
      <c r="I2034" s="2"/>
      <c r="O2034" s="2"/>
      <c r="P2034" s="2"/>
    </row>
    <row r="2035" spans="4:16" x14ac:dyDescent="0.25">
      <c r="D2035" s="2"/>
      <c r="E2035" s="310"/>
      <c r="G2035" s="2"/>
      <c r="H2035" s="310"/>
      <c r="I2035" s="2"/>
      <c r="O2035" s="2"/>
      <c r="P2035" s="2"/>
    </row>
    <row r="2036" spans="4:16" x14ac:dyDescent="0.25">
      <c r="D2036" s="2"/>
      <c r="E2036" s="310"/>
      <c r="G2036" s="2"/>
      <c r="H2036" s="310"/>
      <c r="I2036" s="2"/>
      <c r="O2036" s="2"/>
      <c r="P2036" s="2"/>
    </row>
    <row r="2037" spans="4:16" x14ac:dyDescent="0.25">
      <c r="D2037" s="2"/>
      <c r="E2037" s="310"/>
      <c r="G2037" s="2"/>
      <c r="H2037" s="310"/>
      <c r="I2037" s="2"/>
      <c r="O2037" s="2"/>
      <c r="P2037" s="2"/>
    </row>
    <row r="2038" spans="4:16" x14ac:dyDescent="0.25">
      <c r="D2038" s="2"/>
      <c r="E2038" s="310"/>
      <c r="G2038" s="2"/>
      <c r="H2038" s="310"/>
      <c r="I2038" s="2"/>
      <c r="O2038" s="2"/>
      <c r="P2038" s="2"/>
    </row>
    <row r="2039" spans="4:16" x14ac:dyDescent="0.25">
      <c r="D2039" s="2"/>
      <c r="E2039" s="310"/>
      <c r="G2039" s="2"/>
      <c r="H2039" s="310"/>
      <c r="I2039" s="2"/>
      <c r="O2039" s="2"/>
      <c r="P2039" s="2"/>
    </row>
    <row r="2040" spans="4:16" x14ac:dyDescent="0.25">
      <c r="D2040" s="2"/>
      <c r="E2040" s="310"/>
      <c r="G2040" s="2"/>
      <c r="H2040" s="310"/>
      <c r="I2040" s="2"/>
      <c r="O2040" s="2"/>
      <c r="P2040" s="2"/>
    </row>
    <row r="2041" spans="4:16" x14ac:dyDescent="0.25">
      <c r="D2041" s="2"/>
      <c r="E2041" s="310"/>
      <c r="G2041" s="2"/>
      <c r="H2041" s="310"/>
      <c r="I2041" s="2"/>
      <c r="O2041" s="2"/>
      <c r="P2041" s="2"/>
    </row>
    <row r="2042" spans="4:16" x14ac:dyDescent="0.25">
      <c r="D2042" s="2"/>
      <c r="E2042" s="310"/>
      <c r="G2042" s="2"/>
      <c r="H2042" s="310"/>
      <c r="I2042" s="2"/>
      <c r="O2042" s="2"/>
      <c r="P2042" s="2"/>
    </row>
    <row r="2043" spans="4:16" x14ac:dyDescent="0.25">
      <c r="D2043" s="2"/>
      <c r="E2043" s="310"/>
      <c r="G2043" s="2"/>
      <c r="H2043" s="310"/>
      <c r="I2043" s="2"/>
      <c r="O2043" s="2"/>
      <c r="P2043" s="2"/>
    </row>
    <row r="2044" spans="4:16" x14ac:dyDescent="0.25">
      <c r="D2044" s="2"/>
      <c r="E2044" s="310"/>
      <c r="G2044" s="2"/>
      <c r="H2044" s="310"/>
      <c r="I2044" s="2"/>
      <c r="O2044" s="2"/>
      <c r="P2044" s="2"/>
    </row>
    <row r="2045" spans="4:16" x14ac:dyDescent="0.25">
      <c r="D2045" s="2"/>
      <c r="E2045" s="310"/>
      <c r="G2045" s="2"/>
      <c r="H2045" s="310"/>
      <c r="I2045" s="2"/>
      <c r="O2045" s="2"/>
      <c r="P2045" s="2"/>
    </row>
    <row r="2046" spans="4:16" x14ac:dyDescent="0.25">
      <c r="D2046" s="2"/>
      <c r="E2046" s="310"/>
      <c r="G2046" s="2"/>
      <c r="H2046" s="310"/>
      <c r="I2046" s="2"/>
      <c r="O2046" s="2"/>
      <c r="P2046" s="2"/>
    </row>
    <row r="2047" spans="4:16" x14ac:dyDescent="0.25">
      <c r="D2047" s="2"/>
      <c r="E2047" s="310"/>
      <c r="G2047" s="2"/>
      <c r="H2047" s="310"/>
      <c r="I2047" s="2"/>
      <c r="O2047" s="2"/>
      <c r="P2047" s="2"/>
    </row>
    <row r="2048" spans="4:16" x14ac:dyDescent="0.25">
      <c r="D2048" s="2"/>
      <c r="E2048" s="310"/>
      <c r="G2048" s="2"/>
      <c r="H2048" s="310"/>
      <c r="I2048" s="2"/>
      <c r="O2048" s="2"/>
      <c r="P2048" s="2"/>
    </row>
    <row r="2049" spans="4:16" x14ac:dyDescent="0.25">
      <c r="D2049" s="2"/>
      <c r="E2049" s="310"/>
      <c r="G2049" s="2"/>
      <c r="H2049" s="310"/>
      <c r="I2049" s="2"/>
      <c r="O2049" s="2"/>
      <c r="P2049" s="2"/>
    </row>
    <row r="2050" spans="4:16" x14ac:dyDescent="0.25">
      <c r="D2050" s="2"/>
      <c r="E2050" s="310"/>
      <c r="G2050" s="2"/>
      <c r="H2050" s="310"/>
      <c r="I2050" s="2"/>
      <c r="O2050" s="2"/>
      <c r="P2050" s="2"/>
    </row>
    <row r="2051" spans="4:16" x14ac:dyDescent="0.25">
      <c r="D2051" s="2"/>
      <c r="E2051" s="310"/>
      <c r="G2051" s="2"/>
      <c r="H2051" s="310"/>
      <c r="I2051" s="2"/>
      <c r="O2051" s="2"/>
      <c r="P2051" s="2"/>
    </row>
    <row r="2052" spans="4:16" x14ac:dyDescent="0.25">
      <c r="D2052" s="2"/>
      <c r="E2052" s="310"/>
      <c r="G2052" s="2"/>
      <c r="H2052" s="310"/>
      <c r="I2052" s="2"/>
      <c r="O2052" s="2"/>
      <c r="P2052" s="2"/>
    </row>
    <row r="2053" spans="4:16" x14ac:dyDescent="0.25">
      <c r="D2053" s="2"/>
      <c r="E2053" s="310"/>
      <c r="G2053" s="2"/>
      <c r="H2053" s="310"/>
      <c r="I2053" s="2"/>
      <c r="O2053" s="2"/>
      <c r="P2053" s="2"/>
    </row>
    <row r="2054" spans="4:16" x14ac:dyDescent="0.25">
      <c r="D2054" s="2"/>
      <c r="E2054" s="310"/>
      <c r="G2054" s="2"/>
      <c r="H2054" s="310"/>
      <c r="I2054" s="2"/>
      <c r="O2054" s="2"/>
      <c r="P2054" s="2"/>
    </row>
    <row r="2055" spans="4:16" x14ac:dyDescent="0.25">
      <c r="D2055" s="2"/>
      <c r="E2055" s="310"/>
      <c r="G2055" s="2"/>
      <c r="H2055" s="310"/>
      <c r="I2055" s="2"/>
      <c r="O2055" s="2"/>
      <c r="P2055" s="2"/>
    </row>
    <row r="2056" spans="4:16" x14ac:dyDescent="0.25">
      <c r="D2056" s="2"/>
      <c r="E2056" s="310"/>
      <c r="G2056" s="2"/>
      <c r="H2056" s="310"/>
      <c r="I2056" s="2"/>
      <c r="O2056" s="2"/>
      <c r="P2056" s="2"/>
    </row>
    <row r="2057" spans="4:16" x14ac:dyDescent="0.25">
      <c r="D2057" s="2"/>
      <c r="E2057" s="310"/>
      <c r="G2057" s="2"/>
      <c r="H2057" s="310"/>
      <c r="I2057" s="2"/>
      <c r="O2057" s="2"/>
      <c r="P2057" s="2"/>
    </row>
    <row r="2058" spans="4:16" x14ac:dyDescent="0.25">
      <c r="D2058" s="2"/>
      <c r="E2058" s="310"/>
      <c r="G2058" s="2"/>
      <c r="H2058" s="310"/>
      <c r="I2058" s="2"/>
      <c r="O2058" s="2"/>
      <c r="P2058" s="2"/>
    </row>
    <row r="2059" spans="4:16" x14ac:dyDescent="0.25">
      <c r="D2059" s="2"/>
      <c r="E2059" s="310"/>
      <c r="G2059" s="2"/>
      <c r="H2059" s="310"/>
      <c r="I2059" s="2"/>
      <c r="O2059" s="2"/>
      <c r="P2059" s="2"/>
    </row>
    <row r="2060" spans="4:16" x14ac:dyDescent="0.25">
      <c r="D2060" s="2"/>
      <c r="E2060" s="310"/>
      <c r="G2060" s="2"/>
      <c r="H2060" s="310"/>
      <c r="I2060" s="2"/>
      <c r="O2060" s="2"/>
      <c r="P2060" s="2"/>
    </row>
    <row r="2061" spans="4:16" x14ac:dyDescent="0.25">
      <c r="D2061" s="2"/>
      <c r="E2061" s="310"/>
      <c r="G2061" s="2"/>
      <c r="H2061" s="310"/>
      <c r="I2061" s="2"/>
      <c r="O2061" s="2"/>
      <c r="P2061" s="2"/>
    </row>
    <row r="2062" spans="4:16" x14ac:dyDescent="0.25">
      <c r="D2062" s="2"/>
      <c r="E2062" s="310"/>
      <c r="G2062" s="2"/>
      <c r="H2062" s="310"/>
      <c r="I2062" s="2"/>
      <c r="O2062" s="2"/>
      <c r="P2062" s="2"/>
    </row>
    <row r="2063" spans="4:16" x14ac:dyDescent="0.25">
      <c r="D2063" s="2"/>
      <c r="E2063" s="310"/>
      <c r="G2063" s="2"/>
      <c r="H2063" s="310"/>
      <c r="I2063" s="2"/>
      <c r="O2063" s="2"/>
      <c r="P2063" s="2"/>
    </row>
    <row r="2064" spans="4:16" x14ac:dyDescent="0.25">
      <c r="D2064" s="2"/>
      <c r="E2064" s="310"/>
      <c r="G2064" s="2"/>
      <c r="H2064" s="310"/>
      <c r="I2064" s="2"/>
      <c r="O2064" s="2"/>
      <c r="P2064" s="2"/>
    </row>
    <row r="2065" spans="4:16" x14ac:dyDescent="0.25">
      <c r="D2065" s="2"/>
      <c r="E2065" s="310"/>
      <c r="G2065" s="2"/>
      <c r="H2065" s="310"/>
      <c r="I2065" s="2"/>
      <c r="O2065" s="2"/>
      <c r="P2065" s="2"/>
    </row>
    <row r="2066" spans="4:16" x14ac:dyDescent="0.25">
      <c r="D2066" s="2"/>
      <c r="E2066" s="310"/>
      <c r="G2066" s="2"/>
      <c r="H2066" s="310"/>
      <c r="I2066" s="2"/>
      <c r="O2066" s="2"/>
      <c r="P2066" s="2"/>
    </row>
    <row r="2067" spans="4:16" x14ac:dyDescent="0.25">
      <c r="D2067" s="2"/>
      <c r="E2067" s="310"/>
      <c r="G2067" s="2"/>
      <c r="H2067" s="310"/>
      <c r="I2067" s="2"/>
      <c r="O2067" s="2"/>
      <c r="P2067" s="2"/>
    </row>
    <row r="2068" spans="4:16" x14ac:dyDescent="0.25">
      <c r="D2068" s="2"/>
      <c r="E2068" s="310"/>
      <c r="G2068" s="2"/>
      <c r="H2068" s="310"/>
      <c r="I2068" s="2"/>
      <c r="O2068" s="2"/>
      <c r="P2068" s="2"/>
    </row>
    <row r="2069" spans="4:16" x14ac:dyDescent="0.25">
      <c r="D2069" s="2"/>
      <c r="E2069" s="310"/>
      <c r="G2069" s="2"/>
      <c r="H2069" s="310"/>
      <c r="I2069" s="2"/>
      <c r="O2069" s="2"/>
      <c r="P2069" s="2"/>
    </row>
    <row r="2070" spans="4:16" x14ac:dyDescent="0.25">
      <c r="D2070" s="2"/>
      <c r="E2070" s="310"/>
      <c r="G2070" s="2"/>
      <c r="H2070" s="310"/>
      <c r="I2070" s="2"/>
      <c r="O2070" s="2"/>
      <c r="P2070" s="2"/>
    </row>
    <row r="2071" spans="4:16" x14ac:dyDescent="0.25">
      <c r="D2071" s="2"/>
      <c r="E2071" s="310"/>
      <c r="G2071" s="2"/>
      <c r="H2071" s="310"/>
      <c r="I2071" s="2"/>
      <c r="O2071" s="2"/>
      <c r="P2071" s="2"/>
    </row>
    <row r="2072" spans="4:16" x14ac:dyDescent="0.25">
      <c r="D2072" s="2"/>
      <c r="E2072" s="310"/>
      <c r="G2072" s="2"/>
      <c r="H2072" s="310"/>
      <c r="I2072" s="2"/>
      <c r="O2072" s="2"/>
      <c r="P2072" s="2"/>
    </row>
    <row r="2073" spans="4:16" x14ac:dyDescent="0.25">
      <c r="D2073" s="2"/>
      <c r="E2073" s="310"/>
      <c r="G2073" s="2"/>
      <c r="H2073" s="310"/>
      <c r="I2073" s="2"/>
      <c r="O2073" s="2"/>
      <c r="P2073" s="2"/>
    </row>
    <row r="2074" spans="4:16" x14ac:dyDescent="0.25">
      <c r="D2074" s="2"/>
      <c r="E2074" s="310"/>
      <c r="G2074" s="2"/>
      <c r="H2074" s="310"/>
      <c r="I2074" s="2"/>
      <c r="O2074" s="2"/>
      <c r="P2074" s="2"/>
    </row>
    <row r="2075" spans="4:16" x14ac:dyDescent="0.25">
      <c r="D2075" s="2"/>
      <c r="E2075" s="310"/>
      <c r="G2075" s="2"/>
      <c r="H2075" s="310"/>
      <c r="I2075" s="2"/>
      <c r="O2075" s="2"/>
      <c r="P2075" s="2"/>
    </row>
    <row r="2076" spans="4:16" x14ac:dyDescent="0.25">
      <c r="D2076" s="2"/>
      <c r="E2076" s="310"/>
      <c r="G2076" s="2"/>
      <c r="H2076" s="310"/>
      <c r="I2076" s="2"/>
      <c r="O2076" s="2"/>
      <c r="P2076" s="2"/>
    </row>
    <row r="2077" spans="4:16" x14ac:dyDescent="0.25">
      <c r="D2077" s="2"/>
      <c r="E2077" s="310"/>
      <c r="G2077" s="2"/>
      <c r="H2077" s="310"/>
      <c r="I2077" s="2"/>
      <c r="O2077" s="2"/>
      <c r="P2077" s="2"/>
    </row>
    <row r="2078" spans="4:16" x14ac:dyDescent="0.25">
      <c r="D2078" s="2"/>
      <c r="E2078" s="310"/>
      <c r="G2078" s="2"/>
      <c r="H2078" s="310"/>
      <c r="I2078" s="2"/>
      <c r="O2078" s="2"/>
      <c r="P2078" s="2"/>
    </row>
    <row r="2079" spans="4:16" x14ac:dyDescent="0.25">
      <c r="D2079" s="2"/>
      <c r="E2079" s="310"/>
      <c r="G2079" s="2"/>
      <c r="H2079" s="310"/>
      <c r="I2079" s="2"/>
      <c r="O2079" s="2"/>
      <c r="P2079" s="2"/>
    </row>
    <row r="2080" spans="4:16" x14ac:dyDescent="0.25">
      <c r="D2080" s="2"/>
      <c r="E2080" s="310"/>
      <c r="G2080" s="2"/>
      <c r="H2080" s="310"/>
      <c r="I2080" s="2"/>
      <c r="O2080" s="2"/>
      <c r="P2080" s="2"/>
    </row>
    <row r="2081" spans="4:16" x14ac:dyDescent="0.25">
      <c r="D2081" s="2"/>
      <c r="E2081" s="310"/>
      <c r="G2081" s="2"/>
      <c r="H2081" s="310"/>
      <c r="I2081" s="2"/>
      <c r="O2081" s="2"/>
      <c r="P2081" s="2"/>
    </row>
    <row r="2082" spans="4:16" x14ac:dyDescent="0.25">
      <c r="D2082" s="2"/>
      <c r="E2082" s="310"/>
      <c r="G2082" s="2"/>
      <c r="H2082" s="310"/>
      <c r="I2082" s="2"/>
      <c r="O2082" s="2"/>
      <c r="P2082" s="2"/>
    </row>
    <row r="2083" spans="4:16" x14ac:dyDescent="0.25">
      <c r="D2083" s="2"/>
      <c r="E2083" s="310"/>
      <c r="G2083" s="2"/>
      <c r="H2083" s="310"/>
      <c r="I2083" s="2"/>
      <c r="O2083" s="2"/>
      <c r="P2083" s="2"/>
    </row>
    <row r="2084" spans="4:16" x14ac:dyDescent="0.25">
      <c r="D2084" s="2"/>
      <c r="E2084" s="310"/>
      <c r="G2084" s="2"/>
      <c r="H2084" s="310"/>
      <c r="I2084" s="2"/>
      <c r="O2084" s="2"/>
      <c r="P2084" s="2"/>
    </row>
    <row r="2085" spans="4:16" x14ac:dyDescent="0.25">
      <c r="D2085" s="2"/>
      <c r="E2085" s="310"/>
      <c r="G2085" s="2"/>
      <c r="H2085" s="310"/>
      <c r="I2085" s="2"/>
      <c r="O2085" s="2"/>
      <c r="P2085" s="2"/>
    </row>
    <row r="2086" spans="4:16" x14ac:dyDescent="0.25">
      <c r="D2086" s="2"/>
      <c r="E2086" s="310"/>
      <c r="G2086" s="2"/>
      <c r="H2086" s="310"/>
      <c r="I2086" s="2"/>
      <c r="O2086" s="2"/>
      <c r="P2086" s="2"/>
    </row>
    <row r="2087" spans="4:16" x14ac:dyDescent="0.25">
      <c r="D2087" s="2"/>
      <c r="E2087" s="310"/>
      <c r="G2087" s="2"/>
      <c r="H2087" s="310"/>
      <c r="I2087" s="2"/>
      <c r="O2087" s="2"/>
      <c r="P2087" s="2"/>
    </row>
    <row r="2088" spans="4:16" x14ac:dyDescent="0.25">
      <c r="D2088" s="2"/>
      <c r="E2088" s="310"/>
      <c r="G2088" s="2"/>
      <c r="H2088" s="310"/>
      <c r="I2088" s="2"/>
      <c r="O2088" s="2"/>
      <c r="P2088" s="2"/>
    </row>
    <row r="2089" spans="4:16" x14ac:dyDescent="0.25">
      <c r="D2089" s="2"/>
      <c r="E2089" s="310"/>
      <c r="G2089" s="2"/>
      <c r="H2089" s="310"/>
      <c r="I2089" s="2"/>
      <c r="O2089" s="2"/>
      <c r="P2089" s="2"/>
    </row>
    <row r="2090" spans="4:16" x14ac:dyDescent="0.25">
      <c r="D2090" s="2"/>
      <c r="E2090" s="310"/>
      <c r="G2090" s="2"/>
      <c r="H2090" s="310"/>
      <c r="I2090" s="2"/>
      <c r="O2090" s="2"/>
      <c r="P2090" s="2"/>
    </row>
    <row r="2091" spans="4:16" x14ac:dyDescent="0.25">
      <c r="D2091" s="2"/>
      <c r="E2091" s="310"/>
      <c r="G2091" s="2"/>
      <c r="H2091" s="310"/>
      <c r="I2091" s="2"/>
      <c r="O2091" s="2"/>
      <c r="P2091" s="2"/>
    </row>
    <row r="2092" spans="4:16" x14ac:dyDescent="0.25">
      <c r="D2092" s="2"/>
      <c r="E2092" s="310"/>
      <c r="G2092" s="2"/>
      <c r="H2092" s="310"/>
      <c r="I2092" s="2"/>
      <c r="O2092" s="2"/>
      <c r="P2092" s="2"/>
    </row>
    <row r="2093" spans="4:16" x14ac:dyDescent="0.25">
      <c r="D2093" s="2"/>
      <c r="E2093" s="310"/>
      <c r="G2093" s="2"/>
      <c r="H2093" s="310"/>
      <c r="I2093" s="2"/>
      <c r="O2093" s="2"/>
      <c r="P2093" s="2"/>
    </row>
    <row r="2094" spans="4:16" x14ac:dyDescent="0.25">
      <c r="D2094" s="2"/>
      <c r="E2094" s="310"/>
      <c r="G2094" s="2"/>
      <c r="H2094" s="310"/>
      <c r="I2094" s="2"/>
      <c r="O2094" s="2"/>
      <c r="P2094" s="2"/>
    </row>
    <row r="2095" spans="4:16" x14ac:dyDescent="0.25">
      <c r="D2095" s="2"/>
      <c r="E2095" s="310"/>
      <c r="G2095" s="2"/>
      <c r="H2095" s="310"/>
      <c r="I2095" s="2"/>
      <c r="O2095" s="2"/>
      <c r="P2095" s="2"/>
    </row>
    <row r="2096" spans="4:16" x14ac:dyDescent="0.25">
      <c r="D2096" s="2"/>
      <c r="E2096" s="310"/>
      <c r="G2096" s="2"/>
      <c r="H2096" s="310"/>
      <c r="I2096" s="2"/>
      <c r="O2096" s="2"/>
      <c r="P2096" s="2"/>
    </row>
    <row r="2097" spans="4:16" x14ac:dyDescent="0.25">
      <c r="D2097" s="2"/>
      <c r="E2097" s="310"/>
      <c r="G2097" s="2"/>
      <c r="H2097" s="310"/>
      <c r="I2097" s="2"/>
      <c r="O2097" s="2"/>
      <c r="P2097" s="2"/>
    </row>
    <row r="2098" spans="4:16" x14ac:dyDescent="0.25">
      <c r="D2098" s="2"/>
      <c r="E2098" s="310"/>
      <c r="G2098" s="2"/>
      <c r="H2098" s="310"/>
      <c r="I2098" s="2"/>
      <c r="O2098" s="2"/>
      <c r="P2098" s="2"/>
    </row>
    <row r="2099" spans="4:16" x14ac:dyDescent="0.25">
      <c r="D2099" s="2"/>
      <c r="E2099" s="310"/>
      <c r="G2099" s="2"/>
      <c r="H2099" s="310"/>
      <c r="I2099" s="2"/>
      <c r="O2099" s="2"/>
      <c r="P2099" s="2"/>
    </row>
    <row r="2100" spans="4:16" x14ac:dyDescent="0.25">
      <c r="D2100" s="2"/>
      <c r="E2100" s="310"/>
      <c r="G2100" s="2"/>
      <c r="H2100" s="310"/>
      <c r="I2100" s="2"/>
      <c r="O2100" s="2"/>
      <c r="P2100" s="2"/>
    </row>
    <row r="2101" spans="4:16" x14ac:dyDescent="0.25">
      <c r="D2101" s="2"/>
      <c r="E2101" s="310"/>
      <c r="G2101" s="2"/>
      <c r="H2101" s="310"/>
      <c r="I2101" s="2"/>
      <c r="O2101" s="2"/>
      <c r="P2101" s="2"/>
    </row>
    <row r="2102" spans="4:16" x14ac:dyDescent="0.25">
      <c r="D2102" s="2"/>
      <c r="E2102" s="310"/>
      <c r="G2102" s="2"/>
      <c r="H2102" s="310"/>
      <c r="I2102" s="2"/>
      <c r="O2102" s="2"/>
      <c r="P2102" s="2"/>
    </row>
    <row r="2103" spans="4:16" x14ac:dyDescent="0.25">
      <c r="D2103" s="2"/>
      <c r="E2103" s="310"/>
      <c r="G2103" s="2"/>
      <c r="H2103" s="310"/>
      <c r="I2103" s="2"/>
      <c r="O2103" s="2"/>
      <c r="P2103" s="2"/>
    </row>
    <row r="2104" spans="4:16" x14ac:dyDescent="0.25">
      <c r="D2104" s="2"/>
      <c r="E2104" s="310"/>
      <c r="G2104" s="2"/>
      <c r="H2104" s="310"/>
      <c r="I2104" s="2"/>
      <c r="O2104" s="2"/>
      <c r="P2104" s="2"/>
    </row>
    <row r="2105" spans="4:16" x14ac:dyDescent="0.25">
      <c r="D2105" s="2"/>
      <c r="E2105" s="310"/>
      <c r="G2105" s="2"/>
      <c r="H2105" s="310"/>
      <c r="I2105" s="2"/>
      <c r="O2105" s="2"/>
      <c r="P2105" s="2"/>
    </row>
    <row r="2106" spans="4:16" x14ac:dyDescent="0.25">
      <c r="D2106" s="2"/>
      <c r="E2106" s="310"/>
      <c r="G2106" s="2"/>
      <c r="H2106" s="310"/>
      <c r="I2106" s="2"/>
      <c r="O2106" s="2"/>
      <c r="P2106" s="2"/>
    </row>
    <row r="2107" spans="4:16" x14ac:dyDescent="0.25">
      <c r="D2107" s="2"/>
      <c r="E2107" s="310"/>
      <c r="G2107" s="2"/>
      <c r="H2107" s="310"/>
      <c r="I2107" s="2"/>
      <c r="O2107" s="2"/>
      <c r="P2107" s="2"/>
    </row>
    <row r="2108" spans="4:16" x14ac:dyDescent="0.25">
      <c r="D2108" s="2"/>
      <c r="E2108" s="310"/>
      <c r="G2108" s="2"/>
      <c r="H2108" s="310"/>
      <c r="I2108" s="2"/>
      <c r="O2108" s="2"/>
      <c r="P2108" s="2"/>
    </row>
    <row r="2109" spans="4:16" x14ac:dyDescent="0.25">
      <c r="D2109" s="2"/>
      <c r="E2109" s="310"/>
      <c r="G2109" s="2"/>
      <c r="H2109" s="310"/>
      <c r="I2109" s="2"/>
      <c r="O2109" s="2"/>
      <c r="P2109" s="2"/>
    </row>
    <row r="2110" spans="4:16" x14ac:dyDescent="0.25">
      <c r="D2110" s="2"/>
      <c r="E2110" s="310"/>
      <c r="G2110" s="2"/>
      <c r="H2110" s="310"/>
      <c r="I2110" s="2"/>
      <c r="O2110" s="2"/>
      <c r="P2110" s="2"/>
    </row>
    <row r="2111" spans="4:16" x14ac:dyDescent="0.25">
      <c r="D2111" s="2"/>
      <c r="E2111" s="310"/>
      <c r="G2111" s="2"/>
      <c r="H2111" s="310"/>
      <c r="I2111" s="2"/>
      <c r="O2111" s="2"/>
      <c r="P2111" s="2"/>
    </row>
    <row r="2112" spans="4:16" x14ac:dyDescent="0.25">
      <c r="D2112" s="2"/>
      <c r="E2112" s="310"/>
      <c r="G2112" s="2"/>
      <c r="H2112" s="310"/>
      <c r="I2112" s="2"/>
      <c r="O2112" s="2"/>
      <c r="P2112" s="2"/>
    </row>
    <row r="2113" spans="4:16" x14ac:dyDescent="0.25">
      <c r="D2113" s="2"/>
      <c r="E2113" s="310"/>
      <c r="G2113" s="2"/>
      <c r="H2113" s="310"/>
      <c r="I2113" s="2"/>
      <c r="O2113" s="2"/>
      <c r="P2113" s="2"/>
    </row>
    <row r="2114" spans="4:16" x14ac:dyDescent="0.25">
      <c r="D2114" s="2"/>
      <c r="E2114" s="310"/>
      <c r="G2114" s="2"/>
      <c r="H2114" s="310"/>
      <c r="I2114" s="2"/>
      <c r="O2114" s="2"/>
      <c r="P2114" s="2"/>
    </row>
    <row r="2115" spans="4:16" x14ac:dyDescent="0.25">
      <c r="D2115" s="2"/>
      <c r="E2115" s="310"/>
      <c r="G2115" s="2"/>
      <c r="H2115" s="310"/>
      <c r="I2115" s="2"/>
      <c r="O2115" s="2"/>
      <c r="P2115" s="2"/>
    </row>
    <row r="2116" spans="4:16" x14ac:dyDescent="0.25">
      <c r="D2116" s="2"/>
      <c r="E2116" s="310"/>
      <c r="G2116" s="2"/>
      <c r="H2116" s="310"/>
      <c r="I2116" s="2"/>
      <c r="O2116" s="2"/>
      <c r="P2116" s="2"/>
    </row>
    <row r="2117" spans="4:16" x14ac:dyDescent="0.25">
      <c r="D2117" s="2"/>
      <c r="E2117" s="310"/>
      <c r="G2117" s="2"/>
      <c r="H2117" s="310"/>
      <c r="I2117" s="2"/>
      <c r="O2117" s="2"/>
      <c r="P2117" s="2"/>
    </row>
    <row r="2118" spans="4:16" x14ac:dyDescent="0.25">
      <c r="D2118" s="2"/>
      <c r="E2118" s="310"/>
      <c r="G2118" s="2"/>
      <c r="H2118" s="310"/>
      <c r="I2118" s="2"/>
      <c r="O2118" s="2"/>
      <c r="P2118" s="2"/>
    </row>
    <row r="2119" spans="4:16" x14ac:dyDescent="0.25">
      <c r="D2119" s="2"/>
      <c r="E2119" s="310"/>
      <c r="G2119" s="2"/>
      <c r="H2119" s="310"/>
      <c r="I2119" s="2"/>
      <c r="O2119" s="2"/>
      <c r="P2119" s="2"/>
    </row>
    <row r="2120" spans="4:16" x14ac:dyDescent="0.25">
      <c r="D2120" s="2"/>
      <c r="E2120" s="310"/>
      <c r="G2120" s="2"/>
      <c r="H2120" s="310"/>
      <c r="I2120" s="2"/>
      <c r="O2120" s="2"/>
      <c r="P2120" s="2"/>
    </row>
    <row r="2121" spans="4:16" x14ac:dyDescent="0.25">
      <c r="D2121" s="2"/>
      <c r="E2121" s="310"/>
      <c r="G2121" s="2"/>
      <c r="H2121" s="310"/>
      <c r="I2121" s="2"/>
      <c r="O2121" s="2"/>
      <c r="P2121" s="2"/>
    </row>
    <row r="2122" spans="4:16" x14ac:dyDescent="0.25">
      <c r="D2122" s="2"/>
      <c r="E2122" s="310"/>
      <c r="G2122" s="2"/>
      <c r="H2122" s="310"/>
      <c r="I2122" s="2"/>
      <c r="O2122" s="2"/>
      <c r="P2122" s="2"/>
    </row>
    <row r="2123" spans="4:16" x14ac:dyDescent="0.25">
      <c r="D2123" s="2"/>
      <c r="E2123" s="310"/>
      <c r="G2123" s="2"/>
      <c r="H2123" s="310"/>
      <c r="I2123" s="2"/>
      <c r="O2123" s="2"/>
      <c r="P2123" s="2"/>
    </row>
    <row r="2124" spans="4:16" x14ac:dyDescent="0.25">
      <c r="D2124" s="2"/>
      <c r="E2124" s="310"/>
      <c r="G2124" s="2"/>
      <c r="H2124" s="310"/>
      <c r="I2124" s="2"/>
      <c r="O2124" s="2"/>
      <c r="P2124" s="2"/>
    </row>
    <row r="2125" spans="4:16" x14ac:dyDescent="0.25">
      <c r="D2125" s="2"/>
      <c r="E2125" s="310"/>
      <c r="G2125" s="2"/>
      <c r="H2125" s="310"/>
      <c r="I2125" s="2"/>
      <c r="O2125" s="2"/>
      <c r="P2125" s="2"/>
    </row>
    <row r="2126" spans="4:16" x14ac:dyDescent="0.25">
      <c r="D2126" s="2"/>
      <c r="E2126" s="310"/>
      <c r="G2126" s="2"/>
      <c r="H2126" s="310"/>
      <c r="I2126" s="2"/>
      <c r="O2126" s="2"/>
      <c r="P2126" s="2"/>
    </row>
    <row r="2127" spans="4:16" x14ac:dyDescent="0.25">
      <c r="D2127" s="2"/>
      <c r="E2127" s="310"/>
      <c r="G2127" s="2"/>
      <c r="H2127" s="310"/>
      <c r="I2127" s="2"/>
      <c r="O2127" s="2"/>
      <c r="P2127" s="2"/>
    </row>
    <row r="2128" spans="4:16" x14ac:dyDescent="0.25">
      <c r="D2128" s="2"/>
      <c r="E2128" s="310"/>
      <c r="G2128" s="2"/>
      <c r="H2128" s="310"/>
      <c r="I2128" s="2"/>
      <c r="O2128" s="2"/>
      <c r="P2128" s="2"/>
    </row>
    <row r="2129" spans="4:16" x14ac:dyDescent="0.25">
      <c r="D2129" s="2"/>
      <c r="E2129" s="310"/>
      <c r="G2129" s="2"/>
      <c r="H2129" s="310"/>
      <c r="I2129" s="2"/>
      <c r="O2129" s="2"/>
      <c r="P2129" s="2"/>
    </row>
    <row r="2130" spans="4:16" x14ac:dyDescent="0.25">
      <c r="D2130" s="2"/>
      <c r="E2130" s="310"/>
      <c r="G2130" s="2"/>
      <c r="H2130" s="310"/>
      <c r="I2130" s="2"/>
      <c r="O2130" s="2"/>
      <c r="P2130" s="2"/>
    </row>
    <row r="2131" spans="4:16" x14ac:dyDescent="0.25">
      <c r="D2131" s="2"/>
      <c r="E2131" s="310"/>
      <c r="G2131" s="2"/>
      <c r="H2131" s="310"/>
      <c r="I2131" s="2"/>
      <c r="O2131" s="2"/>
      <c r="P2131" s="2"/>
    </row>
    <row r="2132" spans="4:16" x14ac:dyDescent="0.25">
      <c r="D2132" s="2"/>
      <c r="E2132" s="310"/>
      <c r="G2132" s="2"/>
      <c r="H2132" s="310"/>
      <c r="I2132" s="2"/>
      <c r="O2132" s="2"/>
      <c r="P2132" s="2"/>
    </row>
    <row r="2133" spans="4:16" x14ac:dyDescent="0.25">
      <c r="D2133" s="2"/>
      <c r="E2133" s="310"/>
      <c r="G2133" s="2"/>
      <c r="H2133" s="310"/>
      <c r="I2133" s="2"/>
      <c r="O2133" s="2"/>
      <c r="P2133" s="2"/>
    </row>
    <row r="2134" spans="4:16" x14ac:dyDescent="0.25">
      <c r="D2134" s="2"/>
      <c r="E2134" s="310"/>
      <c r="G2134" s="2"/>
      <c r="H2134" s="310"/>
      <c r="I2134" s="2"/>
      <c r="O2134" s="2"/>
      <c r="P2134" s="2"/>
    </row>
    <row r="2135" spans="4:16" x14ac:dyDescent="0.25">
      <c r="D2135" s="2"/>
      <c r="E2135" s="310"/>
      <c r="G2135" s="2"/>
      <c r="H2135" s="310"/>
      <c r="I2135" s="2"/>
      <c r="O2135" s="2"/>
      <c r="P2135" s="2"/>
    </row>
    <row r="2136" spans="4:16" x14ac:dyDescent="0.25">
      <c r="D2136" s="2"/>
      <c r="E2136" s="310"/>
      <c r="G2136" s="2"/>
      <c r="H2136" s="310"/>
      <c r="I2136" s="2"/>
      <c r="O2136" s="2"/>
      <c r="P2136" s="2"/>
    </row>
    <row r="2137" spans="4:16" x14ac:dyDescent="0.25">
      <c r="D2137" s="2"/>
      <c r="E2137" s="310"/>
      <c r="G2137" s="2"/>
      <c r="H2137" s="310"/>
      <c r="I2137" s="2"/>
      <c r="O2137" s="2"/>
      <c r="P2137" s="2"/>
    </row>
    <row r="2138" spans="4:16" x14ac:dyDescent="0.25">
      <c r="D2138" s="2"/>
      <c r="E2138" s="310"/>
      <c r="G2138" s="2"/>
      <c r="H2138" s="310"/>
      <c r="I2138" s="2"/>
      <c r="O2138" s="2"/>
      <c r="P2138" s="2"/>
    </row>
    <row r="2139" spans="4:16" x14ac:dyDescent="0.25">
      <c r="D2139" s="2"/>
      <c r="E2139" s="310"/>
      <c r="G2139" s="2"/>
      <c r="H2139" s="310"/>
      <c r="I2139" s="2"/>
      <c r="O2139" s="2"/>
      <c r="P2139" s="2"/>
    </row>
    <row r="2140" spans="4:16" x14ac:dyDescent="0.25">
      <c r="D2140" s="2"/>
      <c r="E2140" s="310"/>
      <c r="G2140" s="2"/>
      <c r="H2140" s="310"/>
      <c r="I2140" s="2"/>
      <c r="O2140" s="2"/>
      <c r="P2140" s="2"/>
    </row>
    <row r="2141" spans="4:16" x14ac:dyDescent="0.25">
      <c r="D2141" s="2"/>
      <c r="E2141" s="310"/>
      <c r="G2141" s="2"/>
      <c r="H2141" s="310"/>
      <c r="I2141" s="2"/>
      <c r="O2141" s="2"/>
      <c r="P2141" s="2"/>
    </row>
    <row r="2142" spans="4:16" x14ac:dyDescent="0.25">
      <c r="D2142" s="2"/>
      <c r="E2142" s="310"/>
      <c r="G2142" s="2"/>
      <c r="H2142" s="310"/>
      <c r="I2142" s="2"/>
      <c r="O2142" s="2"/>
      <c r="P2142" s="2"/>
    </row>
    <row r="2143" spans="4:16" x14ac:dyDescent="0.25">
      <c r="D2143" s="2"/>
      <c r="E2143" s="310"/>
      <c r="G2143" s="2"/>
      <c r="H2143" s="310"/>
      <c r="I2143" s="2"/>
      <c r="O2143" s="2"/>
      <c r="P2143" s="2"/>
    </row>
    <row r="2144" spans="4:16" x14ac:dyDescent="0.25">
      <c r="D2144" s="2"/>
      <c r="E2144" s="310"/>
      <c r="G2144" s="2"/>
      <c r="H2144" s="310"/>
      <c r="I2144" s="2"/>
      <c r="O2144" s="2"/>
      <c r="P2144" s="2"/>
    </row>
    <row r="2145" spans="4:16" x14ac:dyDescent="0.25">
      <c r="D2145" s="2"/>
      <c r="E2145" s="310"/>
      <c r="G2145" s="2"/>
      <c r="H2145" s="310"/>
      <c r="I2145" s="2"/>
      <c r="O2145" s="2"/>
      <c r="P2145" s="2"/>
    </row>
    <row r="2146" spans="4:16" x14ac:dyDescent="0.25">
      <c r="D2146" s="2"/>
      <c r="E2146" s="310"/>
      <c r="G2146" s="2"/>
      <c r="H2146" s="310"/>
      <c r="I2146" s="2"/>
      <c r="O2146" s="2"/>
      <c r="P2146" s="2"/>
    </row>
    <row r="2147" spans="4:16" x14ac:dyDescent="0.25">
      <c r="D2147" s="2"/>
      <c r="E2147" s="310"/>
      <c r="G2147" s="2"/>
      <c r="H2147" s="310"/>
      <c r="I2147" s="2"/>
      <c r="O2147" s="2"/>
      <c r="P2147" s="2"/>
    </row>
    <row r="2148" spans="4:16" x14ac:dyDescent="0.25">
      <c r="D2148" s="2"/>
      <c r="E2148" s="310"/>
      <c r="G2148" s="2"/>
      <c r="H2148" s="310"/>
      <c r="I2148" s="2"/>
      <c r="O2148" s="2"/>
      <c r="P2148" s="2"/>
    </row>
    <row r="2149" spans="4:16" x14ac:dyDescent="0.25">
      <c r="D2149" s="2"/>
      <c r="E2149" s="310"/>
      <c r="G2149" s="2"/>
      <c r="H2149" s="310"/>
      <c r="I2149" s="2"/>
      <c r="O2149" s="2"/>
      <c r="P2149" s="2"/>
    </row>
    <row r="2150" spans="4:16" x14ac:dyDescent="0.25">
      <c r="D2150" s="2"/>
      <c r="E2150" s="310"/>
      <c r="G2150" s="2"/>
      <c r="H2150" s="310"/>
      <c r="I2150" s="2"/>
      <c r="O2150" s="2"/>
      <c r="P2150" s="2"/>
    </row>
    <row r="2151" spans="4:16" x14ac:dyDescent="0.25">
      <c r="D2151" s="2"/>
      <c r="E2151" s="310"/>
      <c r="G2151" s="2"/>
      <c r="H2151" s="310"/>
      <c r="I2151" s="2"/>
      <c r="O2151" s="2"/>
      <c r="P2151" s="2"/>
    </row>
    <row r="2152" spans="4:16" x14ac:dyDescent="0.25">
      <c r="D2152" s="2"/>
      <c r="E2152" s="310"/>
      <c r="G2152" s="2"/>
      <c r="H2152" s="310"/>
      <c r="I2152" s="2"/>
      <c r="O2152" s="2"/>
      <c r="P2152" s="2"/>
    </row>
    <row r="2153" spans="4:16" x14ac:dyDescent="0.25">
      <c r="D2153" s="2"/>
      <c r="E2153" s="310"/>
      <c r="G2153" s="2"/>
      <c r="H2153" s="310"/>
      <c r="I2153" s="2"/>
      <c r="O2153" s="2"/>
      <c r="P2153" s="2"/>
    </row>
    <row r="2154" spans="4:16" x14ac:dyDescent="0.25">
      <c r="D2154" s="2"/>
      <c r="E2154" s="310"/>
      <c r="G2154" s="2"/>
      <c r="H2154" s="310"/>
      <c r="I2154" s="2"/>
      <c r="O2154" s="2"/>
      <c r="P2154" s="2"/>
    </row>
    <row r="2155" spans="4:16" x14ac:dyDescent="0.25">
      <c r="D2155" s="2"/>
      <c r="E2155" s="310"/>
      <c r="G2155" s="2"/>
      <c r="H2155" s="310"/>
      <c r="I2155" s="2"/>
      <c r="O2155" s="2"/>
      <c r="P2155" s="2"/>
    </row>
    <row r="2156" spans="4:16" x14ac:dyDescent="0.25">
      <c r="D2156" s="2"/>
      <c r="E2156" s="310"/>
      <c r="G2156" s="2"/>
      <c r="H2156" s="310"/>
      <c r="I2156" s="2"/>
      <c r="O2156" s="2"/>
      <c r="P2156" s="2"/>
    </row>
    <row r="2157" spans="4:16" x14ac:dyDescent="0.25">
      <c r="D2157" s="2"/>
      <c r="E2157" s="310"/>
      <c r="G2157" s="2"/>
      <c r="H2157" s="310"/>
      <c r="I2157" s="2"/>
      <c r="O2157" s="2"/>
      <c r="P2157" s="2"/>
    </row>
    <row r="2158" spans="4:16" x14ac:dyDescent="0.25">
      <c r="D2158" s="2"/>
      <c r="E2158" s="310"/>
      <c r="G2158" s="2"/>
      <c r="H2158" s="310"/>
      <c r="I2158" s="2"/>
      <c r="O2158" s="2"/>
      <c r="P2158" s="2"/>
    </row>
    <row r="2159" spans="4:16" x14ac:dyDescent="0.25">
      <c r="D2159" s="2"/>
      <c r="E2159" s="310"/>
      <c r="G2159" s="2"/>
      <c r="H2159" s="310"/>
      <c r="I2159" s="2"/>
      <c r="O2159" s="2"/>
      <c r="P2159" s="2"/>
    </row>
    <row r="2160" spans="4:16" x14ac:dyDescent="0.25">
      <c r="D2160" s="2"/>
      <c r="E2160" s="310"/>
      <c r="G2160" s="2"/>
      <c r="H2160" s="310"/>
      <c r="I2160" s="2"/>
      <c r="O2160" s="2"/>
      <c r="P2160" s="2"/>
    </row>
    <row r="2161" spans="4:16" x14ac:dyDescent="0.25">
      <c r="D2161" s="2"/>
      <c r="E2161" s="310"/>
      <c r="G2161" s="2"/>
      <c r="H2161" s="310"/>
      <c r="I2161" s="2"/>
      <c r="O2161" s="2"/>
      <c r="P2161" s="2"/>
    </row>
    <row r="2162" spans="4:16" x14ac:dyDescent="0.25">
      <c r="D2162" s="2"/>
      <c r="E2162" s="310"/>
      <c r="G2162" s="2"/>
      <c r="H2162" s="310"/>
      <c r="I2162" s="2"/>
      <c r="O2162" s="2"/>
      <c r="P2162" s="2"/>
    </row>
    <row r="2163" spans="4:16" x14ac:dyDescent="0.25">
      <c r="D2163" s="2"/>
      <c r="E2163" s="310"/>
      <c r="G2163" s="2"/>
      <c r="H2163" s="310"/>
      <c r="I2163" s="2"/>
      <c r="O2163" s="2"/>
      <c r="P2163" s="2"/>
    </row>
    <row r="2164" spans="4:16" x14ac:dyDescent="0.25">
      <c r="D2164" s="2"/>
      <c r="E2164" s="310"/>
      <c r="G2164" s="2"/>
      <c r="H2164" s="310"/>
      <c r="I2164" s="2"/>
      <c r="O2164" s="2"/>
      <c r="P2164" s="2"/>
    </row>
    <row r="2165" spans="4:16" x14ac:dyDescent="0.25">
      <c r="D2165" s="2"/>
      <c r="E2165" s="310"/>
      <c r="G2165" s="2"/>
      <c r="H2165" s="310"/>
      <c r="I2165" s="2"/>
      <c r="O2165" s="2"/>
      <c r="P2165" s="2"/>
    </row>
    <row r="2166" spans="4:16" x14ac:dyDescent="0.25">
      <c r="D2166" s="2"/>
      <c r="E2166" s="310"/>
      <c r="G2166" s="2"/>
      <c r="H2166" s="310"/>
      <c r="I2166" s="2"/>
      <c r="O2166" s="2"/>
      <c r="P2166" s="2"/>
    </row>
    <row r="2167" spans="4:16" x14ac:dyDescent="0.25">
      <c r="D2167" s="2"/>
      <c r="E2167" s="310"/>
      <c r="G2167" s="2"/>
      <c r="H2167" s="310"/>
      <c r="I2167" s="2"/>
      <c r="O2167" s="2"/>
      <c r="P2167" s="2"/>
    </row>
    <row r="2168" spans="4:16" x14ac:dyDescent="0.25">
      <c r="D2168" s="2"/>
      <c r="E2168" s="310"/>
      <c r="G2168" s="2"/>
      <c r="H2168" s="310"/>
      <c r="I2168" s="2"/>
      <c r="O2168" s="2"/>
      <c r="P2168" s="2"/>
    </row>
    <row r="2169" spans="4:16" x14ac:dyDescent="0.25">
      <c r="D2169" s="2"/>
      <c r="E2169" s="310"/>
      <c r="G2169" s="2"/>
      <c r="H2169" s="310"/>
      <c r="I2169" s="2"/>
      <c r="O2169" s="2"/>
      <c r="P2169" s="2"/>
    </row>
    <row r="2170" spans="4:16" x14ac:dyDescent="0.25">
      <c r="D2170" s="2"/>
      <c r="E2170" s="310"/>
      <c r="G2170" s="2"/>
      <c r="H2170" s="310"/>
      <c r="I2170" s="2"/>
      <c r="O2170" s="2"/>
      <c r="P2170" s="2"/>
    </row>
    <row r="2171" spans="4:16" x14ac:dyDescent="0.25">
      <c r="D2171" s="2"/>
      <c r="E2171" s="310"/>
      <c r="G2171" s="2"/>
      <c r="H2171" s="310"/>
      <c r="I2171" s="2"/>
      <c r="O2171" s="2"/>
      <c r="P2171" s="2"/>
    </row>
    <row r="2172" spans="4:16" x14ac:dyDescent="0.25">
      <c r="D2172" s="2"/>
      <c r="E2172" s="310"/>
      <c r="G2172" s="2"/>
      <c r="H2172" s="310"/>
      <c r="I2172" s="2"/>
      <c r="O2172" s="2"/>
      <c r="P2172" s="2"/>
    </row>
    <row r="2173" spans="4:16" x14ac:dyDescent="0.25">
      <c r="D2173" s="2"/>
      <c r="E2173" s="310"/>
      <c r="G2173" s="2"/>
      <c r="H2173" s="310"/>
      <c r="I2173" s="2"/>
      <c r="O2173" s="2"/>
      <c r="P2173" s="2"/>
    </row>
    <row r="2174" spans="4:16" x14ac:dyDescent="0.25">
      <c r="D2174" s="2"/>
      <c r="E2174" s="310"/>
      <c r="G2174" s="2"/>
      <c r="H2174" s="310"/>
      <c r="I2174" s="2"/>
      <c r="O2174" s="2"/>
      <c r="P2174" s="2"/>
    </row>
    <row r="2175" spans="4:16" x14ac:dyDescent="0.25">
      <c r="D2175" s="2"/>
      <c r="E2175" s="310"/>
      <c r="G2175" s="2"/>
      <c r="H2175" s="310"/>
      <c r="I2175" s="2"/>
      <c r="O2175" s="2"/>
      <c r="P2175" s="2"/>
    </row>
    <row r="2176" spans="4:16" x14ac:dyDescent="0.25">
      <c r="D2176" s="2"/>
      <c r="E2176" s="310"/>
      <c r="G2176" s="2"/>
      <c r="H2176" s="310"/>
      <c r="I2176" s="2"/>
      <c r="O2176" s="2"/>
      <c r="P2176" s="2"/>
    </row>
    <row r="2177" spans="4:16" x14ac:dyDescent="0.25">
      <c r="D2177" s="2"/>
      <c r="E2177" s="310"/>
      <c r="G2177" s="2"/>
      <c r="H2177" s="310"/>
      <c r="I2177" s="2"/>
      <c r="O2177" s="2"/>
      <c r="P2177" s="2"/>
    </row>
    <row r="2178" spans="4:16" x14ac:dyDescent="0.25">
      <c r="D2178" s="2"/>
      <c r="E2178" s="310"/>
      <c r="G2178" s="2"/>
      <c r="H2178" s="310"/>
      <c r="I2178" s="2"/>
      <c r="O2178" s="2"/>
      <c r="P2178" s="2"/>
    </row>
    <row r="2179" spans="4:16" x14ac:dyDescent="0.25">
      <c r="D2179" s="2"/>
      <c r="E2179" s="310"/>
      <c r="G2179" s="2"/>
      <c r="H2179" s="310"/>
      <c r="I2179" s="2"/>
      <c r="O2179" s="2"/>
      <c r="P2179" s="2"/>
    </row>
    <row r="2180" spans="4:16" x14ac:dyDescent="0.25">
      <c r="D2180" s="2"/>
      <c r="E2180" s="310"/>
      <c r="G2180" s="2"/>
      <c r="H2180" s="310"/>
      <c r="I2180" s="2"/>
      <c r="O2180" s="2"/>
      <c r="P2180" s="2"/>
    </row>
    <row r="2181" spans="4:16" x14ac:dyDescent="0.25">
      <c r="D2181" s="2"/>
      <c r="E2181" s="310"/>
      <c r="G2181" s="2"/>
      <c r="H2181" s="310"/>
      <c r="I2181" s="2"/>
      <c r="O2181" s="2"/>
      <c r="P2181" s="2"/>
    </row>
    <row r="2182" spans="4:16" x14ac:dyDescent="0.25">
      <c r="D2182" s="2"/>
      <c r="E2182" s="310"/>
      <c r="G2182" s="2"/>
      <c r="H2182" s="310"/>
      <c r="I2182" s="2"/>
      <c r="O2182" s="2"/>
      <c r="P2182" s="2"/>
    </row>
    <row r="2183" spans="4:16" x14ac:dyDescent="0.25">
      <c r="D2183" s="2"/>
      <c r="E2183" s="310"/>
      <c r="G2183" s="2"/>
      <c r="H2183" s="310"/>
      <c r="I2183" s="2"/>
      <c r="O2183" s="2"/>
      <c r="P2183" s="2"/>
    </row>
    <row r="2184" spans="4:16" x14ac:dyDescent="0.25">
      <c r="D2184" s="2"/>
      <c r="E2184" s="310"/>
      <c r="G2184" s="2"/>
      <c r="H2184" s="310"/>
      <c r="I2184" s="2"/>
      <c r="O2184" s="2"/>
      <c r="P2184" s="2"/>
    </row>
    <row r="2185" spans="4:16" x14ac:dyDescent="0.25">
      <c r="D2185" s="2"/>
      <c r="E2185" s="310"/>
      <c r="G2185" s="2"/>
      <c r="H2185" s="310"/>
      <c r="I2185" s="2"/>
      <c r="O2185" s="2"/>
      <c r="P2185" s="2"/>
    </row>
    <row r="2186" spans="4:16" x14ac:dyDescent="0.25">
      <c r="D2186" s="2"/>
      <c r="E2186" s="310"/>
      <c r="G2186" s="2"/>
      <c r="H2186" s="310"/>
      <c r="I2186" s="2"/>
      <c r="O2186" s="2"/>
      <c r="P2186" s="2"/>
    </row>
    <row r="2187" spans="4:16" x14ac:dyDescent="0.25">
      <c r="D2187" s="2"/>
      <c r="E2187" s="310"/>
      <c r="G2187" s="2"/>
      <c r="H2187" s="310"/>
      <c r="I2187" s="2"/>
      <c r="O2187" s="2"/>
      <c r="P2187" s="2"/>
    </row>
    <row r="2188" spans="4:16" x14ac:dyDescent="0.25">
      <c r="D2188" s="2"/>
      <c r="E2188" s="310"/>
      <c r="G2188" s="2"/>
      <c r="H2188" s="310"/>
      <c r="I2188" s="2"/>
      <c r="O2188" s="2"/>
      <c r="P2188" s="2"/>
    </row>
    <row r="2189" spans="4:16" x14ac:dyDescent="0.25">
      <c r="D2189" s="2"/>
      <c r="E2189" s="310"/>
      <c r="G2189" s="2"/>
      <c r="H2189" s="310"/>
      <c r="I2189" s="2"/>
      <c r="O2189" s="2"/>
      <c r="P2189" s="2"/>
    </row>
    <row r="2190" spans="4:16" x14ac:dyDescent="0.25">
      <c r="D2190" s="2"/>
      <c r="E2190" s="310"/>
      <c r="G2190" s="2"/>
      <c r="H2190" s="310"/>
      <c r="I2190" s="2"/>
      <c r="O2190" s="2"/>
      <c r="P2190" s="2"/>
    </row>
    <row r="2191" spans="4:16" x14ac:dyDescent="0.25">
      <c r="D2191" s="2"/>
      <c r="E2191" s="310"/>
      <c r="G2191" s="2"/>
      <c r="H2191" s="310"/>
      <c r="I2191" s="2"/>
      <c r="O2191" s="2"/>
      <c r="P2191" s="2"/>
    </row>
    <row r="2192" spans="4:16" x14ac:dyDescent="0.25">
      <c r="D2192" s="2"/>
      <c r="E2192" s="310"/>
      <c r="G2192" s="2"/>
      <c r="H2192" s="310"/>
      <c r="I2192" s="2"/>
      <c r="O2192" s="2"/>
      <c r="P2192" s="2"/>
    </row>
    <row r="2193" spans="4:16" x14ac:dyDescent="0.25">
      <c r="D2193" s="2"/>
      <c r="E2193" s="310"/>
      <c r="G2193" s="2"/>
      <c r="H2193" s="310"/>
      <c r="I2193" s="2"/>
      <c r="O2193" s="2"/>
      <c r="P2193" s="2"/>
    </row>
    <row r="2194" spans="4:16" x14ac:dyDescent="0.25">
      <c r="D2194" s="2"/>
      <c r="E2194" s="310"/>
      <c r="G2194" s="2"/>
      <c r="H2194" s="310"/>
      <c r="I2194" s="2"/>
      <c r="O2194" s="2"/>
      <c r="P2194" s="2"/>
    </row>
    <row r="2195" spans="4:16" x14ac:dyDescent="0.25">
      <c r="D2195" s="2"/>
      <c r="E2195" s="310"/>
      <c r="G2195" s="2"/>
      <c r="H2195" s="310"/>
      <c r="I2195" s="2"/>
      <c r="O2195" s="2"/>
      <c r="P2195" s="2"/>
    </row>
    <row r="2196" spans="4:16" x14ac:dyDescent="0.25">
      <c r="D2196" s="2"/>
      <c r="E2196" s="310"/>
      <c r="G2196" s="2"/>
      <c r="H2196" s="310"/>
      <c r="I2196" s="2"/>
      <c r="O2196" s="2"/>
      <c r="P2196" s="2"/>
    </row>
    <row r="2197" spans="4:16" x14ac:dyDescent="0.25">
      <c r="D2197" s="2"/>
      <c r="E2197" s="310"/>
      <c r="G2197" s="2"/>
      <c r="H2197" s="310"/>
      <c r="I2197" s="2"/>
      <c r="O2197" s="2"/>
      <c r="P2197" s="2"/>
    </row>
    <row r="2198" spans="4:16" x14ac:dyDescent="0.25">
      <c r="D2198" s="2"/>
      <c r="E2198" s="310"/>
      <c r="G2198" s="2"/>
      <c r="H2198" s="310"/>
      <c r="I2198" s="2"/>
      <c r="O2198" s="2"/>
      <c r="P2198" s="2"/>
    </row>
    <row r="2199" spans="4:16" x14ac:dyDescent="0.25">
      <c r="D2199" s="2"/>
      <c r="E2199" s="310"/>
      <c r="G2199" s="2"/>
      <c r="H2199" s="310"/>
      <c r="I2199" s="2"/>
      <c r="O2199" s="2"/>
      <c r="P2199" s="2"/>
    </row>
    <row r="2200" spans="4:16" x14ac:dyDescent="0.25">
      <c r="D2200" s="2"/>
      <c r="E2200" s="310"/>
      <c r="G2200" s="2"/>
      <c r="H2200" s="310"/>
      <c r="I2200" s="2"/>
      <c r="O2200" s="2"/>
      <c r="P2200" s="2"/>
    </row>
    <row r="2201" spans="4:16" x14ac:dyDescent="0.25">
      <c r="D2201" s="2"/>
      <c r="E2201" s="310"/>
      <c r="G2201" s="2"/>
      <c r="H2201" s="310"/>
      <c r="I2201" s="2"/>
      <c r="O2201" s="2"/>
      <c r="P2201" s="2"/>
    </row>
    <row r="2202" spans="4:16" x14ac:dyDescent="0.25">
      <c r="D2202" s="2"/>
      <c r="E2202" s="310"/>
      <c r="G2202" s="2"/>
      <c r="H2202" s="310"/>
      <c r="I2202" s="2"/>
      <c r="O2202" s="2"/>
      <c r="P2202" s="2"/>
    </row>
    <row r="2203" spans="4:16" x14ac:dyDescent="0.25">
      <c r="D2203" s="2"/>
      <c r="E2203" s="310"/>
      <c r="G2203" s="2"/>
      <c r="H2203" s="310"/>
      <c r="I2203" s="2"/>
      <c r="O2203" s="2"/>
      <c r="P2203" s="2"/>
    </row>
    <row r="2204" spans="4:16" x14ac:dyDescent="0.25">
      <c r="D2204" s="2"/>
      <c r="E2204" s="310"/>
      <c r="G2204" s="2"/>
      <c r="H2204" s="310"/>
      <c r="I2204" s="2"/>
      <c r="O2204" s="2"/>
      <c r="P2204" s="2"/>
    </row>
    <row r="2205" spans="4:16" x14ac:dyDescent="0.25">
      <c r="D2205" s="2"/>
      <c r="E2205" s="310"/>
      <c r="G2205" s="2"/>
      <c r="H2205" s="310"/>
      <c r="I2205" s="2"/>
      <c r="O2205" s="2"/>
      <c r="P2205" s="2"/>
    </row>
    <row r="2206" spans="4:16" x14ac:dyDescent="0.25">
      <c r="D2206" s="2"/>
      <c r="E2206" s="310"/>
      <c r="G2206" s="2"/>
      <c r="H2206" s="310"/>
      <c r="I2206" s="2"/>
      <c r="O2206" s="2"/>
      <c r="P2206" s="2"/>
    </row>
    <row r="2207" spans="4:16" x14ac:dyDescent="0.25">
      <c r="D2207" s="2"/>
      <c r="E2207" s="310"/>
      <c r="G2207" s="2"/>
      <c r="H2207" s="310"/>
      <c r="I2207" s="2"/>
      <c r="O2207" s="2"/>
      <c r="P2207" s="2"/>
    </row>
    <row r="2208" spans="4:16" x14ac:dyDescent="0.25">
      <c r="D2208" s="2"/>
      <c r="E2208" s="310"/>
      <c r="G2208" s="2"/>
      <c r="H2208" s="310"/>
      <c r="I2208" s="2"/>
      <c r="O2208" s="2"/>
      <c r="P2208" s="2"/>
    </row>
    <row r="2209" spans="4:16" x14ac:dyDescent="0.25">
      <c r="D2209" s="2"/>
      <c r="E2209" s="310"/>
      <c r="G2209" s="2"/>
      <c r="H2209" s="310"/>
      <c r="I2209" s="2"/>
      <c r="O2209" s="2"/>
      <c r="P2209" s="2"/>
    </row>
    <row r="2210" spans="4:16" x14ac:dyDescent="0.25">
      <c r="D2210" s="2"/>
      <c r="E2210" s="310"/>
      <c r="G2210" s="2"/>
      <c r="H2210" s="310"/>
      <c r="I2210" s="2"/>
      <c r="O2210" s="2"/>
      <c r="P2210" s="2"/>
    </row>
    <row r="2211" spans="4:16" x14ac:dyDescent="0.25">
      <c r="D2211" s="2"/>
      <c r="E2211" s="310"/>
      <c r="G2211" s="2"/>
      <c r="H2211" s="310"/>
      <c r="I2211" s="2"/>
      <c r="O2211" s="2"/>
      <c r="P2211" s="2"/>
    </row>
    <row r="2212" spans="4:16" x14ac:dyDescent="0.25">
      <c r="D2212" s="2"/>
      <c r="E2212" s="310"/>
      <c r="G2212" s="2"/>
      <c r="H2212" s="310"/>
      <c r="I2212" s="2"/>
      <c r="O2212" s="2"/>
      <c r="P2212" s="2"/>
    </row>
    <row r="2213" spans="4:16" x14ac:dyDescent="0.25">
      <c r="D2213" s="2"/>
      <c r="E2213" s="310"/>
      <c r="G2213" s="2"/>
      <c r="H2213" s="310"/>
      <c r="I2213" s="2"/>
      <c r="O2213" s="2"/>
      <c r="P2213" s="2"/>
    </row>
    <row r="2214" spans="4:16" x14ac:dyDescent="0.25">
      <c r="D2214" s="2"/>
      <c r="E2214" s="310"/>
      <c r="G2214" s="2"/>
      <c r="H2214" s="310"/>
      <c r="I2214" s="2"/>
      <c r="O2214" s="2"/>
      <c r="P2214" s="2"/>
    </row>
    <row r="2215" spans="4:16" x14ac:dyDescent="0.25">
      <c r="D2215" s="2"/>
      <c r="E2215" s="310"/>
      <c r="G2215" s="2"/>
      <c r="H2215" s="310"/>
      <c r="I2215" s="2"/>
      <c r="O2215" s="2"/>
      <c r="P2215" s="2"/>
    </row>
    <row r="2216" spans="4:16" x14ac:dyDescent="0.25">
      <c r="D2216" s="2"/>
      <c r="E2216" s="310"/>
      <c r="G2216" s="2"/>
      <c r="H2216" s="310"/>
      <c r="I2216" s="2"/>
      <c r="O2216" s="2"/>
      <c r="P2216" s="2"/>
    </row>
    <row r="2217" spans="4:16" x14ac:dyDescent="0.25">
      <c r="D2217" s="2"/>
      <c r="E2217" s="310"/>
      <c r="G2217" s="2"/>
      <c r="H2217" s="310"/>
      <c r="I2217" s="2"/>
      <c r="O2217" s="2"/>
      <c r="P2217" s="2"/>
    </row>
    <row r="2218" spans="4:16" x14ac:dyDescent="0.25">
      <c r="D2218" s="2"/>
      <c r="E2218" s="310"/>
      <c r="G2218" s="2"/>
      <c r="H2218" s="310"/>
      <c r="I2218" s="2"/>
      <c r="O2218" s="2"/>
      <c r="P2218" s="2"/>
    </row>
    <row r="2219" spans="4:16" x14ac:dyDescent="0.25">
      <c r="D2219" s="2"/>
      <c r="E2219" s="310"/>
      <c r="G2219" s="2"/>
      <c r="H2219" s="310"/>
      <c r="I2219" s="2"/>
      <c r="O2219" s="2"/>
      <c r="P2219" s="2"/>
    </row>
    <row r="2220" spans="4:16" x14ac:dyDescent="0.25">
      <c r="D2220" s="2"/>
      <c r="E2220" s="310"/>
      <c r="G2220" s="2"/>
      <c r="H2220" s="310"/>
      <c r="I2220" s="2"/>
      <c r="O2220" s="2"/>
      <c r="P2220" s="2"/>
    </row>
    <row r="2221" spans="4:16" x14ac:dyDescent="0.25">
      <c r="D2221" s="2"/>
      <c r="E2221" s="310"/>
      <c r="G2221" s="2"/>
      <c r="H2221" s="310"/>
      <c r="I2221" s="2"/>
      <c r="O2221" s="2"/>
      <c r="P2221" s="2"/>
    </row>
    <row r="2222" spans="4:16" x14ac:dyDescent="0.25">
      <c r="D2222" s="2"/>
      <c r="E2222" s="310"/>
      <c r="G2222" s="2"/>
      <c r="H2222" s="310"/>
      <c r="I2222" s="2"/>
      <c r="O2222" s="2"/>
      <c r="P2222" s="2"/>
    </row>
    <row r="2223" spans="4:16" x14ac:dyDescent="0.25">
      <c r="D2223" s="2"/>
      <c r="E2223" s="310"/>
      <c r="G2223" s="2"/>
      <c r="H2223" s="310"/>
      <c r="I2223" s="2"/>
      <c r="O2223" s="2"/>
      <c r="P2223" s="2"/>
    </row>
    <row r="2224" spans="4:16" x14ac:dyDescent="0.25">
      <c r="D2224" s="2"/>
      <c r="E2224" s="310"/>
      <c r="G2224" s="2"/>
      <c r="H2224" s="310"/>
      <c r="I2224" s="2"/>
      <c r="O2224" s="2"/>
      <c r="P2224" s="2"/>
    </row>
    <row r="2225" spans="4:16" x14ac:dyDescent="0.25">
      <c r="D2225" s="2"/>
      <c r="E2225" s="310"/>
      <c r="G2225" s="2"/>
      <c r="H2225" s="310"/>
      <c r="I2225" s="2"/>
      <c r="O2225" s="2"/>
      <c r="P2225" s="2"/>
    </row>
    <row r="2226" spans="4:16" x14ac:dyDescent="0.25">
      <c r="D2226" s="2"/>
      <c r="E2226" s="310"/>
      <c r="G2226" s="2"/>
      <c r="H2226" s="310"/>
      <c r="I2226" s="2"/>
      <c r="O2226" s="2"/>
      <c r="P2226" s="2"/>
    </row>
    <row r="2227" spans="4:16" x14ac:dyDescent="0.25">
      <c r="D2227" s="2"/>
      <c r="E2227" s="310"/>
      <c r="G2227" s="2"/>
      <c r="H2227" s="310"/>
      <c r="I2227" s="2"/>
      <c r="O2227" s="2"/>
      <c r="P2227" s="2"/>
    </row>
    <row r="2228" spans="4:16" x14ac:dyDescent="0.25">
      <c r="D2228" s="2"/>
      <c r="E2228" s="310"/>
      <c r="G2228" s="2"/>
      <c r="H2228" s="310"/>
      <c r="I2228" s="2"/>
      <c r="O2228" s="2"/>
      <c r="P2228" s="2"/>
    </row>
    <row r="2229" spans="4:16" x14ac:dyDescent="0.25">
      <c r="D2229" s="2"/>
      <c r="E2229" s="310"/>
      <c r="G2229" s="2"/>
      <c r="H2229" s="310"/>
      <c r="I2229" s="2"/>
      <c r="O2229" s="2"/>
      <c r="P2229" s="2"/>
    </row>
    <row r="2230" spans="4:16" x14ac:dyDescent="0.25">
      <c r="D2230" s="2"/>
      <c r="E2230" s="310"/>
      <c r="G2230" s="2"/>
      <c r="H2230" s="310"/>
      <c r="I2230" s="2"/>
      <c r="O2230" s="2"/>
      <c r="P2230" s="2"/>
    </row>
    <row r="2231" spans="4:16" x14ac:dyDescent="0.25">
      <c r="D2231" s="2"/>
      <c r="E2231" s="310"/>
      <c r="G2231" s="2"/>
      <c r="H2231" s="310"/>
      <c r="I2231" s="2"/>
      <c r="O2231" s="2"/>
      <c r="P2231" s="2"/>
    </row>
    <row r="2232" spans="4:16" x14ac:dyDescent="0.25">
      <c r="D2232" s="2"/>
      <c r="E2232" s="310"/>
      <c r="G2232" s="2"/>
      <c r="H2232" s="310"/>
      <c r="I2232" s="2"/>
      <c r="O2232" s="2"/>
      <c r="P2232" s="2"/>
    </row>
    <row r="2233" spans="4:16" x14ac:dyDescent="0.25">
      <c r="D2233" s="2"/>
      <c r="E2233" s="310"/>
      <c r="G2233" s="2"/>
      <c r="H2233" s="310"/>
      <c r="I2233" s="2"/>
      <c r="O2233" s="2"/>
      <c r="P2233" s="2"/>
    </row>
    <row r="2234" spans="4:16" x14ac:dyDescent="0.25">
      <c r="D2234" s="2"/>
      <c r="E2234" s="310"/>
      <c r="G2234" s="2"/>
      <c r="H2234" s="310"/>
      <c r="I2234" s="2"/>
      <c r="O2234" s="2"/>
      <c r="P2234" s="2"/>
    </row>
    <row r="2235" spans="4:16" x14ac:dyDescent="0.25">
      <c r="D2235" s="2"/>
      <c r="E2235" s="310"/>
      <c r="G2235" s="2"/>
      <c r="H2235" s="310"/>
      <c r="I2235" s="2"/>
      <c r="O2235" s="2"/>
      <c r="P2235" s="2"/>
    </row>
    <row r="2236" spans="4:16" x14ac:dyDescent="0.25">
      <c r="D2236" s="2"/>
      <c r="E2236" s="310"/>
      <c r="G2236" s="2"/>
      <c r="H2236" s="310"/>
      <c r="I2236" s="2"/>
      <c r="O2236" s="2"/>
      <c r="P2236" s="2"/>
    </row>
    <row r="2237" spans="4:16" x14ac:dyDescent="0.25">
      <c r="D2237" s="2"/>
      <c r="E2237" s="310"/>
      <c r="G2237" s="2"/>
      <c r="H2237" s="310"/>
      <c r="I2237" s="2"/>
      <c r="O2237" s="2"/>
      <c r="P2237" s="2"/>
    </row>
    <row r="2238" spans="4:16" x14ac:dyDescent="0.25">
      <c r="D2238" s="2"/>
      <c r="E2238" s="310"/>
      <c r="G2238" s="2"/>
      <c r="H2238" s="310"/>
      <c r="I2238" s="2"/>
      <c r="O2238" s="2"/>
      <c r="P2238" s="2"/>
    </row>
    <row r="2239" spans="4:16" x14ac:dyDescent="0.25">
      <c r="D2239" s="2"/>
      <c r="E2239" s="310"/>
      <c r="G2239" s="2"/>
      <c r="H2239" s="310"/>
      <c r="I2239" s="2"/>
      <c r="O2239" s="2"/>
      <c r="P2239" s="2"/>
    </row>
    <row r="2240" spans="4:16" x14ac:dyDescent="0.25">
      <c r="D2240" s="2"/>
      <c r="E2240" s="310"/>
      <c r="G2240" s="2"/>
      <c r="H2240" s="310"/>
      <c r="I2240" s="2"/>
      <c r="O2240" s="2"/>
      <c r="P2240" s="2"/>
    </row>
    <row r="2241" spans="4:16" x14ac:dyDescent="0.25">
      <c r="D2241" s="2"/>
      <c r="E2241" s="310"/>
      <c r="G2241" s="2"/>
      <c r="H2241" s="310"/>
      <c r="I2241" s="2"/>
      <c r="O2241" s="2"/>
      <c r="P2241" s="2"/>
    </row>
    <row r="2242" spans="4:16" x14ac:dyDescent="0.25">
      <c r="D2242" s="2"/>
      <c r="E2242" s="310"/>
      <c r="G2242" s="2"/>
      <c r="H2242" s="310"/>
      <c r="I2242" s="2"/>
      <c r="O2242" s="2"/>
      <c r="P2242" s="2"/>
    </row>
    <row r="2243" spans="4:16" x14ac:dyDescent="0.25">
      <c r="D2243" s="2"/>
      <c r="E2243" s="310"/>
      <c r="G2243" s="2"/>
      <c r="H2243" s="310"/>
      <c r="I2243" s="2"/>
      <c r="O2243" s="2"/>
      <c r="P2243" s="2"/>
    </row>
    <row r="2244" spans="4:16" x14ac:dyDescent="0.25">
      <c r="D2244" s="2"/>
      <c r="E2244" s="310"/>
      <c r="G2244" s="2"/>
      <c r="H2244" s="310"/>
      <c r="I2244" s="2"/>
      <c r="O2244" s="2"/>
      <c r="P2244" s="2"/>
    </row>
    <row r="2245" spans="4:16" x14ac:dyDescent="0.25">
      <c r="D2245" s="2"/>
      <c r="E2245" s="310"/>
      <c r="G2245" s="2"/>
      <c r="H2245" s="310"/>
      <c r="I2245" s="2"/>
      <c r="O2245" s="2"/>
      <c r="P2245" s="2"/>
    </row>
    <row r="2246" spans="4:16" x14ac:dyDescent="0.25">
      <c r="D2246" s="2"/>
      <c r="E2246" s="310"/>
      <c r="G2246" s="2"/>
      <c r="H2246" s="310"/>
      <c r="I2246" s="2"/>
      <c r="O2246" s="2"/>
      <c r="P2246" s="2"/>
    </row>
    <row r="2247" spans="4:16" x14ac:dyDescent="0.25">
      <c r="D2247" s="2"/>
      <c r="E2247" s="310"/>
      <c r="G2247" s="2"/>
      <c r="H2247" s="310"/>
      <c r="I2247" s="2"/>
      <c r="O2247" s="2"/>
      <c r="P2247" s="2"/>
    </row>
    <row r="2248" spans="4:16" x14ac:dyDescent="0.25">
      <c r="D2248" s="2"/>
      <c r="E2248" s="310"/>
      <c r="G2248" s="2"/>
      <c r="H2248" s="310"/>
      <c r="I2248" s="2"/>
      <c r="O2248" s="2"/>
      <c r="P2248" s="2"/>
    </row>
    <row r="2249" spans="4:16" x14ac:dyDescent="0.25">
      <c r="D2249" s="2"/>
      <c r="E2249" s="310"/>
      <c r="G2249" s="2"/>
      <c r="H2249" s="310"/>
      <c r="I2249" s="2"/>
      <c r="O2249" s="2"/>
      <c r="P2249" s="2"/>
    </row>
    <row r="2250" spans="4:16" x14ac:dyDescent="0.25">
      <c r="D2250" s="2"/>
      <c r="E2250" s="310"/>
      <c r="G2250" s="2"/>
      <c r="H2250" s="310"/>
      <c r="I2250" s="2"/>
      <c r="O2250" s="2"/>
      <c r="P2250" s="2"/>
    </row>
    <row r="2251" spans="4:16" x14ac:dyDescent="0.25">
      <c r="D2251" s="2"/>
      <c r="E2251" s="310"/>
      <c r="G2251" s="2"/>
      <c r="H2251" s="310"/>
      <c r="I2251" s="2"/>
      <c r="O2251" s="2"/>
      <c r="P2251" s="2"/>
    </row>
    <row r="2252" spans="4:16" x14ac:dyDescent="0.25">
      <c r="D2252" s="2"/>
      <c r="E2252" s="310"/>
      <c r="G2252" s="2"/>
      <c r="H2252" s="310"/>
      <c r="I2252" s="2"/>
      <c r="O2252" s="2"/>
      <c r="P2252" s="2"/>
    </row>
    <row r="2253" spans="4:16" x14ac:dyDescent="0.25">
      <c r="D2253" s="2"/>
      <c r="E2253" s="310"/>
      <c r="G2253" s="2"/>
      <c r="H2253" s="310"/>
      <c r="I2253" s="2"/>
      <c r="O2253" s="2"/>
      <c r="P2253" s="2"/>
    </row>
    <row r="2254" spans="4:16" x14ac:dyDescent="0.25">
      <c r="D2254" s="2"/>
      <c r="E2254" s="310"/>
      <c r="G2254" s="2"/>
      <c r="H2254" s="310"/>
      <c r="I2254" s="2"/>
      <c r="O2254" s="2"/>
      <c r="P2254" s="2"/>
    </row>
    <row r="2255" spans="4:16" x14ac:dyDescent="0.25">
      <c r="D2255" s="2"/>
      <c r="E2255" s="310"/>
      <c r="G2255" s="2"/>
      <c r="H2255" s="310"/>
      <c r="I2255" s="2"/>
      <c r="O2255" s="2"/>
      <c r="P2255" s="2"/>
    </row>
    <row r="2256" spans="4:16" x14ac:dyDescent="0.25">
      <c r="D2256" s="2"/>
      <c r="E2256" s="310"/>
      <c r="G2256" s="2"/>
      <c r="H2256" s="310"/>
      <c r="I2256" s="2"/>
      <c r="O2256" s="2"/>
      <c r="P2256" s="2"/>
    </row>
    <row r="2257" spans="4:16" x14ac:dyDescent="0.25">
      <c r="D2257" s="2"/>
      <c r="E2257" s="310"/>
      <c r="G2257" s="2"/>
      <c r="H2257" s="310"/>
      <c r="I2257" s="2"/>
      <c r="O2257" s="2"/>
      <c r="P2257" s="2"/>
    </row>
    <row r="2258" spans="4:16" x14ac:dyDescent="0.25">
      <c r="D2258" s="2"/>
      <c r="E2258" s="310"/>
      <c r="G2258" s="2"/>
      <c r="H2258" s="310"/>
      <c r="I2258" s="2"/>
      <c r="O2258" s="2"/>
      <c r="P2258" s="2"/>
    </row>
    <row r="2259" spans="4:16" x14ac:dyDescent="0.25">
      <c r="D2259" s="2"/>
      <c r="E2259" s="310"/>
      <c r="G2259" s="2"/>
      <c r="H2259" s="310"/>
      <c r="I2259" s="2"/>
      <c r="O2259" s="2"/>
      <c r="P2259" s="2"/>
    </row>
    <row r="2260" spans="4:16" x14ac:dyDescent="0.25">
      <c r="D2260" s="2"/>
      <c r="E2260" s="310"/>
      <c r="G2260" s="2"/>
      <c r="H2260" s="310"/>
      <c r="I2260" s="2"/>
      <c r="O2260" s="2"/>
      <c r="P2260" s="2"/>
    </row>
    <row r="2261" spans="4:16" x14ac:dyDescent="0.25">
      <c r="D2261" s="2"/>
      <c r="E2261" s="310"/>
      <c r="G2261" s="2"/>
      <c r="H2261" s="310"/>
      <c r="I2261" s="2"/>
      <c r="O2261" s="2"/>
      <c r="P2261" s="2"/>
    </row>
    <row r="2262" spans="4:16" x14ac:dyDescent="0.25">
      <c r="D2262" s="2"/>
      <c r="E2262" s="310"/>
      <c r="G2262" s="2"/>
      <c r="H2262" s="310"/>
      <c r="I2262" s="2"/>
      <c r="O2262" s="2"/>
      <c r="P2262" s="2"/>
    </row>
    <row r="2263" spans="4:16" x14ac:dyDescent="0.25">
      <c r="D2263" s="2"/>
      <c r="E2263" s="310"/>
      <c r="G2263" s="2"/>
      <c r="H2263" s="310"/>
      <c r="I2263" s="2"/>
      <c r="O2263" s="2"/>
      <c r="P2263" s="2"/>
    </row>
    <row r="2264" spans="4:16" x14ac:dyDescent="0.25">
      <c r="D2264" s="2"/>
      <c r="E2264" s="310"/>
      <c r="G2264" s="2"/>
      <c r="H2264" s="310"/>
      <c r="I2264" s="2"/>
      <c r="O2264" s="2"/>
      <c r="P2264" s="2"/>
    </row>
    <row r="2265" spans="4:16" x14ac:dyDescent="0.25">
      <c r="D2265" s="2"/>
      <c r="E2265" s="310"/>
      <c r="G2265" s="2"/>
      <c r="H2265" s="310"/>
      <c r="I2265" s="2"/>
      <c r="O2265" s="2"/>
      <c r="P2265" s="2"/>
    </row>
    <row r="2266" spans="4:16" x14ac:dyDescent="0.25">
      <c r="D2266" s="2"/>
      <c r="E2266" s="310"/>
      <c r="G2266" s="2"/>
      <c r="H2266" s="310"/>
      <c r="I2266" s="2"/>
      <c r="O2266" s="2"/>
      <c r="P2266" s="2"/>
    </row>
    <row r="2267" spans="4:16" x14ac:dyDescent="0.25">
      <c r="D2267" s="2"/>
      <c r="E2267" s="310"/>
      <c r="G2267" s="2"/>
      <c r="H2267" s="310"/>
      <c r="I2267" s="2"/>
      <c r="O2267" s="2"/>
      <c r="P2267" s="2"/>
    </row>
    <row r="2268" spans="4:16" x14ac:dyDescent="0.25">
      <c r="D2268" s="2"/>
      <c r="E2268" s="310"/>
      <c r="G2268" s="2"/>
      <c r="H2268" s="310"/>
      <c r="I2268" s="2"/>
      <c r="O2268" s="2"/>
      <c r="P2268" s="2"/>
    </row>
    <row r="2269" spans="4:16" x14ac:dyDescent="0.25">
      <c r="D2269" s="2"/>
      <c r="E2269" s="310"/>
      <c r="G2269" s="2"/>
      <c r="H2269" s="310"/>
      <c r="I2269" s="2"/>
      <c r="O2269" s="2"/>
      <c r="P2269" s="2"/>
    </row>
    <row r="2270" spans="4:16" x14ac:dyDescent="0.25">
      <c r="D2270" s="2"/>
      <c r="E2270" s="310"/>
      <c r="G2270" s="2"/>
      <c r="H2270" s="310"/>
      <c r="I2270" s="2"/>
      <c r="O2270" s="2"/>
      <c r="P2270" s="2"/>
    </row>
    <row r="2271" spans="4:16" x14ac:dyDescent="0.25">
      <c r="D2271" s="2"/>
      <c r="E2271" s="310"/>
      <c r="G2271" s="2"/>
      <c r="H2271" s="310"/>
      <c r="I2271" s="2"/>
      <c r="O2271" s="2"/>
      <c r="P2271" s="2"/>
    </row>
    <row r="2272" spans="4:16" x14ac:dyDescent="0.25">
      <c r="D2272" s="2"/>
      <c r="E2272" s="310"/>
      <c r="G2272" s="2"/>
      <c r="H2272" s="310"/>
      <c r="I2272" s="2"/>
      <c r="O2272" s="2"/>
      <c r="P2272" s="2"/>
    </row>
    <row r="2273" spans="4:16" x14ac:dyDescent="0.25">
      <c r="D2273" s="2"/>
      <c r="E2273" s="310"/>
      <c r="G2273" s="2"/>
      <c r="H2273" s="310"/>
      <c r="I2273" s="2"/>
      <c r="O2273" s="2"/>
      <c r="P2273" s="2"/>
    </row>
    <row r="2274" spans="4:16" x14ac:dyDescent="0.25">
      <c r="D2274" s="2"/>
      <c r="E2274" s="310"/>
      <c r="G2274" s="2"/>
      <c r="H2274" s="310"/>
      <c r="I2274" s="2"/>
      <c r="O2274" s="2"/>
      <c r="P2274" s="2"/>
    </row>
    <row r="2275" spans="4:16" x14ac:dyDescent="0.25">
      <c r="D2275" s="2"/>
      <c r="E2275" s="310"/>
      <c r="G2275" s="2"/>
      <c r="H2275" s="310"/>
      <c r="I2275" s="2"/>
      <c r="O2275" s="2"/>
      <c r="P2275" s="2"/>
    </row>
    <row r="2276" spans="4:16" x14ac:dyDescent="0.25">
      <c r="D2276" s="2"/>
      <c r="E2276" s="310"/>
      <c r="G2276" s="2"/>
      <c r="H2276" s="310"/>
      <c r="I2276" s="2"/>
      <c r="O2276" s="2"/>
      <c r="P2276" s="2"/>
    </row>
    <row r="2277" spans="4:16" x14ac:dyDescent="0.25">
      <c r="D2277" s="2"/>
      <c r="E2277" s="310"/>
      <c r="G2277" s="2"/>
      <c r="H2277" s="310"/>
      <c r="I2277" s="2"/>
      <c r="O2277" s="2"/>
      <c r="P2277" s="2"/>
    </row>
    <row r="2278" spans="4:16" x14ac:dyDescent="0.25">
      <c r="D2278" s="2"/>
      <c r="E2278" s="310"/>
      <c r="G2278" s="2"/>
      <c r="H2278" s="310"/>
      <c r="I2278" s="2"/>
      <c r="O2278" s="2"/>
      <c r="P2278" s="2"/>
    </row>
    <row r="2279" spans="4:16" x14ac:dyDescent="0.25">
      <c r="D2279" s="2"/>
      <c r="E2279" s="310"/>
      <c r="G2279" s="2"/>
      <c r="H2279" s="310"/>
      <c r="I2279" s="2"/>
      <c r="O2279" s="2"/>
      <c r="P2279" s="2"/>
    </row>
    <row r="2280" spans="4:16" x14ac:dyDescent="0.25">
      <c r="D2280" s="2"/>
      <c r="E2280" s="310"/>
      <c r="G2280" s="2"/>
      <c r="H2280" s="310"/>
      <c r="I2280" s="2"/>
      <c r="O2280" s="2"/>
      <c r="P2280" s="2"/>
    </row>
    <row r="2281" spans="4:16" x14ac:dyDescent="0.25">
      <c r="D2281" s="2"/>
      <c r="E2281" s="310"/>
      <c r="G2281" s="2"/>
      <c r="H2281" s="310"/>
      <c r="I2281" s="2"/>
      <c r="O2281" s="2"/>
      <c r="P2281" s="2"/>
    </row>
    <row r="2282" spans="4:16" x14ac:dyDescent="0.25">
      <c r="D2282" s="2"/>
      <c r="E2282" s="310"/>
      <c r="G2282" s="2"/>
      <c r="H2282" s="310"/>
      <c r="I2282" s="2"/>
      <c r="O2282" s="2"/>
      <c r="P2282" s="2"/>
    </row>
    <row r="2283" spans="4:16" x14ac:dyDescent="0.25">
      <c r="D2283" s="2"/>
      <c r="E2283" s="310"/>
      <c r="G2283" s="2"/>
      <c r="H2283" s="310"/>
      <c r="I2283" s="2"/>
      <c r="O2283" s="2"/>
      <c r="P2283" s="2"/>
    </row>
    <row r="2284" spans="4:16" x14ac:dyDescent="0.25">
      <c r="D2284" s="2"/>
      <c r="E2284" s="310"/>
      <c r="G2284" s="2"/>
      <c r="H2284" s="310"/>
      <c r="I2284" s="2"/>
      <c r="O2284" s="2"/>
      <c r="P2284" s="2"/>
    </row>
    <row r="2285" spans="4:16" x14ac:dyDescent="0.25">
      <c r="D2285" s="2"/>
      <c r="E2285" s="310"/>
      <c r="G2285" s="2"/>
      <c r="H2285" s="310"/>
      <c r="I2285" s="2"/>
      <c r="O2285" s="2"/>
      <c r="P2285" s="2"/>
    </row>
    <row r="2286" spans="4:16" x14ac:dyDescent="0.25">
      <c r="D2286" s="2"/>
      <c r="E2286" s="310"/>
      <c r="G2286" s="2"/>
      <c r="H2286" s="310"/>
      <c r="I2286" s="2"/>
      <c r="O2286" s="2"/>
      <c r="P2286" s="2"/>
    </row>
    <row r="2287" spans="4:16" x14ac:dyDescent="0.25">
      <c r="D2287" s="2"/>
      <c r="E2287" s="310"/>
      <c r="G2287" s="2"/>
      <c r="H2287" s="310"/>
      <c r="I2287" s="2"/>
      <c r="O2287" s="2"/>
      <c r="P2287" s="2"/>
    </row>
    <row r="2288" spans="4:16" x14ac:dyDescent="0.25">
      <c r="D2288" s="2"/>
      <c r="E2288" s="310"/>
      <c r="G2288" s="2"/>
      <c r="H2288" s="310"/>
      <c r="I2288" s="2"/>
      <c r="O2288" s="2"/>
      <c r="P2288" s="2"/>
    </row>
    <row r="2289" spans="4:16" x14ac:dyDescent="0.25">
      <c r="D2289" s="2"/>
      <c r="E2289" s="310"/>
      <c r="G2289" s="2"/>
      <c r="H2289" s="310"/>
      <c r="I2289" s="2"/>
      <c r="O2289" s="2"/>
      <c r="P2289" s="2"/>
    </row>
    <row r="2290" spans="4:16" x14ac:dyDescent="0.25">
      <c r="D2290" s="2"/>
      <c r="E2290" s="310"/>
      <c r="G2290" s="2"/>
      <c r="H2290" s="310"/>
      <c r="I2290" s="2"/>
      <c r="O2290" s="2"/>
      <c r="P2290" s="2"/>
    </row>
    <row r="2291" spans="4:16" x14ac:dyDescent="0.25">
      <c r="D2291" s="2"/>
      <c r="E2291" s="310"/>
      <c r="G2291" s="2"/>
      <c r="H2291" s="310"/>
      <c r="I2291" s="2"/>
      <c r="O2291" s="2"/>
      <c r="P2291" s="2"/>
    </row>
    <row r="2292" spans="4:16" x14ac:dyDescent="0.25">
      <c r="D2292" s="2"/>
      <c r="E2292" s="310"/>
      <c r="G2292" s="2"/>
      <c r="H2292" s="310"/>
      <c r="I2292" s="2"/>
      <c r="O2292" s="2"/>
      <c r="P2292" s="2"/>
    </row>
    <row r="2293" spans="4:16" x14ac:dyDescent="0.25">
      <c r="D2293" s="2"/>
      <c r="E2293" s="310"/>
      <c r="G2293" s="2"/>
      <c r="H2293" s="310"/>
      <c r="I2293" s="2"/>
      <c r="O2293" s="2"/>
      <c r="P2293" s="2"/>
    </row>
    <row r="2294" spans="4:16" x14ac:dyDescent="0.25">
      <c r="D2294" s="2"/>
      <c r="E2294" s="310"/>
      <c r="G2294" s="2"/>
      <c r="H2294" s="310"/>
      <c r="I2294" s="2"/>
      <c r="O2294" s="2"/>
      <c r="P2294" s="2"/>
    </row>
    <row r="2295" spans="4:16" x14ac:dyDescent="0.25">
      <c r="D2295" s="2"/>
      <c r="E2295" s="310"/>
      <c r="G2295" s="2"/>
      <c r="H2295" s="310"/>
      <c r="I2295" s="2"/>
      <c r="O2295" s="2"/>
      <c r="P2295" s="2"/>
    </row>
    <row r="2296" spans="4:16" x14ac:dyDescent="0.25">
      <c r="D2296" s="2"/>
      <c r="E2296" s="310"/>
      <c r="G2296" s="2"/>
      <c r="H2296" s="310"/>
      <c r="I2296" s="2"/>
      <c r="O2296" s="2"/>
      <c r="P2296" s="2"/>
    </row>
    <row r="2297" spans="4:16" x14ac:dyDescent="0.25">
      <c r="D2297" s="2"/>
      <c r="E2297" s="310"/>
      <c r="G2297" s="2"/>
      <c r="H2297" s="310"/>
      <c r="I2297" s="2"/>
      <c r="O2297" s="2"/>
      <c r="P2297" s="2"/>
    </row>
    <row r="2298" spans="4:16" x14ac:dyDescent="0.25">
      <c r="D2298" s="2"/>
      <c r="E2298" s="310"/>
      <c r="G2298" s="2"/>
      <c r="H2298" s="310"/>
      <c r="I2298" s="2"/>
      <c r="O2298" s="2"/>
      <c r="P2298" s="2"/>
    </row>
    <row r="2299" spans="4:16" x14ac:dyDescent="0.25">
      <c r="D2299" s="2"/>
      <c r="E2299" s="310"/>
      <c r="G2299" s="2"/>
      <c r="H2299" s="310"/>
      <c r="I2299" s="2"/>
      <c r="O2299" s="2"/>
      <c r="P2299" s="2"/>
    </row>
    <row r="2300" spans="4:16" x14ac:dyDescent="0.25">
      <c r="D2300" s="2"/>
      <c r="E2300" s="310"/>
      <c r="G2300" s="2"/>
      <c r="H2300" s="310"/>
      <c r="I2300" s="2"/>
      <c r="O2300" s="2"/>
      <c r="P2300" s="2"/>
    </row>
    <row r="2301" spans="4:16" x14ac:dyDescent="0.25">
      <c r="D2301" s="2"/>
      <c r="E2301" s="310"/>
      <c r="G2301" s="2"/>
      <c r="H2301" s="310"/>
      <c r="I2301" s="2"/>
      <c r="O2301" s="2"/>
      <c r="P2301" s="2"/>
    </row>
    <row r="2302" spans="4:16" x14ac:dyDescent="0.25">
      <c r="D2302" s="2"/>
      <c r="E2302" s="310"/>
      <c r="G2302" s="2"/>
      <c r="H2302" s="310"/>
      <c r="I2302" s="2"/>
      <c r="O2302" s="2"/>
      <c r="P2302" s="2"/>
    </row>
    <row r="2303" spans="4:16" x14ac:dyDescent="0.25">
      <c r="D2303" s="2"/>
      <c r="E2303" s="310"/>
      <c r="G2303" s="2"/>
      <c r="H2303" s="310"/>
      <c r="I2303" s="2"/>
      <c r="O2303" s="2"/>
      <c r="P2303" s="2"/>
    </row>
    <row r="2304" spans="4:16" x14ac:dyDescent="0.25">
      <c r="D2304" s="2"/>
      <c r="E2304" s="310"/>
      <c r="G2304" s="2"/>
      <c r="H2304" s="310"/>
      <c r="I2304" s="2"/>
      <c r="O2304" s="2"/>
      <c r="P2304" s="2"/>
    </row>
    <row r="2305" spans="4:16" x14ac:dyDescent="0.25">
      <c r="D2305" s="2"/>
      <c r="E2305" s="310"/>
      <c r="G2305" s="2"/>
      <c r="H2305" s="310"/>
      <c r="I2305" s="2"/>
      <c r="O2305" s="2"/>
      <c r="P2305" s="2"/>
    </row>
    <row r="2306" spans="4:16" x14ac:dyDescent="0.25">
      <c r="D2306" s="2"/>
      <c r="E2306" s="310"/>
      <c r="G2306" s="2"/>
      <c r="H2306" s="310"/>
      <c r="I2306" s="2"/>
      <c r="O2306" s="2"/>
      <c r="P2306" s="2"/>
    </row>
    <row r="2307" spans="4:16" x14ac:dyDescent="0.25">
      <c r="D2307" s="2"/>
      <c r="E2307" s="310"/>
      <c r="G2307" s="2"/>
      <c r="H2307" s="310"/>
      <c r="I2307" s="2"/>
      <c r="O2307" s="2"/>
      <c r="P2307" s="2"/>
    </row>
    <row r="2308" spans="4:16" x14ac:dyDescent="0.25">
      <c r="D2308" s="2"/>
      <c r="E2308" s="310"/>
      <c r="G2308" s="2"/>
      <c r="H2308" s="310"/>
      <c r="I2308" s="2"/>
      <c r="O2308" s="2"/>
      <c r="P2308" s="2"/>
    </row>
    <row r="2309" spans="4:16" x14ac:dyDescent="0.25">
      <c r="D2309" s="2"/>
      <c r="E2309" s="310"/>
      <c r="G2309" s="2"/>
      <c r="H2309" s="310"/>
      <c r="I2309" s="2"/>
      <c r="O2309" s="2"/>
      <c r="P2309" s="2"/>
    </row>
    <row r="2310" spans="4:16" x14ac:dyDescent="0.25">
      <c r="D2310" s="2"/>
      <c r="E2310" s="310"/>
      <c r="G2310" s="2"/>
      <c r="H2310" s="310"/>
      <c r="I2310" s="2"/>
      <c r="O2310" s="2"/>
      <c r="P2310" s="2"/>
    </row>
    <row r="2311" spans="4:16" x14ac:dyDescent="0.25">
      <c r="D2311" s="2"/>
      <c r="E2311" s="310"/>
      <c r="G2311" s="2"/>
      <c r="H2311" s="310"/>
      <c r="I2311" s="2"/>
      <c r="O2311" s="2"/>
      <c r="P2311" s="2"/>
    </row>
    <row r="2312" spans="4:16" x14ac:dyDescent="0.25">
      <c r="D2312" s="2"/>
      <c r="E2312" s="310"/>
      <c r="G2312" s="2"/>
      <c r="H2312" s="310"/>
      <c r="I2312" s="2"/>
      <c r="O2312" s="2"/>
      <c r="P2312" s="2"/>
    </row>
    <row r="2313" spans="4:16" x14ac:dyDescent="0.25">
      <c r="D2313" s="2"/>
      <c r="E2313" s="310"/>
      <c r="G2313" s="2"/>
      <c r="H2313" s="310"/>
      <c r="I2313" s="2"/>
      <c r="O2313" s="2"/>
      <c r="P2313" s="2"/>
    </row>
    <row r="2314" spans="4:16" x14ac:dyDescent="0.25">
      <c r="D2314" s="2"/>
      <c r="E2314" s="310"/>
      <c r="G2314" s="2"/>
      <c r="H2314" s="310"/>
      <c r="I2314" s="2"/>
      <c r="O2314" s="2"/>
      <c r="P2314" s="2"/>
    </row>
    <row r="2315" spans="4:16" x14ac:dyDescent="0.25">
      <c r="D2315" s="2"/>
      <c r="E2315" s="310"/>
      <c r="G2315" s="2"/>
      <c r="H2315" s="310"/>
      <c r="I2315" s="2"/>
      <c r="O2315" s="2"/>
      <c r="P2315" s="2"/>
    </row>
    <row r="2316" spans="4:16" x14ac:dyDescent="0.25">
      <c r="D2316" s="2"/>
      <c r="E2316" s="310"/>
      <c r="G2316" s="2"/>
      <c r="H2316" s="310"/>
      <c r="I2316" s="2"/>
      <c r="O2316" s="2"/>
      <c r="P2316" s="2"/>
    </row>
    <row r="2317" spans="4:16" x14ac:dyDescent="0.25">
      <c r="D2317" s="2"/>
      <c r="E2317" s="310"/>
      <c r="G2317" s="2"/>
      <c r="H2317" s="310"/>
      <c r="I2317" s="2"/>
      <c r="O2317" s="2"/>
      <c r="P2317" s="2"/>
    </row>
    <row r="2318" spans="4:16" x14ac:dyDescent="0.25">
      <c r="D2318" s="2"/>
      <c r="E2318" s="310"/>
      <c r="G2318" s="2"/>
      <c r="H2318" s="310"/>
      <c r="I2318" s="2"/>
      <c r="O2318" s="2"/>
      <c r="P2318" s="2"/>
    </row>
    <row r="2319" spans="4:16" x14ac:dyDescent="0.25">
      <c r="D2319" s="2"/>
      <c r="E2319" s="310"/>
      <c r="G2319" s="2"/>
      <c r="H2319" s="310"/>
      <c r="I2319" s="2"/>
      <c r="O2319" s="2"/>
      <c r="P2319" s="2"/>
    </row>
    <row r="2320" spans="4:16" x14ac:dyDescent="0.25">
      <c r="D2320" s="2"/>
      <c r="E2320" s="310"/>
      <c r="G2320" s="2"/>
      <c r="H2320" s="310"/>
      <c r="I2320" s="2"/>
      <c r="O2320" s="2"/>
      <c r="P2320" s="2"/>
    </row>
    <row r="2321" spans="4:16" x14ac:dyDescent="0.25">
      <c r="D2321" s="2"/>
      <c r="E2321" s="310"/>
      <c r="G2321" s="2"/>
      <c r="H2321" s="310"/>
      <c r="I2321" s="2"/>
      <c r="O2321" s="2"/>
      <c r="P2321" s="2"/>
    </row>
    <row r="2322" spans="4:16" x14ac:dyDescent="0.25">
      <c r="D2322" s="2"/>
      <c r="E2322" s="310"/>
      <c r="G2322" s="2"/>
      <c r="H2322" s="310"/>
      <c r="I2322" s="2"/>
      <c r="O2322" s="2"/>
      <c r="P2322" s="2"/>
    </row>
    <row r="2323" spans="4:16" x14ac:dyDescent="0.25">
      <c r="D2323" s="2"/>
      <c r="E2323" s="310"/>
      <c r="G2323" s="2"/>
      <c r="H2323" s="310"/>
      <c r="I2323" s="2"/>
      <c r="O2323" s="2"/>
      <c r="P2323" s="2"/>
    </row>
    <row r="2324" spans="4:16" x14ac:dyDescent="0.25">
      <c r="D2324" s="2"/>
      <c r="E2324" s="310"/>
      <c r="G2324" s="2"/>
      <c r="H2324" s="310"/>
      <c r="I2324" s="2"/>
      <c r="O2324" s="2"/>
      <c r="P2324" s="2"/>
    </row>
    <row r="2325" spans="4:16" x14ac:dyDescent="0.25">
      <c r="D2325" s="2"/>
      <c r="E2325" s="310"/>
      <c r="G2325" s="2"/>
      <c r="H2325" s="310"/>
      <c r="I2325" s="2"/>
      <c r="O2325" s="2"/>
      <c r="P2325" s="2"/>
    </row>
    <row r="2326" spans="4:16" x14ac:dyDescent="0.25">
      <c r="D2326" s="2"/>
      <c r="E2326" s="310"/>
      <c r="G2326" s="2"/>
      <c r="H2326" s="310"/>
      <c r="I2326" s="2"/>
      <c r="O2326" s="2"/>
      <c r="P2326" s="2"/>
    </row>
    <row r="2327" spans="4:16" x14ac:dyDescent="0.25">
      <c r="D2327" s="2"/>
      <c r="E2327" s="310"/>
      <c r="G2327" s="2"/>
      <c r="H2327" s="310"/>
      <c r="I2327" s="2"/>
      <c r="O2327" s="2"/>
      <c r="P2327" s="2"/>
    </row>
    <row r="2328" spans="4:16" x14ac:dyDescent="0.25">
      <c r="D2328" s="2"/>
      <c r="E2328" s="310"/>
      <c r="G2328" s="2"/>
      <c r="H2328" s="310"/>
      <c r="I2328" s="2"/>
      <c r="O2328" s="2"/>
      <c r="P2328" s="2"/>
    </row>
    <row r="2329" spans="4:16" x14ac:dyDescent="0.25">
      <c r="D2329" s="2"/>
      <c r="E2329" s="310"/>
      <c r="G2329" s="2"/>
      <c r="H2329" s="310"/>
      <c r="I2329" s="2"/>
      <c r="O2329" s="2"/>
      <c r="P2329" s="2"/>
    </row>
    <row r="2330" spans="4:16" x14ac:dyDescent="0.25">
      <c r="D2330" s="2"/>
      <c r="E2330" s="310"/>
      <c r="G2330" s="2"/>
      <c r="H2330" s="310"/>
      <c r="I2330" s="2"/>
      <c r="O2330" s="2"/>
      <c r="P2330" s="2"/>
    </row>
    <row r="2331" spans="4:16" x14ac:dyDescent="0.25">
      <c r="D2331" s="2"/>
      <c r="E2331" s="310"/>
      <c r="G2331" s="2"/>
      <c r="H2331" s="310"/>
      <c r="I2331" s="2"/>
      <c r="O2331" s="2"/>
      <c r="P2331" s="2"/>
    </row>
    <row r="2332" spans="4:16" x14ac:dyDescent="0.25">
      <c r="D2332" s="2"/>
      <c r="E2332" s="310"/>
      <c r="G2332" s="2"/>
      <c r="H2332" s="310"/>
      <c r="I2332" s="2"/>
      <c r="O2332" s="2"/>
      <c r="P2332" s="2"/>
    </row>
    <row r="2333" spans="4:16" x14ac:dyDescent="0.25">
      <c r="D2333" s="2"/>
      <c r="E2333" s="310"/>
      <c r="G2333" s="2"/>
      <c r="H2333" s="310"/>
      <c r="I2333" s="2"/>
      <c r="O2333" s="2"/>
      <c r="P2333" s="2"/>
    </row>
    <row r="2334" spans="4:16" x14ac:dyDescent="0.25">
      <c r="D2334" s="2"/>
      <c r="E2334" s="310"/>
      <c r="G2334" s="2"/>
      <c r="H2334" s="310"/>
      <c r="I2334" s="2"/>
      <c r="O2334" s="2"/>
      <c r="P2334" s="2"/>
    </row>
    <row r="2335" spans="4:16" x14ac:dyDescent="0.25">
      <c r="D2335" s="2"/>
      <c r="E2335" s="310"/>
      <c r="G2335" s="2"/>
      <c r="H2335" s="310"/>
      <c r="I2335" s="2"/>
      <c r="O2335" s="2"/>
      <c r="P2335" s="2"/>
    </row>
    <row r="2336" spans="4:16" x14ac:dyDescent="0.25">
      <c r="D2336" s="2"/>
      <c r="E2336" s="310"/>
      <c r="G2336" s="2"/>
      <c r="H2336" s="310"/>
      <c r="I2336" s="2"/>
      <c r="O2336" s="2"/>
      <c r="P2336" s="2"/>
    </row>
    <row r="2337" spans="4:16" x14ac:dyDescent="0.25">
      <c r="D2337" s="2"/>
      <c r="E2337" s="310"/>
      <c r="G2337" s="2"/>
      <c r="H2337" s="310"/>
      <c r="I2337" s="2"/>
      <c r="O2337" s="2"/>
      <c r="P2337" s="2"/>
    </row>
    <row r="2338" spans="4:16" x14ac:dyDescent="0.25">
      <c r="D2338" s="2"/>
      <c r="E2338" s="310"/>
      <c r="G2338" s="2"/>
      <c r="H2338" s="310"/>
      <c r="I2338" s="2"/>
      <c r="O2338" s="2"/>
      <c r="P2338" s="2"/>
    </row>
    <row r="2339" spans="4:16" x14ac:dyDescent="0.25">
      <c r="D2339" s="2"/>
      <c r="E2339" s="310"/>
      <c r="G2339" s="2"/>
      <c r="H2339" s="310"/>
      <c r="I2339" s="2"/>
      <c r="O2339" s="2"/>
      <c r="P2339" s="2"/>
    </row>
    <row r="2340" spans="4:16" x14ac:dyDescent="0.25">
      <c r="D2340" s="2"/>
      <c r="E2340" s="310"/>
      <c r="G2340" s="2"/>
      <c r="H2340" s="310"/>
      <c r="I2340" s="2"/>
      <c r="O2340" s="2"/>
      <c r="P2340" s="2"/>
    </row>
    <row r="2341" spans="4:16" x14ac:dyDescent="0.25">
      <c r="D2341" s="2"/>
      <c r="E2341" s="310"/>
      <c r="G2341" s="2"/>
      <c r="H2341" s="310"/>
      <c r="I2341" s="2"/>
      <c r="O2341" s="2"/>
      <c r="P2341" s="2"/>
    </row>
    <row r="2342" spans="4:16" x14ac:dyDescent="0.25">
      <c r="D2342" s="2"/>
      <c r="E2342" s="310"/>
      <c r="G2342" s="2"/>
      <c r="H2342" s="310"/>
      <c r="I2342" s="2"/>
      <c r="O2342" s="2"/>
      <c r="P2342" s="2"/>
    </row>
    <row r="2343" spans="4:16" x14ac:dyDescent="0.25">
      <c r="D2343" s="2"/>
      <c r="E2343" s="310"/>
      <c r="G2343" s="2"/>
      <c r="H2343" s="310"/>
      <c r="I2343" s="2"/>
      <c r="O2343" s="2"/>
      <c r="P2343" s="2"/>
    </row>
    <row r="2344" spans="4:16" x14ac:dyDescent="0.25">
      <c r="D2344" s="2"/>
      <c r="E2344" s="310"/>
      <c r="G2344" s="2"/>
      <c r="H2344" s="310"/>
      <c r="I2344" s="2"/>
      <c r="O2344" s="2"/>
      <c r="P2344" s="2"/>
    </row>
    <row r="2345" spans="4:16" x14ac:dyDescent="0.25">
      <c r="D2345" s="2"/>
      <c r="E2345" s="310"/>
      <c r="G2345" s="2"/>
      <c r="H2345" s="310"/>
      <c r="I2345" s="2"/>
      <c r="O2345" s="2"/>
      <c r="P2345" s="2"/>
    </row>
    <row r="2346" spans="4:16" x14ac:dyDescent="0.25">
      <c r="D2346" s="2"/>
      <c r="E2346" s="310"/>
      <c r="G2346" s="2"/>
      <c r="H2346" s="310"/>
      <c r="I2346" s="2"/>
      <c r="O2346" s="2"/>
      <c r="P2346" s="2"/>
    </row>
    <row r="2347" spans="4:16" x14ac:dyDescent="0.25">
      <c r="D2347" s="2"/>
      <c r="E2347" s="310"/>
      <c r="G2347" s="2"/>
      <c r="H2347" s="310"/>
      <c r="I2347" s="2"/>
      <c r="O2347" s="2"/>
      <c r="P2347" s="2"/>
    </row>
    <row r="2348" spans="4:16" x14ac:dyDescent="0.25">
      <c r="D2348" s="2"/>
      <c r="E2348" s="310"/>
      <c r="G2348" s="2"/>
      <c r="H2348" s="310"/>
      <c r="I2348" s="2"/>
      <c r="O2348" s="2"/>
      <c r="P2348" s="2"/>
    </row>
    <row r="2349" spans="4:16" x14ac:dyDescent="0.25">
      <c r="D2349" s="2"/>
      <c r="E2349" s="310"/>
      <c r="G2349" s="2"/>
      <c r="H2349" s="310"/>
      <c r="I2349" s="2"/>
      <c r="O2349" s="2"/>
      <c r="P2349" s="2"/>
    </row>
    <row r="2350" spans="4:16" x14ac:dyDescent="0.25">
      <c r="D2350" s="2"/>
      <c r="E2350" s="310"/>
      <c r="G2350" s="2"/>
      <c r="H2350" s="310"/>
      <c r="I2350" s="2"/>
      <c r="O2350" s="2"/>
      <c r="P2350" s="2"/>
    </row>
    <row r="2351" spans="4:16" x14ac:dyDescent="0.25">
      <c r="D2351" s="2"/>
      <c r="E2351" s="310"/>
      <c r="G2351" s="2"/>
      <c r="H2351" s="310"/>
      <c r="I2351" s="2"/>
      <c r="O2351" s="2"/>
      <c r="P2351" s="2"/>
    </row>
    <row r="2352" spans="4:16" x14ac:dyDescent="0.25">
      <c r="D2352" s="2"/>
      <c r="E2352" s="310"/>
      <c r="G2352" s="2"/>
      <c r="H2352" s="310"/>
      <c r="I2352" s="2"/>
      <c r="O2352" s="2"/>
      <c r="P2352" s="2"/>
    </row>
    <row r="2353" spans="4:16" x14ac:dyDescent="0.25">
      <c r="D2353" s="2"/>
      <c r="E2353" s="310"/>
      <c r="G2353" s="2"/>
      <c r="H2353" s="310"/>
      <c r="I2353" s="2"/>
      <c r="O2353" s="2"/>
      <c r="P2353" s="2"/>
    </row>
    <row r="2354" spans="4:16" x14ac:dyDescent="0.25">
      <c r="D2354" s="2"/>
      <c r="E2354" s="310"/>
      <c r="G2354" s="2"/>
      <c r="H2354" s="310"/>
      <c r="I2354" s="2"/>
      <c r="O2354" s="2"/>
      <c r="P2354" s="2"/>
    </row>
    <row r="2355" spans="4:16" x14ac:dyDescent="0.25">
      <c r="D2355" s="2"/>
      <c r="E2355" s="310"/>
      <c r="G2355" s="2"/>
      <c r="H2355" s="310"/>
      <c r="I2355" s="2"/>
      <c r="O2355" s="2"/>
      <c r="P2355" s="2"/>
    </row>
    <row r="2356" spans="4:16" x14ac:dyDescent="0.25">
      <c r="D2356" s="2"/>
      <c r="E2356" s="310"/>
      <c r="G2356" s="2"/>
      <c r="H2356" s="310"/>
      <c r="I2356" s="2"/>
      <c r="O2356" s="2"/>
      <c r="P2356" s="2"/>
    </row>
    <row r="2357" spans="4:16" x14ac:dyDescent="0.25">
      <c r="D2357" s="2"/>
      <c r="E2357" s="310"/>
      <c r="G2357" s="2"/>
      <c r="H2357" s="310"/>
      <c r="I2357" s="2"/>
      <c r="O2357" s="2"/>
      <c r="P2357" s="2"/>
    </row>
    <row r="2358" spans="4:16" x14ac:dyDescent="0.25">
      <c r="D2358" s="2"/>
      <c r="E2358" s="310"/>
      <c r="G2358" s="2"/>
      <c r="H2358" s="310"/>
      <c r="I2358" s="2"/>
      <c r="O2358" s="2"/>
      <c r="P2358" s="2"/>
    </row>
    <row r="2359" spans="4:16" x14ac:dyDescent="0.25">
      <c r="D2359" s="2"/>
      <c r="E2359" s="310"/>
      <c r="G2359" s="2"/>
      <c r="H2359" s="310"/>
      <c r="I2359" s="2"/>
      <c r="O2359" s="2"/>
      <c r="P2359" s="2"/>
    </row>
    <row r="2360" spans="4:16" x14ac:dyDescent="0.25">
      <c r="D2360" s="2"/>
      <c r="E2360" s="310"/>
      <c r="G2360" s="2"/>
      <c r="H2360" s="310"/>
      <c r="I2360" s="2"/>
      <c r="O2360" s="2"/>
      <c r="P2360" s="2"/>
    </row>
    <row r="2361" spans="4:16" x14ac:dyDescent="0.25">
      <c r="D2361" s="2"/>
      <c r="E2361" s="310"/>
      <c r="G2361" s="2"/>
      <c r="H2361" s="310"/>
      <c r="I2361" s="2"/>
      <c r="O2361" s="2"/>
      <c r="P2361" s="2"/>
    </row>
    <row r="2362" spans="4:16" x14ac:dyDescent="0.25">
      <c r="D2362" s="2"/>
      <c r="E2362" s="310"/>
      <c r="G2362" s="2"/>
      <c r="H2362" s="310"/>
      <c r="I2362" s="2"/>
      <c r="O2362" s="2"/>
      <c r="P2362" s="2"/>
    </row>
    <row r="2363" spans="4:16" x14ac:dyDescent="0.25">
      <c r="D2363" s="2"/>
      <c r="E2363" s="310"/>
      <c r="G2363" s="2"/>
      <c r="H2363" s="310"/>
      <c r="I2363" s="2"/>
      <c r="O2363" s="2"/>
      <c r="P2363" s="2"/>
    </row>
    <row r="2364" spans="4:16" x14ac:dyDescent="0.25">
      <c r="D2364" s="2"/>
      <c r="E2364" s="310"/>
      <c r="G2364" s="2"/>
      <c r="H2364" s="310"/>
      <c r="I2364" s="2"/>
      <c r="O2364" s="2"/>
      <c r="P2364" s="2"/>
    </row>
    <row r="2365" spans="4:16" x14ac:dyDescent="0.25">
      <c r="D2365" s="2"/>
      <c r="E2365" s="310"/>
      <c r="G2365" s="2"/>
      <c r="H2365" s="310"/>
      <c r="I2365" s="2"/>
      <c r="O2365" s="2"/>
      <c r="P2365" s="2"/>
    </row>
    <row r="2366" spans="4:16" x14ac:dyDescent="0.25">
      <c r="D2366" s="2"/>
      <c r="E2366" s="310"/>
      <c r="G2366" s="2"/>
      <c r="H2366" s="310"/>
      <c r="I2366" s="2"/>
      <c r="O2366" s="2"/>
      <c r="P2366" s="2"/>
    </row>
    <row r="2367" spans="4:16" x14ac:dyDescent="0.25">
      <c r="D2367" s="2"/>
      <c r="E2367" s="310"/>
      <c r="G2367" s="2"/>
      <c r="H2367" s="310"/>
      <c r="I2367" s="2"/>
      <c r="O2367" s="2"/>
      <c r="P2367" s="2"/>
    </row>
    <row r="2368" spans="4:16" x14ac:dyDescent="0.25">
      <c r="D2368" s="2"/>
      <c r="E2368" s="310"/>
      <c r="G2368" s="2"/>
      <c r="H2368" s="310"/>
      <c r="I2368" s="2"/>
      <c r="O2368" s="2"/>
      <c r="P2368" s="2"/>
    </row>
    <row r="2369" spans="4:16" x14ac:dyDescent="0.25">
      <c r="D2369" s="2"/>
      <c r="E2369" s="310"/>
      <c r="G2369" s="2"/>
      <c r="H2369" s="310"/>
      <c r="I2369" s="2"/>
      <c r="O2369" s="2"/>
      <c r="P2369" s="2"/>
    </row>
    <row r="2370" spans="4:16" x14ac:dyDescent="0.25">
      <c r="D2370" s="2"/>
      <c r="E2370" s="310"/>
      <c r="G2370" s="2"/>
      <c r="H2370" s="310"/>
      <c r="I2370" s="2"/>
      <c r="O2370" s="2"/>
      <c r="P2370" s="2"/>
    </row>
    <row r="2371" spans="4:16" x14ac:dyDescent="0.25">
      <c r="D2371" s="2"/>
      <c r="E2371" s="310"/>
      <c r="G2371" s="2"/>
      <c r="H2371" s="310"/>
      <c r="I2371" s="2"/>
      <c r="O2371" s="2"/>
      <c r="P2371" s="2"/>
    </row>
    <row r="2372" spans="4:16" x14ac:dyDescent="0.25">
      <c r="D2372" s="2"/>
      <c r="E2372" s="310"/>
      <c r="G2372" s="2"/>
      <c r="H2372" s="310"/>
      <c r="I2372" s="2"/>
      <c r="O2372" s="2"/>
      <c r="P2372" s="2"/>
    </row>
    <row r="2373" spans="4:16" x14ac:dyDescent="0.25">
      <c r="D2373" s="2"/>
      <c r="E2373" s="310"/>
      <c r="G2373" s="2"/>
      <c r="H2373" s="310"/>
      <c r="I2373" s="2"/>
      <c r="O2373" s="2"/>
      <c r="P2373" s="2"/>
    </row>
    <row r="2374" spans="4:16" x14ac:dyDescent="0.25">
      <c r="D2374" s="2"/>
      <c r="E2374" s="310"/>
      <c r="G2374" s="2"/>
      <c r="H2374" s="310"/>
      <c r="I2374" s="2"/>
      <c r="O2374" s="2"/>
      <c r="P2374" s="2"/>
    </row>
    <row r="2375" spans="4:16" x14ac:dyDescent="0.25">
      <c r="D2375" s="2"/>
      <c r="E2375" s="310"/>
      <c r="G2375" s="2"/>
      <c r="H2375" s="310"/>
      <c r="I2375" s="2"/>
      <c r="O2375" s="2"/>
      <c r="P2375" s="2"/>
    </row>
    <row r="2376" spans="4:16" x14ac:dyDescent="0.25">
      <c r="D2376" s="2"/>
      <c r="E2376" s="310"/>
      <c r="G2376" s="2"/>
      <c r="H2376" s="310"/>
      <c r="I2376" s="2"/>
      <c r="O2376" s="2"/>
      <c r="P2376" s="2"/>
    </row>
    <row r="2377" spans="4:16" x14ac:dyDescent="0.25">
      <c r="D2377" s="2"/>
      <c r="E2377" s="310"/>
      <c r="G2377" s="2"/>
      <c r="H2377" s="310"/>
      <c r="I2377" s="2"/>
      <c r="O2377" s="2"/>
      <c r="P2377" s="2"/>
    </row>
    <row r="2378" spans="4:16" x14ac:dyDescent="0.25">
      <c r="D2378" s="2"/>
      <c r="E2378" s="310"/>
      <c r="G2378" s="2"/>
      <c r="H2378" s="310"/>
      <c r="I2378" s="2"/>
      <c r="O2378" s="2"/>
      <c r="P2378" s="2"/>
    </row>
    <row r="2379" spans="4:16" x14ac:dyDescent="0.25">
      <c r="D2379" s="2"/>
      <c r="E2379" s="310"/>
      <c r="G2379" s="2"/>
      <c r="H2379" s="310"/>
      <c r="I2379" s="2"/>
      <c r="O2379" s="2"/>
      <c r="P2379" s="2"/>
    </row>
    <row r="2380" spans="4:16" x14ac:dyDescent="0.25">
      <c r="D2380" s="2"/>
      <c r="E2380" s="310"/>
      <c r="G2380" s="2"/>
      <c r="H2380" s="310"/>
      <c r="I2380" s="2"/>
      <c r="O2380" s="2"/>
      <c r="P2380" s="2"/>
    </row>
    <row r="2381" spans="4:16" x14ac:dyDescent="0.25">
      <c r="D2381" s="2"/>
      <c r="E2381" s="310"/>
      <c r="G2381" s="2"/>
      <c r="H2381" s="310"/>
      <c r="I2381" s="2"/>
      <c r="O2381" s="2"/>
      <c r="P2381" s="2"/>
    </row>
    <row r="2382" spans="4:16" x14ac:dyDescent="0.25">
      <c r="D2382" s="2"/>
      <c r="E2382" s="310"/>
      <c r="G2382" s="2"/>
      <c r="H2382" s="310"/>
      <c r="I2382" s="2"/>
      <c r="O2382" s="2"/>
      <c r="P2382" s="2"/>
    </row>
    <row r="2383" spans="4:16" x14ac:dyDescent="0.25">
      <c r="D2383" s="2"/>
      <c r="E2383" s="310"/>
      <c r="G2383" s="2"/>
      <c r="H2383" s="310"/>
      <c r="I2383" s="2"/>
      <c r="O2383" s="2"/>
      <c r="P2383" s="2"/>
    </row>
    <row r="2384" spans="4:16" x14ac:dyDescent="0.25">
      <c r="D2384" s="2"/>
      <c r="E2384" s="310"/>
      <c r="G2384" s="2"/>
      <c r="H2384" s="310"/>
      <c r="I2384" s="2"/>
      <c r="O2384" s="2"/>
      <c r="P2384" s="2"/>
    </row>
    <row r="2385" spans="4:16" x14ac:dyDescent="0.25">
      <c r="D2385" s="2"/>
      <c r="E2385" s="310"/>
      <c r="G2385" s="2"/>
      <c r="H2385" s="310"/>
      <c r="I2385" s="2"/>
      <c r="O2385" s="2"/>
      <c r="P2385" s="2"/>
    </row>
    <row r="2386" spans="4:16" x14ac:dyDescent="0.25">
      <c r="D2386" s="2"/>
      <c r="E2386" s="310"/>
      <c r="G2386" s="2"/>
      <c r="H2386" s="310"/>
      <c r="I2386" s="2"/>
      <c r="O2386" s="2"/>
      <c r="P2386" s="2"/>
    </row>
    <row r="2387" spans="4:16" x14ac:dyDescent="0.25">
      <c r="D2387" s="2"/>
      <c r="E2387" s="310"/>
      <c r="G2387" s="2"/>
      <c r="H2387" s="310"/>
      <c r="I2387" s="2"/>
      <c r="O2387" s="2"/>
      <c r="P2387" s="2"/>
    </row>
    <row r="2388" spans="4:16" x14ac:dyDescent="0.25">
      <c r="D2388" s="2"/>
      <c r="E2388" s="310"/>
      <c r="G2388" s="2"/>
      <c r="H2388" s="310"/>
      <c r="I2388" s="2"/>
      <c r="O2388" s="2"/>
      <c r="P2388" s="2"/>
    </row>
    <row r="2389" spans="4:16" x14ac:dyDescent="0.25">
      <c r="D2389" s="2"/>
      <c r="E2389" s="310"/>
      <c r="G2389" s="2"/>
      <c r="H2389" s="310"/>
      <c r="I2389" s="2"/>
      <c r="O2389" s="2"/>
      <c r="P2389" s="2"/>
    </row>
    <row r="2390" spans="4:16" x14ac:dyDescent="0.25">
      <c r="D2390" s="2"/>
      <c r="E2390" s="310"/>
      <c r="G2390" s="2"/>
      <c r="H2390" s="310"/>
      <c r="I2390" s="2"/>
      <c r="O2390" s="2"/>
      <c r="P2390" s="2"/>
    </row>
    <row r="2391" spans="4:16" x14ac:dyDescent="0.25">
      <c r="D2391" s="2"/>
      <c r="E2391" s="310"/>
      <c r="G2391" s="2"/>
      <c r="H2391" s="310"/>
      <c r="I2391" s="2"/>
      <c r="O2391" s="2"/>
      <c r="P2391" s="2"/>
    </row>
    <row r="2392" spans="4:16" x14ac:dyDescent="0.25">
      <c r="D2392" s="2"/>
      <c r="E2392" s="310"/>
      <c r="G2392" s="2"/>
      <c r="H2392" s="310"/>
      <c r="I2392" s="2"/>
      <c r="O2392" s="2"/>
      <c r="P2392" s="2"/>
    </row>
    <row r="2393" spans="4:16" x14ac:dyDescent="0.25">
      <c r="D2393" s="2"/>
      <c r="E2393" s="310"/>
      <c r="G2393" s="2"/>
      <c r="H2393" s="310"/>
      <c r="I2393" s="2"/>
      <c r="O2393" s="2"/>
      <c r="P2393" s="2"/>
    </row>
    <row r="2394" spans="4:16" x14ac:dyDescent="0.25">
      <c r="D2394" s="2"/>
      <c r="E2394" s="310"/>
      <c r="G2394" s="2"/>
      <c r="H2394" s="310"/>
      <c r="I2394" s="2"/>
      <c r="O2394" s="2"/>
      <c r="P2394" s="2"/>
    </row>
    <row r="2395" spans="4:16" x14ac:dyDescent="0.25">
      <c r="D2395" s="2"/>
      <c r="E2395" s="310"/>
      <c r="G2395" s="2"/>
      <c r="H2395" s="310"/>
      <c r="I2395" s="2"/>
      <c r="O2395" s="2"/>
      <c r="P2395" s="2"/>
    </row>
    <row r="2396" spans="4:16" x14ac:dyDescent="0.25">
      <c r="D2396" s="2"/>
      <c r="E2396" s="310"/>
      <c r="G2396" s="2"/>
      <c r="H2396" s="310"/>
      <c r="I2396" s="2"/>
      <c r="O2396" s="2"/>
      <c r="P2396" s="2"/>
    </row>
    <row r="2397" spans="4:16" x14ac:dyDescent="0.25">
      <c r="D2397" s="2"/>
      <c r="E2397" s="310"/>
      <c r="G2397" s="2"/>
      <c r="H2397" s="310"/>
      <c r="I2397" s="2"/>
      <c r="O2397" s="2"/>
      <c r="P2397" s="2"/>
    </row>
    <row r="2398" spans="4:16" x14ac:dyDescent="0.25">
      <c r="D2398" s="2"/>
      <c r="E2398" s="310"/>
      <c r="G2398" s="2"/>
      <c r="H2398" s="310"/>
      <c r="I2398" s="2"/>
      <c r="O2398" s="2"/>
      <c r="P2398" s="2"/>
    </row>
    <row r="2399" spans="4:16" x14ac:dyDescent="0.25">
      <c r="D2399" s="2"/>
      <c r="E2399" s="310"/>
      <c r="G2399" s="2"/>
      <c r="H2399" s="310"/>
      <c r="I2399" s="2"/>
      <c r="O2399" s="2"/>
      <c r="P2399" s="2"/>
    </row>
    <row r="2400" spans="4:16" x14ac:dyDescent="0.25">
      <c r="D2400" s="2"/>
      <c r="E2400" s="310"/>
      <c r="G2400" s="2"/>
      <c r="H2400" s="310"/>
      <c r="I2400" s="2"/>
      <c r="O2400" s="2"/>
      <c r="P2400" s="2"/>
    </row>
    <row r="2401" spans="4:16" x14ac:dyDescent="0.25">
      <c r="D2401" s="2"/>
      <c r="E2401" s="310"/>
      <c r="G2401" s="2"/>
      <c r="H2401" s="310"/>
      <c r="I2401" s="2"/>
      <c r="O2401" s="2"/>
      <c r="P2401" s="2"/>
    </row>
    <row r="2402" spans="4:16" x14ac:dyDescent="0.25">
      <c r="D2402" s="2"/>
      <c r="E2402" s="310"/>
      <c r="G2402" s="2"/>
      <c r="H2402" s="310"/>
      <c r="I2402" s="2"/>
      <c r="O2402" s="2"/>
      <c r="P2402" s="2"/>
    </row>
    <row r="2403" spans="4:16" x14ac:dyDescent="0.25">
      <c r="D2403" s="2"/>
      <c r="E2403" s="310"/>
      <c r="G2403" s="2"/>
      <c r="H2403" s="310"/>
      <c r="I2403" s="2"/>
      <c r="O2403" s="2"/>
      <c r="P2403" s="2"/>
    </row>
    <row r="2404" spans="4:16" x14ac:dyDescent="0.25">
      <c r="D2404" s="2"/>
      <c r="E2404" s="310"/>
      <c r="G2404" s="2"/>
      <c r="H2404" s="310"/>
      <c r="I2404" s="2"/>
      <c r="O2404" s="2"/>
      <c r="P2404" s="2"/>
    </row>
    <row r="2405" spans="4:16" x14ac:dyDescent="0.25">
      <c r="D2405" s="2"/>
      <c r="E2405" s="310"/>
      <c r="G2405" s="2"/>
      <c r="H2405" s="310"/>
      <c r="I2405" s="2"/>
      <c r="O2405" s="2"/>
      <c r="P2405" s="2"/>
    </row>
    <row r="2406" spans="4:16" x14ac:dyDescent="0.25">
      <c r="D2406" s="2"/>
      <c r="E2406" s="310"/>
      <c r="G2406" s="2"/>
      <c r="H2406" s="310"/>
      <c r="I2406" s="2"/>
      <c r="O2406" s="2"/>
      <c r="P2406" s="2"/>
    </row>
    <row r="2407" spans="4:16" x14ac:dyDescent="0.25">
      <c r="D2407" s="2"/>
      <c r="E2407" s="310"/>
      <c r="G2407" s="2"/>
      <c r="H2407" s="310"/>
      <c r="I2407" s="2"/>
      <c r="O2407" s="2"/>
      <c r="P2407" s="2"/>
    </row>
    <row r="2408" spans="4:16" x14ac:dyDescent="0.25">
      <c r="D2408" s="2"/>
      <c r="E2408" s="310"/>
      <c r="G2408" s="2"/>
      <c r="H2408" s="310"/>
      <c r="I2408" s="2"/>
      <c r="O2408" s="2"/>
      <c r="P2408" s="2"/>
    </row>
    <row r="2409" spans="4:16" x14ac:dyDescent="0.25">
      <c r="D2409" s="2"/>
      <c r="E2409" s="310"/>
      <c r="G2409" s="2"/>
      <c r="H2409" s="310"/>
      <c r="I2409" s="2"/>
      <c r="O2409" s="2"/>
      <c r="P2409" s="2"/>
    </row>
    <row r="2410" spans="4:16" x14ac:dyDescent="0.25">
      <c r="D2410" s="2"/>
      <c r="E2410" s="310"/>
      <c r="G2410" s="2"/>
      <c r="H2410" s="310"/>
      <c r="I2410" s="2"/>
      <c r="O2410" s="2"/>
      <c r="P2410" s="2"/>
    </row>
    <row r="2411" spans="4:16" x14ac:dyDescent="0.25">
      <c r="D2411" s="2"/>
      <c r="E2411" s="310"/>
      <c r="G2411" s="2"/>
      <c r="H2411" s="310"/>
      <c r="I2411" s="2"/>
      <c r="O2411" s="2"/>
      <c r="P2411" s="2"/>
    </row>
    <row r="2412" spans="4:16" x14ac:dyDescent="0.25">
      <c r="D2412" s="2"/>
      <c r="E2412" s="310"/>
      <c r="G2412" s="2"/>
      <c r="H2412" s="310"/>
      <c r="I2412" s="2"/>
      <c r="O2412" s="2"/>
      <c r="P2412" s="2"/>
    </row>
    <row r="2418" spans="4:16" x14ac:dyDescent="0.25">
      <c r="D2418" s="2"/>
      <c r="E2418" s="310"/>
      <c r="G2418" s="2"/>
      <c r="H2418" s="310"/>
      <c r="I2418" s="2"/>
      <c r="O2418" s="2"/>
      <c r="P2418" s="2"/>
    </row>
    <row r="2419" spans="4:16" x14ac:dyDescent="0.25">
      <c r="D2419" s="2"/>
      <c r="E2419" s="310"/>
      <c r="G2419" s="2"/>
      <c r="H2419" s="310"/>
      <c r="I2419" s="2"/>
      <c r="O2419" s="2"/>
      <c r="P2419" s="2"/>
    </row>
    <row r="2420" spans="4:16" x14ac:dyDescent="0.25">
      <c r="D2420" s="2"/>
      <c r="E2420" s="310"/>
      <c r="G2420" s="2"/>
      <c r="H2420" s="310"/>
      <c r="I2420" s="2"/>
      <c r="O2420" s="2"/>
      <c r="P2420" s="2"/>
    </row>
    <row r="2421" spans="4:16" x14ac:dyDescent="0.25">
      <c r="D2421" s="2"/>
      <c r="E2421" s="310"/>
      <c r="G2421" s="2"/>
      <c r="H2421" s="310"/>
      <c r="I2421" s="2"/>
      <c r="O2421" s="2"/>
      <c r="P2421" s="2"/>
    </row>
    <row r="2422" spans="4:16" x14ac:dyDescent="0.25">
      <c r="D2422" s="2"/>
      <c r="E2422" s="310"/>
      <c r="G2422" s="2"/>
      <c r="H2422" s="310"/>
      <c r="I2422" s="2"/>
      <c r="O2422" s="2"/>
      <c r="P2422" s="2"/>
    </row>
    <row r="2423" spans="4:16" x14ac:dyDescent="0.25">
      <c r="D2423" s="2"/>
      <c r="E2423" s="310"/>
      <c r="G2423" s="2"/>
      <c r="H2423" s="310"/>
      <c r="I2423" s="2"/>
      <c r="O2423" s="2"/>
      <c r="P2423" s="2"/>
    </row>
    <row r="2424" spans="4:16" x14ac:dyDescent="0.25">
      <c r="D2424" s="2"/>
      <c r="E2424" s="310"/>
      <c r="G2424" s="2"/>
      <c r="H2424" s="310"/>
      <c r="I2424" s="2"/>
      <c r="O2424" s="2"/>
      <c r="P2424" s="2"/>
    </row>
    <row r="2425" spans="4:16" x14ac:dyDescent="0.25">
      <c r="D2425" s="2"/>
      <c r="E2425" s="310"/>
      <c r="G2425" s="2"/>
      <c r="H2425" s="310"/>
      <c r="I2425" s="2"/>
      <c r="O2425" s="2"/>
      <c r="P2425" s="2"/>
    </row>
    <row r="2426" spans="4:16" x14ac:dyDescent="0.25">
      <c r="D2426" s="2"/>
      <c r="E2426" s="310"/>
      <c r="G2426" s="2"/>
      <c r="H2426" s="310"/>
      <c r="I2426" s="2"/>
      <c r="O2426" s="2"/>
      <c r="P2426" s="2"/>
    </row>
    <row r="2427" spans="4:16" x14ac:dyDescent="0.25">
      <c r="D2427" s="2"/>
      <c r="E2427" s="310"/>
      <c r="G2427" s="2"/>
      <c r="H2427" s="310"/>
      <c r="I2427" s="2"/>
      <c r="O2427" s="2"/>
      <c r="P2427" s="2"/>
    </row>
    <row r="2428" spans="4:16" x14ac:dyDescent="0.25">
      <c r="D2428" s="2"/>
      <c r="E2428" s="310"/>
      <c r="G2428" s="2"/>
      <c r="H2428" s="310"/>
      <c r="I2428" s="2"/>
      <c r="O2428" s="2"/>
      <c r="P2428" s="2"/>
    </row>
    <row r="2429" spans="4:16" x14ac:dyDescent="0.25">
      <c r="D2429" s="2"/>
      <c r="E2429" s="310"/>
      <c r="G2429" s="2"/>
      <c r="H2429" s="310"/>
      <c r="I2429" s="2"/>
      <c r="O2429" s="2"/>
      <c r="P2429" s="2"/>
    </row>
    <row r="2430" spans="4:16" x14ac:dyDescent="0.25">
      <c r="D2430" s="2"/>
      <c r="E2430" s="310"/>
      <c r="G2430" s="2"/>
      <c r="H2430" s="310"/>
      <c r="I2430" s="2"/>
      <c r="O2430" s="2"/>
      <c r="P2430" s="2"/>
    </row>
    <row r="2431" spans="4:16" x14ac:dyDescent="0.25">
      <c r="D2431" s="2"/>
      <c r="E2431" s="310"/>
      <c r="G2431" s="2"/>
      <c r="H2431" s="310"/>
      <c r="I2431" s="2"/>
      <c r="O2431" s="2"/>
      <c r="P2431" s="2"/>
    </row>
    <row r="2432" spans="4:16" x14ac:dyDescent="0.25">
      <c r="D2432" s="2"/>
      <c r="E2432" s="310"/>
      <c r="G2432" s="2"/>
      <c r="H2432" s="310"/>
      <c r="I2432" s="2"/>
      <c r="O2432" s="2"/>
      <c r="P2432" s="2"/>
    </row>
    <row r="2433" spans="4:16" x14ac:dyDescent="0.25">
      <c r="D2433" s="2"/>
      <c r="E2433" s="310"/>
      <c r="G2433" s="2"/>
      <c r="H2433" s="310"/>
      <c r="I2433" s="2"/>
      <c r="O2433" s="2"/>
      <c r="P2433" s="2"/>
    </row>
    <row r="2434" spans="4:16" x14ac:dyDescent="0.25">
      <c r="D2434" s="2"/>
      <c r="E2434" s="310"/>
      <c r="G2434" s="2"/>
      <c r="H2434" s="310"/>
      <c r="I2434" s="2"/>
      <c r="O2434" s="2"/>
      <c r="P2434" s="2"/>
    </row>
    <row r="2435" spans="4:16" x14ac:dyDescent="0.25">
      <c r="D2435" s="2"/>
      <c r="E2435" s="310"/>
      <c r="G2435" s="2"/>
      <c r="H2435" s="310"/>
      <c r="I2435" s="2"/>
      <c r="O2435" s="2"/>
      <c r="P2435" s="2"/>
    </row>
    <row r="2436" spans="4:16" x14ac:dyDescent="0.25">
      <c r="D2436" s="2"/>
      <c r="E2436" s="310"/>
      <c r="G2436" s="2"/>
      <c r="H2436" s="310"/>
      <c r="I2436" s="2"/>
      <c r="O2436" s="2"/>
      <c r="P2436" s="2"/>
    </row>
    <row r="2437" spans="4:16" x14ac:dyDescent="0.25">
      <c r="D2437" s="2"/>
      <c r="E2437" s="310"/>
      <c r="G2437" s="2"/>
      <c r="H2437" s="310"/>
      <c r="I2437" s="2"/>
      <c r="O2437" s="2"/>
      <c r="P2437" s="2"/>
    </row>
    <row r="2438" spans="4:16" x14ac:dyDescent="0.25">
      <c r="D2438" s="2"/>
      <c r="E2438" s="310"/>
      <c r="G2438" s="2"/>
      <c r="H2438" s="310"/>
      <c r="I2438" s="2"/>
      <c r="O2438" s="2"/>
      <c r="P2438" s="2"/>
    </row>
    <row r="2439" spans="4:16" x14ac:dyDescent="0.25">
      <c r="D2439" s="2"/>
      <c r="E2439" s="310"/>
      <c r="G2439" s="2"/>
      <c r="H2439" s="310"/>
      <c r="I2439" s="2"/>
      <c r="O2439" s="2"/>
      <c r="P2439" s="2"/>
    </row>
    <row r="2440" spans="4:16" x14ac:dyDescent="0.25">
      <c r="D2440" s="2"/>
      <c r="E2440" s="310"/>
      <c r="G2440" s="2"/>
      <c r="H2440" s="310"/>
      <c r="I2440" s="2"/>
      <c r="O2440" s="2"/>
      <c r="P2440" s="2"/>
    </row>
    <row r="2441" spans="4:16" x14ac:dyDescent="0.25">
      <c r="D2441" s="2"/>
      <c r="E2441" s="310"/>
      <c r="G2441" s="2"/>
      <c r="H2441" s="310"/>
      <c r="I2441" s="2"/>
      <c r="O2441" s="2"/>
      <c r="P2441" s="2"/>
    </row>
    <row r="2442" spans="4:16" x14ac:dyDescent="0.25">
      <c r="D2442" s="2"/>
      <c r="E2442" s="310"/>
      <c r="G2442" s="2"/>
      <c r="H2442" s="310"/>
      <c r="I2442" s="2"/>
      <c r="O2442" s="2"/>
      <c r="P2442" s="2"/>
    </row>
    <row r="2443" spans="4:16" x14ac:dyDescent="0.25">
      <c r="D2443" s="2"/>
      <c r="E2443" s="310"/>
      <c r="G2443" s="2"/>
      <c r="H2443" s="310"/>
      <c r="I2443" s="2"/>
      <c r="O2443" s="2"/>
      <c r="P2443" s="2"/>
    </row>
    <row r="2444" spans="4:16" x14ac:dyDescent="0.25">
      <c r="D2444" s="2"/>
      <c r="E2444" s="310"/>
      <c r="G2444" s="2"/>
      <c r="H2444" s="310"/>
      <c r="I2444" s="2"/>
      <c r="O2444" s="2"/>
      <c r="P2444" s="2"/>
    </row>
    <row r="2445" spans="4:16" x14ac:dyDescent="0.25">
      <c r="D2445" s="2"/>
      <c r="E2445" s="310"/>
      <c r="G2445" s="2"/>
      <c r="H2445" s="310"/>
      <c r="I2445" s="2"/>
      <c r="O2445" s="2"/>
      <c r="P2445" s="2"/>
    </row>
    <row r="2446" spans="4:16" x14ac:dyDescent="0.25">
      <c r="D2446" s="2"/>
      <c r="E2446" s="310"/>
      <c r="G2446" s="2"/>
      <c r="H2446" s="310"/>
      <c r="I2446" s="2"/>
      <c r="O2446" s="2"/>
      <c r="P2446" s="2"/>
    </row>
    <row r="2447" spans="4:16" x14ac:dyDescent="0.25">
      <c r="D2447" s="2"/>
      <c r="E2447" s="310"/>
      <c r="G2447" s="2"/>
      <c r="H2447" s="310"/>
      <c r="I2447" s="2"/>
      <c r="O2447" s="2"/>
      <c r="P2447" s="2"/>
    </row>
    <row r="2448" spans="4:16" x14ac:dyDescent="0.25">
      <c r="D2448" s="2"/>
      <c r="E2448" s="310"/>
      <c r="G2448" s="2"/>
      <c r="H2448" s="310"/>
      <c r="I2448" s="2"/>
      <c r="O2448" s="2"/>
      <c r="P2448" s="2"/>
    </row>
    <row r="2449" spans="4:16" x14ac:dyDescent="0.25">
      <c r="D2449" s="2"/>
      <c r="E2449" s="310"/>
      <c r="G2449" s="2"/>
      <c r="H2449" s="310"/>
      <c r="I2449" s="2"/>
      <c r="O2449" s="2"/>
      <c r="P2449" s="2"/>
    </row>
    <row r="2450" spans="4:16" x14ac:dyDescent="0.25">
      <c r="D2450" s="2"/>
      <c r="E2450" s="310"/>
      <c r="G2450" s="2"/>
      <c r="H2450" s="310"/>
      <c r="I2450" s="2"/>
      <c r="O2450" s="2"/>
      <c r="P2450" s="2"/>
    </row>
    <row r="2451" spans="4:16" x14ac:dyDescent="0.25">
      <c r="D2451" s="2"/>
      <c r="E2451" s="310"/>
      <c r="G2451" s="2"/>
      <c r="H2451" s="310"/>
      <c r="I2451" s="2"/>
      <c r="O2451" s="2"/>
      <c r="P2451" s="2"/>
    </row>
    <row r="2452" spans="4:16" x14ac:dyDescent="0.25">
      <c r="D2452" s="2"/>
      <c r="E2452" s="310"/>
      <c r="G2452" s="2"/>
      <c r="H2452" s="310"/>
      <c r="I2452" s="2"/>
      <c r="O2452" s="2"/>
      <c r="P2452" s="2"/>
    </row>
    <row r="2453" spans="4:16" x14ac:dyDescent="0.25">
      <c r="D2453" s="2"/>
      <c r="E2453" s="310"/>
      <c r="G2453" s="2"/>
      <c r="H2453" s="310"/>
      <c r="I2453" s="2"/>
      <c r="O2453" s="2"/>
      <c r="P2453" s="2"/>
    </row>
    <row r="2454" spans="4:16" x14ac:dyDescent="0.25">
      <c r="D2454" s="2"/>
      <c r="E2454" s="310"/>
      <c r="G2454" s="2"/>
      <c r="H2454" s="310"/>
      <c r="I2454" s="2"/>
      <c r="O2454" s="2"/>
      <c r="P2454" s="2"/>
    </row>
    <row r="2455" spans="4:16" x14ac:dyDescent="0.25">
      <c r="D2455" s="2"/>
      <c r="E2455" s="310"/>
      <c r="G2455" s="2"/>
      <c r="H2455" s="310"/>
      <c r="I2455" s="2"/>
      <c r="O2455" s="2"/>
      <c r="P2455" s="2"/>
    </row>
    <row r="2456" spans="4:16" x14ac:dyDescent="0.25">
      <c r="D2456" s="2"/>
      <c r="E2456" s="310"/>
      <c r="G2456" s="2"/>
      <c r="H2456" s="310"/>
      <c r="I2456" s="2"/>
      <c r="O2456" s="2"/>
      <c r="P2456" s="2"/>
    </row>
    <row r="2457" spans="4:16" x14ac:dyDescent="0.25">
      <c r="D2457" s="2"/>
      <c r="E2457" s="310"/>
      <c r="G2457" s="2"/>
      <c r="H2457" s="310"/>
      <c r="I2457" s="2"/>
      <c r="O2457" s="2"/>
      <c r="P2457" s="2"/>
    </row>
    <row r="2458" spans="4:16" x14ac:dyDescent="0.25">
      <c r="D2458" s="2"/>
      <c r="E2458" s="310"/>
      <c r="G2458" s="2"/>
      <c r="H2458" s="310"/>
      <c r="I2458" s="2"/>
      <c r="O2458" s="2"/>
      <c r="P2458" s="2"/>
    </row>
    <row r="2459" spans="4:16" x14ac:dyDescent="0.25">
      <c r="D2459" s="2"/>
      <c r="E2459" s="310"/>
      <c r="G2459" s="2"/>
      <c r="H2459" s="310"/>
      <c r="I2459" s="2"/>
      <c r="O2459" s="2"/>
      <c r="P2459" s="2"/>
    </row>
    <row r="2460" spans="4:16" x14ac:dyDescent="0.25">
      <c r="D2460" s="2"/>
      <c r="E2460" s="310"/>
      <c r="G2460" s="2"/>
      <c r="H2460" s="310"/>
      <c r="I2460" s="2"/>
      <c r="O2460" s="2"/>
      <c r="P2460" s="2"/>
    </row>
    <row r="2461" spans="4:16" x14ac:dyDescent="0.25">
      <c r="D2461" s="2"/>
      <c r="E2461" s="310"/>
      <c r="G2461" s="2"/>
      <c r="H2461" s="310"/>
      <c r="I2461" s="2"/>
      <c r="O2461" s="2"/>
      <c r="P2461" s="2"/>
    </row>
    <row r="2462" spans="4:16" x14ac:dyDescent="0.25">
      <c r="D2462" s="2"/>
      <c r="E2462" s="310"/>
      <c r="G2462" s="2"/>
      <c r="H2462" s="310"/>
      <c r="I2462" s="2"/>
      <c r="O2462" s="2"/>
      <c r="P2462" s="2"/>
    </row>
    <row r="2463" spans="4:16" x14ac:dyDescent="0.25">
      <c r="D2463" s="2"/>
      <c r="E2463" s="310"/>
      <c r="G2463" s="2"/>
      <c r="H2463" s="310"/>
      <c r="I2463" s="2"/>
      <c r="O2463" s="2"/>
      <c r="P2463" s="2"/>
    </row>
    <row r="2464" spans="4:16" x14ac:dyDescent="0.25">
      <c r="D2464" s="2"/>
      <c r="E2464" s="310"/>
      <c r="G2464" s="2"/>
      <c r="H2464" s="310"/>
      <c r="I2464" s="2"/>
      <c r="O2464" s="2"/>
      <c r="P2464" s="2"/>
    </row>
    <row r="2465" spans="4:16" x14ac:dyDescent="0.25">
      <c r="D2465" s="2"/>
      <c r="E2465" s="310"/>
      <c r="G2465" s="2"/>
      <c r="H2465" s="310"/>
      <c r="I2465" s="2"/>
      <c r="O2465" s="2"/>
      <c r="P2465" s="2"/>
    </row>
    <row r="2466" spans="4:16" x14ac:dyDescent="0.25">
      <c r="D2466" s="2"/>
      <c r="E2466" s="310"/>
      <c r="G2466" s="2"/>
      <c r="H2466" s="310"/>
      <c r="I2466" s="2"/>
      <c r="O2466" s="2"/>
      <c r="P2466" s="2"/>
    </row>
    <row r="2467" spans="4:16" x14ac:dyDescent="0.25">
      <c r="D2467" s="2"/>
      <c r="E2467" s="310"/>
      <c r="G2467" s="2"/>
      <c r="H2467" s="310"/>
      <c r="I2467" s="2"/>
      <c r="O2467" s="2"/>
      <c r="P2467" s="2"/>
    </row>
    <row r="2468" spans="4:16" x14ac:dyDescent="0.25">
      <c r="D2468" s="2"/>
      <c r="E2468" s="310"/>
      <c r="G2468" s="2"/>
      <c r="H2468" s="310"/>
      <c r="I2468" s="2"/>
      <c r="O2468" s="2"/>
      <c r="P2468" s="2"/>
    </row>
    <row r="2469" spans="4:16" x14ac:dyDescent="0.25">
      <c r="D2469" s="2"/>
      <c r="E2469" s="310"/>
      <c r="G2469" s="2"/>
      <c r="H2469" s="310"/>
      <c r="I2469" s="2"/>
      <c r="O2469" s="2"/>
      <c r="P2469" s="2"/>
    </row>
    <row r="2470" spans="4:16" x14ac:dyDescent="0.25">
      <c r="D2470" s="2"/>
      <c r="E2470" s="310"/>
      <c r="G2470" s="2"/>
      <c r="H2470" s="310"/>
      <c r="I2470" s="2"/>
      <c r="O2470" s="2"/>
      <c r="P2470" s="2"/>
    </row>
    <row r="2471" spans="4:16" x14ac:dyDescent="0.25">
      <c r="D2471" s="2"/>
      <c r="E2471" s="310"/>
      <c r="G2471" s="2"/>
      <c r="H2471" s="310"/>
      <c r="I2471" s="2"/>
      <c r="O2471" s="2"/>
      <c r="P2471" s="2"/>
    </row>
    <row r="2472" spans="4:16" x14ac:dyDescent="0.25">
      <c r="D2472" s="2"/>
      <c r="E2472" s="310"/>
      <c r="G2472" s="2"/>
      <c r="H2472" s="310"/>
      <c r="I2472" s="2"/>
      <c r="O2472" s="2"/>
      <c r="P2472" s="2"/>
    </row>
    <row r="2473" spans="4:16" x14ac:dyDescent="0.25">
      <c r="D2473" s="2"/>
      <c r="E2473" s="310"/>
      <c r="G2473" s="2"/>
      <c r="H2473" s="310"/>
      <c r="I2473" s="2"/>
      <c r="O2473" s="2"/>
      <c r="P2473" s="2"/>
    </row>
    <row r="2474" spans="4:16" x14ac:dyDescent="0.25">
      <c r="D2474" s="2"/>
      <c r="E2474" s="310"/>
      <c r="G2474" s="2"/>
      <c r="H2474" s="310"/>
      <c r="I2474" s="2"/>
      <c r="O2474" s="2"/>
      <c r="P2474" s="2"/>
    </row>
    <row r="2475" spans="4:16" x14ac:dyDescent="0.25">
      <c r="D2475" s="2"/>
      <c r="E2475" s="310"/>
      <c r="G2475" s="2"/>
      <c r="H2475" s="310"/>
      <c r="I2475" s="2"/>
      <c r="O2475" s="2"/>
      <c r="P2475" s="2"/>
    </row>
    <row r="2476" spans="4:16" x14ac:dyDescent="0.25">
      <c r="D2476" s="2"/>
      <c r="E2476" s="310"/>
      <c r="G2476" s="2"/>
      <c r="H2476" s="310"/>
      <c r="I2476" s="2"/>
      <c r="O2476" s="2"/>
      <c r="P2476" s="2"/>
    </row>
    <row r="2477" spans="4:16" x14ac:dyDescent="0.25">
      <c r="D2477" s="2"/>
      <c r="E2477" s="310"/>
      <c r="G2477" s="2"/>
      <c r="H2477" s="310"/>
      <c r="I2477" s="2"/>
      <c r="O2477" s="2"/>
      <c r="P2477" s="2"/>
    </row>
    <row r="2478" spans="4:16" x14ac:dyDescent="0.25">
      <c r="D2478" s="2"/>
      <c r="E2478" s="310"/>
      <c r="G2478" s="2"/>
      <c r="H2478" s="310"/>
      <c r="I2478" s="2"/>
      <c r="O2478" s="2"/>
      <c r="P2478" s="2"/>
    </row>
    <row r="2479" spans="4:16" x14ac:dyDescent="0.25">
      <c r="D2479" s="2"/>
      <c r="E2479" s="310"/>
      <c r="G2479" s="2"/>
      <c r="H2479" s="310"/>
      <c r="I2479" s="2"/>
      <c r="O2479" s="2"/>
      <c r="P2479" s="2"/>
    </row>
    <row r="2480" spans="4:16" x14ac:dyDescent="0.25">
      <c r="D2480" s="2"/>
      <c r="E2480" s="310"/>
      <c r="G2480" s="2"/>
      <c r="H2480" s="310"/>
      <c r="I2480" s="2"/>
      <c r="O2480" s="2"/>
      <c r="P2480" s="2"/>
    </row>
    <row r="2481" spans="4:16" x14ac:dyDescent="0.25">
      <c r="D2481" s="2"/>
      <c r="E2481" s="310"/>
      <c r="G2481" s="2"/>
      <c r="H2481" s="310"/>
      <c r="I2481" s="2"/>
      <c r="O2481" s="2"/>
      <c r="P2481" s="2"/>
    </row>
    <row r="2482" spans="4:16" x14ac:dyDescent="0.25">
      <c r="D2482" s="2"/>
      <c r="E2482" s="310"/>
      <c r="G2482" s="2"/>
      <c r="H2482" s="310"/>
      <c r="I2482" s="2"/>
      <c r="O2482" s="2"/>
      <c r="P2482" s="2"/>
    </row>
    <row r="2483" spans="4:16" x14ac:dyDescent="0.25">
      <c r="D2483" s="2"/>
      <c r="E2483" s="310"/>
      <c r="G2483" s="2"/>
      <c r="H2483" s="310"/>
      <c r="I2483" s="2"/>
      <c r="O2483" s="2"/>
      <c r="P2483" s="2"/>
    </row>
    <row r="2484" spans="4:16" x14ac:dyDescent="0.25">
      <c r="D2484" s="2"/>
      <c r="E2484" s="310"/>
      <c r="G2484" s="2"/>
      <c r="H2484" s="310"/>
      <c r="I2484" s="2"/>
      <c r="O2484" s="2"/>
      <c r="P2484" s="2"/>
    </row>
    <row r="2485" spans="4:16" x14ac:dyDescent="0.25">
      <c r="D2485" s="2"/>
      <c r="E2485" s="310"/>
      <c r="G2485" s="2"/>
      <c r="H2485" s="310"/>
      <c r="I2485" s="2"/>
      <c r="O2485" s="2"/>
      <c r="P2485" s="2"/>
    </row>
    <row r="2486" spans="4:16" x14ac:dyDescent="0.25">
      <c r="D2486" s="2"/>
      <c r="E2486" s="310"/>
      <c r="G2486" s="2"/>
      <c r="H2486" s="310"/>
      <c r="I2486" s="2"/>
      <c r="O2486" s="2"/>
      <c r="P2486" s="2"/>
    </row>
    <row r="2487" spans="4:16" x14ac:dyDescent="0.25">
      <c r="D2487" s="2"/>
      <c r="E2487" s="310"/>
      <c r="G2487" s="2"/>
      <c r="H2487" s="310"/>
      <c r="I2487" s="2"/>
      <c r="O2487" s="2"/>
      <c r="P2487" s="2"/>
    </row>
    <row r="2488" spans="4:16" x14ac:dyDescent="0.25">
      <c r="D2488" s="2"/>
      <c r="E2488" s="310"/>
      <c r="G2488" s="2"/>
      <c r="H2488" s="310"/>
      <c r="I2488" s="2"/>
      <c r="O2488" s="2"/>
      <c r="P2488" s="2"/>
    </row>
    <row r="2489" spans="4:16" x14ac:dyDescent="0.25">
      <c r="D2489" s="2"/>
      <c r="E2489" s="310"/>
      <c r="G2489" s="2"/>
      <c r="H2489" s="310"/>
      <c r="I2489" s="2"/>
      <c r="O2489" s="2"/>
      <c r="P2489" s="2"/>
    </row>
    <row r="2490" spans="4:16" x14ac:dyDescent="0.25">
      <c r="D2490" s="2"/>
      <c r="E2490" s="310"/>
      <c r="G2490" s="2"/>
      <c r="H2490" s="310"/>
      <c r="I2490" s="2"/>
      <c r="O2490" s="2"/>
      <c r="P2490" s="2"/>
    </row>
    <row r="2491" spans="4:16" x14ac:dyDescent="0.25">
      <c r="D2491" s="2"/>
      <c r="E2491" s="310"/>
      <c r="G2491" s="2"/>
      <c r="H2491" s="310"/>
      <c r="I2491" s="2"/>
      <c r="O2491" s="2"/>
      <c r="P2491" s="2"/>
    </row>
    <row r="2492" spans="4:16" x14ac:dyDescent="0.25">
      <c r="D2492" s="2"/>
      <c r="E2492" s="310"/>
      <c r="G2492" s="2"/>
      <c r="H2492" s="310"/>
      <c r="I2492" s="2"/>
      <c r="O2492" s="2"/>
      <c r="P2492" s="2"/>
    </row>
    <row r="2493" spans="4:16" x14ac:dyDescent="0.25">
      <c r="D2493" s="2"/>
      <c r="E2493" s="310"/>
      <c r="G2493" s="2"/>
      <c r="H2493" s="310"/>
      <c r="I2493" s="2"/>
      <c r="O2493" s="2"/>
      <c r="P2493" s="2"/>
    </row>
    <row r="2494" spans="4:16" x14ac:dyDescent="0.25">
      <c r="D2494" s="2"/>
      <c r="E2494" s="310"/>
      <c r="G2494" s="2"/>
      <c r="H2494" s="310"/>
      <c r="I2494" s="2"/>
      <c r="O2494" s="2"/>
      <c r="P2494" s="2"/>
    </row>
    <row r="2495" spans="4:16" x14ac:dyDescent="0.25">
      <c r="D2495" s="2"/>
      <c r="E2495" s="310"/>
      <c r="G2495" s="2"/>
      <c r="H2495" s="310"/>
      <c r="I2495" s="2"/>
      <c r="O2495" s="2"/>
      <c r="P2495" s="2"/>
    </row>
    <row r="2496" spans="4:16" x14ac:dyDescent="0.25">
      <c r="D2496" s="2"/>
      <c r="E2496" s="310"/>
      <c r="G2496" s="2"/>
      <c r="H2496" s="310"/>
      <c r="I2496" s="2"/>
      <c r="O2496" s="2"/>
      <c r="P2496" s="2"/>
    </row>
    <row r="2497" spans="4:16" x14ac:dyDescent="0.25">
      <c r="D2497" s="2"/>
      <c r="E2497" s="310"/>
      <c r="G2497" s="2"/>
      <c r="H2497" s="310"/>
      <c r="I2497" s="2"/>
      <c r="O2497" s="2"/>
      <c r="P2497" s="2"/>
    </row>
    <row r="2498" spans="4:16" x14ac:dyDescent="0.25">
      <c r="D2498" s="2"/>
      <c r="E2498" s="310"/>
      <c r="G2498" s="2"/>
      <c r="H2498" s="310"/>
      <c r="I2498" s="2"/>
      <c r="O2498" s="2"/>
      <c r="P2498" s="2"/>
    </row>
    <row r="2499" spans="4:16" x14ac:dyDescent="0.25">
      <c r="D2499" s="2"/>
      <c r="E2499" s="310"/>
      <c r="G2499" s="2"/>
      <c r="H2499" s="310"/>
      <c r="I2499" s="2"/>
      <c r="O2499" s="2"/>
      <c r="P2499" s="2"/>
    </row>
    <row r="2500" spans="4:16" x14ac:dyDescent="0.25">
      <c r="D2500" s="2"/>
      <c r="E2500" s="310"/>
      <c r="G2500" s="2"/>
      <c r="H2500" s="310"/>
      <c r="I2500" s="2"/>
      <c r="O2500" s="2"/>
      <c r="P2500" s="2"/>
    </row>
    <row r="2501" spans="4:16" x14ac:dyDescent="0.25">
      <c r="D2501" s="2"/>
      <c r="E2501" s="310"/>
      <c r="G2501" s="2"/>
      <c r="H2501" s="310"/>
      <c r="I2501" s="2"/>
      <c r="O2501" s="2"/>
      <c r="P2501" s="2"/>
    </row>
    <row r="2502" spans="4:16" x14ac:dyDescent="0.25">
      <c r="D2502" s="2"/>
      <c r="E2502" s="310"/>
      <c r="G2502" s="2"/>
      <c r="H2502" s="310"/>
      <c r="I2502" s="2"/>
      <c r="O2502" s="2"/>
      <c r="P2502" s="2"/>
    </row>
    <row r="2503" spans="4:16" x14ac:dyDescent="0.25">
      <c r="D2503" s="2"/>
      <c r="E2503" s="310"/>
      <c r="G2503" s="2"/>
      <c r="H2503" s="310"/>
      <c r="I2503" s="2"/>
      <c r="O2503" s="2"/>
      <c r="P2503" s="2"/>
    </row>
    <row r="2504" spans="4:16" x14ac:dyDescent="0.25">
      <c r="D2504" s="2"/>
      <c r="E2504" s="310"/>
      <c r="G2504" s="2"/>
      <c r="H2504" s="310"/>
      <c r="I2504" s="2"/>
      <c r="O2504" s="2"/>
      <c r="P2504" s="2"/>
    </row>
    <row r="2505" spans="4:16" x14ac:dyDescent="0.25">
      <c r="D2505" s="2"/>
      <c r="E2505" s="310"/>
      <c r="G2505" s="2"/>
      <c r="H2505" s="310"/>
      <c r="I2505" s="2"/>
      <c r="O2505" s="2"/>
      <c r="P2505" s="2"/>
    </row>
    <row r="2506" spans="4:16" x14ac:dyDescent="0.25">
      <c r="D2506" s="2"/>
      <c r="E2506" s="310"/>
      <c r="G2506" s="2"/>
      <c r="H2506" s="310"/>
      <c r="I2506" s="2"/>
      <c r="O2506" s="2"/>
      <c r="P2506" s="2"/>
    </row>
    <row r="2507" spans="4:16" x14ac:dyDescent="0.25">
      <c r="D2507" s="2"/>
      <c r="E2507" s="310"/>
      <c r="G2507" s="2"/>
      <c r="H2507" s="310"/>
      <c r="I2507" s="2"/>
      <c r="O2507" s="2"/>
      <c r="P2507" s="2"/>
    </row>
    <row r="2508" spans="4:16" x14ac:dyDescent="0.25">
      <c r="D2508" s="2"/>
      <c r="E2508" s="310"/>
      <c r="G2508" s="2"/>
      <c r="H2508" s="310"/>
      <c r="I2508" s="2"/>
      <c r="O2508" s="2"/>
      <c r="P2508" s="2"/>
    </row>
    <row r="2509" spans="4:16" x14ac:dyDescent="0.25">
      <c r="D2509" s="2"/>
      <c r="E2509" s="310"/>
      <c r="G2509" s="2"/>
      <c r="H2509" s="310"/>
      <c r="I2509" s="2"/>
      <c r="O2509" s="2"/>
      <c r="P2509" s="2"/>
    </row>
    <row r="2510" spans="4:16" x14ac:dyDescent="0.25">
      <c r="D2510" s="2"/>
      <c r="E2510" s="310"/>
      <c r="G2510" s="2"/>
      <c r="H2510" s="310"/>
      <c r="I2510" s="2"/>
      <c r="O2510" s="2"/>
      <c r="P2510" s="2"/>
    </row>
    <row r="2511" spans="4:16" x14ac:dyDescent="0.25">
      <c r="D2511" s="2"/>
      <c r="E2511" s="310"/>
      <c r="G2511" s="2"/>
      <c r="H2511" s="310"/>
      <c r="I2511" s="2"/>
      <c r="O2511" s="2"/>
      <c r="P2511" s="2"/>
    </row>
    <row r="2512" spans="4:16" x14ac:dyDescent="0.25">
      <c r="D2512" s="2"/>
      <c r="E2512" s="310"/>
      <c r="G2512" s="2"/>
      <c r="H2512" s="310"/>
      <c r="I2512" s="2"/>
      <c r="O2512" s="2"/>
      <c r="P2512" s="2"/>
    </row>
    <row r="2513" spans="4:16" x14ac:dyDescent="0.25">
      <c r="D2513" s="2"/>
      <c r="E2513" s="310"/>
      <c r="G2513" s="2"/>
      <c r="H2513" s="310"/>
      <c r="I2513" s="2"/>
      <c r="O2513" s="2"/>
      <c r="P2513" s="2"/>
    </row>
    <row r="2514" spans="4:16" x14ac:dyDescent="0.25">
      <c r="D2514" s="2"/>
      <c r="E2514" s="310"/>
      <c r="G2514" s="2"/>
      <c r="H2514" s="310"/>
      <c r="I2514" s="2"/>
      <c r="O2514" s="2"/>
      <c r="P2514" s="2"/>
    </row>
    <row r="2515" spans="4:16" x14ac:dyDescent="0.25">
      <c r="D2515" s="2"/>
      <c r="E2515" s="310"/>
      <c r="G2515" s="2"/>
      <c r="H2515" s="310"/>
      <c r="I2515" s="2"/>
      <c r="O2515" s="2"/>
      <c r="P2515" s="2"/>
    </row>
    <row r="2516" spans="4:16" x14ac:dyDescent="0.25">
      <c r="D2516" s="2"/>
      <c r="E2516" s="310"/>
      <c r="G2516" s="2"/>
      <c r="H2516" s="310"/>
      <c r="I2516" s="2"/>
      <c r="O2516" s="2"/>
      <c r="P2516" s="2"/>
    </row>
    <row r="2517" spans="4:16" x14ac:dyDescent="0.25">
      <c r="D2517" s="2"/>
      <c r="E2517" s="310"/>
      <c r="G2517" s="2"/>
      <c r="H2517" s="310"/>
      <c r="I2517" s="2"/>
      <c r="O2517" s="2"/>
      <c r="P2517" s="2"/>
    </row>
    <row r="2518" spans="4:16" x14ac:dyDescent="0.25">
      <c r="D2518" s="2"/>
      <c r="E2518" s="310"/>
      <c r="G2518" s="2"/>
      <c r="H2518" s="310"/>
      <c r="I2518" s="2"/>
      <c r="O2518" s="2"/>
      <c r="P2518" s="2"/>
    </row>
    <row r="2519" spans="4:16" x14ac:dyDescent="0.25">
      <c r="D2519" s="2"/>
      <c r="E2519" s="310"/>
      <c r="G2519" s="2"/>
      <c r="H2519" s="310"/>
      <c r="I2519" s="2"/>
      <c r="O2519" s="2"/>
      <c r="P2519" s="2"/>
    </row>
    <row r="2520" spans="4:16" x14ac:dyDescent="0.25">
      <c r="D2520" s="2"/>
      <c r="E2520" s="310"/>
      <c r="G2520" s="2"/>
      <c r="H2520" s="310"/>
      <c r="I2520" s="2"/>
      <c r="O2520" s="2"/>
      <c r="P2520" s="2"/>
    </row>
    <row r="2521" spans="4:16" x14ac:dyDescent="0.25">
      <c r="D2521" s="2"/>
      <c r="E2521" s="310"/>
      <c r="G2521" s="2"/>
      <c r="H2521" s="310"/>
      <c r="I2521" s="2"/>
      <c r="O2521" s="2"/>
      <c r="P2521" s="2"/>
    </row>
    <row r="2522" spans="4:16" x14ac:dyDescent="0.25">
      <c r="D2522" s="2"/>
      <c r="E2522" s="310"/>
      <c r="G2522" s="2"/>
      <c r="H2522" s="310"/>
      <c r="I2522" s="2"/>
      <c r="O2522" s="2"/>
      <c r="P2522" s="2"/>
    </row>
    <row r="2523" spans="4:16" x14ac:dyDescent="0.25">
      <c r="D2523" s="2"/>
      <c r="E2523" s="310"/>
      <c r="G2523" s="2"/>
      <c r="H2523" s="310"/>
      <c r="I2523" s="2"/>
      <c r="O2523" s="2"/>
      <c r="P2523" s="2"/>
    </row>
    <row r="2524" spans="4:16" x14ac:dyDescent="0.25">
      <c r="D2524" s="2"/>
      <c r="E2524" s="310"/>
      <c r="G2524" s="2"/>
      <c r="H2524" s="310"/>
      <c r="I2524" s="2"/>
      <c r="O2524" s="2"/>
      <c r="P2524" s="2"/>
    </row>
    <row r="2525" spans="4:16" x14ac:dyDescent="0.25">
      <c r="D2525" s="2"/>
      <c r="E2525" s="310"/>
      <c r="G2525" s="2"/>
      <c r="H2525" s="310"/>
      <c r="I2525" s="2"/>
      <c r="O2525" s="2"/>
      <c r="P2525" s="2"/>
    </row>
    <row r="2526" spans="4:16" x14ac:dyDescent="0.25">
      <c r="D2526" s="2"/>
      <c r="E2526" s="310"/>
      <c r="G2526" s="2"/>
      <c r="H2526" s="310"/>
      <c r="I2526" s="2"/>
      <c r="O2526" s="2"/>
      <c r="P2526" s="2"/>
    </row>
    <row r="2527" spans="4:16" x14ac:dyDescent="0.25">
      <c r="D2527" s="2"/>
      <c r="E2527" s="310"/>
      <c r="G2527" s="2"/>
      <c r="H2527" s="310"/>
      <c r="I2527" s="2"/>
      <c r="O2527" s="2"/>
      <c r="P2527" s="2"/>
    </row>
    <row r="2528" spans="4:16" x14ac:dyDescent="0.25">
      <c r="D2528" s="2"/>
      <c r="E2528" s="310"/>
      <c r="G2528" s="2"/>
      <c r="H2528" s="310"/>
      <c r="I2528" s="2"/>
      <c r="O2528" s="2"/>
      <c r="P2528" s="2"/>
    </row>
    <row r="2529" spans="4:16" x14ac:dyDescent="0.25">
      <c r="D2529" s="2"/>
      <c r="E2529" s="310"/>
      <c r="G2529" s="2"/>
      <c r="H2529" s="310"/>
      <c r="I2529" s="2"/>
      <c r="O2529" s="2"/>
      <c r="P2529" s="2"/>
    </row>
    <row r="2530" spans="4:16" x14ac:dyDescent="0.25">
      <c r="D2530" s="2"/>
      <c r="E2530" s="310"/>
      <c r="G2530" s="2"/>
      <c r="H2530" s="310"/>
      <c r="I2530" s="2"/>
      <c r="O2530" s="2"/>
      <c r="P2530" s="2"/>
    </row>
    <row r="2531" spans="4:16" x14ac:dyDescent="0.25">
      <c r="D2531" s="2"/>
      <c r="E2531" s="310"/>
      <c r="G2531" s="2"/>
      <c r="H2531" s="310"/>
      <c r="I2531" s="2"/>
      <c r="O2531" s="2"/>
      <c r="P2531" s="2"/>
    </row>
    <row r="2532" spans="4:16" x14ac:dyDescent="0.25">
      <c r="D2532" s="2"/>
      <c r="E2532" s="310"/>
      <c r="G2532" s="2"/>
      <c r="H2532" s="310"/>
      <c r="I2532" s="2"/>
      <c r="O2532" s="2"/>
      <c r="P2532" s="2"/>
    </row>
    <row r="2533" spans="4:16" x14ac:dyDescent="0.25">
      <c r="D2533" s="2"/>
      <c r="E2533" s="310"/>
      <c r="G2533" s="2"/>
      <c r="H2533" s="310"/>
      <c r="I2533" s="2"/>
      <c r="O2533" s="2"/>
      <c r="P2533" s="2"/>
    </row>
    <row r="2534" spans="4:16" x14ac:dyDescent="0.25">
      <c r="D2534" s="2"/>
      <c r="E2534" s="310"/>
      <c r="G2534" s="2"/>
      <c r="H2534" s="310"/>
      <c r="I2534" s="2"/>
      <c r="O2534" s="2"/>
      <c r="P2534" s="2"/>
    </row>
    <row r="2535" spans="4:16" x14ac:dyDescent="0.25">
      <c r="D2535" s="2"/>
      <c r="E2535" s="310"/>
      <c r="G2535" s="2"/>
      <c r="H2535" s="310"/>
      <c r="I2535" s="2"/>
      <c r="O2535" s="2"/>
      <c r="P2535" s="2"/>
    </row>
    <row r="2536" spans="4:16" x14ac:dyDescent="0.25">
      <c r="D2536" s="2"/>
      <c r="E2536" s="310"/>
      <c r="G2536" s="2"/>
      <c r="H2536" s="310"/>
      <c r="I2536" s="2"/>
      <c r="O2536" s="2"/>
      <c r="P2536" s="2"/>
    </row>
    <row r="2537" spans="4:16" x14ac:dyDescent="0.25">
      <c r="D2537" s="2"/>
      <c r="E2537" s="310"/>
      <c r="G2537" s="2"/>
      <c r="H2537" s="310"/>
      <c r="I2537" s="2"/>
      <c r="O2537" s="2"/>
      <c r="P2537" s="2"/>
    </row>
    <row r="2538" spans="4:16" x14ac:dyDescent="0.25">
      <c r="D2538" s="2"/>
      <c r="E2538" s="310"/>
      <c r="G2538" s="2"/>
      <c r="H2538" s="310"/>
      <c r="I2538" s="2"/>
      <c r="O2538" s="2"/>
      <c r="P2538" s="2"/>
    </row>
    <row r="2539" spans="4:16" x14ac:dyDescent="0.25">
      <c r="D2539" s="2"/>
      <c r="E2539" s="310"/>
      <c r="G2539" s="2"/>
      <c r="H2539" s="310"/>
      <c r="I2539" s="2"/>
      <c r="O2539" s="2"/>
      <c r="P2539" s="2"/>
    </row>
    <row r="2540" spans="4:16" x14ac:dyDescent="0.25">
      <c r="D2540" s="2"/>
      <c r="E2540" s="310"/>
      <c r="G2540" s="2"/>
      <c r="H2540" s="310"/>
      <c r="I2540" s="2"/>
      <c r="O2540" s="2"/>
      <c r="P2540" s="2"/>
    </row>
    <row r="2541" spans="4:16" x14ac:dyDescent="0.25">
      <c r="D2541" s="2"/>
      <c r="E2541" s="310"/>
      <c r="G2541" s="2"/>
      <c r="H2541" s="310"/>
      <c r="I2541" s="2"/>
      <c r="O2541" s="2"/>
      <c r="P2541" s="2"/>
    </row>
    <row r="2542" spans="4:16" x14ac:dyDescent="0.25">
      <c r="D2542" s="2"/>
      <c r="E2542" s="310"/>
      <c r="G2542" s="2"/>
      <c r="H2542" s="310"/>
      <c r="I2542" s="2"/>
      <c r="O2542" s="2"/>
      <c r="P2542" s="2"/>
    </row>
    <row r="2543" spans="4:16" x14ac:dyDescent="0.25">
      <c r="D2543" s="2"/>
      <c r="E2543" s="310"/>
      <c r="G2543" s="2"/>
      <c r="H2543" s="310"/>
      <c r="I2543" s="2"/>
      <c r="O2543" s="2"/>
      <c r="P2543" s="2"/>
    </row>
    <row r="2544" spans="4:16" x14ac:dyDescent="0.25">
      <c r="D2544" s="2"/>
      <c r="E2544" s="310"/>
      <c r="G2544" s="2"/>
      <c r="H2544" s="310"/>
      <c r="I2544" s="2"/>
      <c r="O2544" s="2"/>
      <c r="P2544" s="2"/>
    </row>
    <row r="2545" spans="4:16" x14ac:dyDescent="0.25">
      <c r="D2545" s="2"/>
      <c r="E2545" s="310"/>
      <c r="G2545" s="2"/>
      <c r="H2545" s="310"/>
      <c r="I2545" s="2"/>
      <c r="O2545" s="2"/>
      <c r="P2545" s="2"/>
    </row>
    <row r="2546" spans="4:16" x14ac:dyDescent="0.25">
      <c r="D2546" s="2"/>
      <c r="E2546" s="310"/>
      <c r="G2546" s="2"/>
      <c r="H2546" s="310"/>
      <c r="I2546" s="2"/>
      <c r="O2546" s="2"/>
      <c r="P2546" s="2"/>
    </row>
    <row r="2547" spans="4:16" x14ac:dyDescent="0.25">
      <c r="D2547" s="2"/>
      <c r="E2547" s="310"/>
      <c r="G2547" s="2"/>
      <c r="H2547" s="310"/>
      <c r="I2547" s="2"/>
      <c r="O2547" s="2"/>
      <c r="P2547" s="2"/>
    </row>
    <row r="2548" spans="4:16" x14ac:dyDescent="0.25">
      <c r="D2548" s="2"/>
      <c r="E2548" s="310"/>
      <c r="G2548" s="2"/>
      <c r="H2548" s="310"/>
      <c r="I2548" s="2"/>
      <c r="O2548" s="2"/>
      <c r="P2548" s="2"/>
    </row>
    <row r="2549" spans="4:16" x14ac:dyDescent="0.25">
      <c r="D2549" s="2"/>
      <c r="E2549" s="310"/>
      <c r="G2549" s="2"/>
      <c r="H2549" s="310"/>
      <c r="I2549" s="2"/>
      <c r="O2549" s="2"/>
      <c r="P2549" s="2"/>
    </row>
    <row r="2550" spans="4:16" x14ac:dyDescent="0.25">
      <c r="D2550" s="2"/>
      <c r="E2550" s="310"/>
      <c r="G2550" s="2"/>
      <c r="H2550" s="310"/>
      <c r="I2550" s="2"/>
      <c r="O2550" s="2"/>
      <c r="P2550" s="2"/>
    </row>
    <row r="2551" spans="4:16" x14ac:dyDescent="0.25">
      <c r="D2551" s="2"/>
      <c r="E2551" s="310"/>
      <c r="G2551" s="2"/>
      <c r="H2551" s="310"/>
      <c r="I2551" s="2"/>
      <c r="O2551" s="2"/>
      <c r="P2551" s="2"/>
    </row>
    <row r="2552" spans="4:16" x14ac:dyDescent="0.25">
      <c r="D2552" s="2"/>
      <c r="E2552" s="310"/>
      <c r="G2552" s="2"/>
      <c r="H2552" s="310"/>
      <c r="I2552" s="2"/>
      <c r="O2552" s="2"/>
      <c r="P2552" s="2"/>
    </row>
    <row r="2553" spans="4:16" x14ac:dyDescent="0.25">
      <c r="D2553" s="2"/>
      <c r="E2553" s="310"/>
      <c r="G2553" s="2"/>
      <c r="H2553" s="310"/>
      <c r="I2553" s="2"/>
      <c r="O2553" s="2"/>
      <c r="P2553" s="2"/>
    </row>
    <row r="2554" spans="4:16" x14ac:dyDescent="0.25">
      <c r="D2554" s="2"/>
      <c r="E2554" s="310"/>
      <c r="G2554" s="2"/>
      <c r="H2554" s="310"/>
      <c r="I2554" s="2"/>
      <c r="O2554" s="2"/>
      <c r="P2554" s="2"/>
    </row>
    <row r="2555" spans="4:16" x14ac:dyDescent="0.25">
      <c r="D2555" s="2"/>
      <c r="E2555" s="310"/>
      <c r="G2555" s="2"/>
      <c r="H2555" s="310"/>
      <c r="I2555" s="2"/>
      <c r="O2555" s="2"/>
      <c r="P2555" s="2"/>
    </row>
    <row r="2556" spans="4:16" x14ac:dyDescent="0.25">
      <c r="D2556" s="2"/>
      <c r="E2556" s="310"/>
      <c r="G2556" s="2"/>
      <c r="H2556" s="310"/>
      <c r="I2556" s="2"/>
      <c r="O2556" s="2"/>
      <c r="P2556" s="2"/>
    </row>
    <row r="2557" spans="4:16" x14ac:dyDescent="0.25">
      <c r="D2557" s="2"/>
      <c r="E2557" s="310"/>
      <c r="G2557" s="2"/>
      <c r="H2557" s="310"/>
      <c r="I2557" s="2"/>
      <c r="O2557" s="2"/>
      <c r="P2557" s="2"/>
    </row>
    <row r="2558" spans="4:16" x14ac:dyDescent="0.25">
      <c r="D2558" s="2"/>
      <c r="E2558" s="310"/>
      <c r="G2558" s="2"/>
      <c r="H2558" s="310"/>
      <c r="I2558" s="2"/>
      <c r="O2558" s="2"/>
      <c r="P2558" s="2"/>
    </row>
    <row r="2559" spans="4:16" x14ac:dyDescent="0.25">
      <c r="D2559" s="2"/>
      <c r="E2559" s="310"/>
      <c r="G2559" s="2"/>
      <c r="H2559" s="310"/>
      <c r="I2559" s="2"/>
      <c r="O2559" s="2"/>
      <c r="P2559" s="2"/>
    </row>
    <row r="2560" spans="4:16" x14ac:dyDescent="0.25">
      <c r="D2560" s="2"/>
      <c r="E2560" s="310"/>
      <c r="G2560" s="2"/>
      <c r="H2560" s="310"/>
      <c r="I2560" s="2"/>
      <c r="O2560" s="2"/>
      <c r="P2560" s="2"/>
    </row>
    <row r="2561" spans="4:16" x14ac:dyDescent="0.25">
      <c r="D2561" s="2"/>
      <c r="E2561" s="310"/>
      <c r="G2561" s="2"/>
      <c r="H2561" s="310"/>
      <c r="I2561" s="2"/>
      <c r="O2561" s="2"/>
      <c r="P2561" s="2"/>
    </row>
    <row r="2562" spans="4:16" x14ac:dyDescent="0.25">
      <c r="D2562" s="2"/>
      <c r="E2562" s="310"/>
      <c r="G2562" s="2"/>
      <c r="H2562" s="310"/>
      <c r="I2562" s="2"/>
      <c r="O2562" s="2"/>
      <c r="P2562" s="2"/>
    </row>
    <row r="2563" spans="4:16" x14ac:dyDescent="0.25">
      <c r="D2563" s="2"/>
      <c r="E2563" s="310"/>
      <c r="G2563" s="2"/>
      <c r="H2563" s="310"/>
      <c r="I2563" s="2"/>
      <c r="O2563" s="2"/>
      <c r="P2563" s="2"/>
    </row>
    <row r="2564" spans="4:16" x14ac:dyDescent="0.25">
      <c r="D2564" s="2"/>
      <c r="E2564" s="310"/>
      <c r="G2564" s="2"/>
      <c r="H2564" s="310"/>
      <c r="I2564" s="2"/>
      <c r="O2564" s="2"/>
      <c r="P2564" s="2"/>
    </row>
    <row r="2565" spans="4:16" x14ac:dyDescent="0.25">
      <c r="D2565" s="2"/>
      <c r="E2565" s="310"/>
      <c r="G2565" s="2"/>
      <c r="H2565" s="310"/>
      <c r="I2565" s="2"/>
      <c r="O2565" s="2"/>
      <c r="P2565" s="2"/>
    </row>
    <row r="2566" spans="4:16" x14ac:dyDescent="0.25">
      <c r="D2566" s="2"/>
      <c r="E2566" s="310"/>
      <c r="G2566" s="2"/>
      <c r="H2566" s="310"/>
      <c r="I2566" s="2"/>
      <c r="O2566" s="2"/>
      <c r="P2566" s="2"/>
    </row>
    <row r="2567" spans="4:16" x14ac:dyDescent="0.25">
      <c r="D2567" s="2"/>
      <c r="E2567" s="310"/>
      <c r="G2567" s="2"/>
      <c r="H2567" s="310"/>
      <c r="I2567" s="2"/>
      <c r="O2567" s="2"/>
      <c r="P2567" s="2"/>
    </row>
    <row r="2568" spans="4:16" x14ac:dyDescent="0.25">
      <c r="D2568" s="2"/>
      <c r="E2568" s="310"/>
      <c r="G2568" s="2"/>
      <c r="H2568" s="310"/>
      <c r="I2568" s="2"/>
      <c r="O2568" s="2"/>
      <c r="P2568" s="2"/>
    </row>
    <row r="2569" spans="4:16" x14ac:dyDescent="0.25">
      <c r="D2569" s="2"/>
      <c r="E2569" s="310"/>
      <c r="G2569" s="2"/>
      <c r="H2569" s="310"/>
      <c r="I2569" s="2"/>
      <c r="O2569" s="2"/>
      <c r="P2569" s="2"/>
    </row>
    <row r="2570" spans="4:16" x14ac:dyDescent="0.25">
      <c r="D2570" s="2"/>
      <c r="E2570" s="310"/>
      <c r="G2570" s="2"/>
      <c r="H2570" s="310"/>
      <c r="I2570" s="2"/>
      <c r="O2570" s="2"/>
      <c r="P2570" s="2"/>
    </row>
    <row r="2571" spans="4:16" x14ac:dyDescent="0.25">
      <c r="D2571" s="2"/>
      <c r="E2571" s="310"/>
      <c r="G2571" s="2"/>
      <c r="H2571" s="310"/>
      <c r="I2571" s="2"/>
      <c r="O2571" s="2"/>
      <c r="P2571" s="2"/>
    </row>
    <row r="2572" spans="4:16" x14ac:dyDescent="0.25">
      <c r="D2572" s="2"/>
      <c r="E2572" s="310"/>
      <c r="G2572" s="2"/>
      <c r="H2572" s="310"/>
      <c r="I2572" s="2"/>
      <c r="O2572" s="2"/>
      <c r="P2572" s="2"/>
    </row>
    <row r="2573" spans="4:16" x14ac:dyDescent="0.25">
      <c r="D2573" s="2"/>
      <c r="E2573" s="310"/>
      <c r="G2573" s="2"/>
      <c r="H2573" s="310"/>
      <c r="I2573" s="2"/>
      <c r="O2573" s="2"/>
      <c r="P2573" s="2"/>
    </row>
    <row r="2574" spans="4:16" x14ac:dyDescent="0.25">
      <c r="D2574" s="2"/>
      <c r="E2574" s="310"/>
      <c r="G2574" s="2"/>
      <c r="H2574" s="310"/>
      <c r="I2574" s="2"/>
      <c r="O2574" s="2"/>
      <c r="P2574" s="2"/>
    </row>
    <row r="2575" spans="4:16" x14ac:dyDescent="0.25">
      <c r="D2575" s="2"/>
      <c r="E2575" s="310"/>
      <c r="G2575" s="2"/>
      <c r="H2575" s="310"/>
      <c r="I2575" s="2"/>
      <c r="O2575" s="2"/>
      <c r="P2575" s="2"/>
    </row>
    <row r="2576" spans="4:16" x14ac:dyDescent="0.25">
      <c r="D2576" s="2"/>
      <c r="E2576" s="310"/>
      <c r="G2576" s="2"/>
      <c r="H2576" s="310"/>
      <c r="I2576" s="2"/>
      <c r="O2576" s="2"/>
      <c r="P2576" s="2"/>
    </row>
    <row r="2577" spans="4:16" x14ac:dyDescent="0.25">
      <c r="D2577" s="2"/>
      <c r="E2577" s="310"/>
      <c r="G2577" s="2"/>
      <c r="H2577" s="310"/>
      <c r="I2577" s="2"/>
      <c r="O2577" s="2"/>
      <c r="P2577" s="2"/>
    </row>
    <row r="2578" spans="4:16" x14ac:dyDescent="0.25">
      <c r="D2578" s="2"/>
      <c r="E2578" s="310"/>
      <c r="G2578" s="2"/>
      <c r="H2578" s="310"/>
      <c r="I2578" s="2"/>
      <c r="O2578" s="2"/>
      <c r="P2578" s="2"/>
    </row>
    <row r="2579" spans="4:16" x14ac:dyDescent="0.25">
      <c r="D2579" s="2"/>
      <c r="E2579" s="310"/>
      <c r="G2579" s="2"/>
      <c r="H2579" s="310"/>
      <c r="I2579" s="2"/>
      <c r="O2579" s="2"/>
      <c r="P2579" s="2"/>
    </row>
    <row r="2580" spans="4:16" x14ac:dyDescent="0.25">
      <c r="D2580" s="2"/>
      <c r="E2580" s="310"/>
      <c r="G2580" s="2"/>
      <c r="H2580" s="310"/>
      <c r="I2580" s="2"/>
      <c r="O2580" s="2"/>
      <c r="P2580" s="2"/>
    </row>
    <row r="2581" spans="4:16" x14ac:dyDescent="0.25">
      <c r="D2581" s="2"/>
      <c r="E2581" s="310"/>
      <c r="G2581" s="2"/>
      <c r="H2581" s="310"/>
      <c r="I2581" s="2"/>
      <c r="O2581" s="2"/>
      <c r="P2581" s="2"/>
    </row>
    <row r="2582" spans="4:16" x14ac:dyDescent="0.25">
      <c r="D2582" s="2"/>
      <c r="E2582" s="310"/>
      <c r="G2582" s="2"/>
      <c r="H2582" s="310"/>
      <c r="I2582" s="2"/>
      <c r="O2582" s="2"/>
      <c r="P2582" s="2"/>
    </row>
    <row r="2583" spans="4:16" x14ac:dyDescent="0.25">
      <c r="D2583" s="2"/>
      <c r="E2583" s="310"/>
      <c r="G2583" s="2"/>
      <c r="H2583" s="310"/>
      <c r="I2583" s="2"/>
      <c r="O2583" s="2"/>
      <c r="P2583" s="2"/>
    </row>
    <row r="2584" spans="4:16" x14ac:dyDescent="0.25">
      <c r="D2584" s="2"/>
      <c r="E2584" s="310"/>
      <c r="G2584" s="2"/>
      <c r="H2584" s="310"/>
      <c r="I2584" s="2"/>
      <c r="O2584" s="2"/>
      <c r="P2584" s="2"/>
    </row>
    <row r="2585" spans="4:16" x14ac:dyDescent="0.25">
      <c r="D2585" s="2"/>
      <c r="E2585" s="310"/>
      <c r="G2585" s="2"/>
      <c r="H2585" s="310"/>
      <c r="I2585" s="2"/>
      <c r="O2585" s="2"/>
      <c r="P2585" s="2"/>
    </row>
    <row r="2586" spans="4:16" x14ac:dyDescent="0.25">
      <c r="D2586" s="2"/>
      <c r="E2586" s="310"/>
      <c r="G2586" s="2"/>
      <c r="H2586" s="310"/>
      <c r="I2586" s="2"/>
      <c r="O2586" s="2"/>
      <c r="P2586" s="2"/>
    </row>
    <row r="2587" spans="4:16" x14ac:dyDescent="0.25">
      <c r="D2587" s="2"/>
      <c r="E2587" s="310"/>
      <c r="G2587" s="2"/>
      <c r="H2587" s="310"/>
      <c r="I2587" s="2"/>
      <c r="O2587" s="2"/>
      <c r="P2587" s="2"/>
    </row>
    <row r="2588" spans="4:16" x14ac:dyDescent="0.25">
      <c r="D2588" s="2"/>
      <c r="E2588" s="310"/>
      <c r="G2588" s="2"/>
      <c r="H2588" s="310"/>
      <c r="I2588" s="2"/>
      <c r="O2588" s="2"/>
      <c r="P2588" s="2"/>
    </row>
    <row r="2589" spans="4:16" x14ac:dyDescent="0.25">
      <c r="D2589" s="2"/>
      <c r="E2589" s="310"/>
      <c r="G2589" s="2"/>
      <c r="H2589" s="310"/>
      <c r="I2589" s="2"/>
      <c r="O2589" s="2"/>
      <c r="P2589" s="2"/>
    </row>
    <row r="2590" spans="4:16" x14ac:dyDescent="0.25">
      <c r="D2590" s="2"/>
      <c r="E2590" s="310"/>
      <c r="G2590" s="2"/>
      <c r="H2590" s="310"/>
      <c r="I2590" s="2"/>
      <c r="O2590" s="2"/>
      <c r="P2590" s="2"/>
    </row>
    <row r="2591" spans="4:16" x14ac:dyDescent="0.25">
      <c r="D2591" s="2"/>
      <c r="E2591" s="310"/>
      <c r="G2591" s="2"/>
      <c r="H2591" s="310"/>
      <c r="I2591" s="2"/>
      <c r="O2591" s="2"/>
      <c r="P2591" s="2"/>
    </row>
    <row r="2592" spans="4:16" x14ac:dyDescent="0.25">
      <c r="D2592" s="2"/>
      <c r="E2592" s="310"/>
      <c r="G2592" s="2"/>
      <c r="H2592" s="310"/>
      <c r="I2592" s="2"/>
      <c r="O2592" s="2"/>
      <c r="P2592" s="2"/>
    </row>
    <row r="2593" spans="4:16" x14ac:dyDescent="0.25">
      <c r="D2593" s="2"/>
      <c r="E2593" s="310"/>
      <c r="G2593" s="2"/>
      <c r="H2593" s="310"/>
      <c r="I2593" s="2"/>
      <c r="O2593" s="2"/>
      <c r="P2593" s="2"/>
    </row>
    <row r="2594" spans="4:16" x14ac:dyDescent="0.25">
      <c r="D2594" s="2"/>
      <c r="E2594" s="310"/>
      <c r="G2594" s="2"/>
      <c r="H2594" s="310"/>
      <c r="I2594" s="2"/>
      <c r="O2594" s="2"/>
      <c r="P2594" s="2"/>
    </row>
    <row r="2595" spans="4:16" x14ac:dyDescent="0.25">
      <c r="D2595" s="2"/>
      <c r="E2595" s="310"/>
      <c r="G2595" s="2"/>
      <c r="H2595" s="310"/>
      <c r="I2595" s="2"/>
      <c r="O2595" s="2"/>
      <c r="P2595" s="2"/>
    </row>
    <row r="2596" spans="4:16" x14ac:dyDescent="0.25">
      <c r="D2596" s="2"/>
      <c r="E2596" s="310"/>
      <c r="G2596" s="2"/>
      <c r="H2596" s="310"/>
      <c r="I2596" s="2"/>
      <c r="O2596" s="2"/>
      <c r="P2596" s="2"/>
    </row>
    <row r="2597" spans="4:16" x14ac:dyDescent="0.25">
      <c r="D2597" s="2"/>
      <c r="E2597" s="310"/>
      <c r="G2597" s="2"/>
      <c r="H2597" s="310"/>
      <c r="I2597" s="2"/>
      <c r="O2597" s="2"/>
      <c r="P2597" s="2"/>
    </row>
    <row r="2598" spans="4:16" x14ac:dyDescent="0.25">
      <c r="D2598" s="2"/>
      <c r="E2598" s="310"/>
      <c r="G2598" s="2"/>
      <c r="H2598" s="310"/>
      <c r="I2598" s="2"/>
      <c r="O2598" s="2"/>
      <c r="P2598" s="2"/>
    </row>
    <row r="2599" spans="4:16" x14ac:dyDescent="0.25">
      <c r="D2599" s="2"/>
      <c r="E2599" s="310"/>
      <c r="G2599" s="2"/>
      <c r="H2599" s="310"/>
      <c r="I2599" s="2"/>
      <c r="O2599" s="2"/>
      <c r="P2599" s="2"/>
    </row>
    <row r="2600" spans="4:16" x14ac:dyDescent="0.25">
      <c r="D2600" s="2"/>
      <c r="E2600" s="310"/>
      <c r="G2600" s="2"/>
      <c r="H2600" s="310"/>
      <c r="I2600" s="2"/>
      <c r="O2600" s="2"/>
      <c r="P2600" s="2"/>
    </row>
    <row r="2601" spans="4:16" x14ac:dyDescent="0.25">
      <c r="D2601" s="2"/>
      <c r="E2601" s="310"/>
      <c r="G2601" s="2"/>
      <c r="H2601" s="310"/>
      <c r="I2601" s="2"/>
      <c r="O2601" s="2"/>
      <c r="P2601" s="2"/>
    </row>
    <row r="2602" spans="4:16" x14ac:dyDescent="0.25">
      <c r="D2602" s="2"/>
      <c r="E2602" s="310"/>
      <c r="G2602" s="2"/>
      <c r="H2602" s="310"/>
      <c r="I2602" s="2"/>
      <c r="O2602" s="2"/>
      <c r="P2602" s="2"/>
    </row>
    <row r="2603" spans="4:16" x14ac:dyDescent="0.25">
      <c r="D2603" s="2"/>
      <c r="E2603" s="310"/>
      <c r="G2603" s="2"/>
      <c r="H2603" s="310"/>
      <c r="I2603" s="2"/>
      <c r="O2603" s="2"/>
      <c r="P2603" s="2"/>
    </row>
    <row r="2604" spans="4:16" x14ac:dyDescent="0.25">
      <c r="D2604" s="2"/>
      <c r="E2604" s="310"/>
      <c r="G2604" s="2"/>
      <c r="H2604" s="310"/>
      <c r="I2604" s="2"/>
      <c r="O2604" s="2"/>
      <c r="P2604" s="2"/>
    </row>
    <row r="2605" spans="4:16" x14ac:dyDescent="0.25">
      <c r="D2605" s="2"/>
      <c r="E2605" s="310"/>
      <c r="G2605" s="2"/>
      <c r="H2605" s="310"/>
      <c r="I2605" s="2"/>
      <c r="O2605" s="2"/>
      <c r="P2605" s="2"/>
    </row>
    <row r="2606" spans="4:16" x14ac:dyDescent="0.25">
      <c r="D2606" s="2"/>
      <c r="E2606" s="310"/>
      <c r="G2606" s="2"/>
      <c r="H2606" s="310"/>
      <c r="I2606" s="2"/>
      <c r="O2606" s="2"/>
      <c r="P2606" s="2"/>
    </row>
    <row r="2607" spans="4:16" x14ac:dyDescent="0.25">
      <c r="D2607" s="2"/>
      <c r="E2607" s="310"/>
      <c r="G2607" s="2"/>
      <c r="H2607" s="310"/>
      <c r="I2607" s="2"/>
      <c r="O2607" s="2"/>
      <c r="P2607" s="2"/>
    </row>
    <row r="2608" spans="4:16" x14ac:dyDescent="0.25">
      <c r="D2608" s="2"/>
      <c r="E2608" s="310"/>
      <c r="G2608" s="2"/>
      <c r="H2608" s="310"/>
      <c r="I2608" s="2"/>
      <c r="O2608" s="2"/>
      <c r="P2608" s="2"/>
    </row>
    <row r="2609" spans="4:16" x14ac:dyDescent="0.25">
      <c r="D2609" s="2"/>
      <c r="E2609" s="310"/>
      <c r="G2609" s="2"/>
      <c r="H2609" s="310"/>
      <c r="I2609" s="2"/>
      <c r="O2609" s="2"/>
      <c r="P2609" s="2"/>
    </row>
    <row r="2610" spans="4:16" x14ac:dyDescent="0.25">
      <c r="D2610" s="2"/>
      <c r="E2610" s="310"/>
      <c r="G2610" s="2"/>
      <c r="H2610" s="310"/>
      <c r="I2610" s="2"/>
      <c r="O2610" s="2"/>
      <c r="P2610" s="2"/>
    </row>
    <row r="2611" spans="4:16" x14ac:dyDescent="0.25">
      <c r="D2611" s="2"/>
      <c r="E2611" s="310"/>
      <c r="G2611" s="2"/>
      <c r="H2611" s="310"/>
      <c r="I2611" s="2"/>
      <c r="O2611" s="2"/>
      <c r="P2611" s="2"/>
    </row>
    <row r="2612" spans="4:16" x14ac:dyDescent="0.25">
      <c r="D2612" s="2"/>
      <c r="E2612" s="310"/>
      <c r="G2612" s="2"/>
      <c r="H2612" s="310"/>
      <c r="I2612" s="2"/>
      <c r="O2612" s="2"/>
      <c r="P2612" s="2"/>
    </row>
    <row r="2613" spans="4:16" x14ac:dyDescent="0.25">
      <c r="D2613" s="2"/>
      <c r="E2613" s="310"/>
      <c r="G2613" s="2"/>
      <c r="H2613" s="310"/>
      <c r="I2613" s="2"/>
      <c r="O2613" s="2"/>
      <c r="P2613" s="2"/>
    </row>
    <row r="2614" spans="4:16" x14ac:dyDescent="0.25">
      <c r="D2614" s="2"/>
      <c r="E2614" s="310"/>
      <c r="G2614" s="2"/>
      <c r="H2614" s="310"/>
      <c r="I2614" s="2"/>
      <c r="O2614" s="2"/>
      <c r="P2614" s="2"/>
    </row>
    <row r="2615" spans="4:16" x14ac:dyDescent="0.25">
      <c r="D2615" s="2"/>
      <c r="E2615" s="310"/>
      <c r="G2615" s="2"/>
      <c r="H2615" s="310"/>
      <c r="I2615" s="2"/>
      <c r="O2615" s="2"/>
      <c r="P2615" s="2"/>
    </row>
    <row r="2616" spans="4:16" x14ac:dyDescent="0.25">
      <c r="D2616" s="2"/>
      <c r="E2616" s="310"/>
      <c r="G2616" s="2"/>
      <c r="H2616" s="310"/>
      <c r="I2616" s="2"/>
      <c r="O2616" s="2"/>
      <c r="P2616" s="2"/>
    </row>
    <row r="2617" spans="4:16" x14ac:dyDescent="0.25">
      <c r="D2617" s="2"/>
      <c r="E2617" s="310"/>
      <c r="G2617" s="2"/>
      <c r="H2617" s="310"/>
      <c r="I2617" s="2"/>
      <c r="O2617" s="2"/>
      <c r="P2617" s="2"/>
    </row>
    <row r="2618" spans="4:16" x14ac:dyDescent="0.25">
      <c r="D2618" s="2"/>
      <c r="E2618" s="310"/>
      <c r="G2618" s="2"/>
      <c r="H2618" s="310"/>
      <c r="I2618" s="2"/>
      <c r="O2618" s="2"/>
      <c r="P2618" s="2"/>
    </row>
    <row r="2619" spans="4:16" x14ac:dyDescent="0.25">
      <c r="D2619" s="2"/>
      <c r="E2619" s="310"/>
      <c r="G2619" s="2"/>
      <c r="H2619" s="310"/>
      <c r="I2619" s="2"/>
      <c r="O2619" s="2"/>
      <c r="P2619" s="2"/>
    </row>
    <row r="2620" spans="4:16" x14ac:dyDescent="0.25">
      <c r="D2620" s="2"/>
      <c r="E2620" s="310"/>
      <c r="G2620" s="2"/>
      <c r="H2620" s="310"/>
      <c r="I2620" s="2"/>
      <c r="O2620" s="2"/>
      <c r="P2620" s="2"/>
    </row>
    <row r="2621" spans="4:16" x14ac:dyDescent="0.25">
      <c r="D2621" s="2"/>
      <c r="E2621" s="310"/>
      <c r="G2621" s="2"/>
      <c r="H2621" s="310"/>
      <c r="I2621" s="2"/>
      <c r="O2621" s="2"/>
      <c r="P2621" s="2"/>
    </row>
    <row r="2622" spans="4:16" x14ac:dyDescent="0.25">
      <c r="D2622" s="2"/>
      <c r="E2622" s="310"/>
      <c r="G2622" s="2"/>
      <c r="H2622" s="310"/>
      <c r="I2622" s="2"/>
      <c r="O2622" s="2"/>
      <c r="P2622" s="2"/>
    </row>
    <row r="2623" spans="4:16" x14ac:dyDescent="0.25">
      <c r="D2623" s="2"/>
      <c r="E2623" s="310"/>
      <c r="G2623" s="2"/>
      <c r="H2623" s="310"/>
      <c r="I2623" s="2"/>
      <c r="O2623" s="2"/>
      <c r="P2623" s="2"/>
    </row>
    <row r="2624" spans="4:16" x14ac:dyDescent="0.25">
      <c r="D2624" s="2"/>
      <c r="E2624" s="310"/>
      <c r="G2624" s="2"/>
      <c r="H2624" s="310"/>
      <c r="I2624" s="2"/>
      <c r="O2624" s="2"/>
      <c r="P2624" s="2"/>
    </row>
    <row r="2625" spans="4:16" x14ac:dyDescent="0.25">
      <c r="D2625" s="2"/>
      <c r="E2625" s="310"/>
      <c r="G2625" s="2"/>
      <c r="H2625" s="310"/>
      <c r="I2625" s="2"/>
      <c r="O2625" s="2"/>
      <c r="P2625" s="2"/>
    </row>
    <row r="2626" spans="4:16" x14ac:dyDescent="0.25">
      <c r="D2626" s="2"/>
      <c r="E2626" s="310"/>
      <c r="G2626" s="2"/>
      <c r="H2626" s="310"/>
      <c r="I2626" s="2"/>
      <c r="O2626" s="2"/>
      <c r="P2626" s="2"/>
    </row>
    <row r="2627" spans="4:16" x14ac:dyDescent="0.25">
      <c r="D2627" s="2"/>
      <c r="E2627" s="310"/>
      <c r="G2627" s="2"/>
      <c r="H2627" s="310"/>
      <c r="I2627" s="2"/>
      <c r="O2627" s="2"/>
      <c r="P2627" s="2"/>
    </row>
    <row r="2628" spans="4:16" x14ac:dyDescent="0.25">
      <c r="D2628" s="2"/>
      <c r="E2628" s="310"/>
      <c r="G2628" s="2"/>
      <c r="H2628" s="310"/>
      <c r="I2628" s="2"/>
      <c r="O2628" s="2"/>
      <c r="P2628" s="2"/>
    </row>
    <row r="2629" spans="4:16" x14ac:dyDescent="0.25">
      <c r="D2629" s="2"/>
      <c r="E2629" s="310"/>
      <c r="G2629" s="2"/>
      <c r="H2629" s="310"/>
      <c r="I2629" s="2"/>
      <c r="O2629" s="2"/>
      <c r="P2629" s="2"/>
    </row>
    <row r="2630" spans="4:16" x14ac:dyDescent="0.25">
      <c r="D2630" s="2"/>
      <c r="E2630" s="310"/>
      <c r="G2630" s="2"/>
      <c r="H2630" s="310"/>
      <c r="I2630" s="2"/>
      <c r="O2630" s="2"/>
      <c r="P2630" s="2"/>
    </row>
    <row r="2631" spans="4:16" x14ac:dyDescent="0.25">
      <c r="D2631" s="2"/>
      <c r="E2631" s="310"/>
      <c r="G2631" s="2"/>
      <c r="H2631" s="310"/>
      <c r="I2631" s="2"/>
      <c r="O2631" s="2"/>
      <c r="P2631" s="2"/>
    </row>
    <row r="2632" spans="4:16" x14ac:dyDescent="0.25">
      <c r="D2632" s="2"/>
      <c r="E2632" s="310"/>
      <c r="G2632" s="2"/>
      <c r="H2632" s="310"/>
      <c r="I2632" s="2"/>
      <c r="O2632" s="2"/>
      <c r="P2632" s="2"/>
    </row>
    <row r="2633" spans="4:16" x14ac:dyDescent="0.25">
      <c r="D2633" s="2"/>
      <c r="E2633" s="310"/>
      <c r="G2633" s="2"/>
      <c r="H2633" s="310"/>
      <c r="I2633" s="2"/>
      <c r="O2633" s="2"/>
      <c r="P2633" s="2"/>
    </row>
    <row r="2634" spans="4:16" x14ac:dyDescent="0.25">
      <c r="D2634" s="2"/>
      <c r="E2634" s="310"/>
      <c r="G2634" s="2"/>
      <c r="H2634" s="310"/>
      <c r="I2634" s="2"/>
      <c r="O2634" s="2"/>
      <c r="P2634" s="2"/>
    </row>
    <row r="2635" spans="4:16" x14ac:dyDescent="0.25">
      <c r="D2635" s="2"/>
      <c r="E2635" s="310"/>
      <c r="G2635" s="2"/>
      <c r="H2635" s="310"/>
      <c r="I2635" s="2"/>
      <c r="O2635" s="2"/>
      <c r="P2635" s="2"/>
    </row>
    <row r="2636" spans="4:16" x14ac:dyDescent="0.25">
      <c r="D2636" s="2"/>
      <c r="E2636" s="310"/>
      <c r="G2636" s="2"/>
      <c r="H2636" s="310"/>
      <c r="I2636" s="2"/>
      <c r="O2636" s="2"/>
      <c r="P2636" s="2"/>
    </row>
    <row r="2637" spans="4:16" x14ac:dyDescent="0.25">
      <c r="D2637" s="2"/>
      <c r="E2637" s="310"/>
      <c r="G2637" s="2"/>
      <c r="H2637" s="310"/>
      <c r="I2637" s="2"/>
      <c r="O2637" s="2"/>
      <c r="P2637" s="2"/>
    </row>
    <row r="2638" spans="4:16" x14ac:dyDescent="0.25">
      <c r="D2638" s="2"/>
      <c r="E2638" s="310"/>
      <c r="G2638" s="2"/>
      <c r="H2638" s="310"/>
      <c r="I2638" s="2"/>
      <c r="O2638" s="2"/>
      <c r="P2638" s="2"/>
    </row>
    <row r="2639" spans="4:16" x14ac:dyDescent="0.25">
      <c r="D2639" s="2"/>
      <c r="E2639" s="310"/>
      <c r="G2639" s="2"/>
      <c r="H2639" s="310"/>
      <c r="I2639" s="2"/>
      <c r="O2639" s="2"/>
      <c r="P2639" s="2"/>
    </row>
    <row r="2640" spans="4:16" x14ac:dyDescent="0.25">
      <c r="D2640" s="2"/>
      <c r="E2640" s="310"/>
      <c r="G2640" s="2"/>
      <c r="H2640" s="310"/>
      <c r="I2640" s="2"/>
      <c r="O2640" s="2"/>
      <c r="P2640" s="2"/>
    </row>
    <row r="2641" spans="4:16" x14ac:dyDescent="0.25">
      <c r="D2641" s="2"/>
      <c r="E2641" s="310"/>
      <c r="G2641" s="2"/>
      <c r="H2641" s="310"/>
      <c r="I2641" s="2"/>
      <c r="O2641" s="2"/>
      <c r="P2641" s="2"/>
    </row>
    <row r="2642" spans="4:16" x14ac:dyDescent="0.25">
      <c r="D2642" s="2"/>
      <c r="E2642" s="310"/>
      <c r="G2642" s="2"/>
      <c r="H2642" s="310"/>
      <c r="I2642" s="2"/>
      <c r="O2642" s="2"/>
      <c r="P2642" s="2"/>
    </row>
    <row r="2643" spans="4:16" x14ac:dyDescent="0.25">
      <c r="D2643" s="2"/>
      <c r="E2643" s="310"/>
      <c r="G2643" s="2"/>
      <c r="H2643" s="310"/>
      <c r="I2643" s="2"/>
      <c r="O2643" s="2"/>
      <c r="P2643" s="2"/>
    </row>
    <row r="2644" spans="4:16" x14ac:dyDescent="0.25">
      <c r="D2644" s="2"/>
      <c r="E2644" s="310"/>
      <c r="G2644" s="2"/>
      <c r="H2644" s="310"/>
      <c r="I2644" s="2"/>
      <c r="O2644" s="2"/>
      <c r="P2644" s="2"/>
    </row>
    <row r="2645" spans="4:16" x14ac:dyDescent="0.25">
      <c r="D2645" s="2"/>
      <c r="E2645" s="310"/>
      <c r="G2645" s="2"/>
      <c r="H2645" s="310"/>
      <c r="I2645" s="2"/>
      <c r="O2645" s="2"/>
      <c r="P2645" s="2"/>
    </row>
    <row r="2646" spans="4:16" x14ac:dyDescent="0.25">
      <c r="D2646" s="2"/>
      <c r="E2646" s="310"/>
      <c r="G2646" s="2"/>
      <c r="H2646" s="310"/>
      <c r="I2646" s="2"/>
      <c r="O2646" s="2"/>
      <c r="P2646" s="2"/>
    </row>
    <row r="2647" spans="4:16" x14ac:dyDescent="0.25">
      <c r="D2647" s="2"/>
      <c r="E2647" s="310"/>
      <c r="G2647" s="2"/>
      <c r="H2647" s="310"/>
      <c r="I2647" s="2"/>
      <c r="O2647" s="2"/>
      <c r="P2647" s="2"/>
    </row>
    <row r="2648" spans="4:16" x14ac:dyDescent="0.25">
      <c r="D2648" s="2"/>
      <c r="E2648" s="310"/>
      <c r="G2648" s="2"/>
      <c r="H2648" s="310"/>
      <c r="I2648" s="2"/>
      <c r="O2648" s="2"/>
      <c r="P2648" s="2"/>
    </row>
    <row r="2649" spans="4:16" x14ac:dyDescent="0.25">
      <c r="D2649" s="2"/>
      <c r="E2649" s="310"/>
      <c r="G2649" s="2"/>
      <c r="H2649" s="310"/>
      <c r="I2649" s="2"/>
      <c r="O2649" s="2"/>
      <c r="P2649" s="2"/>
    </row>
    <row r="2650" spans="4:16" x14ac:dyDescent="0.25">
      <c r="D2650" s="2"/>
      <c r="E2650" s="310"/>
      <c r="G2650" s="2"/>
      <c r="H2650" s="310"/>
      <c r="I2650" s="2"/>
      <c r="O2650" s="2"/>
      <c r="P2650" s="2"/>
    </row>
    <row r="2651" spans="4:16" x14ac:dyDescent="0.25">
      <c r="D2651" s="2"/>
      <c r="E2651" s="310"/>
      <c r="G2651" s="2"/>
      <c r="H2651" s="310"/>
      <c r="I2651" s="2"/>
      <c r="O2651" s="2"/>
      <c r="P2651" s="2"/>
    </row>
    <row r="2652" spans="4:16" x14ac:dyDescent="0.25">
      <c r="D2652" s="2"/>
      <c r="E2652" s="310"/>
      <c r="G2652" s="2"/>
      <c r="H2652" s="310"/>
      <c r="I2652" s="2"/>
      <c r="O2652" s="2"/>
      <c r="P2652" s="2"/>
    </row>
    <row r="2653" spans="4:16" x14ac:dyDescent="0.25">
      <c r="D2653" s="2"/>
      <c r="E2653" s="310"/>
      <c r="G2653" s="2"/>
      <c r="H2653" s="310"/>
      <c r="I2653" s="2"/>
      <c r="O2653" s="2"/>
      <c r="P2653" s="2"/>
    </row>
    <row r="2654" spans="4:16" x14ac:dyDescent="0.25">
      <c r="D2654" s="2"/>
      <c r="E2654" s="310"/>
      <c r="G2654" s="2"/>
      <c r="H2654" s="310"/>
      <c r="I2654" s="2"/>
      <c r="O2654" s="2"/>
      <c r="P2654" s="2"/>
    </row>
    <row r="2655" spans="4:16" x14ac:dyDescent="0.25">
      <c r="D2655" s="2"/>
      <c r="E2655" s="310"/>
      <c r="G2655" s="2"/>
      <c r="H2655" s="310"/>
      <c r="I2655" s="2"/>
      <c r="O2655" s="2"/>
      <c r="P2655" s="2"/>
    </row>
    <row r="2656" spans="4:16" x14ac:dyDescent="0.25">
      <c r="D2656" s="2"/>
      <c r="E2656" s="310"/>
      <c r="G2656" s="2"/>
      <c r="H2656" s="310"/>
      <c r="I2656" s="2"/>
      <c r="O2656" s="2"/>
      <c r="P2656" s="2"/>
    </row>
    <row r="2657" spans="4:16" x14ac:dyDescent="0.25">
      <c r="D2657" s="2"/>
      <c r="E2657" s="310"/>
      <c r="G2657" s="2"/>
      <c r="H2657" s="310"/>
      <c r="I2657" s="2"/>
      <c r="O2657" s="2"/>
      <c r="P2657" s="2"/>
    </row>
    <row r="2658" spans="4:16" x14ac:dyDescent="0.25">
      <c r="D2658" s="2"/>
      <c r="E2658" s="310"/>
      <c r="G2658" s="2"/>
      <c r="H2658" s="310"/>
      <c r="I2658" s="2"/>
      <c r="O2658" s="2"/>
      <c r="P2658" s="2"/>
    </row>
    <row r="2659" spans="4:16" x14ac:dyDescent="0.25">
      <c r="D2659" s="2"/>
      <c r="E2659" s="310"/>
      <c r="G2659" s="2"/>
      <c r="H2659" s="310"/>
      <c r="I2659" s="2"/>
      <c r="O2659" s="2"/>
      <c r="P2659" s="2"/>
    </row>
    <row r="2660" spans="4:16" x14ac:dyDescent="0.25">
      <c r="D2660" s="2"/>
      <c r="E2660" s="310"/>
      <c r="G2660" s="2"/>
      <c r="H2660" s="310"/>
      <c r="I2660" s="2"/>
      <c r="O2660" s="2"/>
      <c r="P2660" s="2"/>
    </row>
    <row r="2661" spans="4:16" x14ac:dyDescent="0.25">
      <c r="D2661" s="2"/>
      <c r="E2661" s="310"/>
      <c r="G2661" s="2"/>
      <c r="H2661" s="310"/>
      <c r="I2661" s="2"/>
      <c r="O2661" s="2"/>
      <c r="P2661" s="2"/>
    </row>
    <row r="2662" spans="4:16" x14ac:dyDescent="0.25">
      <c r="D2662" s="2"/>
      <c r="E2662" s="310"/>
      <c r="G2662" s="2"/>
      <c r="H2662" s="310"/>
      <c r="I2662" s="2"/>
      <c r="O2662" s="2"/>
      <c r="P2662" s="2"/>
    </row>
    <row r="2663" spans="4:16" x14ac:dyDescent="0.25">
      <c r="D2663" s="2"/>
      <c r="E2663" s="310"/>
      <c r="G2663" s="2"/>
      <c r="H2663" s="310"/>
      <c r="I2663" s="2"/>
      <c r="O2663" s="2"/>
      <c r="P2663" s="2"/>
    </row>
    <row r="2664" spans="4:16" x14ac:dyDescent="0.25">
      <c r="D2664" s="2"/>
      <c r="E2664" s="310"/>
      <c r="G2664" s="2"/>
      <c r="H2664" s="310"/>
      <c r="I2664" s="2"/>
      <c r="O2664" s="2"/>
      <c r="P2664" s="2"/>
    </row>
    <row r="2665" spans="4:16" x14ac:dyDescent="0.25">
      <c r="D2665" s="2"/>
      <c r="E2665" s="310"/>
      <c r="G2665" s="2"/>
      <c r="H2665" s="310"/>
      <c r="I2665" s="2"/>
      <c r="O2665" s="2"/>
      <c r="P2665" s="2"/>
    </row>
    <row r="2666" spans="4:16" x14ac:dyDescent="0.25">
      <c r="D2666" s="2"/>
      <c r="E2666" s="310"/>
      <c r="G2666" s="2"/>
      <c r="H2666" s="310"/>
      <c r="I2666" s="2"/>
      <c r="O2666" s="2"/>
      <c r="P2666" s="2"/>
    </row>
    <row r="2667" spans="4:16" x14ac:dyDescent="0.25">
      <c r="D2667" s="2"/>
      <c r="E2667" s="310"/>
      <c r="G2667" s="2"/>
      <c r="H2667" s="310"/>
      <c r="I2667" s="2"/>
      <c r="O2667" s="2"/>
      <c r="P2667" s="2"/>
    </row>
    <row r="2668" spans="4:16" x14ac:dyDescent="0.25">
      <c r="D2668" s="2"/>
      <c r="E2668" s="310"/>
      <c r="G2668" s="2"/>
      <c r="H2668" s="310"/>
      <c r="I2668" s="2"/>
      <c r="O2668" s="2"/>
      <c r="P2668" s="2"/>
    </row>
    <row r="2669" spans="4:16" x14ac:dyDescent="0.25">
      <c r="D2669" s="2"/>
      <c r="E2669" s="310"/>
      <c r="G2669" s="2"/>
      <c r="H2669" s="310"/>
      <c r="I2669" s="2"/>
      <c r="O2669" s="2"/>
      <c r="P2669" s="2"/>
    </row>
    <row r="2670" spans="4:16" x14ac:dyDescent="0.25">
      <c r="D2670" s="2"/>
      <c r="E2670" s="310"/>
      <c r="G2670" s="2"/>
      <c r="H2670" s="310"/>
      <c r="I2670" s="2"/>
      <c r="O2670" s="2"/>
      <c r="P2670" s="2"/>
    </row>
    <row r="2671" spans="4:16" x14ac:dyDescent="0.25">
      <c r="D2671" s="2"/>
      <c r="E2671" s="310"/>
      <c r="G2671" s="2"/>
      <c r="H2671" s="310"/>
      <c r="I2671" s="2"/>
      <c r="O2671" s="2"/>
      <c r="P2671" s="2"/>
    </row>
    <row r="2672" spans="4:16" x14ac:dyDescent="0.25">
      <c r="D2672" s="2"/>
      <c r="E2672" s="310"/>
      <c r="G2672" s="2"/>
      <c r="H2672" s="310"/>
      <c r="I2672" s="2"/>
      <c r="O2672" s="2"/>
      <c r="P2672" s="2"/>
    </row>
    <row r="2673" spans="4:16" x14ac:dyDescent="0.25">
      <c r="D2673" s="2"/>
      <c r="E2673" s="310"/>
      <c r="G2673" s="2"/>
      <c r="H2673" s="310"/>
      <c r="I2673" s="2"/>
      <c r="O2673" s="2"/>
      <c r="P2673" s="2"/>
    </row>
    <row r="2674" spans="4:16" x14ac:dyDescent="0.25">
      <c r="D2674" s="2"/>
      <c r="E2674" s="310"/>
      <c r="G2674" s="2"/>
      <c r="H2674" s="310"/>
      <c r="I2674" s="2"/>
      <c r="O2674" s="2"/>
      <c r="P2674" s="2"/>
    </row>
    <row r="2675" spans="4:16" x14ac:dyDescent="0.25">
      <c r="D2675" s="2"/>
      <c r="E2675" s="310"/>
      <c r="G2675" s="2"/>
      <c r="H2675" s="310"/>
      <c r="I2675" s="2"/>
      <c r="O2675" s="2"/>
      <c r="P2675" s="2"/>
    </row>
    <row r="2676" spans="4:16" x14ac:dyDescent="0.25">
      <c r="D2676" s="2"/>
      <c r="E2676" s="310"/>
      <c r="G2676" s="2"/>
      <c r="H2676" s="310"/>
      <c r="I2676" s="2"/>
      <c r="O2676" s="2"/>
      <c r="P2676" s="2"/>
    </row>
    <row r="2677" spans="4:16" x14ac:dyDescent="0.25">
      <c r="D2677" s="2"/>
      <c r="E2677" s="310"/>
      <c r="G2677" s="2"/>
      <c r="H2677" s="310"/>
      <c r="I2677" s="2"/>
      <c r="O2677" s="2"/>
      <c r="P2677" s="2"/>
    </row>
    <row r="2678" spans="4:16" x14ac:dyDescent="0.25">
      <c r="D2678" s="2"/>
      <c r="E2678" s="310"/>
      <c r="G2678" s="2"/>
      <c r="H2678" s="310"/>
      <c r="I2678" s="2"/>
      <c r="O2678" s="2"/>
      <c r="P2678" s="2"/>
    </row>
    <row r="2679" spans="4:16" x14ac:dyDescent="0.25">
      <c r="D2679" s="2"/>
      <c r="E2679" s="310"/>
      <c r="G2679" s="2"/>
      <c r="H2679" s="310"/>
      <c r="I2679" s="2"/>
      <c r="O2679" s="2"/>
      <c r="P2679" s="2"/>
    </row>
    <row r="2680" spans="4:16" x14ac:dyDescent="0.25">
      <c r="D2680" s="2"/>
      <c r="E2680" s="310"/>
      <c r="G2680" s="2"/>
      <c r="H2680" s="310"/>
      <c r="I2680" s="2"/>
      <c r="O2680" s="2"/>
      <c r="P2680" s="2"/>
    </row>
    <row r="2681" spans="4:16" x14ac:dyDescent="0.25">
      <c r="D2681" s="2"/>
      <c r="E2681" s="310"/>
      <c r="G2681" s="2"/>
      <c r="H2681" s="310"/>
      <c r="I2681" s="2"/>
      <c r="O2681" s="2"/>
      <c r="P2681" s="2"/>
    </row>
    <row r="2682" spans="4:16" x14ac:dyDescent="0.25">
      <c r="D2682" s="2"/>
      <c r="E2682" s="310"/>
      <c r="G2682" s="2"/>
      <c r="H2682" s="310"/>
      <c r="I2682" s="2"/>
      <c r="O2682" s="2"/>
      <c r="P2682" s="2"/>
    </row>
    <row r="2683" spans="4:16" x14ac:dyDescent="0.25">
      <c r="D2683" s="2"/>
      <c r="E2683" s="310"/>
      <c r="G2683" s="2"/>
      <c r="H2683" s="310"/>
      <c r="I2683" s="2"/>
      <c r="O2683" s="2"/>
      <c r="P2683" s="2"/>
    </row>
    <row r="2684" spans="4:16" x14ac:dyDescent="0.25">
      <c r="D2684" s="2"/>
      <c r="E2684" s="310"/>
      <c r="G2684" s="2"/>
      <c r="H2684" s="310"/>
      <c r="I2684" s="2"/>
      <c r="O2684" s="2"/>
      <c r="P2684" s="2"/>
    </row>
    <row r="2685" spans="4:16" x14ac:dyDescent="0.25">
      <c r="D2685" s="2"/>
      <c r="E2685" s="310"/>
      <c r="G2685" s="2"/>
      <c r="H2685" s="310"/>
      <c r="I2685" s="2"/>
      <c r="O2685" s="2"/>
      <c r="P2685" s="2"/>
    </row>
    <row r="2686" spans="4:16" x14ac:dyDescent="0.25">
      <c r="D2686" s="2"/>
      <c r="E2686" s="310"/>
      <c r="G2686" s="2"/>
      <c r="H2686" s="310"/>
      <c r="I2686" s="2"/>
      <c r="O2686" s="2"/>
      <c r="P2686" s="2"/>
    </row>
    <row r="2687" spans="4:16" x14ac:dyDescent="0.25">
      <c r="D2687" s="2"/>
      <c r="E2687" s="310"/>
      <c r="G2687" s="2"/>
      <c r="H2687" s="310"/>
      <c r="I2687" s="2"/>
      <c r="O2687" s="2"/>
      <c r="P2687" s="2"/>
    </row>
    <row r="2688" spans="4:16" x14ac:dyDescent="0.25">
      <c r="D2688" s="2"/>
      <c r="E2688" s="310"/>
      <c r="G2688" s="2"/>
      <c r="H2688" s="310"/>
      <c r="I2688" s="2"/>
      <c r="O2688" s="2"/>
      <c r="P2688" s="2"/>
    </row>
    <row r="2689" spans="4:16" x14ac:dyDescent="0.25">
      <c r="D2689" s="2"/>
      <c r="E2689" s="310"/>
      <c r="G2689" s="2"/>
      <c r="H2689" s="310"/>
      <c r="I2689" s="2"/>
      <c r="O2689" s="2"/>
      <c r="P2689" s="2"/>
    </row>
    <row r="2690" spans="4:16" x14ac:dyDescent="0.25">
      <c r="D2690" s="2"/>
      <c r="E2690" s="310"/>
      <c r="G2690" s="2"/>
      <c r="H2690" s="310"/>
      <c r="I2690" s="2"/>
      <c r="O2690" s="2"/>
      <c r="P2690" s="2"/>
    </row>
    <row r="2691" spans="4:16" x14ac:dyDescent="0.25">
      <c r="D2691" s="2"/>
      <c r="E2691" s="310"/>
      <c r="G2691" s="2"/>
      <c r="H2691" s="310"/>
      <c r="I2691" s="2"/>
      <c r="O2691" s="2"/>
      <c r="P2691" s="2"/>
    </row>
    <row r="2692" spans="4:16" x14ac:dyDescent="0.25">
      <c r="D2692" s="2"/>
      <c r="E2692" s="310"/>
      <c r="G2692" s="2"/>
      <c r="H2692" s="310"/>
      <c r="I2692" s="2"/>
      <c r="O2692" s="2"/>
      <c r="P2692" s="2"/>
    </row>
    <row r="2693" spans="4:16" x14ac:dyDescent="0.25">
      <c r="D2693" s="2"/>
      <c r="E2693" s="310"/>
      <c r="G2693" s="2"/>
      <c r="H2693" s="310"/>
      <c r="I2693" s="2"/>
      <c r="O2693" s="2"/>
      <c r="P2693" s="2"/>
    </row>
    <row r="2694" spans="4:16" x14ac:dyDescent="0.25">
      <c r="D2694" s="2"/>
      <c r="E2694" s="310"/>
      <c r="G2694" s="2"/>
      <c r="H2694" s="310"/>
      <c r="I2694" s="2"/>
      <c r="O2694" s="2"/>
      <c r="P2694" s="2"/>
    </row>
    <row r="2695" spans="4:16" x14ac:dyDescent="0.25">
      <c r="D2695" s="2"/>
      <c r="E2695" s="310"/>
      <c r="G2695" s="2"/>
      <c r="H2695" s="310"/>
      <c r="I2695" s="2"/>
      <c r="O2695" s="2"/>
      <c r="P2695" s="2"/>
    </row>
    <row r="2696" spans="4:16" x14ac:dyDescent="0.25">
      <c r="D2696" s="2"/>
      <c r="E2696" s="310"/>
      <c r="G2696" s="2"/>
      <c r="H2696" s="310"/>
      <c r="I2696" s="2"/>
      <c r="O2696" s="2"/>
      <c r="P2696" s="2"/>
    </row>
    <row r="2697" spans="4:16" x14ac:dyDescent="0.25">
      <c r="D2697" s="2"/>
      <c r="E2697" s="310"/>
      <c r="G2697" s="2"/>
      <c r="H2697" s="310"/>
      <c r="I2697" s="2"/>
      <c r="O2697" s="2"/>
      <c r="P2697" s="2"/>
    </row>
    <row r="2698" spans="4:16" x14ac:dyDescent="0.25">
      <c r="D2698" s="2"/>
      <c r="E2698" s="310"/>
      <c r="G2698" s="2"/>
      <c r="H2698" s="310"/>
      <c r="I2698" s="2"/>
      <c r="O2698" s="2"/>
      <c r="P2698" s="2"/>
    </row>
    <row r="2699" spans="4:16" x14ac:dyDescent="0.25">
      <c r="D2699" s="2"/>
      <c r="E2699" s="310"/>
      <c r="G2699" s="2"/>
      <c r="H2699" s="310"/>
      <c r="I2699" s="2"/>
      <c r="O2699" s="2"/>
      <c r="P2699" s="2"/>
    </row>
    <row r="2700" spans="4:16" x14ac:dyDescent="0.25">
      <c r="D2700" s="2"/>
      <c r="E2700" s="310"/>
      <c r="G2700" s="2"/>
      <c r="H2700" s="310"/>
      <c r="I2700" s="2"/>
      <c r="O2700" s="2"/>
      <c r="P2700" s="2"/>
    </row>
    <row r="2701" spans="4:16" x14ac:dyDescent="0.25">
      <c r="D2701" s="2"/>
      <c r="E2701" s="310"/>
      <c r="G2701" s="2"/>
      <c r="H2701" s="310"/>
      <c r="I2701" s="2"/>
      <c r="O2701" s="2"/>
      <c r="P2701" s="2"/>
    </row>
    <row r="2702" spans="4:16" x14ac:dyDescent="0.25">
      <c r="D2702" s="2"/>
      <c r="E2702" s="310"/>
      <c r="G2702" s="2"/>
      <c r="H2702" s="310"/>
      <c r="I2702" s="2"/>
      <c r="O2702" s="2"/>
      <c r="P2702" s="2"/>
    </row>
    <row r="2703" spans="4:16" x14ac:dyDescent="0.25">
      <c r="D2703" s="2"/>
      <c r="E2703" s="310"/>
      <c r="G2703" s="2"/>
      <c r="H2703" s="310"/>
      <c r="I2703" s="2"/>
      <c r="O2703" s="2"/>
      <c r="P2703" s="2"/>
    </row>
    <row r="2704" spans="4:16" x14ac:dyDescent="0.25">
      <c r="D2704" s="2"/>
      <c r="E2704" s="310"/>
      <c r="G2704" s="2"/>
      <c r="H2704" s="310"/>
      <c r="I2704" s="2"/>
      <c r="O2704" s="2"/>
      <c r="P2704" s="2"/>
    </row>
    <row r="2705" spans="4:16" x14ac:dyDescent="0.25">
      <c r="D2705" s="2"/>
      <c r="E2705" s="310"/>
      <c r="G2705" s="2"/>
      <c r="H2705" s="310"/>
      <c r="I2705" s="2"/>
      <c r="O2705" s="2"/>
      <c r="P2705" s="2"/>
    </row>
    <row r="2706" spans="4:16" x14ac:dyDescent="0.25">
      <c r="D2706" s="2"/>
      <c r="E2706" s="310"/>
      <c r="G2706" s="2"/>
      <c r="H2706" s="310"/>
      <c r="I2706" s="2"/>
      <c r="O2706" s="2"/>
      <c r="P2706" s="2"/>
    </row>
    <row r="2707" spans="4:16" x14ac:dyDescent="0.25">
      <c r="D2707" s="2"/>
      <c r="E2707" s="310"/>
      <c r="G2707" s="2"/>
      <c r="H2707" s="310"/>
      <c r="I2707" s="2"/>
      <c r="O2707" s="2"/>
      <c r="P2707" s="2"/>
    </row>
    <row r="2708" spans="4:16" x14ac:dyDescent="0.25">
      <c r="D2708" s="2"/>
      <c r="E2708" s="310"/>
      <c r="G2708" s="2"/>
      <c r="H2708" s="310"/>
      <c r="I2708" s="2"/>
      <c r="O2708" s="2"/>
      <c r="P2708" s="2"/>
    </row>
    <row r="2709" spans="4:16" x14ac:dyDescent="0.25">
      <c r="D2709" s="2"/>
      <c r="E2709" s="310"/>
      <c r="G2709" s="2"/>
      <c r="H2709" s="310"/>
      <c r="I2709" s="2"/>
      <c r="O2709" s="2"/>
      <c r="P2709" s="2"/>
    </row>
    <row r="2710" spans="4:16" x14ac:dyDescent="0.25">
      <c r="D2710" s="2"/>
      <c r="E2710" s="310"/>
      <c r="G2710" s="2"/>
      <c r="H2710" s="310"/>
      <c r="I2710" s="2"/>
      <c r="O2710" s="2"/>
      <c r="P2710" s="2"/>
    </row>
    <row r="2711" spans="4:16" x14ac:dyDescent="0.25">
      <c r="D2711" s="2"/>
      <c r="E2711" s="310"/>
      <c r="G2711" s="2"/>
      <c r="H2711" s="310"/>
      <c r="I2711" s="2"/>
      <c r="O2711" s="2"/>
      <c r="P2711" s="2"/>
    </row>
    <row r="2712" spans="4:16" x14ac:dyDescent="0.25">
      <c r="D2712" s="2"/>
      <c r="E2712" s="310"/>
      <c r="G2712" s="2"/>
      <c r="H2712" s="310"/>
      <c r="I2712" s="2"/>
      <c r="O2712" s="2"/>
      <c r="P2712" s="2"/>
    </row>
    <row r="2713" spans="4:16" x14ac:dyDescent="0.25">
      <c r="D2713" s="2"/>
      <c r="E2713" s="310"/>
      <c r="G2713" s="2"/>
      <c r="H2713" s="310"/>
      <c r="I2713" s="2"/>
      <c r="O2713" s="2"/>
      <c r="P2713" s="2"/>
    </row>
    <row r="2714" spans="4:16" x14ac:dyDescent="0.25">
      <c r="D2714" s="2"/>
      <c r="E2714" s="310"/>
      <c r="G2714" s="2"/>
      <c r="H2714" s="310"/>
      <c r="I2714" s="2"/>
      <c r="O2714" s="2"/>
      <c r="P2714" s="2"/>
    </row>
    <row r="2715" spans="4:16" x14ac:dyDescent="0.25">
      <c r="D2715" s="2"/>
      <c r="E2715" s="310"/>
      <c r="G2715" s="2"/>
      <c r="H2715" s="310"/>
      <c r="I2715" s="2"/>
      <c r="O2715" s="2"/>
      <c r="P2715" s="2"/>
    </row>
    <row r="2716" spans="4:16" x14ac:dyDescent="0.25">
      <c r="D2716" s="2"/>
      <c r="E2716" s="310"/>
      <c r="G2716" s="2"/>
      <c r="H2716" s="310"/>
      <c r="I2716" s="2"/>
      <c r="O2716" s="2"/>
      <c r="P2716" s="2"/>
    </row>
    <row r="2717" spans="4:16" x14ac:dyDescent="0.25">
      <c r="D2717" s="2"/>
      <c r="E2717" s="310"/>
      <c r="G2717" s="2"/>
      <c r="H2717" s="310"/>
      <c r="I2717" s="2"/>
      <c r="O2717" s="2"/>
      <c r="P2717" s="2"/>
    </row>
    <row r="2718" spans="4:16" x14ac:dyDescent="0.25">
      <c r="D2718" s="2"/>
      <c r="E2718" s="310"/>
      <c r="G2718" s="2"/>
      <c r="H2718" s="310"/>
      <c r="I2718" s="2"/>
      <c r="O2718" s="2"/>
      <c r="P2718" s="2"/>
    </row>
    <row r="2719" spans="4:16" x14ac:dyDescent="0.25">
      <c r="D2719" s="2"/>
      <c r="E2719" s="310"/>
      <c r="G2719" s="2"/>
      <c r="H2719" s="310"/>
      <c r="I2719" s="2"/>
      <c r="O2719" s="2"/>
      <c r="P2719" s="2"/>
    </row>
    <row r="2720" spans="4:16" x14ac:dyDescent="0.25">
      <c r="D2720" s="2"/>
      <c r="E2720" s="310"/>
      <c r="G2720" s="2"/>
      <c r="H2720" s="310"/>
      <c r="I2720" s="2"/>
      <c r="O2720" s="2"/>
      <c r="P2720" s="2"/>
    </row>
    <row r="2721" spans="4:16" x14ac:dyDescent="0.25">
      <c r="D2721" s="2"/>
      <c r="E2721" s="310"/>
      <c r="G2721" s="2"/>
      <c r="H2721" s="310"/>
      <c r="I2721" s="2"/>
      <c r="O2721" s="2"/>
      <c r="P2721" s="2"/>
    </row>
    <row r="2722" spans="4:16" x14ac:dyDescent="0.25">
      <c r="D2722" s="2"/>
      <c r="E2722" s="310"/>
      <c r="G2722" s="2"/>
      <c r="H2722" s="310"/>
      <c r="I2722" s="2"/>
      <c r="O2722" s="2"/>
      <c r="P2722" s="2"/>
    </row>
    <row r="2723" spans="4:16" x14ac:dyDescent="0.25">
      <c r="D2723" s="2"/>
      <c r="E2723" s="310"/>
      <c r="G2723" s="2"/>
      <c r="H2723" s="310"/>
      <c r="I2723" s="2"/>
      <c r="O2723" s="2"/>
      <c r="P2723" s="2"/>
    </row>
    <row r="2724" spans="4:16" x14ac:dyDescent="0.25">
      <c r="D2724" s="2"/>
      <c r="E2724" s="310"/>
      <c r="G2724" s="2"/>
      <c r="H2724" s="310"/>
      <c r="I2724" s="2"/>
      <c r="O2724" s="2"/>
      <c r="P2724" s="2"/>
    </row>
    <row r="2725" spans="4:16" x14ac:dyDescent="0.25">
      <c r="D2725" s="2"/>
      <c r="E2725" s="310"/>
      <c r="G2725" s="2"/>
      <c r="H2725" s="310"/>
      <c r="I2725" s="2"/>
      <c r="O2725" s="2"/>
      <c r="P2725" s="2"/>
    </row>
    <row r="2726" spans="4:16" x14ac:dyDescent="0.25">
      <c r="D2726" s="2"/>
      <c r="E2726" s="310"/>
      <c r="G2726" s="2"/>
      <c r="H2726" s="310"/>
      <c r="I2726" s="2"/>
      <c r="O2726" s="2"/>
      <c r="P2726" s="2"/>
    </row>
    <row r="2727" spans="4:16" x14ac:dyDescent="0.25">
      <c r="D2727" s="2"/>
      <c r="E2727" s="310"/>
      <c r="G2727" s="2"/>
      <c r="H2727" s="310"/>
      <c r="I2727" s="2"/>
      <c r="O2727" s="2"/>
      <c r="P2727" s="2"/>
    </row>
    <row r="2728" spans="4:16" x14ac:dyDescent="0.25">
      <c r="D2728" s="2"/>
      <c r="E2728" s="310"/>
      <c r="G2728" s="2"/>
      <c r="H2728" s="310"/>
      <c r="I2728" s="2"/>
      <c r="O2728" s="2"/>
      <c r="P2728" s="2"/>
    </row>
    <row r="2729" spans="4:16" x14ac:dyDescent="0.25">
      <c r="D2729" s="2"/>
      <c r="E2729" s="310"/>
      <c r="G2729" s="2"/>
      <c r="H2729" s="310"/>
      <c r="I2729" s="2"/>
      <c r="O2729" s="2"/>
      <c r="P2729" s="2"/>
    </row>
    <row r="2730" spans="4:16" x14ac:dyDescent="0.25">
      <c r="D2730" s="2"/>
      <c r="E2730" s="310"/>
      <c r="G2730" s="2"/>
      <c r="H2730" s="310"/>
      <c r="I2730" s="2"/>
      <c r="O2730" s="2"/>
      <c r="P2730" s="2"/>
    </row>
    <row r="2731" spans="4:16" x14ac:dyDescent="0.25">
      <c r="D2731" s="2"/>
      <c r="E2731" s="310"/>
      <c r="G2731" s="2"/>
      <c r="H2731" s="310"/>
      <c r="I2731" s="2"/>
      <c r="O2731" s="2"/>
      <c r="P2731" s="2"/>
    </row>
    <row r="2732" spans="4:16" x14ac:dyDescent="0.25">
      <c r="D2732" s="2"/>
      <c r="E2732" s="310"/>
      <c r="G2732" s="2"/>
      <c r="H2732" s="310"/>
      <c r="I2732" s="2"/>
      <c r="O2732" s="2"/>
      <c r="P2732" s="2"/>
    </row>
    <row r="2733" spans="4:16" x14ac:dyDescent="0.25">
      <c r="D2733" s="2"/>
      <c r="E2733" s="310"/>
      <c r="G2733" s="2"/>
      <c r="H2733" s="310"/>
      <c r="I2733" s="2"/>
      <c r="O2733" s="2"/>
      <c r="P2733" s="2"/>
    </row>
    <row r="2734" spans="4:16" x14ac:dyDescent="0.25">
      <c r="D2734" s="2"/>
      <c r="E2734" s="310"/>
      <c r="G2734" s="2"/>
      <c r="H2734" s="310"/>
      <c r="I2734" s="2"/>
      <c r="O2734" s="2"/>
      <c r="P2734" s="2"/>
    </row>
    <row r="2735" spans="4:16" x14ac:dyDescent="0.25">
      <c r="D2735" s="2"/>
      <c r="E2735" s="310"/>
      <c r="G2735" s="2"/>
      <c r="H2735" s="310"/>
      <c r="I2735" s="2"/>
      <c r="O2735" s="2"/>
      <c r="P2735" s="2"/>
    </row>
    <row r="2736" spans="4:16" x14ac:dyDescent="0.25">
      <c r="D2736" s="2"/>
      <c r="E2736" s="310"/>
      <c r="G2736" s="2"/>
      <c r="H2736" s="310"/>
      <c r="I2736" s="2"/>
      <c r="O2736" s="2"/>
      <c r="P2736" s="2"/>
    </row>
    <row r="2737" spans="4:16" x14ac:dyDescent="0.25">
      <c r="D2737" s="2"/>
      <c r="E2737" s="310"/>
      <c r="G2737" s="2"/>
      <c r="H2737" s="310"/>
      <c r="I2737" s="2"/>
      <c r="O2737" s="2"/>
      <c r="P2737" s="2"/>
    </row>
    <row r="2738" spans="4:16" x14ac:dyDescent="0.25">
      <c r="D2738" s="2"/>
      <c r="E2738" s="310"/>
      <c r="G2738" s="2"/>
      <c r="H2738" s="310"/>
      <c r="I2738" s="2"/>
      <c r="O2738" s="2"/>
      <c r="P2738" s="2"/>
    </row>
    <row r="2739" spans="4:16" x14ac:dyDescent="0.25">
      <c r="D2739" s="2"/>
      <c r="E2739" s="310"/>
      <c r="G2739" s="2"/>
      <c r="H2739" s="310"/>
      <c r="I2739" s="2"/>
      <c r="O2739" s="2"/>
      <c r="P2739" s="2"/>
    </row>
    <row r="2740" spans="4:16" x14ac:dyDescent="0.25">
      <c r="D2740" s="2"/>
      <c r="E2740" s="310"/>
      <c r="G2740" s="2"/>
      <c r="H2740" s="310"/>
      <c r="I2740" s="2"/>
      <c r="O2740" s="2"/>
      <c r="P2740" s="2"/>
    </row>
    <row r="2741" spans="4:16" x14ac:dyDescent="0.25">
      <c r="D2741" s="2"/>
      <c r="E2741" s="310"/>
      <c r="G2741" s="2"/>
      <c r="H2741" s="310"/>
      <c r="I2741" s="2"/>
      <c r="O2741" s="2"/>
      <c r="P2741" s="2"/>
    </row>
    <row r="2742" spans="4:16" x14ac:dyDescent="0.25">
      <c r="D2742" s="2"/>
      <c r="E2742" s="310"/>
      <c r="G2742" s="2"/>
      <c r="H2742" s="310"/>
      <c r="I2742" s="2"/>
      <c r="O2742" s="2"/>
      <c r="P2742" s="2"/>
    </row>
    <row r="2743" spans="4:16" x14ac:dyDescent="0.25">
      <c r="D2743" s="2"/>
      <c r="E2743" s="310"/>
      <c r="G2743" s="2"/>
      <c r="H2743" s="310"/>
      <c r="I2743" s="2"/>
      <c r="O2743" s="2"/>
      <c r="P2743" s="2"/>
    </row>
    <row r="2744" spans="4:16" x14ac:dyDescent="0.25">
      <c r="D2744" s="2"/>
      <c r="E2744" s="310"/>
      <c r="G2744" s="2"/>
      <c r="H2744" s="310"/>
      <c r="I2744" s="2"/>
      <c r="O2744" s="2"/>
      <c r="P2744" s="2"/>
    </row>
    <row r="2745" spans="4:16" x14ac:dyDescent="0.25">
      <c r="D2745" s="2"/>
      <c r="E2745" s="310"/>
      <c r="G2745" s="2"/>
      <c r="H2745" s="310"/>
      <c r="I2745" s="2"/>
      <c r="O2745" s="2"/>
      <c r="P2745" s="2"/>
    </row>
    <row r="2746" spans="4:16" x14ac:dyDescent="0.25">
      <c r="D2746" s="2"/>
      <c r="E2746" s="310"/>
      <c r="G2746" s="2"/>
      <c r="H2746" s="310"/>
      <c r="I2746" s="2"/>
      <c r="O2746" s="2"/>
      <c r="P2746" s="2"/>
    </row>
    <row r="2747" spans="4:16" x14ac:dyDescent="0.25">
      <c r="D2747" s="2"/>
      <c r="E2747" s="310"/>
      <c r="G2747" s="2"/>
      <c r="H2747" s="310"/>
      <c r="I2747" s="2"/>
      <c r="O2747" s="2"/>
      <c r="P2747" s="2"/>
    </row>
    <row r="2748" spans="4:16" x14ac:dyDescent="0.25">
      <c r="D2748" s="2"/>
      <c r="E2748" s="310"/>
      <c r="G2748" s="2"/>
      <c r="H2748" s="310"/>
      <c r="I2748" s="2"/>
      <c r="O2748" s="2"/>
      <c r="P2748" s="2"/>
    </row>
    <row r="2749" spans="4:16" x14ac:dyDescent="0.25">
      <c r="D2749" s="2"/>
      <c r="E2749" s="310"/>
      <c r="G2749" s="2"/>
      <c r="H2749" s="310"/>
      <c r="I2749" s="2"/>
      <c r="O2749" s="2"/>
      <c r="P2749" s="2"/>
    </row>
    <row r="2750" spans="4:16" x14ac:dyDescent="0.25">
      <c r="D2750" s="2"/>
      <c r="E2750" s="310"/>
      <c r="G2750" s="2"/>
      <c r="H2750" s="310"/>
      <c r="I2750" s="2"/>
      <c r="O2750" s="2"/>
      <c r="P2750" s="2"/>
    </row>
    <row r="2751" spans="4:16" x14ac:dyDescent="0.25">
      <c r="D2751" s="2"/>
      <c r="E2751" s="310"/>
      <c r="G2751" s="2"/>
      <c r="H2751" s="310"/>
      <c r="I2751" s="2"/>
      <c r="O2751" s="2"/>
      <c r="P2751" s="2"/>
    </row>
    <row r="2752" spans="4:16" x14ac:dyDescent="0.25">
      <c r="D2752" s="2"/>
      <c r="E2752" s="310"/>
      <c r="G2752" s="2"/>
      <c r="H2752" s="310"/>
      <c r="I2752" s="2"/>
      <c r="O2752" s="2"/>
      <c r="P2752" s="2"/>
    </row>
    <row r="2753" spans="4:16" x14ac:dyDescent="0.25">
      <c r="D2753" s="2"/>
      <c r="E2753" s="310"/>
      <c r="G2753" s="2"/>
      <c r="H2753" s="310"/>
      <c r="I2753" s="2"/>
      <c r="O2753" s="2"/>
      <c r="P2753" s="2"/>
    </row>
    <row r="2754" spans="4:16" x14ac:dyDescent="0.25">
      <c r="D2754" s="2"/>
      <c r="E2754" s="310"/>
      <c r="G2754" s="2"/>
      <c r="H2754" s="310"/>
      <c r="I2754" s="2"/>
      <c r="O2754" s="2"/>
      <c r="P2754" s="2"/>
    </row>
    <row r="2755" spans="4:16" x14ac:dyDescent="0.25">
      <c r="D2755" s="2"/>
      <c r="E2755" s="310"/>
      <c r="G2755" s="2"/>
      <c r="H2755" s="310"/>
      <c r="I2755" s="2"/>
      <c r="O2755" s="2"/>
      <c r="P2755" s="2"/>
    </row>
    <row r="2756" spans="4:16" x14ac:dyDescent="0.25">
      <c r="D2756" s="2"/>
      <c r="E2756" s="310"/>
      <c r="G2756" s="2"/>
      <c r="H2756" s="310"/>
      <c r="I2756" s="2"/>
      <c r="O2756" s="2"/>
      <c r="P2756" s="2"/>
    </row>
    <row r="2757" spans="4:16" x14ac:dyDescent="0.25">
      <c r="D2757" s="2"/>
      <c r="E2757" s="310"/>
      <c r="G2757" s="2"/>
      <c r="H2757" s="310"/>
      <c r="I2757" s="2"/>
      <c r="O2757" s="2"/>
      <c r="P2757" s="2"/>
    </row>
    <row r="2758" spans="4:16" x14ac:dyDescent="0.25">
      <c r="D2758" s="2"/>
      <c r="E2758" s="310"/>
      <c r="G2758" s="2"/>
      <c r="H2758" s="310"/>
      <c r="I2758" s="2"/>
      <c r="O2758" s="2"/>
      <c r="P2758" s="2"/>
    </row>
    <row r="2759" spans="4:16" x14ac:dyDescent="0.25">
      <c r="D2759" s="2"/>
      <c r="E2759" s="310"/>
      <c r="G2759" s="2"/>
      <c r="H2759" s="310"/>
      <c r="I2759" s="2"/>
      <c r="O2759" s="2"/>
      <c r="P2759" s="2"/>
    </row>
    <row r="2760" spans="4:16" x14ac:dyDescent="0.25">
      <c r="D2760" s="2"/>
      <c r="E2760" s="310"/>
      <c r="G2760" s="2"/>
      <c r="H2760" s="310"/>
      <c r="I2760" s="2"/>
      <c r="O2760" s="2"/>
      <c r="P2760" s="2"/>
    </row>
    <row r="2761" spans="4:16" x14ac:dyDescent="0.25">
      <c r="D2761" s="2"/>
      <c r="E2761" s="310"/>
      <c r="G2761" s="2"/>
      <c r="H2761" s="310"/>
      <c r="I2761" s="2"/>
      <c r="O2761" s="2"/>
      <c r="P2761" s="2"/>
    </row>
    <row r="2762" spans="4:16" x14ac:dyDescent="0.25">
      <c r="D2762" s="2"/>
      <c r="E2762" s="310"/>
      <c r="G2762" s="2"/>
      <c r="H2762" s="310"/>
      <c r="I2762" s="2"/>
      <c r="O2762" s="2"/>
      <c r="P2762" s="2"/>
    </row>
    <row r="2763" spans="4:16" x14ac:dyDescent="0.25">
      <c r="D2763" s="2"/>
      <c r="E2763" s="310"/>
      <c r="G2763" s="2"/>
      <c r="H2763" s="310"/>
      <c r="I2763" s="2"/>
      <c r="O2763" s="2"/>
      <c r="P2763" s="2"/>
    </row>
    <row r="2764" spans="4:16" x14ac:dyDescent="0.25">
      <c r="D2764" s="2"/>
      <c r="E2764" s="310"/>
      <c r="G2764" s="2"/>
      <c r="H2764" s="310"/>
      <c r="I2764" s="2"/>
      <c r="O2764" s="2"/>
      <c r="P2764" s="2"/>
    </row>
    <row r="2765" spans="4:16" x14ac:dyDescent="0.25">
      <c r="D2765" s="2"/>
      <c r="E2765" s="310"/>
      <c r="G2765" s="2"/>
      <c r="H2765" s="310"/>
      <c r="I2765" s="2"/>
      <c r="O2765" s="2"/>
      <c r="P2765" s="2"/>
    </row>
    <row r="2766" spans="4:16" x14ac:dyDescent="0.25">
      <c r="D2766" s="2"/>
      <c r="E2766" s="310"/>
      <c r="G2766" s="2"/>
      <c r="H2766" s="310"/>
      <c r="I2766" s="2"/>
      <c r="O2766" s="2"/>
      <c r="P2766" s="2"/>
    </row>
    <row r="2767" spans="4:16" x14ac:dyDescent="0.25">
      <c r="D2767" s="2"/>
      <c r="E2767" s="310"/>
      <c r="G2767" s="2"/>
      <c r="H2767" s="310"/>
      <c r="I2767" s="2"/>
      <c r="O2767" s="2"/>
      <c r="P2767" s="2"/>
    </row>
    <row r="2768" spans="4:16" x14ac:dyDescent="0.25">
      <c r="D2768" s="2"/>
      <c r="E2768" s="310"/>
      <c r="G2768" s="2"/>
      <c r="H2768" s="310"/>
      <c r="I2768" s="2"/>
      <c r="O2768" s="2"/>
      <c r="P2768" s="2"/>
    </row>
    <row r="2769" spans="4:16" x14ac:dyDescent="0.25">
      <c r="D2769" s="2"/>
      <c r="E2769" s="310"/>
      <c r="G2769" s="2"/>
      <c r="H2769" s="310"/>
      <c r="I2769" s="2"/>
      <c r="O2769" s="2"/>
      <c r="P2769" s="2"/>
    </row>
    <row r="2770" spans="4:16" x14ac:dyDescent="0.25">
      <c r="D2770" s="2"/>
      <c r="E2770" s="310"/>
      <c r="G2770" s="2"/>
      <c r="H2770" s="310"/>
      <c r="I2770" s="2"/>
      <c r="O2770" s="2"/>
      <c r="P2770" s="2"/>
    </row>
    <row r="2771" spans="4:16" x14ac:dyDescent="0.25">
      <c r="D2771" s="2"/>
      <c r="E2771" s="310"/>
      <c r="G2771" s="2"/>
      <c r="H2771" s="310"/>
      <c r="I2771" s="2"/>
      <c r="O2771" s="2"/>
      <c r="P2771" s="2"/>
    </row>
    <row r="2772" spans="4:16" x14ac:dyDescent="0.25">
      <c r="D2772" s="2"/>
      <c r="E2772" s="310"/>
      <c r="G2772" s="2"/>
      <c r="H2772" s="310"/>
      <c r="I2772" s="2"/>
      <c r="O2772" s="2"/>
      <c r="P2772" s="2"/>
    </row>
    <row r="2773" spans="4:16" x14ac:dyDescent="0.25">
      <c r="D2773" s="2"/>
      <c r="E2773" s="310"/>
      <c r="G2773" s="2"/>
      <c r="H2773" s="310"/>
      <c r="I2773" s="2"/>
      <c r="O2773" s="2"/>
      <c r="P2773" s="2"/>
    </row>
    <row r="2774" spans="4:16" x14ac:dyDescent="0.25">
      <c r="D2774" s="2"/>
      <c r="E2774" s="310"/>
      <c r="G2774" s="2"/>
      <c r="H2774" s="310"/>
      <c r="I2774" s="2"/>
      <c r="O2774" s="2"/>
      <c r="P2774" s="2"/>
    </row>
    <row r="2775" spans="4:16" x14ac:dyDescent="0.25">
      <c r="D2775" s="2"/>
      <c r="E2775" s="310"/>
      <c r="G2775" s="2"/>
      <c r="H2775" s="310"/>
      <c r="I2775" s="2"/>
      <c r="O2775" s="2"/>
      <c r="P2775" s="2"/>
    </row>
    <row r="2776" spans="4:16" x14ac:dyDescent="0.25">
      <c r="D2776" s="2"/>
      <c r="E2776" s="310"/>
      <c r="G2776" s="2"/>
      <c r="H2776" s="310"/>
      <c r="I2776" s="2"/>
      <c r="O2776" s="2"/>
      <c r="P2776" s="2"/>
    </row>
    <row r="2777" spans="4:16" x14ac:dyDescent="0.25">
      <c r="D2777" s="2"/>
      <c r="E2777" s="310"/>
      <c r="G2777" s="2"/>
      <c r="H2777" s="310"/>
      <c r="I2777" s="2"/>
      <c r="O2777" s="2"/>
      <c r="P2777" s="2"/>
    </row>
    <row r="2778" spans="4:16" x14ac:dyDescent="0.25">
      <c r="D2778" s="2"/>
      <c r="E2778" s="310"/>
      <c r="G2778" s="2"/>
      <c r="H2778" s="310"/>
      <c r="I2778" s="2"/>
      <c r="O2778" s="2"/>
      <c r="P2778" s="2"/>
    </row>
    <row r="2779" spans="4:16" x14ac:dyDescent="0.25">
      <c r="D2779" s="2"/>
      <c r="E2779" s="310"/>
      <c r="G2779" s="2"/>
      <c r="H2779" s="310"/>
      <c r="I2779" s="2"/>
      <c r="O2779" s="2"/>
      <c r="P2779" s="2"/>
    </row>
    <row r="2780" spans="4:16" x14ac:dyDescent="0.25">
      <c r="D2780" s="2"/>
      <c r="E2780" s="310"/>
      <c r="G2780" s="2"/>
      <c r="H2780" s="310"/>
      <c r="I2780" s="2"/>
      <c r="O2780" s="2"/>
      <c r="P2780" s="2"/>
    </row>
    <row r="2781" spans="4:16" x14ac:dyDescent="0.25">
      <c r="D2781" s="2"/>
      <c r="E2781" s="310"/>
      <c r="G2781" s="2"/>
      <c r="H2781" s="310"/>
      <c r="I2781" s="2"/>
      <c r="O2781" s="2"/>
      <c r="P2781" s="2"/>
    </row>
    <row r="2782" spans="4:16" x14ac:dyDescent="0.25">
      <c r="D2782" s="2"/>
      <c r="E2782" s="310"/>
      <c r="G2782" s="2"/>
      <c r="H2782" s="310"/>
      <c r="I2782" s="2"/>
      <c r="O2782" s="2"/>
      <c r="P2782" s="2"/>
    </row>
    <row r="2783" spans="4:16" x14ac:dyDescent="0.25">
      <c r="D2783" s="2"/>
      <c r="E2783" s="310"/>
      <c r="G2783" s="2"/>
      <c r="H2783" s="310"/>
      <c r="I2783" s="2"/>
      <c r="O2783" s="2"/>
      <c r="P2783" s="2"/>
    </row>
    <row r="2784" spans="4:16" x14ac:dyDescent="0.25">
      <c r="D2784" s="2"/>
      <c r="E2784" s="310"/>
      <c r="G2784" s="2"/>
      <c r="H2784" s="310"/>
      <c r="I2784" s="2"/>
      <c r="O2784" s="2"/>
      <c r="P2784" s="2"/>
    </row>
    <row r="2785" spans="4:16" x14ac:dyDescent="0.25">
      <c r="D2785" s="2"/>
      <c r="E2785" s="310"/>
      <c r="G2785" s="2"/>
      <c r="H2785" s="310"/>
      <c r="I2785" s="2"/>
      <c r="O2785" s="2"/>
      <c r="P2785" s="2"/>
    </row>
    <row r="2786" spans="4:16" x14ac:dyDescent="0.25">
      <c r="D2786" s="2"/>
      <c r="E2786" s="310"/>
      <c r="G2786" s="2"/>
      <c r="H2786" s="310"/>
      <c r="I2786" s="2"/>
      <c r="O2786" s="2"/>
      <c r="P2786" s="2"/>
    </row>
    <row r="2787" spans="4:16" x14ac:dyDescent="0.25">
      <c r="D2787" s="2"/>
      <c r="E2787" s="310"/>
      <c r="G2787" s="2"/>
      <c r="H2787" s="310"/>
      <c r="I2787" s="2"/>
      <c r="O2787" s="2"/>
      <c r="P2787" s="2"/>
    </row>
    <row r="2788" spans="4:16" x14ac:dyDescent="0.25">
      <c r="D2788" s="2"/>
      <c r="E2788" s="310"/>
      <c r="G2788" s="2"/>
      <c r="H2788" s="310"/>
      <c r="I2788" s="2"/>
      <c r="O2788" s="2"/>
      <c r="P2788" s="2"/>
    </row>
    <row r="2789" spans="4:16" x14ac:dyDescent="0.25">
      <c r="D2789" s="2"/>
      <c r="E2789" s="310"/>
      <c r="G2789" s="2"/>
      <c r="H2789" s="310"/>
      <c r="I2789" s="2"/>
      <c r="O2789" s="2"/>
      <c r="P2789" s="2"/>
    </row>
    <row r="2790" spans="4:16" x14ac:dyDescent="0.25">
      <c r="D2790" s="2"/>
      <c r="E2790" s="310"/>
      <c r="G2790" s="2"/>
      <c r="H2790" s="310"/>
      <c r="I2790" s="2"/>
      <c r="O2790" s="2"/>
      <c r="P2790" s="2"/>
    </row>
    <row r="2791" spans="4:16" x14ac:dyDescent="0.25">
      <c r="D2791" s="2"/>
      <c r="E2791" s="310"/>
      <c r="G2791" s="2"/>
      <c r="H2791" s="310"/>
      <c r="I2791" s="2"/>
      <c r="O2791" s="2"/>
      <c r="P2791" s="2"/>
    </row>
    <row r="2792" spans="4:16" x14ac:dyDescent="0.25">
      <c r="D2792" s="2"/>
      <c r="E2792" s="310"/>
      <c r="G2792" s="2"/>
      <c r="H2792" s="310"/>
      <c r="I2792" s="2"/>
      <c r="O2792" s="2"/>
      <c r="P2792" s="2"/>
    </row>
    <row r="2793" spans="4:16" x14ac:dyDescent="0.25">
      <c r="D2793" s="2"/>
      <c r="E2793" s="310"/>
      <c r="G2793" s="2"/>
      <c r="H2793" s="310"/>
      <c r="I2793" s="2"/>
      <c r="O2793" s="2"/>
      <c r="P2793" s="2"/>
    </row>
    <row r="2794" spans="4:16" x14ac:dyDescent="0.25">
      <c r="D2794" s="2"/>
      <c r="E2794" s="310"/>
      <c r="G2794" s="2"/>
      <c r="H2794" s="310"/>
      <c r="I2794" s="2"/>
      <c r="O2794" s="2"/>
      <c r="P2794" s="2"/>
    </row>
    <row r="2795" spans="4:16" x14ac:dyDescent="0.25">
      <c r="D2795" s="2"/>
      <c r="E2795" s="310"/>
      <c r="G2795" s="2"/>
      <c r="H2795" s="310"/>
      <c r="I2795" s="2"/>
      <c r="O2795" s="2"/>
      <c r="P2795" s="2"/>
    </row>
    <row r="2796" spans="4:16" x14ac:dyDescent="0.25">
      <c r="D2796" s="2"/>
      <c r="E2796" s="310"/>
      <c r="G2796" s="2"/>
      <c r="H2796" s="310"/>
      <c r="I2796" s="2"/>
      <c r="O2796" s="2"/>
      <c r="P2796" s="2"/>
    </row>
    <row r="2797" spans="4:16" x14ac:dyDescent="0.25">
      <c r="D2797" s="2"/>
      <c r="E2797" s="310"/>
      <c r="G2797" s="2"/>
      <c r="H2797" s="310"/>
      <c r="I2797" s="2"/>
      <c r="O2797" s="2"/>
      <c r="P2797" s="2"/>
    </row>
    <row r="2798" spans="4:16" x14ac:dyDescent="0.25">
      <c r="D2798" s="2"/>
      <c r="E2798" s="310"/>
      <c r="G2798" s="2"/>
      <c r="H2798" s="310"/>
      <c r="I2798" s="2"/>
      <c r="O2798" s="2"/>
      <c r="P2798" s="2"/>
    </row>
    <row r="2799" spans="4:16" x14ac:dyDescent="0.25">
      <c r="D2799" s="2"/>
      <c r="E2799" s="310"/>
      <c r="G2799" s="2"/>
      <c r="H2799" s="310"/>
      <c r="I2799" s="2"/>
      <c r="O2799" s="2"/>
      <c r="P2799" s="2"/>
    </row>
    <row r="2800" spans="4:16" x14ac:dyDescent="0.25">
      <c r="D2800" s="2"/>
      <c r="E2800" s="310"/>
      <c r="G2800" s="2"/>
      <c r="H2800" s="310"/>
      <c r="I2800" s="2"/>
      <c r="O2800" s="2"/>
      <c r="P2800" s="2"/>
    </row>
    <row r="2801" spans="4:16" x14ac:dyDescent="0.25">
      <c r="D2801" s="2"/>
      <c r="E2801" s="310"/>
      <c r="G2801" s="2"/>
      <c r="H2801" s="310"/>
      <c r="I2801" s="2"/>
      <c r="O2801" s="2"/>
      <c r="P2801" s="2"/>
    </row>
    <row r="2802" spans="4:16" x14ac:dyDescent="0.25">
      <c r="D2802" s="2"/>
      <c r="E2802" s="310"/>
      <c r="G2802" s="2"/>
      <c r="H2802" s="310"/>
      <c r="I2802" s="2"/>
      <c r="O2802" s="2"/>
      <c r="P2802" s="2"/>
    </row>
    <row r="2803" spans="4:16" x14ac:dyDescent="0.25">
      <c r="D2803" s="2"/>
      <c r="E2803" s="310"/>
      <c r="G2803" s="2"/>
      <c r="H2803" s="310"/>
      <c r="I2803" s="2"/>
      <c r="O2803" s="2"/>
      <c r="P2803" s="2"/>
    </row>
    <row r="2804" spans="4:16" x14ac:dyDescent="0.25">
      <c r="D2804" s="2"/>
      <c r="E2804" s="310"/>
      <c r="G2804" s="2"/>
      <c r="H2804" s="310"/>
      <c r="I2804" s="2"/>
      <c r="O2804" s="2"/>
      <c r="P2804" s="2"/>
    </row>
    <row r="2805" spans="4:16" x14ac:dyDescent="0.25">
      <c r="D2805" s="2"/>
      <c r="E2805" s="310"/>
      <c r="G2805" s="2"/>
      <c r="H2805" s="310"/>
      <c r="I2805" s="2"/>
      <c r="O2805" s="2"/>
      <c r="P2805" s="2"/>
    </row>
    <row r="2806" spans="4:16" x14ac:dyDescent="0.25">
      <c r="D2806" s="2"/>
      <c r="E2806" s="310"/>
      <c r="G2806" s="2"/>
      <c r="H2806" s="310"/>
      <c r="I2806" s="2"/>
      <c r="O2806" s="2"/>
      <c r="P2806" s="2"/>
    </row>
    <row r="2807" spans="4:16" x14ac:dyDescent="0.25">
      <c r="D2807" s="2"/>
      <c r="E2807" s="310"/>
      <c r="G2807" s="2"/>
      <c r="H2807" s="310"/>
      <c r="I2807" s="2"/>
      <c r="O2807" s="2"/>
      <c r="P2807" s="2"/>
    </row>
    <row r="2808" spans="4:16" x14ac:dyDescent="0.25">
      <c r="D2808" s="2"/>
      <c r="E2808" s="310"/>
      <c r="G2808" s="2"/>
      <c r="H2808" s="310"/>
      <c r="I2808" s="2"/>
      <c r="O2808" s="2"/>
      <c r="P2808" s="2"/>
    </row>
    <row r="2809" spans="4:16" x14ac:dyDescent="0.25">
      <c r="D2809" s="2"/>
      <c r="E2809" s="310"/>
      <c r="G2809" s="2"/>
      <c r="H2809" s="310"/>
      <c r="I2809" s="2"/>
      <c r="O2809" s="2"/>
      <c r="P2809" s="2"/>
    </row>
    <row r="2810" spans="4:16" x14ac:dyDescent="0.25">
      <c r="D2810" s="2"/>
      <c r="E2810" s="310"/>
      <c r="G2810" s="2"/>
      <c r="H2810" s="310"/>
      <c r="I2810" s="2"/>
      <c r="O2810" s="2"/>
      <c r="P2810" s="2"/>
    </row>
    <row r="2811" spans="4:16" x14ac:dyDescent="0.25">
      <c r="D2811" s="2"/>
      <c r="E2811" s="310"/>
      <c r="G2811" s="2"/>
      <c r="H2811" s="310"/>
      <c r="I2811" s="2"/>
      <c r="O2811" s="2"/>
      <c r="P2811" s="2"/>
    </row>
    <row r="2812" spans="4:16" x14ac:dyDescent="0.25">
      <c r="D2812" s="2"/>
      <c r="E2812" s="310"/>
      <c r="G2812" s="2"/>
      <c r="H2812" s="310"/>
      <c r="I2812" s="2"/>
      <c r="O2812" s="2"/>
      <c r="P2812" s="2"/>
    </row>
    <row r="2813" spans="4:16" x14ac:dyDescent="0.25">
      <c r="D2813" s="2"/>
      <c r="E2813" s="310"/>
      <c r="G2813" s="2"/>
      <c r="H2813" s="310"/>
      <c r="I2813" s="2"/>
      <c r="O2813" s="2"/>
      <c r="P2813" s="2"/>
    </row>
    <row r="2814" spans="4:16" x14ac:dyDescent="0.25">
      <c r="D2814" s="2"/>
      <c r="E2814" s="310"/>
      <c r="G2814" s="2"/>
      <c r="H2814" s="310"/>
      <c r="I2814" s="2"/>
      <c r="O2814" s="2"/>
      <c r="P2814" s="2"/>
    </row>
    <row r="2815" spans="4:16" x14ac:dyDescent="0.25">
      <c r="D2815" s="2"/>
      <c r="E2815" s="310"/>
      <c r="G2815" s="2"/>
      <c r="H2815" s="310"/>
      <c r="I2815" s="2"/>
      <c r="O2815" s="2"/>
      <c r="P2815" s="2"/>
    </row>
    <row r="2816" spans="4:16" x14ac:dyDescent="0.25">
      <c r="D2816" s="2"/>
      <c r="E2816" s="310"/>
      <c r="G2816" s="2"/>
      <c r="H2816" s="310"/>
      <c r="I2816" s="2"/>
      <c r="O2816" s="2"/>
      <c r="P2816" s="2"/>
    </row>
    <row r="2817" spans="4:16" x14ac:dyDescent="0.25">
      <c r="D2817" s="2"/>
      <c r="E2817" s="310"/>
      <c r="G2817" s="2"/>
      <c r="H2817" s="310"/>
      <c r="I2817" s="2"/>
      <c r="O2817" s="2"/>
      <c r="P2817" s="2"/>
    </row>
    <row r="2818" spans="4:16" x14ac:dyDescent="0.25">
      <c r="D2818" s="2"/>
      <c r="E2818" s="310"/>
      <c r="G2818" s="2"/>
      <c r="H2818" s="310"/>
      <c r="I2818" s="2"/>
      <c r="O2818" s="2"/>
      <c r="P2818" s="2"/>
    </row>
    <row r="2819" spans="4:16" x14ac:dyDescent="0.25">
      <c r="D2819" s="2"/>
      <c r="E2819" s="310"/>
      <c r="G2819" s="2"/>
      <c r="H2819" s="310"/>
      <c r="I2819" s="2"/>
      <c r="O2819" s="2"/>
      <c r="P2819" s="2"/>
    </row>
    <row r="2820" spans="4:16" x14ac:dyDescent="0.25">
      <c r="D2820" s="2"/>
      <c r="E2820" s="310"/>
      <c r="G2820" s="2"/>
      <c r="H2820" s="310"/>
      <c r="I2820" s="2"/>
      <c r="O2820" s="2"/>
      <c r="P2820" s="2"/>
    </row>
    <row r="2821" spans="4:16" x14ac:dyDescent="0.25">
      <c r="D2821" s="2"/>
      <c r="E2821" s="310"/>
      <c r="G2821" s="2"/>
      <c r="H2821" s="310"/>
      <c r="I2821" s="2"/>
      <c r="O2821" s="2"/>
      <c r="P2821" s="2"/>
    </row>
    <row r="2822" spans="4:16" x14ac:dyDescent="0.25">
      <c r="D2822" s="2"/>
      <c r="E2822" s="310"/>
      <c r="G2822" s="2"/>
      <c r="H2822" s="310"/>
      <c r="I2822" s="2"/>
      <c r="O2822" s="2"/>
      <c r="P2822" s="2"/>
    </row>
    <row r="2823" spans="4:16" x14ac:dyDescent="0.25">
      <c r="D2823" s="2"/>
      <c r="E2823" s="310"/>
      <c r="G2823" s="2"/>
      <c r="H2823" s="310"/>
      <c r="I2823" s="2"/>
      <c r="O2823" s="2"/>
      <c r="P2823" s="2"/>
    </row>
    <row r="2824" spans="4:16" x14ac:dyDescent="0.25">
      <c r="D2824" s="2"/>
      <c r="E2824" s="310"/>
      <c r="G2824" s="2"/>
      <c r="H2824" s="310"/>
      <c r="I2824" s="2"/>
      <c r="O2824" s="2"/>
      <c r="P2824" s="2"/>
    </row>
    <row r="2825" spans="4:16" x14ac:dyDescent="0.25">
      <c r="D2825" s="2"/>
      <c r="E2825" s="310"/>
      <c r="G2825" s="2"/>
      <c r="H2825" s="310"/>
      <c r="I2825" s="2"/>
      <c r="O2825" s="2"/>
      <c r="P2825" s="2"/>
    </row>
    <row r="2826" spans="4:16" x14ac:dyDescent="0.25">
      <c r="D2826" s="2"/>
      <c r="E2826" s="310"/>
      <c r="G2826" s="2"/>
      <c r="H2826" s="310"/>
      <c r="I2826" s="2"/>
      <c r="O2826" s="2"/>
      <c r="P2826" s="2"/>
    </row>
    <row r="2827" spans="4:16" x14ac:dyDescent="0.25">
      <c r="D2827" s="2"/>
      <c r="E2827" s="310"/>
      <c r="G2827" s="2"/>
      <c r="H2827" s="310"/>
      <c r="I2827" s="2"/>
      <c r="O2827" s="2"/>
      <c r="P2827" s="2"/>
    </row>
    <row r="2828" spans="4:16" x14ac:dyDescent="0.25">
      <c r="D2828" s="2"/>
      <c r="E2828" s="310"/>
      <c r="G2828" s="2"/>
      <c r="H2828" s="310"/>
      <c r="I2828" s="2"/>
      <c r="O2828" s="2"/>
      <c r="P2828" s="2"/>
    </row>
    <row r="2829" spans="4:16" x14ac:dyDescent="0.25">
      <c r="D2829" s="2"/>
      <c r="E2829" s="310"/>
      <c r="G2829" s="2"/>
      <c r="H2829" s="310"/>
      <c r="I2829" s="2"/>
      <c r="O2829" s="2"/>
      <c r="P2829" s="2"/>
    </row>
    <row r="2830" spans="4:16" x14ac:dyDescent="0.25">
      <c r="D2830" s="2"/>
      <c r="E2830" s="310"/>
      <c r="G2830" s="2"/>
      <c r="H2830" s="310"/>
      <c r="I2830" s="2"/>
      <c r="O2830" s="2"/>
      <c r="P2830" s="2"/>
    </row>
    <row r="2831" spans="4:16" x14ac:dyDescent="0.25">
      <c r="D2831" s="2"/>
      <c r="E2831" s="310"/>
      <c r="G2831" s="2"/>
      <c r="H2831" s="310"/>
      <c r="I2831" s="2"/>
      <c r="O2831" s="2"/>
      <c r="P2831" s="2"/>
    </row>
    <row r="2832" spans="4:16" x14ac:dyDescent="0.25">
      <c r="D2832" s="2"/>
      <c r="E2832" s="310"/>
      <c r="G2832" s="2"/>
      <c r="H2832" s="310"/>
      <c r="I2832" s="2"/>
      <c r="O2832" s="2"/>
      <c r="P2832" s="2"/>
    </row>
    <row r="2833" spans="4:16" x14ac:dyDescent="0.25">
      <c r="D2833" s="2"/>
      <c r="E2833" s="310"/>
      <c r="G2833" s="2"/>
      <c r="H2833" s="310"/>
      <c r="I2833" s="2"/>
      <c r="O2833" s="2"/>
      <c r="P2833" s="2"/>
    </row>
    <row r="2834" spans="4:16" x14ac:dyDescent="0.25">
      <c r="D2834" s="2"/>
      <c r="E2834" s="310"/>
      <c r="G2834" s="2"/>
      <c r="H2834" s="310"/>
      <c r="I2834" s="2"/>
      <c r="O2834" s="2"/>
      <c r="P2834" s="2"/>
    </row>
    <row r="2835" spans="4:16" x14ac:dyDescent="0.25">
      <c r="D2835" s="2"/>
      <c r="E2835" s="310"/>
      <c r="G2835" s="2"/>
      <c r="H2835" s="310"/>
      <c r="I2835" s="2"/>
      <c r="O2835" s="2"/>
      <c r="P2835" s="2"/>
    </row>
    <row r="2836" spans="4:16" x14ac:dyDescent="0.25">
      <c r="D2836" s="2"/>
      <c r="E2836" s="310"/>
      <c r="G2836" s="2"/>
      <c r="H2836" s="310"/>
      <c r="I2836" s="2"/>
      <c r="O2836" s="2"/>
      <c r="P2836" s="2"/>
    </row>
    <row r="2837" spans="4:16" x14ac:dyDescent="0.25">
      <c r="D2837" s="2"/>
      <c r="E2837" s="310"/>
      <c r="G2837" s="2"/>
      <c r="H2837" s="310"/>
      <c r="I2837" s="2"/>
      <c r="O2837" s="2"/>
      <c r="P2837" s="2"/>
    </row>
    <row r="2838" spans="4:16" x14ac:dyDescent="0.25">
      <c r="D2838" s="2"/>
      <c r="E2838" s="310"/>
      <c r="G2838" s="2"/>
      <c r="H2838" s="310"/>
      <c r="I2838" s="2"/>
      <c r="O2838" s="2"/>
      <c r="P2838" s="2"/>
    </row>
    <row r="2839" spans="4:16" x14ac:dyDescent="0.25">
      <c r="D2839" s="2"/>
      <c r="E2839" s="310"/>
      <c r="G2839" s="2"/>
      <c r="H2839" s="310"/>
      <c r="I2839" s="2"/>
      <c r="O2839" s="2"/>
      <c r="P2839" s="2"/>
    </row>
    <row r="2840" spans="4:16" x14ac:dyDescent="0.25">
      <c r="D2840" s="2"/>
      <c r="E2840" s="310"/>
      <c r="G2840" s="2"/>
      <c r="H2840" s="310"/>
      <c r="I2840" s="2"/>
      <c r="O2840" s="2"/>
      <c r="P2840" s="2"/>
    </row>
    <row r="2841" spans="4:16" x14ac:dyDescent="0.25">
      <c r="D2841" s="2"/>
      <c r="E2841" s="310"/>
      <c r="G2841" s="2"/>
      <c r="H2841" s="310"/>
      <c r="I2841" s="2"/>
      <c r="O2841" s="2"/>
      <c r="P2841" s="2"/>
    </row>
    <row r="2842" spans="4:16" x14ac:dyDescent="0.25">
      <c r="D2842" s="2"/>
      <c r="E2842" s="310"/>
      <c r="G2842" s="2"/>
      <c r="H2842" s="310"/>
      <c r="I2842" s="2"/>
      <c r="O2842" s="2"/>
      <c r="P2842" s="2"/>
    </row>
    <row r="2843" spans="4:16" x14ac:dyDescent="0.25">
      <c r="D2843" s="2"/>
      <c r="E2843" s="310"/>
      <c r="G2843" s="2"/>
      <c r="H2843" s="310"/>
      <c r="I2843" s="2"/>
      <c r="O2843" s="2"/>
      <c r="P2843" s="2"/>
    </row>
    <row r="2844" spans="4:16" x14ac:dyDescent="0.25">
      <c r="D2844" s="2"/>
      <c r="E2844" s="310"/>
      <c r="G2844" s="2"/>
      <c r="H2844" s="310"/>
      <c r="I2844" s="2"/>
      <c r="O2844" s="2"/>
      <c r="P2844" s="2"/>
    </row>
    <row r="2845" spans="4:16" x14ac:dyDescent="0.25">
      <c r="D2845" s="2"/>
      <c r="E2845" s="310"/>
      <c r="G2845" s="2"/>
      <c r="H2845" s="310"/>
      <c r="I2845" s="2"/>
      <c r="O2845" s="2"/>
      <c r="P2845" s="2"/>
    </row>
    <row r="2846" spans="4:16" x14ac:dyDescent="0.25">
      <c r="D2846" s="2"/>
      <c r="E2846" s="310"/>
      <c r="G2846" s="2"/>
      <c r="H2846" s="310"/>
      <c r="I2846" s="2"/>
      <c r="O2846" s="2"/>
      <c r="P2846" s="2"/>
    </row>
    <row r="2847" spans="4:16" x14ac:dyDescent="0.25">
      <c r="D2847" s="2"/>
      <c r="E2847" s="310"/>
      <c r="G2847" s="2"/>
      <c r="H2847" s="310"/>
      <c r="I2847" s="2"/>
      <c r="O2847" s="2"/>
      <c r="P2847" s="2"/>
    </row>
    <row r="2848" spans="4:16" x14ac:dyDescent="0.25">
      <c r="D2848" s="2"/>
      <c r="E2848" s="310"/>
      <c r="G2848" s="2"/>
      <c r="H2848" s="310"/>
      <c r="I2848" s="2"/>
      <c r="O2848" s="2"/>
      <c r="P2848" s="2"/>
    </row>
    <row r="2849" spans="4:16" x14ac:dyDescent="0.25">
      <c r="D2849" s="2"/>
      <c r="E2849" s="310"/>
      <c r="G2849" s="2"/>
      <c r="H2849" s="310"/>
      <c r="I2849" s="2"/>
      <c r="O2849" s="2"/>
      <c r="P2849" s="2"/>
    </row>
    <row r="2850" spans="4:16" x14ac:dyDescent="0.25">
      <c r="D2850" s="2"/>
      <c r="E2850" s="310"/>
      <c r="G2850" s="2"/>
      <c r="H2850" s="310"/>
      <c r="I2850" s="2"/>
      <c r="O2850" s="2"/>
      <c r="P2850" s="2"/>
    </row>
    <row r="2851" spans="4:16" x14ac:dyDescent="0.25">
      <c r="D2851" s="2"/>
      <c r="E2851" s="310"/>
      <c r="G2851" s="2"/>
      <c r="H2851" s="310"/>
      <c r="I2851" s="2"/>
      <c r="O2851" s="2"/>
      <c r="P2851" s="2"/>
    </row>
    <row r="2852" spans="4:16" x14ac:dyDescent="0.25">
      <c r="D2852" s="2"/>
      <c r="E2852" s="310"/>
      <c r="G2852" s="2"/>
      <c r="H2852" s="310"/>
      <c r="I2852" s="2"/>
      <c r="O2852" s="2"/>
      <c r="P2852" s="2"/>
    </row>
    <row r="2853" spans="4:16" x14ac:dyDescent="0.25">
      <c r="D2853" s="2"/>
      <c r="E2853" s="310"/>
      <c r="G2853" s="2"/>
      <c r="H2853" s="310"/>
      <c r="I2853" s="2"/>
      <c r="O2853" s="2"/>
      <c r="P2853" s="2"/>
    </row>
    <row r="2854" spans="4:16" x14ac:dyDescent="0.25">
      <c r="D2854" s="2"/>
      <c r="E2854" s="310"/>
      <c r="G2854" s="2"/>
      <c r="H2854" s="310"/>
      <c r="I2854" s="2"/>
      <c r="O2854" s="2"/>
      <c r="P2854" s="2"/>
    </row>
    <row r="2855" spans="4:16" x14ac:dyDescent="0.25">
      <c r="D2855" s="2"/>
      <c r="E2855" s="310"/>
      <c r="G2855" s="2"/>
      <c r="H2855" s="310"/>
      <c r="I2855" s="2"/>
      <c r="O2855" s="2"/>
      <c r="P2855" s="2"/>
    </row>
    <row r="2856" spans="4:16" x14ac:dyDescent="0.25">
      <c r="D2856" s="2"/>
      <c r="E2856" s="310"/>
      <c r="G2856" s="2"/>
      <c r="H2856" s="310"/>
      <c r="I2856" s="2"/>
      <c r="O2856" s="2"/>
      <c r="P2856" s="2"/>
    </row>
    <row r="2857" spans="4:16" x14ac:dyDescent="0.25">
      <c r="D2857" s="2"/>
      <c r="E2857" s="310"/>
      <c r="G2857" s="2"/>
      <c r="H2857" s="310"/>
      <c r="I2857" s="2"/>
      <c r="O2857" s="2"/>
      <c r="P2857" s="2"/>
    </row>
    <row r="2858" spans="4:16" x14ac:dyDescent="0.25">
      <c r="D2858" s="2"/>
      <c r="E2858" s="310"/>
      <c r="G2858" s="2"/>
      <c r="H2858" s="310"/>
      <c r="I2858" s="2"/>
      <c r="O2858" s="2"/>
      <c r="P2858" s="2"/>
    </row>
    <row r="2859" spans="4:16" x14ac:dyDescent="0.25">
      <c r="D2859" s="2"/>
      <c r="E2859" s="310"/>
      <c r="G2859" s="2"/>
      <c r="H2859" s="310"/>
      <c r="I2859" s="2"/>
      <c r="O2859" s="2"/>
      <c r="P2859" s="2"/>
    </row>
    <row r="2860" spans="4:16" x14ac:dyDescent="0.25">
      <c r="D2860" s="2"/>
      <c r="E2860" s="310"/>
      <c r="G2860" s="2"/>
      <c r="H2860" s="310"/>
      <c r="I2860" s="2"/>
      <c r="O2860" s="2"/>
      <c r="P2860" s="2"/>
    </row>
    <row r="2861" spans="4:16" x14ac:dyDescent="0.25">
      <c r="D2861" s="2"/>
      <c r="E2861" s="310"/>
      <c r="G2861" s="2"/>
      <c r="H2861" s="310"/>
      <c r="I2861" s="2"/>
      <c r="O2861" s="2"/>
      <c r="P2861" s="2"/>
    </row>
    <row r="2862" spans="4:16" x14ac:dyDescent="0.25">
      <c r="D2862" s="2"/>
      <c r="E2862" s="310"/>
      <c r="G2862" s="2"/>
      <c r="H2862" s="310"/>
      <c r="I2862" s="2"/>
      <c r="O2862" s="2"/>
      <c r="P2862" s="2"/>
    </row>
    <row r="2863" spans="4:16" x14ac:dyDescent="0.25">
      <c r="D2863" s="2"/>
      <c r="E2863" s="310"/>
      <c r="G2863" s="2"/>
      <c r="H2863" s="310"/>
      <c r="I2863" s="2"/>
      <c r="O2863" s="2"/>
      <c r="P2863" s="2"/>
    </row>
    <row r="2864" spans="4:16" x14ac:dyDescent="0.25">
      <c r="D2864" s="2"/>
      <c r="E2864" s="310"/>
      <c r="G2864" s="2"/>
      <c r="H2864" s="310"/>
      <c r="I2864" s="2"/>
      <c r="O2864" s="2"/>
      <c r="P2864" s="2"/>
    </row>
    <row r="2865" spans="4:16" x14ac:dyDescent="0.25">
      <c r="D2865" s="2"/>
      <c r="E2865" s="310"/>
      <c r="G2865" s="2"/>
      <c r="H2865" s="310"/>
      <c r="I2865" s="2"/>
      <c r="O2865" s="2"/>
      <c r="P2865" s="2"/>
    </row>
    <row r="2866" spans="4:16" x14ac:dyDescent="0.25">
      <c r="D2866" s="2"/>
      <c r="E2866" s="310"/>
      <c r="G2866" s="2"/>
      <c r="H2866" s="310"/>
      <c r="I2866" s="2"/>
      <c r="O2866" s="2"/>
      <c r="P2866" s="2"/>
    </row>
    <row r="2867" spans="4:16" x14ac:dyDescent="0.25">
      <c r="D2867" s="2"/>
      <c r="E2867" s="310"/>
      <c r="G2867" s="2"/>
      <c r="H2867" s="310"/>
      <c r="I2867" s="2"/>
      <c r="O2867" s="2"/>
      <c r="P2867" s="2"/>
    </row>
    <row r="2868" spans="4:16" x14ac:dyDescent="0.25">
      <c r="D2868" s="2"/>
      <c r="E2868" s="310"/>
      <c r="G2868" s="2"/>
      <c r="H2868" s="310"/>
      <c r="I2868" s="2"/>
      <c r="O2868" s="2"/>
      <c r="P2868" s="2"/>
    </row>
    <row r="2869" spans="4:16" x14ac:dyDescent="0.25">
      <c r="D2869" s="2"/>
      <c r="E2869" s="310"/>
      <c r="G2869" s="2"/>
      <c r="H2869" s="310"/>
      <c r="I2869" s="2"/>
      <c r="O2869" s="2"/>
      <c r="P2869" s="2"/>
    </row>
    <row r="2870" spans="4:16" x14ac:dyDescent="0.25">
      <c r="D2870" s="2"/>
      <c r="E2870" s="310"/>
      <c r="G2870" s="2"/>
      <c r="H2870" s="310"/>
      <c r="I2870" s="2"/>
      <c r="O2870" s="2"/>
      <c r="P2870" s="2"/>
    </row>
    <row r="2871" spans="4:16" x14ac:dyDescent="0.25">
      <c r="D2871" s="2"/>
      <c r="E2871" s="310"/>
      <c r="G2871" s="2"/>
      <c r="H2871" s="310"/>
      <c r="I2871" s="2"/>
      <c r="O2871" s="2"/>
      <c r="P2871" s="2"/>
    </row>
    <row r="2872" spans="4:16" x14ac:dyDescent="0.25">
      <c r="D2872" s="2"/>
      <c r="E2872" s="310"/>
      <c r="G2872" s="2"/>
      <c r="H2872" s="310"/>
      <c r="I2872" s="2"/>
      <c r="O2872" s="2"/>
      <c r="P2872" s="2"/>
    </row>
    <row r="2873" spans="4:16" x14ac:dyDescent="0.25">
      <c r="D2873" s="2"/>
      <c r="E2873" s="310"/>
      <c r="G2873" s="2"/>
      <c r="H2873" s="310"/>
      <c r="I2873" s="2"/>
      <c r="O2873" s="2"/>
      <c r="P2873" s="2"/>
    </row>
    <row r="2874" spans="4:16" x14ac:dyDescent="0.25">
      <c r="D2874" s="2"/>
      <c r="E2874" s="310"/>
      <c r="G2874" s="2"/>
      <c r="H2874" s="310"/>
      <c r="I2874" s="2"/>
      <c r="O2874" s="2"/>
      <c r="P2874" s="2"/>
    </row>
    <row r="2875" spans="4:16" x14ac:dyDescent="0.25">
      <c r="D2875" s="2"/>
      <c r="E2875" s="310"/>
      <c r="G2875" s="2"/>
      <c r="H2875" s="310"/>
      <c r="I2875" s="2"/>
      <c r="O2875" s="2"/>
      <c r="P2875" s="2"/>
    </row>
    <row r="2876" spans="4:16" x14ac:dyDescent="0.25">
      <c r="D2876" s="2"/>
      <c r="E2876" s="310"/>
      <c r="G2876" s="2"/>
      <c r="H2876" s="310"/>
      <c r="I2876" s="2"/>
      <c r="O2876" s="2"/>
      <c r="P2876" s="2"/>
    </row>
    <row r="2877" spans="4:16" x14ac:dyDescent="0.25">
      <c r="D2877" s="2"/>
      <c r="E2877" s="310"/>
      <c r="G2877" s="2"/>
      <c r="H2877" s="310"/>
      <c r="I2877" s="2"/>
      <c r="O2877" s="2"/>
      <c r="P2877" s="2"/>
    </row>
    <row r="2878" spans="4:16" x14ac:dyDescent="0.25">
      <c r="D2878" s="2"/>
      <c r="E2878" s="310"/>
      <c r="G2878" s="2"/>
      <c r="H2878" s="310"/>
      <c r="I2878" s="2"/>
      <c r="O2878" s="2"/>
      <c r="P2878" s="2"/>
    </row>
    <row r="2879" spans="4:16" x14ac:dyDescent="0.25">
      <c r="D2879" s="2"/>
      <c r="E2879" s="310"/>
      <c r="G2879" s="2"/>
      <c r="H2879" s="310"/>
      <c r="I2879" s="2"/>
      <c r="O2879" s="2"/>
      <c r="P2879" s="2"/>
    </row>
    <row r="2880" spans="4:16" x14ac:dyDescent="0.25">
      <c r="D2880" s="2"/>
      <c r="E2880" s="310"/>
      <c r="G2880" s="2"/>
      <c r="H2880" s="310"/>
      <c r="I2880" s="2"/>
      <c r="O2880" s="2"/>
      <c r="P2880" s="2"/>
    </row>
    <row r="2881" spans="4:16" x14ac:dyDescent="0.25">
      <c r="D2881" s="2"/>
      <c r="E2881" s="310"/>
      <c r="G2881" s="2"/>
      <c r="H2881" s="310"/>
      <c r="I2881" s="2"/>
      <c r="O2881" s="2"/>
      <c r="P2881" s="2"/>
    </row>
    <row r="2882" spans="4:16" x14ac:dyDescent="0.25">
      <c r="D2882" s="2"/>
      <c r="E2882" s="310"/>
      <c r="G2882" s="2"/>
      <c r="H2882" s="310"/>
      <c r="I2882" s="2"/>
      <c r="O2882" s="2"/>
      <c r="P2882" s="2"/>
    </row>
    <row r="2883" spans="4:16" x14ac:dyDescent="0.25">
      <c r="D2883" s="2"/>
      <c r="E2883" s="310"/>
      <c r="G2883" s="2"/>
      <c r="H2883" s="310"/>
      <c r="I2883" s="2"/>
      <c r="O2883" s="2"/>
      <c r="P2883" s="2"/>
    </row>
    <row r="2884" spans="4:16" x14ac:dyDescent="0.25">
      <c r="D2884" s="2"/>
      <c r="E2884" s="310"/>
      <c r="G2884" s="2"/>
      <c r="H2884" s="310"/>
      <c r="I2884" s="2"/>
      <c r="O2884" s="2"/>
      <c r="P2884" s="2"/>
    </row>
    <row r="2885" spans="4:16" x14ac:dyDescent="0.25">
      <c r="D2885" s="2"/>
      <c r="E2885" s="310"/>
      <c r="G2885" s="2"/>
      <c r="H2885" s="310"/>
      <c r="I2885" s="2"/>
      <c r="O2885" s="2"/>
      <c r="P2885" s="2"/>
    </row>
    <row r="2886" spans="4:16" x14ac:dyDescent="0.25">
      <c r="D2886" s="2"/>
      <c r="E2886" s="310"/>
      <c r="G2886" s="2"/>
      <c r="H2886" s="310"/>
      <c r="I2886" s="2"/>
      <c r="O2886" s="2"/>
      <c r="P2886" s="2"/>
    </row>
    <row r="2887" spans="4:16" x14ac:dyDescent="0.25">
      <c r="D2887" s="2"/>
      <c r="E2887" s="310"/>
      <c r="G2887" s="2"/>
      <c r="H2887" s="310"/>
      <c r="I2887" s="2"/>
      <c r="O2887" s="2"/>
      <c r="P2887" s="2"/>
    </row>
    <row r="2888" spans="4:16" x14ac:dyDescent="0.25">
      <c r="D2888" s="2"/>
      <c r="E2888" s="310"/>
      <c r="G2888" s="2"/>
      <c r="H2888" s="310"/>
      <c r="I2888" s="2"/>
      <c r="O2888" s="2"/>
      <c r="P2888" s="2"/>
    </row>
    <row r="2889" spans="4:16" x14ac:dyDescent="0.25">
      <c r="D2889" s="2"/>
      <c r="E2889" s="310"/>
      <c r="G2889" s="2"/>
      <c r="H2889" s="310"/>
      <c r="I2889" s="2"/>
      <c r="O2889" s="2"/>
      <c r="P2889" s="2"/>
    </row>
    <row r="2890" spans="4:16" x14ac:dyDescent="0.25">
      <c r="D2890" s="2"/>
      <c r="E2890" s="310"/>
      <c r="G2890" s="2"/>
      <c r="H2890" s="310"/>
      <c r="I2890" s="2"/>
      <c r="O2890" s="2"/>
      <c r="P2890" s="2"/>
    </row>
    <row r="2891" spans="4:16" x14ac:dyDescent="0.25">
      <c r="D2891" s="2"/>
      <c r="E2891" s="310"/>
      <c r="G2891" s="2"/>
      <c r="H2891" s="310"/>
      <c r="I2891" s="2"/>
      <c r="O2891" s="2"/>
      <c r="P2891" s="2"/>
    </row>
    <row r="2892" spans="4:16" x14ac:dyDescent="0.25">
      <c r="D2892" s="2"/>
      <c r="E2892" s="310"/>
      <c r="G2892" s="2"/>
      <c r="H2892" s="310"/>
      <c r="I2892" s="2"/>
      <c r="O2892" s="2"/>
      <c r="P2892" s="2"/>
    </row>
    <row r="2893" spans="4:16" x14ac:dyDescent="0.25">
      <c r="D2893" s="2"/>
      <c r="E2893" s="310"/>
      <c r="G2893" s="2"/>
      <c r="H2893" s="310"/>
      <c r="I2893" s="2"/>
      <c r="O2893" s="2"/>
      <c r="P2893" s="2"/>
    </row>
    <row r="2894" spans="4:16" x14ac:dyDescent="0.25">
      <c r="D2894" s="2"/>
      <c r="E2894" s="310"/>
      <c r="G2894" s="2"/>
      <c r="H2894" s="310"/>
      <c r="I2894" s="2"/>
      <c r="O2894" s="2"/>
      <c r="P2894" s="2"/>
    </row>
    <row r="2895" spans="4:16" x14ac:dyDescent="0.25">
      <c r="D2895" s="2"/>
      <c r="E2895" s="310"/>
      <c r="G2895" s="2"/>
      <c r="H2895" s="310"/>
      <c r="I2895" s="2"/>
      <c r="O2895" s="2"/>
      <c r="P2895" s="2"/>
    </row>
    <row r="2896" spans="4:16" x14ac:dyDescent="0.25">
      <c r="D2896" s="2"/>
      <c r="E2896" s="310"/>
      <c r="G2896" s="2"/>
      <c r="H2896" s="310"/>
      <c r="I2896" s="2"/>
      <c r="O2896" s="2"/>
      <c r="P2896" s="2"/>
    </row>
    <row r="2897" spans="4:16" x14ac:dyDescent="0.25">
      <c r="D2897" s="2"/>
      <c r="E2897" s="310"/>
      <c r="G2897" s="2"/>
      <c r="H2897" s="310"/>
      <c r="I2897" s="2"/>
      <c r="O2897" s="2"/>
      <c r="P2897" s="2"/>
    </row>
    <row r="2898" spans="4:16" x14ac:dyDescent="0.25">
      <c r="D2898" s="2"/>
      <c r="E2898" s="310"/>
      <c r="G2898" s="2"/>
      <c r="H2898" s="310"/>
      <c r="I2898" s="2"/>
      <c r="O2898" s="2"/>
      <c r="P2898" s="2"/>
    </row>
    <row r="2899" spans="4:16" x14ac:dyDescent="0.25">
      <c r="D2899" s="2"/>
      <c r="E2899" s="310"/>
      <c r="G2899" s="2"/>
      <c r="H2899" s="310"/>
      <c r="I2899" s="2"/>
      <c r="O2899" s="2"/>
      <c r="P2899" s="2"/>
    </row>
    <row r="2900" spans="4:16" x14ac:dyDescent="0.25">
      <c r="D2900" s="2"/>
      <c r="E2900" s="310"/>
      <c r="G2900" s="2"/>
      <c r="H2900" s="310"/>
      <c r="I2900" s="2"/>
      <c r="O2900" s="2"/>
      <c r="P2900" s="2"/>
    </row>
    <row r="2901" spans="4:16" x14ac:dyDescent="0.25">
      <c r="D2901" s="2"/>
      <c r="E2901" s="310"/>
      <c r="G2901" s="2"/>
      <c r="H2901" s="310"/>
      <c r="I2901" s="2"/>
      <c r="O2901" s="2"/>
      <c r="P2901" s="2"/>
    </row>
    <row r="2902" spans="4:16" x14ac:dyDescent="0.25">
      <c r="D2902" s="2"/>
      <c r="E2902" s="310"/>
      <c r="G2902" s="2"/>
      <c r="H2902" s="310"/>
      <c r="I2902" s="2"/>
      <c r="O2902" s="2"/>
      <c r="P2902" s="2"/>
    </row>
    <row r="2903" spans="4:16" x14ac:dyDescent="0.25">
      <c r="D2903" s="2"/>
      <c r="E2903" s="310"/>
      <c r="G2903" s="2"/>
      <c r="H2903" s="310"/>
      <c r="I2903" s="2"/>
      <c r="O2903" s="2"/>
      <c r="P2903" s="2"/>
    </row>
    <row r="2904" spans="4:16" x14ac:dyDescent="0.25">
      <c r="D2904" s="2"/>
      <c r="E2904" s="310"/>
      <c r="G2904" s="2"/>
      <c r="H2904" s="310"/>
      <c r="I2904" s="2"/>
      <c r="O2904" s="2"/>
      <c r="P2904" s="2"/>
    </row>
    <row r="2905" spans="4:16" x14ac:dyDescent="0.25">
      <c r="D2905" s="2"/>
      <c r="E2905" s="310"/>
      <c r="G2905" s="2"/>
      <c r="H2905" s="310"/>
      <c r="I2905" s="2"/>
      <c r="O2905" s="2"/>
      <c r="P2905" s="2"/>
    </row>
    <row r="2906" spans="4:16" x14ac:dyDescent="0.25">
      <c r="D2906" s="2"/>
      <c r="E2906" s="310"/>
      <c r="G2906" s="2"/>
      <c r="H2906" s="310"/>
      <c r="I2906" s="2"/>
      <c r="O2906" s="2"/>
      <c r="P2906" s="2"/>
    </row>
    <row r="2907" spans="4:16" x14ac:dyDescent="0.25">
      <c r="D2907" s="2"/>
      <c r="E2907" s="310"/>
      <c r="G2907" s="2"/>
      <c r="H2907" s="310"/>
      <c r="I2907" s="2"/>
      <c r="O2907" s="2"/>
      <c r="P2907" s="2"/>
    </row>
    <row r="2908" spans="4:16" x14ac:dyDescent="0.25">
      <c r="D2908" s="2"/>
      <c r="E2908" s="310"/>
      <c r="G2908" s="2"/>
      <c r="H2908" s="310"/>
      <c r="I2908" s="2"/>
      <c r="O2908" s="2"/>
      <c r="P2908" s="2"/>
    </row>
    <row r="2909" spans="4:16" x14ac:dyDescent="0.25">
      <c r="D2909" s="2"/>
      <c r="E2909" s="310"/>
      <c r="G2909" s="2"/>
      <c r="H2909" s="310"/>
      <c r="I2909" s="2"/>
      <c r="O2909" s="2"/>
      <c r="P2909" s="2"/>
    </row>
    <row r="2910" spans="4:16" x14ac:dyDescent="0.25">
      <c r="D2910" s="2"/>
      <c r="E2910" s="310"/>
      <c r="G2910" s="2"/>
      <c r="H2910" s="310"/>
      <c r="I2910" s="2"/>
      <c r="O2910" s="2"/>
      <c r="P2910" s="2"/>
    </row>
    <row r="2911" spans="4:16" x14ac:dyDescent="0.25">
      <c r="D2911" s="2"/>
      <c r="E2911" s="310"/>
      <c r="G2911" s="2"/>
      <c r="H2911" s="310"/>
      <c r="I2911" s="2"/>
      <c r="O2911" s="2"/>
      <c r="P2911" s="2"/>
    </row>
    <row r="2912" spans="4:16" x14ac:dyDescent="0.25">
      <c r="D2912" s="2"/>
      <c r="E2912" s="310"/>
      <c r="G2912" s="2"/>
      <c r="H2912" s="310"/>
      <c r="I2912" s="2"/>
      <c r="O2912" s="2"/>
      <c r="P2912" s="2"/>
    </row>
    <row r="2913" spans="4:16" x14ac:dyDescent="0.25">
      <c r="D2913" s="2"/>
      <c r="E2913" s="310"/>
      <c r="G2913" s="2"/>
      <c r="H2913" s="310"/>
      <c r="I2913" s="2"/>
      <c r="O2913" s="2"/>
      <c r="P2913" s="2"/>
    </row>
    <row r="2914" spans="4:16" x14ac:dyDescent="0.25">
      <c r="D2914" s="2"/>
      <c r="E2914" s="310"/>
      <c r="G2914" s="2"/>
      <c r="H2914" s="310"/>
      <c r="I2914" s="2"/>
      <c r="O2914" s="2"/>
      <c r="P2914" s="2"/>
    </row>
    <row r="2915" spans="4:16" x14ac:dyDescent="0.25">
      <c r="D2915" s="2"/>
      <c r="E2915" s="310"/>
      <c r="G2915" s="2"/>
      <c r="H2915" s="310"/>
      <c r="I2915" s="2"/>
      <c r="O2915" s="2"/>
      <c r="P2915" s="2"/>
    </row>
    <row r="2916" spans="4:16" x14ac:dyDescent="0.25">
      <c r="D2916" s="2"/>
      <c r="E2916" s="310"/>
      <c r="G2916" s="2"/>
      <c r="H2916" s="310"/>
      <c r="I2916" s="2"/>
      <c r="O2916" s="2"/>
      <c r="P2916" s="2"/>
    </row>
    <row r="2917" spans="4:16" x14ac:dyDescent="0.25">
      <c r="D2917" s="2"/>
      <c r="E2917" s="310"/>
      <c r="G2917" s="2"/>
      <c r="H2917" s="310"/>
      <c r="I2917" s="2"/>
      <c r="O2917" s="2"/>
      <c r="P2917" s="2"/>
    </row>
    <row r="2918" spans="4:16" x14ac:dyDescent="0.25">
      <c r="D2918" s="2"/>
      <c r="E2918" s="310"/>
      <c r="G2918" s="2"/>
      <c r="H2918" s="310"/>
      <c r="I2918" s="2"/>
      <c r="O2918" s="2"/>
      <c r="P2918" s="2"/>
    </row>
    <row r="2919" spans="4:16" x14ac:dyDescent="0.25">
      <c r="D2919" s="2"/>
      <c r="E2919" s="310"/>
      <c r="G2919" s="2"/>
      <c r="H2919" s="310"/>
      <c r="I2919" s="2"/>
      <c r="O2919" s="2"/>
      <c r="P2919" s="2"/>
    </row>
    <row r="2920" spans="4:16" x14ac:dyDescent="0.25">
      <c r="D2920" s="2"/>
      <c r="E2920" s="310"/>
      <c r="G2920" s="2"/>
      <c r="H2920" s="310"/>
      <c r="I2920" s="2"/>
      <c r="O2920" s="2"/>
      <c r="P2920" s="2"/>
    </row>
    <row r="2921" spans="4:16" x14ac:dyDescent="0.25">
      <c r="D2921" s="2"/>
      <c r="E2921" s="310"/>
      <c r="G2921" s="2"/>
      <c r="H2921" s="310"/>
      <c r="I2921" s="2"/>
      <c r="O2921" s="2"/>
      <c r="P2921" s="2"/>
    </row>
    <row r="2922" spans="4:16" x14ac:dyDescent="0.25">
      <c r="D2922" s="2"/>
      <c r="E2922" s="310"/>
      <c r="G2922" s="2"/>
      <c r="H2922" s="310"/>
      <c r="I2922" s="2"/>
      <c r="O2922" s="2"/>
      <c r="P2922" s="2"/>
    </row>
    <row r="2923" spans="4:16" x14ac:dyDescent="0.25">
      <c r="D2923" s="2"/>
      <c r="E2923" s="310"/>
      <c r="G2923" s="2"/>
      <c r="H2923" s="310"/>
      <c r="I2923" s="2"/>
      <c r="O2923" s="2"/>
      <c r="P2923" s="2"/>
    </row>
    <row r="2924" spans="4:16" x14ac:dyDescent="0.25">
      <c r="D2924" s="2"/>
      <c r="E2924" s="310"/>
      <c r="G2924" s="2"/>
      <c r="H2924" s="310"/>
      <c r="I2924" s="2"/>
      <c r="O2924" s="2"/>
      <c r="P2924" s="2"/>
    </row>
    <row r="2925" spans="4:16" x14ac:dyDescent="0.25">
      <c r="D2925" s="2"/>
      <c r="E2925" s="310"/>
      <c r="G2925" s="2"/>
      <c r="H2925" s="310"/>
      <c r="I2925" s="2"/>
      <c r="O2925" s="2"/>
      <c r="P2925" s="2"/>
    </row>
    <row r="2926" spans="4:16" x14ac:dyDescent="0.25">
      <c r="D2926" s="2"/>
      <c r="E2926" s="310"/>
      <c r="G2926" s="2"/>
      <c r="H2926" s="310"/>
      <c r="I2926" s="2"/>
      <c r="O2926" s="2"/>
      <c r="P2926" s="2"/>
    </row>
    <row r="2927" spans="4:16" x14ac:dyDescent="0.25">
      <c r="D2927" s="2"/>
      <c r="E2927" s="310"/>
      <c r="G2927" s="2"/>
      <c r="H2927" s="310"/>
      <c r="I2927" s="2"/>
      <c r="O2927" s="2"/>
      <c r="P2927" s="2"/>
    </row>
    <row r="2928" spans="4:16" x14ac:dyDescent="0.25">
      <c r="D2928" s="2"/>
      <c r="E2928" s="310"/>
      <c r="G2928" s="2"/>
      <c r="H2928" s="310"/>
      <c r="I2928" s="2"/>
      <c r="O2928" s="2"/>
      <c r="P2928" s="2"/>
    </row>
    <row r="2929" spans="4:16" x14ac:dyDescent="0.25">
      <c r="D2929" s="2"/>
      <c r="E2929" s="310"/>
      <c r="G2929" s="2"/>
      <c r="H2929" s="310"/>
      <c r="I2929" s="2"/>
      <c r="O2929" s="2"/>
      <c r="P2929" s="2"/>
    </row>
    <row r="2930" spans="4:16" x14ac:dyDescent="0.25">
      <c r="D2930" s="2"/>
      <c r="E2930" s="310"/>
      <c r="G2930" s="2"/>
      <c r="H2930" s="310"/>
      <c r="I2930" s="2"/>
      <c r="O2930" s="2"/>
      <c r="P2930" s="2"/>
    </row>
    <row r="2931" spans="4:16" x14ac:dyDescent="0.25">
      <c r="D2931" s="2"/>
      <c r="E2931" s="310"/>
      <c r="G2931" s="2"/>
      <c r="H2931" s="310"/>
      <c r="I2931" s="2"/>
      <c r="O2931" s="2"/>
      <c r="P2931" s="2"/>
    </row>
    <row r="2932" spans="4:16" x14ac:dyDescent="0.25">
      <c r="D2932" s="2"/>
      <c r="E2932" s="310"/>
      <c r="G2932" s="2"/>
      <c r="H2932" s="310"/>
      <c r="I2932" s="2"/>
      <c r="O2932" s="2"/>
      <c r="P2932" s="2"/>
    </row>
    <row r="2933" spans="4:16" x14ac:dyDescent="0.25">
      <c r="D2933" s="2"/>
      <c r="E2933" s="310"/>
      <c r="G2933" s="2"/>
      <c r="H2933" s="310"/>
      <c r="I2933" s="2"/>
      <c r="O2933" s="2"/>
      <c r="P2933" s="2"/>
    </row>
    <row r="2934" spans="4:16" x14ac:dyDescent="0.25">
      <c r="D2934" s="2"/>
      <c r="E2934" s="310"/>
      <c r="G2934" s="2"/>
      <c r="H2934" s="310"/>
      <c r="I2934" s="2"/>
      <c r="O2934" s="2"/>
      <c r="P2934" s="2"/>
    </row>
    <row r="2935" spans="4:16" x14ac:dyDescent="0.25">
      <c r="D2935" s="2"/>
      <c r="E2935" s="310"/>
      <c r="G2935" s="2"/>
      <c r="H2935" s="310"/>
      <c r="I2935" s="2"/>
      <c r="O2935" s="2"/>
      <c r="P2935" s="2"/>
    </row>
    <row r="2936" spans="4:16" x14ac:dyDescent="0.25">
      <c r="D2936" s="2"/>
      <c r="E2936" s="310"/>
      <c r="G2936" s="2"/>
      <c r="H2936" s="310"/>
      <c r="I2936" s="2"/>
      <c r="O2936" s="2"/>
      <c r="P2936" s="2"/>
    </row>
    <row r="2937" spans="4:16" x14ac:dyDescent="0.25">
      <c r="D2937" s="2"/>
      <c r="E2937" s="310"/>
      <c r="G2937" s="2"/>
      <c r="H2937" s="310"/>
      <c r="I2937" s="2"/>
      <c r="O2937" s="2"/>
      <c r="P2937" s="2"/>
    </row>
    <row r="2938" spans="4:16" x14ac:dyDescent="0.25">
      <c r="D2938" s="2"/>
      <c r="E2938" s="310"/>
      <c r="G2938" s="2"/>
      <c r="H2938" s="310"/>
      <c r="I2938" s="2"/>
      <c r="O2938" s="2"/>
      <c r="P2938" s="2"/>
    </row>
    <row r="2939" spans="4:16" x14ac:dyDescent="0.25">
      <c r="D2939" s="2"/>
      <c r="E2939" s="310"/>
      <c r="G2939" s="2"/>
      <c r="H2939" s="310"/>
      <c r="I2939" s="2"/>
      <c r="O2939" s="2"/>
      <c r="P2939" s="2"/>
    </row>
    <row r="2940" spans="4:16" x14ac:dyDescent="0.25">
      <c r="D2940" s="2"/>
      <c r="E2940" s="310"/>
      <c r="G2940" s="2"/>
      <c r="H2940" s="310"/>
      <c r="I2940" s="2"/>
      <c r="O2940" s="2"/>
      <c r="P2940" s="2"/>
    </row>
    <row r="2941" spans="4:16" x14ac:dyDescent="0.25">
      <c r="D2941" s="2"/>
      <c r="E2941" s="310"/>
      <c r="G2941" s="2"/>
      <c r="H2941" s="310"/>
      <c r="I2941" s="2"/>
      <c r="O2941" s="2"/>
      <c r="P2941" s="2"/>
    </row>
    <row r="2942" spans="4:16" x14ac:dyDescent="0.25">
      <c r="D2942" s="2"/>
      <c r="E2942" s="310"/>
      <c r="G2942" s="2"/>
      <c r="H2942" s="310"/>
      <c r="I2942" s="2"/>
      <c r="O2942" s="2"/>
      <c r="P2942" s="2"/>
    </row>
    <row r="2943" spans="4:16" x14ac:dyDescent="0.25">
      <c r="D2943" s="2"/>
      <c r="E2943" s="310"/>
      <c r="G2943" s="2"/>
      <c r="H2943" s="310"/>
      <c r="I2943" s="2"/>
      <c r="O2943" s="2"/>
      <c r="P2943" s="2"/>
    </row>
    <row r="2944" spans="4:16" x14ac:dyDescent="0.25">
      <c r="D2944" s="2"/>
      <c r="E2944" s="310"/>
      <c r="G2944" s="2"/>
      <c r="H2944" s="310"/>
      <c r="I2944" s="2"/>
      <c r="O2944" s="2"/>
      <c r="P2944" s="2"/>
    </row>
    <row r="2945" spans="4:16" x14ac:dyDescent="0.25">
      <c r="D2945" s="2"/>
      <c r="E2945" s="310"/>
      <c r="G2945" s="2"/>
      <c r="H2945" s="310"/>
      <c r="I2945" s="2"/>
      <c r="O2945" s="2"/>
      <c r="P2945" s="2"/>
    </row>
    <row r="2946" spans="4:16" x14ac:dyDescent="0.25">
      <c r="D2946" s="2"/>
      <c r="E2946" s="310"/>
      <c r="G2946" s="2"/>
      <c r="H2946" s="310"/>
      <c r="I2946" s="2"/>
      <c r="O2946" s="2"/>
      <c r="P2946" s="2"/>
    </row>
    <row r="2947" spans="4:16" x14ac:dyDescent="0.25">
      <c r="D2947" s="2"/>
      <c r="E2947" s="310"/>
      <c r="G2947" s="2"/>
      <c r="H2947" s="310"/>
      <c r="I2947" s="2"/>
      <c r="O2947" s="2"/>
      <c r="P2947" s="2"/>
    </row>
    <row r="2948" spans="4:16" x14ac:dyDescent="0.25">
      <c r="D2948" s="2"/>
      <c r="E2948" s="310"/>
      <c r="G2948" s="2"/>
      <c r="H2948" s="310"/>
      <c r="I2948" s="2"/>
      <c r="O2948" s="2"/>
      <c r="P2948" s="2"/>
    </row>
    <row r="2949" spans="4:16" x14ac:dyDescent="0.25">
      <c r="D2949" s="2"/>
      <c r="E2949" s="310"/>
      <c r="G2949" s="2"/>
      <c r="H2949" s="310"/>
      <c r="I2949" s="2"/>
      <c r="O2949" s="2"/>
      <c r="P2949" s="2"/>
    </row>
    <row r="2950" spans="4:16" x14ac:dyDescent="0.25">
      <c r="D2950" s="2"/>
      <c r="E2950" s="310"/>
      <c r="G2950" s="2"/>
      <c r="H2950" s="310"/>
      <c r="I2950" s="2"/>
      <c r="O2950" s="2"/>
      <c r="P2950" s="2"/>
    </row>
    <row r="2951" spans="4:16" x14ac:dyDescent="0.25">
      <c r="D2951" s="2"/>
      <c r="E2951" s="310"/>
      <c r="G2951" s="2"/>
      <c r="H2951" s="310"/>
      <c r="I2951" s="2"/>
      <c r="O2951" s="2"/>
      <c r="P2951" s="2"/>
    </row>
    <row r="2952" spans="4:16" x14ac:dyDescent="0.25">
      <c r="D2952" s="2"/>
      <c r="E2952" s="310"/>
      <c r="G2952" s="2"/>
      <c r="H2952" s="310"/>
      <c r="I2952" s="2"/>
      <c r="O2952" s="2"/>
      <c r="P2952" s="2"/>
    </row>
    <row r="2953" spans="4:16" x14ac:dyDescent="0.25">
      <c r="D2953" s="2"/>
      <c r="E2953" s="310"/>
      <c r="G2953" s="2"/>
      <c r="H2953" s="310"/>
      <c r="I2953" s="2"/>
      <c r="O2953" s="2"/>
      <c r="P2953" s="2"/>
    </row>
    <row r="2954" spans="4:16" x14ac:dyDescent="0.25">
      <c r="D2954" s="2"/>
      <c r="E2954" s="310"/>
      <c r="G2954" s="2"/>
      <c r="H2954" s="310"/>
      <c r="I2954" s="2"/>
      <c r="O2954" s="2"/>
      <c r="P2954" s="2"/>
    </row>
    <row r="2955" spans="4:16" x14ac:dyDescent="0.25">
      <c r="D2955" s="2"/>
      <c r="E2955" s="310"/>
      <c r="G2955" s="2"/>
      <c r="H2955" s="310"/>
      <c r="I2955" s="2"/>
      <c r="O2955" s="2"/>
      <c r="P2955" s="2"/>
    </row>
    <row r="2956" spans="4:16" x14ac:dyDescent="0.25">
      <c r="D2956" s="2"/>
      <c r="E2956" s="310"/>
      <c r="G2956" s="2"/>
      <c r="H2956" s="310"/>
      <c r="I2956" s="2"/>
      <c r="O2956" s="2"/>
      <c r="P2956" s="2"/>
    </row>
    <row r="2957" spans="4:16" x14ac:dyDescent="0.25">
      <c r="D2957" s="2"/>
      <c r="E2957" s="310"/>
      <c r="G2957" s="2"/>
      <c r="H2957" s="310"/>
      <c r="I2957" s="2"/>
      <c r="O2957" s="2"/>
      <c r="P2957" s="2"/>
    </row>
    <row r="2958" spans="4:16" x14ac:dyDescent="0.25">
      <c r="D2958" s="2"/>
      <c r="E2958" s="310"/>
      <c r="G2958" s="2"/>
      <c r="H2958" s="310"/>
      <c r="I2958" s="2"/>
      <c r="O2958" s="2"/>
      <c r="P2958" s="2"/>
    </row>
    <row r="2959" spans="4:16" x14ac:dyDescent="0.25">
      <c r="D2959" s="2"/>
      <c r="E2959" s="310"/>
      <c r="G2959" s="2"/>
      <c r="H2959" s="310"/>
      <c r="I2959" s="2"/>
      <c r="O2959" s="2"/>
      <c r="P2959" s="2"/>
    </row>
    <row r="2960" spans="4:16" x14ac:dyDescent="0.25">
      <c r="D2960" s="2"/>
      <c r="E2960" s="310"/>
      <c r="G2960" s="2"/>
      <c r="H2960" s="310"/>
      <c r="I2960" s="2"/>
      <c r="O2960" s="2"/>
      <c r="P2960" s="2"/>
    </row>
    <row r="2961" spans="4:16" x14ac:dyDescent="0.25">
      <c r="D2961" s="2"/>
      <c r="E2961" s="310"/>
      <c r="G2961" s="2"/>
      <c r="H2961" s="310"/>
      <c r="I2961" s="2"/>
      <c r="O2961" s="2"/>
      <c r="P2961" s="2"/>
    </row>
    <row r="2962" spans="4:16" x14ac:dyDescent="0.25">
      <c r="D2962" s="2"/>
      <c r="E2962" s="310"/>
      <c r="G2962" s="2"/>
      <c r="H2962" s="310"/>
      <c r="I2962" s="2"/>
      <c r="O2962" s="2"/>
      <c r="P2962" s="2"/>
    </row>
    <row r="2963" spans="4:16" x14ac:dyDescent="0.25">
      <c r="D2963" s="2"/>
      <c r="E2963" s="310"/>
      <c r="G2963" s="2"/>
      <c r="H2963" s="310"/>
      <c r="I2963" s="2"/>
      <c r="O2963" s="2"/>
      <c r="P2963" s="2"/>
    </row>
    <row r="2964" spans="4:16" x14ac:dyDescent="0.25">
      <c r="D2964" s="2"/>
      <c r="E2964" s="310"/>
      <c r="G2964" s="2"/>
      <c r="H2964" s="310"/>
      <c r="I2964" s="2"/>
      <c r="O2964" s="2"/>
      <c r="P2964" s="2"/>
    </row>
    <row r="2965" spans="4:16" x14ac:dyDescent="0.25">
      <c r="D2965" s="2"/>
      <c r="E2965" s="310"/>
      <c r="G2965" s="2"/>
      <c r="H2965" s="310"/>
      <c r="I2965" s="2"/>
      <c r="O2965" s="2"/>
      <c r="P2965" s="2"/>
    </row>
    <row r="2966" spans="4:16" x14ac:dyDescent="0.25">
      <c r="D2966" s="2"/>
      <c r="E2966" s="310"/>
      <c r="G2966" s="2"/>
      <c r="H2966" s="310"/>
      <c r="I2966" s="2"/>
      <c r="O2966" s="2"/>
      <c r="P2966" s="2"/>
    </row>
    <row r="2967" spans="4:16" x14ac:dyDescent="0.25">
      <c r="D2967" s="2"/>
      <c r="E2967" s="310"/>
      <c r="G2967" s="2"/>
      <c r="H2967" s="310"/>
      <c r="I2967" s="2"/>
      <c r="O2967" s="2"/>
      <c r="P2967" s="2"/>
    </row>
    <row r="2968" spans="4:16" x14ac:dyDescent="0.25">
      <c r="D2968" s="2"/>
      <c r="E2968" s="310"/>
      <c r="G2968" s="2"/>
      <c r="H2968" s="310"/>
      <c r="I2968" s="2"/>
      <c r="O2968" s="2"/>
      <c r="P2968" s="2"/>
    </row>
    <row r="2969" spans="4:16" x14ac:dyDescent="0.25">
      <c r="D2969" s="2"/>
      <c r="E2969" s="310"/>
      <c r="G2969" s="2"/>
      <c r="H2969" s="310"/>
      <c r="I2969" s="2"/>
      <c r="O2969" s="2"/>
      <c r="P2969" s="2"/>
    </row>
    <row r="2970" spans="4:16" x14ac:dyDescent="0.25">
      <c r="D2970" s="2"/>
      <c r="E2970" s="310"/>
      <c r="G2970" s="2"/>
      <c r="H2970" s="310"/>
      <c r="I2970" s="2"/>
      <c r="O2970" s="2"/>
      <c r="P2970" s="2"/>
    </row>
    <row r="2971" spans="4:16" x14ac:dyDescent="0.25">
      <c r="D2971" s="2"/>
      <c r="E2971" s="310"/>
      <c r="G2971" s="2"/>
      <c r="H2971" s="310"/>
      <c r="I2971" s="2"/>
      <c r="O2971" s="2"/>
      <c r="P2971" s="2"/>
    </row>
    <row r="2972" spans="4:16" x14ac:dyDescent="0.25">
      <c r="D2972" s="2"/>
      <c r="E2972" s="310"/>
      <c r="G2972" s="2"/>
      <c r="H2972" s="310"/>
      <c r="I2972" s="2"/>
      <c r="O2972" s="2"/>
      <c r="P2972" s="2"/>
    </row>
    <row r="2973" spans="4:16" x14ac:dyDescent="0.25">
      <c r="D2973" s="2"/>
      <c r="E2973" s="310"/>
      <c r="G2973" s="2"/>
      <c r="H2973" s="310"/>
      <c r="I2973" s="2"/>
      <c r="O2973" s="2"/>
      <c r="P2973" s="2"/>
    </row>
    <row r="2974" spans="4:16" x14ac:dyDescent="0.25">
      <c r="D2974" s="2"/>
      <c r="E2974" s="310"/>
      <c r="G2974" s="2"/>
      <c r="H2974" s="310"/>
      <c r="I2974" s="2"/>
      <c r="O2974" s="2"/>
      <c r="P2974" s="2"/>
    </row>
    <row r="2975" spans="4:16" x14ac:dyDescent="0.25">
      <c r="D2975" s="2"/>
      <c r="E2975" s="310"/>
      <c r="G2975" s="2"/>
      <c r="H2975" s="310"/>
      <c r="I2975" s="2"/>
      <c r="O2975" s="2"/>
      <c r="P2975" s="2"/>
    </row>
    <row r="2976" spans="4:16" x14ac:dyDescent="0.25">
      <c r="D2976" s="2"/>
      <c r="E2976" s="310"/>
      <c r="G2976" s="2"/>
      <c r="H2976" s="310"/>
      <c r="I2976" s="2"/>
      <c r="O2976" s="2"/>
      <c r="P2976" s="2"/>
    </row>
    <row r="2977" spans="4:16" x14ac:dyDescent="0.25">
      <c r="D2977" s="2"/>
      <c r="E2977" s="310"/>
      <c r="G2977" s="2"/>
      <c r="H2977" s="310"/>
      <c r="I2977" s="2"/>
      <c r="O2977" s="2"/>
      <c r="P2977" s="2"/>
    </row>
    <row r="2978" spans="4:16" x14ac:dyDescent="0.25">
      <c r="D2978" s="2"/>
      <c r="E2978" s="310"/>
      <c r="G2978" s="2"/>
      <c r="H2978" s="310"/>
      <c r="I2978" s="2"/>
      <c r="O2978" s="2"/>
      <c r="P2978" s="2"/>
    </row>
    <row r="2979" spans="4:16" x14ac:dyDescent="0.25">
      <c r="D2979" s="2"/>
      <c r="E2979" s="310"/>
      <c r="G2979" s="2"/>
      <c r="H2979" s="310"/>
      <c r="I2979" s="2"/>
      <c r="O2979" s="2"/>
      <c r="P2979" s="2"/>
    </row>
    <row r="2980" spans="4:16" x14ac:dyDescent="0.25">
      <c r="D2980" s="2"/>
      <c r="E2980" s="310"/>
      <c r="G2980" s="2"/>
      <c r="H2980" s="310"/>
      <c r="I2980" s="2"/>
      <c r="O2980" s="2"/>
      <c r="P2980" s="2"/>
    </row>
    <row r="2981" spans="4:16" x14ac:dyDescent="0.25">
      <c r="D2981" s="2"/>
      <c r="E2981" s="310"/>
      <c r="G2981" s="2"/>
      <c r="H2981" s="310"/>
      <c r="I2981" s="2"/>
      <c r="O2981" s="2"/>
      <c r="P2981" s="2"/>
    </row>
    <row r="2982" spans="4:16" x14ac:dyDescent="0.25">
      <c r="D2982" s="2"/>
      <c r="E2982" s="310"/>
      <c r="G2982" s="2"/>
      <c r="H2982" s="310"/>
      <c r="I2982" s="2"/>
      <c r="O2982" s="2"/>
      <c r="P2982" s="2"/>
    </row>
    <row r="2983" spans="4:16" x14ac:dyDescent="0.25">
      <c r="D2983" s="2"/>
      <c r="E2983" s="310"/>
      <c r="G2983" s="2"/>
      <c r="H2983" s="310"/>
      <c r="I2983" s="2"/>
      <c r="O2983" s="2"/>
      <c r="P2983" s="2"/>
    </row>
    <row r="2984" spans="4:16" x14ac:dyDescent="0.25">
      <c r="D2984" s="2"/>
      <c r="E2984" s="310"/>
      <c r="G2984" s="2"/>
      <c r="H2984" s="310"/>
      <c r="I2984" s="2"/>
      <c r="O2984" s="2"/>
      <c r="P2984" s="2"/>
    </row>
    <row r="2985" spans="4:16" x14ac:dyDescent="0.25">
      <c r="D2985" s="2"/>
      <c r="E2985" s="310"/>
      <c r="G2985" s="2"/>
      <c r="H2985" s="310"/>
      <c r="I2985" s="2"/>
      <c r="O2985" s="2"/>
      <c r="P2985" s="2"/>
    </row>
    <row r="2986" spans="4:16" x14ac:dyDescent="0.25">
      <c r="D2986" s="2"/>
      <c r="E2986" s="310"/>
      <c r="G2986" s="2"/>
      <c r="H2986" s="310"/>
      <c r="I2986" s="2"/>
      <c r="O2986" s="2"/>
      <c r="P2986" s="2"/>
    </row>
    <row r="2987" spans="4:16" x14ac:dyDescent="0.25">
      <c r="D2987" s="2"/>
      <c r="E2987" s="310"/>
      <c r="G2987" s="2"/>
      <c r="H2987" s="310"/>
      <c r="I2987" s="2"/>
      <c r="O2987" s="2"/>
      <c r="P2987" s="2"/>
    </row>
    <row r="2988" spans="4:16" x14ac:dyDescent="0.25">
      <c r="D2988" s="2"/>
      <c r="E2988" s="310"/>
      <c r="G2988" s="2"/>
      <c r="H2988" s="310"/>
      <c r="I2988" s="2"/>
      <c r="O2988" s="2"/>
      <c r="P2988" s="2"/>
    </row>
    <row r="2989" spans="4:16" x14ac:dyDescent="0.25">
      <c r="D2989" s="2"/>
      <c r="E2989" s="310"/>
      <c r="G2989" s="2"/>
      <c r="H2989" s="310"/>
      <c r="I2989" s="2"/>
      <c r="O2989" s="2"/>
      <c r="P2989" s="2"/>
    </row>
    <row r="2990" spans="4:16" x14ac:dyDescent="0.25">
      <c r="D2990" s="2"/>
      <c r="E2990" s="310"/>
      <c r="G2990" s="2"/>
      <c r="H2990" s="310"/>
      <c r="I2990" s="2"/>
      <c r="O2990" s="2"/>
      <c r="P2990" s="2"/>
    </row>
    <row r="2991" spans="4:16" x14ac:dyDescent="0.25">
      <c r="D2991" s="2"/>
      <c r="E2991" s="310"/>
      <c r="G2991" s="2"/>
      <c r="H2991" s="310"/>
      <c r="I2991" s="2"/>
      <c r="O2991" s="2"/>
      <c r="P2991" s="2"/>
    </row>
    <row r="2992" spans="4:16" x14ac:dyDescent="0.25">
      <c r="D2992" s="2"/>
      <c r="E2992" s="310"/>
      <c r="G2992" s="2"/>
      <c r="H2992" s="310"/>
      <c r="I2992" s="2"/>
      <c r="O2992" s="2"/>
      <c r="P2992" s="2"/>
    </row>
    <row r="2993" spans="4:16" x14ac:dyDescent="0.25">
      <c r="D2993" s="2"/>
      <c r="E2993" s="310"/>
      <c r="G2993" s="2"/>
      <c r="H2993" s="310"/>
      <c r="I2993" s="2"/>
      <c r="O2993" s="2"/>
      <c r="P2993" s="2"/>
    </row>
    <row r="2994" spans="4:16" x14ac:dyDescent="0.25">
      <c r="D2994" s="2"/>
      <c r="E2994" s="310"/>
      <c r="G2994" s="2"/>
      <c r="H2994" s="310"/>
      <c r="I2994" s="2"/>
      <c r="O2994" s="2"/>
      <c r="P2994" s="2"/>
    </row>
    <row r="2995" spans="4:16" x14ac:dyDescent="0.25">
      <c r="D2995" s="2"/>
      <c r="E2995" s="310"/>
      <c r="G2995" s="2"/>
      <c r="H2995" s="310"/>
      <c r="I2995" s="2"/>
      <c r="O2995" s="2"/>
      <c r="P2995" s="2"/>
    </row>
    <row r="2996" spans="4:16" x14ac:dyDescent="0.25">
      <c r="D2996" s="2"/>
      <c r="E2996" s="310"/>
      <c r="G2996" s="2"/>
      <c r="H2996" s="310"/>
      <c r="I2996" s="2"/>
      <c r="O2996" s="2"/>
      <c r="P2996" s="2"/>
    </row>
    <row r="2997" spans="4:16" x14ac:dyDescent="0.25">
      <c r="D2997" s="2"/>
      <c r="E2997" s="310"/>
      <c r="G2997" s="2"/>
      <c r="H2997" s="310"/>
      <c r="I2997" s="2"/>
      <c r="O2997" s="2"/>
      <c r="P2997" s="2"/>
    </row>
    <row r="2998" spans="4:16" x14ac:dyDescent="0.25">
      <c r="D2998" s="2"/>
      <c r="E2998" s="310"/>
      <c r="G2998" s="2"/>
      <c r="H2998" s="310"/>
      <c r="I2998" s="2"/>
      <c r="O2998" s="2"/>
      <c r="P2998" s="2"/>
    </row>
    <row r="2999" spans="4:16" x14ac:dyDescent="0.25">
      <c r="D2999" s="2"/>
      <c r="E2999" s="310"/>
      <c r="G2999" s="2"/>
      <c r="H2999" s="310"/>
      <c r="I2999" s="2"/>
      <c r="O2999" s="2"/>
      <c r="P2999" s="2"/>
    </row>
    <row r="3000" spans="4:16" x14ac:dyDescent="0.25">
      <c r="D3000" s="2"/>
      <c r="E3000" s="310"/>
      <c r="G3000" s="2"/>
      <c r="H3000" s="310"/>
      <c r="I3000" s="2"/>
      <c r="O3000" s="2"/>
      <c r="P3000" s="2"/>
    </row>
    <row r="3001" spans="4:16" x14ac:dyDescent="0.25">
      <c r="D3001" s="2"/>
      <c r="E3001" s="310"/>
      <c r="G3001" s="2"/>
      <c r="H3001" s="310"/>
      <c r="I3001" s="2"/>
      <c r="O3001" s="2"/>
      <c r="P3001" s="2"/>
    </row>
    <row r="3002" spans="4:16" x14ac:dyDescent="0.25">
      <c r="D3002" s="2"/>
      <c r="E3002" s="310"/>
      <c r="G3002" s="2"/>
      <c r="H3002" s="310"/>
      <c r="I3002" s="2"/>
      <c r="O3002" s="2"/>
      <c r="P3002" s="2"/>
    </row>
    <row r="3003" spans="4:16" x14ac:dyDescent="0.25">
      <c r="D3003" s="2"/>
      <c r="E3003" s="310"/>
      <c r="G3003" s="2"/>
      <c r="H3003" s="310"/>
      <c r="I3003" s="2"/>
      <c r="O3003" s="2"/>
      <c r="P3003" s="2"/>
    </row>
    <row r="3004" spans="4:16" x14ac:dyDescent="0.25">
      <c r="D3004" s="2"/>
      <c r="E3004" s="310"/>
      <c r="G3004" s="2"/>
      <c r="H3004" s="310"/>
      <c r="I3004" s="2"/>
      <c r="O3004" s="2"/>
      <c r="P3004" s="2"/>
    </row>
    <row r="3005" spans="4:16" x14ac:dyDescent="0.25">
      <c r="D3005" s="2"/>
      <c r="E3005" s="310"/>
      <c r="G3005" s="2"/>
      <c r="H3005" s="310"/>
      <c r="I3005" s="2"/>
      <c r="O3005" s="2"/>
      <c r="P3005" s="2"/>
    </row>
    <row r="3006" spans="4:16" x14ac:dyDescent="0.25">
      <c r="D3006" s="2"/>
      <c r="E3006" s="310"/>
      <c r="G3006" s="2"/>
      <c r="H3006" s="310"/>
      <c r="I3006" s="2"/>
      <c r="O3006" s="2"/>
      <c r="P3006" s="2"/>
    </row>
    <row r="3007" spans="4:16" x14ac:dyDescent="0.25">
      <c r="D3007" s="2"/>
      <c r="E3007" s="310"/>
      <c r="G3007" s="2"/>
      <c r="H3007" s="310"/>
      <c r="I3007" s="2"/>
      <c r="O3007" s="2"/>
      <c r="P3007" s="2"/>
    </row>
    <row r="3008" spans="4:16" x14ac:dyDescent="0.25">
      <c r="D3008" s="2"/>
      <c r="E3008" s="310"/>
      <c r="G3008" s="2"/>
      <c r="H3008" s="310"/>
      <c r="I3008" s="2"/>
      <c r="O3008" s="2"/>
      <c r="P3008" s="2"/>
    </row>
    <row r="3009" spans="4:16" x14ac:dyDescent="0.25">
      <c r="D3009" s="2"/>
      <c r="E3009" s="310"/>
      <c r="G3009" s="2"/>
      <c r="H3009" s="310"/>
      <c r="I3009" s="2"/>
      <c r="O3009" s="2"/>
      <c r="P3009" s="2"/>
    </row>
    <row r="3010" spans="4:16" x14ac:dyDescent="0.25">
      <c r="D3010" s="2"/>
      <c r="E3010" s="310"/>
      <c r="G3010" s="2"/>
      <c r="H3010" s="310"/>
      <c r="I3010" s="2"/>
      <c r="O3010" s="2"/>
      <c r="P3010" s="2"/>
    </row>
    <row r="3011" spans="4:16" x14ac:dyDescent="0.25">
      <c r="D3011" s="2"/>
      <c r="E3011" s="310"/>
      <c r="G3011" s="2"/>
      <c r="H3011" s="310"/>
      <c r="I3011" s="2"/>
      <c r="O3011" s="2"/>
      <c r="P3011" s="2"/>
    </row>
    <row r="3012" spans="4:16" x14ac:dyDescent="0.25">
      <c r="D3012" s="2"/>
      <c r="E3012" s="310"/>
      <c r="G3012" s="2"/>
      <c r="H3012" s="310"/>
      <c r="I3012" s="2"/>
      <c r="O3012" s="2"/>
      <c r="P3012" s="2"/>
    </row>
    <row r="3013" spans="4:16" x14ac:dyDescent="0.25">
      <c r="D3013" s="2"/>
      <c r="E3013" s="310"/>
      <c r="G3013" s="2"/>
      <c r="H3013" s="310"/>
      <c r="I3013" s="2"/>
      <c r="O3013" s="2"/>
      <c r="P3013" s="2"/>
    </row>
    <row r="3014" spans="4:16" x14ac:dyDescent="0.25">
      <c r="D3014" s="2"/>
      <c r="E3014" s="310"/>
      <c r="G3014" s="2"/>
      <c r="H3014" s="310"/>
      <c r="I3014" s="2"/>
      <c r="O3014" s="2"/>
      <c r="P3014" s="2"/>
    </row>
    <row r="3015" spans="4:16" x14ac:dyDescent="0.25">
      <c r="D3015" s="2"/>
      <c r="E3015" s="310"/>
      <c r="G3015" s="2"/>
      <c r="H3015" s="310"/>
      <c r="I3015" s="2"/>
      <c r="O3015" s="2"/>
      <c r="P3015" s="2"/>
    </row>
    <row r="3022" spans="4:16" x14ac:dyDescent="0.25">
      <c r="D3022" s="2"/>
      <c r="E3022" s="310"/>
      <c r="G3022" s="2"/>
      <c r="H3022" s="310"/>
      <c r="I3022" s="2"/>
      <c r="O3022" s="2"/>
      <c r="P3022" s="2"/>
    </row>
    <row r="3023" spans="4:16" x14ac:dyDescent="0.25">
      <c r="D3023" s="2"/>
      <c r="E3023" s="310"/>
      <c r="G3023" s="2"/>
      <c r="H3023" s="310"/>
      <c r="I3023" s="2"/>
      <c r="O3023" s="2"/>
      <c r="P3023" s="2"/>
    </row>
    <row r="3024" spans="4:16" x14ac:dyDescent="0.25">
      <c r="D3024" s="2"/>
      <c r="E3024" s="310"/>
      <c r="G3024" s="2"/>
      <c r="H3024" s="310"/>
      <c r="I3024" s="2"/>
      <c r="O3024" s="2"/>
      <c r="P3024" s="2"/>
    </row>
    <row r="3025" spans="4:16" x14ac:dyDescent="0.25">
      <c r="D3025" s="2"/>
      <c r="E3025" s="310"/>
      <c r="G3025" s="2"/>
      <c r="H3025" s="310"/>
      <c r="I3025" s="2"/>
      <c r="O3025" s="2"/>
      <c r="P3025" s="2"/>
    </row>
    <row r="3026" spans="4:16" x14ac:dyDescent="0.25">
      <c r="D3026" s="2"/>
      <c r="E3026" s="310"/>
      <c r="G3026" s="2"/>
      <c r="H3026" s="310"/>
      <c r="I3026" s="2"/>
      <c r="O3026" s="2"/>
      <c r="P3026" s="2"/>
    </row>
    <row r="3027" spans="4:16" x14ac:dyDescent="0.25">
      <c r="D3027" s="2"/>
      <c r="E3027" s="310"/>
      <c r="G3027" s="2"/>
      <c r="H3027" s="310"/>
      <c r="I3027" s="2"/>
      <c r="O3027" s="2"/>
      <c r="P3027" s="2"/>
    </row>
    <row r="3028" spans="4:16" x14ac:dyDescent="0.25">
      <c r="D3028" s="2"/>
      <c r="E3028" s="310"/>
      <c r="G3028" s="2"/>
      <c r="H3028" s="310"/>
      <c r="I3028" s="2"/>
      <c r="O3028" s="2"/>
      <c r="P3028" s="2"/>
    </row>
    <row r="3029" spans="4:16" x14ac:dyDescent="0.25">
      <c r="D3029" s="2"/>
      <c r="E3029" s="310"/>
      <c r="G3029" s="2"/>
      <c r="H3029" s="310"/>
      <c r="I3029" s="2"/>
      <c r="O3029" s="2"/>
      <c r="P3029" s="2"/>
    </row>
    <row r="3030" spans="4:16" x14ac:dyDescent="0.25">
      <c r="D3030" s="2"/>
      <c r="E3030" s="310"/>
      <c r="G3030" s="2"/>
      <c r="H3030" s="310"/>
      <c r="I3030" s="2"/>
      <c r="O3030" s="2"/>
      <c r="P3030" s="2"/>
    </row>
    <row r="3031" spans="4:16" x14ac:dyDescent="0.25">
      <c r="D3031" s="2"/>
      <c r="E3031" s="310"/>
      <c r="G3031" s="2"/>
      <c r="H3031" s="310"/>
      <c r="I3031" s="2"/>
      <c r="O3031" s="2"/>
      <c r="P3031" s="2"/>
    </row>
    <row r="3032" spans="4:16" x14ac:dyDescent="0.25">
      <c r="D3032" s="2"/>
      <c r="E3032" s="310"/>
      <c r="G3032" s="2"/>
      <c r="H3032" s="310"/>
      <c r="I3032" s="2"/>
      <c r="O3032" s="2"/>
      <c r="P3032" s="2"/>
    </row>
    <row r="3033" spans="4:16" x14ac:dyDescent="0.25">
      <c r="D3033" s="2"/>
      <c r="E3033" s="310"/>
      <c r="G3033" s="2"/>
      <c r="H3033" s="310"/>
      <c r="I3033" s="2"/>
      <c r="O3033" s="2"/>
      <c r="P3033" s="2"/>
    </row>
    <row r="3034" spans="4:16" x14ac:dyDescent="0.25">
      <c r="D3034" s="2"/>
      <c r="E3034" s="310"/>
      <c r="G3034" s="2"/>
      <c r="H3034" s="310"/>
      <c r="I3034" s="2"/>
      <c r="O3034" s="2"/>
      <c r="P3034" s="2"/>
    </row>
    <row r="3035" spans="4:16" x14ac:dyDescent="0.25">
      <c r="D3035" s="2"/>
      <c r="E3035" s="310"/>
      <c r="G3035" s="2"/>
      <c r="H3035" s="310"/>
      <c r="I3035" s="2"/>
      <c r="O3035" s="2"/>
      <c r="P3035" s="2"/>
    </row>
    <row r="3036" spans="4:16" x14ac:dyDescent="0.25">
      <c r="D3036" s="2"/>
      <c r="E3036" s="310"/>
      <c r="G3036" s="2"/>
      <c r="H3036" s="310"/>
      <c r="I3036" s="2"/>
      <c r="O3036" s="2"/>
      <c r="P3036" s="2"/>
    </row>
    <row r="3037" spans="4:16" x14ac:dyDescent="0.25">
      <c r="D3037" s="2"/>
      <c r="E3037" s="310"/>
      <c r="G3037" s="2"/>
      <c r="H3037" s="310"/>
      <c r="I3037" s="2"/>
      <c r="O3037" s="2"/>
      <c r="P3037" s="2"/>
    </row>
    <row r="3038" spans="4:16" x14ac:dyDescent="0.25">
      <c r="D3038" s="2"/>
      <c r="E3038" s="310"/>
      <c r="G3038" s="2"/>
      <c r="H3038" s="310"/>
      <c r="I3038" s="2"/>
      <c r="O3038" s="2"/>
      <c r="P3038" s="2"/>
    </row>
    <row r="3039" spans="4:16" x14ac:dyDescent="0.25">
      <c r="D3039" s="2"/>
      <c r="E3039" s="310"/>
      <c r="G3039" s="2"/>
      <c r="H3039" s="310"/>
      <c r="I3039" s="2"/>
      <c r="O3039" s="2"/>
      <c r="P3039" s="2"/>
    </row>
    <row r="3040" spans="4:16" x14ac:dyDescent="0.25">
      <c r="D3040" s="2"/>
      <c r="E3040" s="310"/>
      <c r="G3040" s="2"/>
      <c r="H3040" s="310"/>
      <c r="I3040" s="2"/>
      <c r="O3040" s="2"/>
      <c r="P3040" s="2"/>
    </row>
    <row r="3041" spans="4:16" x14ac:dyDescent="0.25">
      <c r="D3041" s="2"/>
      <c r="E3041" s="310"/>
      <c r="G3041" s="2"/>
      <c r="H3041" s="310"/>
      <c r="I3041" s="2"/>
      <c r="O3041" s="2"/>
      <c r="P3041" s="2"/>
    </row>
    <row r="3042" spans="4:16" x14ac:dyDescent="0.25">
      <c r="D3042" s="2"/>
      <c r="E3042" s="310"/>
      <c r="G3042" s="2"/>
      <c r="H3042" s="310"/>
      <c r="I3042" s="2"/>
      <c r="O3042" s="2"/>
      <c r="P3042" s="2"/>
    </row>
    <row r="3043" spans="4:16" x14ac:dyDescent="0.25">
      <c r="D3043" s="2"/>
      <c r="E3043" s="310"/>
      <c r="G3043" s="2"/>
      <c r="H3043" s="310"/>
      <c r="I3043" s="2"/>
      <c r="O3043" s="2"/>
      <c r="P3043" s="2"/>
    </row>
    <row r="3044" spans="4:16" x14ac:dyDescent="0.25">
      <c r="D3044" s="2"/>
      <c r="E3044" s="310"/>
      <c r="G3044" s="2"/>
      <c r="H3044" s="310"/>
      <c r="I3044" s="2"/>
      <c r="O3044" s="2"/>
      <c r="P3044" s="2"/>
    </row>
    <row r="3045" spans="4:16" x14ac:dyDescent="0.25">
      <c r="D3045" s="2"/>
      <c r="E3045" s="310"/>
      <c r="G3045" s="2"/>
      <c r="H3045" s="310"/>
      <c r="I3045" s="2"/>
      <c r="O3045" s="2"/>
      <c r="P3045" s="2"/>
    </row>
    <row r="3046" spans="4:16" x14ac:dyDescent="0.25">
      <c r="D3046" s="2"/>
      <c r="E3046" s="310"/>
      <c r="G3046" s="2"/>
      <c r="H3046" s="310"/>
      <c r="I3046" s="2"/>
      <c r="O3046" s="2"/>
      <c r="P3046" s="2"/>
    </row>
    <row r="3047" spans="4:16" x14ac:dyDescent="0.25">
      <c r="D3047" s="2"/>
      <c r="E3047" s="310"/>
      <c r="G3047" s="2"/>
      <c r="H3047" s="310"/>
      <c r="I3047" s="2"/>
      <c r="O3047" s="2"/>
      <c r="P3047" s="2"/>
    </row>
    <row r="3048" spans="4:16" x14ac:dyDescent="0.25">
      <c r="D3048" s="2"/>
      <c r="E3048" s="310"/>
      <c r="G3048" s="2"/>
      <c r="H3048" s="310"/>
      <c r="I3048" s="2"/>
      <c r="O3048" s="2"/>
      <c r="P3048" s="2"/>
    </row>
    <row r="3049" spans="4:16" x14ac:dyDescent="0.25">
      <c r="D3049" s="2"/>
      <c r="E3049" s="310"/>
      <c r="G3049" s="2"/>
      <c r="H3049" s="310"/>
      <c r="I3049" s="2"/>
      <c r="O3049" s="2"/>
      <c r="P3049" s="2"/>
    </row>
    <row r="3050" spans="4:16" x14ac:dyDescent="0.25">
      <c r="D3050" s="2"/>
      <c r="E3050" s="310"/>
      <c r="G3050" s="2"/>
      <c r="H3050" s="310"/>
      <c r="I3050" s="2"/>
      <c r="O3050" s="2"/>
      <c r="P3050" s="2"/>
    </row>
    <row r="3051" spans="4:16" x14ac:dyDescent="0.25">
      <c r="D3051" s="2"/>
      <c r="E3051" s="310"/>
      <c r="G3051" s="2"/>
      <c r="H3051" s="310"/>
      <c r="I3051" s="2"/>
      <c r="O3051" s="2"/>
      <c r="P3051" s="2"/>
    </row>
    <row r="3052" spans="4:16" x14ac:dyDescent="0.25">
      <c r="D3052" s="2"/>
      <c r="E3052" s="310"/>
      <c r="G3052" s="2"/>
      <c r="H3052" s="310"/>
      <c r="I3052" s="2"/>
      <c r="O3052" s="2"/>
      <c r="P3052" s="2"/>
    </row>
    <row r="3053" spans="4:16" x14ac:dyDescent="0.25">
      <c r="D3053" s="2"/>
      <c r="E3053" s="310"/>
      <c r="G3053" s="2"/>
      <c r="H3053" s="310"/>
      <c r="I3053" s="2"/>
      <c r="O3053" s="2"/>
      <c r="P3053" s="2"/>
    </row>
    <row r="3054" spans="4:16" x14ac:dyDescent="0.25">
      <c r="D3054" s="2"/>
      <c r="E3054" s="310"/>
      <c r="G3054" s="2"/>
      <c r="H3054" s="310"/>
      <c r="I3054" s="2"/>
      <c r="O3054" s="2"/>
      <c r="P3054" s="2"/>
    </row>
    <row r="3055" spans="4:16" x14ac:dyDescent="0.25">
      <c r="D3055" s="2"/>
      <c r="E3055" s="310"/>
      <c r="G3055" s="2"/>
      <c r="H3055" s="310"/>
      <c r="I3055" s="2"/>
      <c r="O3055" s="2"/>
      <c r="P3055" s="2"/>
    </row>
    <row r="3056" spans="4:16" x14ac:dyDescent="0.25">
      <c r="D3056" s="2"/>
      <c r="E3056" s="310"/>
      <c r="G3056" s="2"/>
      <c r="H3056" s="310"/>
      <c r="I3056" s="2"/>
      <c r="O3056" s="2"/>
      <c r="P3056" s="2"/>
    </row>
    <row r="3057" spans="4:16" x14ac:dyDescent="0.25">
      <c r="D3057" s="2"/>
      <c r="E3057" s="310"/>
      <c r="G3057" s="2"/>
      <c r="H3057" s="310"/>
      <c r="I3057" s="2"/>
      <c r="O3057" s="2"/>
      <c r="P3057" s="2"/>
    </row>
    <row r="3058" spans="4:16" x14ac:dyDescent="0.25">
      <c r="D3058" s="2"/>
      <c r="E3058" s="310"/>
      <c r="G3058" s="2"/>
      <c r="H3058" s="310"/>
      <c r="I3058" s="2"/>
      <c r="O3058" s="2"/>
      <c r="P3058" s="2"/>
    </row>
    <row r="3059" spans="4:16" x14ac:dyDescent="0.25">
      <c r="D3059" s="2"/>
      <c r="E3059" s="310"/>
      <c r="G3059" s="2"/>
      <c r="H3059" s="310"/>
      <c r="I3059" s="2"/>
      <c r="O3059" s="2"/>
      <c r="P3059" s="2"/>
    </row>
    <row r="3060" spans="4:16" x14ac:dyDescent="0.25">
      <c r="D3060" s="2"/>
      <c r="E3060" s="310"/>
      <c r="G3060" s="2"/>
      <c r="H3060" s="310"/>
      <c r="I3060" s="2"/>
      <c r="O3060" s="2"/>
      <c r="P3060" s="2"/>
    </row>
    <row r="3061" spans="4:16" x14ac:dyDescent="0.25">
      <c r="D3061" s="2"/>
      <c r="E3061" s="310"/>
      <c r="G3061" s="2"/>
      <c r="H3061" s="310"/>
      <c r="I3061" s="2"/>
      <c r="O3061" s="2"/>
      <c r="P3061" s="2"/>
    </row>
    <row r="3062" spans="4:16" x14ac:dyDescent="0.25">
      <c r="D3062" s="2"/>
      <c r="E3062" s="310"/>
      <c r="G3062" s="2"/>
      <c r="H3062" s="310"/>
      <c r="I3062" s="2"/>
      <c r="O3062" s="2"/>
      <c r="P3062" s="2"/>
    </row>
    <row r="3063" spans="4:16" x14ac:dyDescent="0.25">
      <c r="D3063" s="2"/>
      <c r="E3063" s="310"/>
      <c r="G3063" s="2"/>
      <c r="H3063" s="310"/>
      <c r="I3063" s="2"/>
      <c r="O3063" s="2"/>
      <c r="P3063" s="2"/>
    </row>
    <row r="3064" spans="4:16" x14ac:dyDescent="0.25">
      <c r="D3064" s="2"/>
      <c r="E3064" s="310"/>
      <c r="G3064" s="2"/>
      <c r="H3064" s="310"/>
      <c r="I3064" s="2"/>
      <c r="O3064" s="2"/>
      <c r="P3064" s="2"/>
    </row>
    <row r="3065" spans="4:16" x14ac:dyDescent="0.25">
      <c r="D3065" s="2"/>
      <c r="E3065" s="310"/>
      <c r="G3065" s="2"/>
      <c r="H3065" s="310"/>
      <c r="I3065" s="2"/>
      <c r="O3065" s="2"/>
      <c r="P3065" s="2"/>
    </row>
    <row r="3066" spans="4:16" x14ac:dyDescent="0.25">
      <c r="D3066" s="2"/>
      <c r="E3066" s="310"/>
      <c r="G3066" s="2"/>
      <c r="H3066" s="310"/>
      <c r="I3066" s="2"/>
      <c r="O3066" s="2"/>
      <c r="P3066" s="2"/>
    </row>
    <row r="3067" spans="4:16" x14ac:dyDescent="0.25">
      <c r="D3067" s="2"/>
      <c r="E3067" s="310"/>
      <c r="G3067" s="2"/>
      <c r="H3067" s="310"/>
      <c r="I3067" s="2"/>
      <c r="O3067" s="2"/>
      <c r="P3067" s="2"/>
    </row>
    <row r="3068" spans="4:16" x14ac:dyDescent="0.25">
      <c r="D3068" s="2"/>
      <c r="E3068" s="310"/>
      <c r="G3068" s="2"/>
      <c r="H3068" s="310"/>
      <c r="I3068" s="2"/>
      <c r="O3068" s="2"/>
      <c r="P3068" s="2"/>
    </row>
    <row r="3069" spans="4:16" x14ac:dyDescent="0.25">
      <c r="D3069" s="2"/>
      <c r="E3069" s="310"/>
      <c r="G3069" s="2"/>
      <c r="H3069" s="310"/>
      <c r="I3069" s="2"/>
      <c r="O3069" s="2"/>
      <c r="P3069" s="2"/>
    </row>
    <row r="3070" spans="4:16" x14ac:dyDescent="0.25">
      <c r="D3070" s="2"/>
      <c r="E3070" s="310"/>
      <c r="G3070" s="2"/>
      <c r="H3070" s="310"/>
      <c r="I3070" s="2"/>
      <c r="O3070" s="2"/>
      <c r="P3070" s="2"/>
    </row>
    <row r="3071" spans="4:16" x14ac:dyDescent="0.25">
      <c r="D3071" s="2"/>
      <c r="E3071" s="310"/>
      <c r="G3071" s="2"/>
      <c r="H3071" s="310"/>
      <c r="I3071" s="2"/>
      <c r="O3071" s="2"/>
      <c r="P3071" s="2"/>
    </row>
    <row r="3072" spans="4:16" x14ac:dyDescent="0.25">
      <c r="D3072" s="2"/>
      <c r="E3072" s="310"/>
      <c r="G3072" s="2"/>
      <c r="H3072" s="310"/>
      <c r="I3072" s="2"/>
      <c r="O3072" s="2"/>
      <c r="P3072" s="2"/>
    </row>
    <row r="3073" spans="4:16" x14ac:dyDescent="0.25">
      <c r="D3073" s="2"/>
      <c r="E3073" s="310"/>
      <c r="G3073" s="2"/>
      <c r="H3073" s="310"/>
      <c r="I3073" s="2"/>
      <c r="O3073" s="2"/>
      <c r="P3073" s="2"/>
    </row>
    <row r="3074" spans="4:16" x14ac:dyDescent="0.25">
      <c r="D3074" s="2"/>
      <c r="E3074" s="310"/>
      <c r="G3074" s="2"/>
      <c r="H3074" s="310"/>
      <c r="I3074" s="2"/>
      <c r="O3074" s="2"/>
      <c r="P3074" s="2"/>
    </row>
    <row r="3075" spans="4:16" x14ac:dyDescent="0.25">
      <c r="D3075" s="2"/>
      <c r="E3075" s="310"/>
      <c r="G3075" s="2"/>
      <c r="H3075" s="310"/>
      <c r="I3075" s="2"/>
      <c r="O3075" s="2"/>
      <c r="P3075" s="2"/>
    </row>
    <row r="3076" spans="4:16" x14ac:dyDescent="0.25">
      <c r="D3076" s="2"/>
      <c r="E3076" s="310"/>
      <c r="G3076" s="2"/>
      <c r="H3076" s="310"/>
      <c r="I3076" s="2"/>
      <c r="O3076" s="2"/>
      <c r="P3076" s="2"/>
    </row>
    <row r="3077" spans="4:16" x14ac:dyDescent="0.25">
      <c r="D3077" s="2"/>
      <c r="E3077" s="310"/>
      <c r="G3077" s="2"/>
      <c r="H3077" s="310"/>
      <c r="I3077" s="2"/>
      <c r="O3077" s="2"/>
      <c r="P3077" s="2"/>
    </row>
    <row r="3078" spans="4:16" x14ac:dyDescent="0.25">
      <c r="D3078" s="2"/>
      <c r="E3078" s="310"/>
      <c r="G3078" s="2"/>
      <c r="H3078" s="310"/>
      <c r="I3078" s="2"/>
      <c r="O3078" s="2"/>
      <c r="P3078" s="2"/>
    </row>
    <row r="3079" spans="4:16" x14ac:dyDescent="0.25">
      <c r="D3079" s="2"/>
      <c r="E3079" s="310"/>
      <c r="G3079" s="2"/>
      <c r="H3079" s="310"/>
      <c r="I3079" s="2"/>
      <c r="O3079" s="2"/>
      <c r="P3079" s="2"/>
    </row>
    <row r="3080" spans="4:16" x14ac:dyDescent="0.25">
      <c r="D3080" s="2"/>
      <c r="E3080" s="310"/>
      <c r="G3080" s="2"/>
      <c r="H3080" s="310"/>
      <c r="I3080" s="2"/>
      <c r="O3080" s="2"/>
      <c r="P3080" s="2"/>
    </row>
    <row r="3081" spans="4:16" x14ac:dyDescent="0.25">
      <c r="D3081" s="2"/>
      <c r="E3081" s="310"/>
      <c r="G3081" s="2"/>
      <c r="H3081" s="310"/>
      <c r="I3081" s="2"/>
      <c r="O3081" s="2"/>
      <c r="P3081" s="2"/>
    </row>
    <row r="3082" spans="4:16" x14ac:dyDescent="0.25">
      <c r="D3082" s="2"/>
      <c r="E3082" s="310"/>
      <c r="G3082" s="2"/>
      <c r="H3082" s="310"/>
      <c r="I3082" s="2"/>
      <c r="O3082" s="2"/>
      <c r="P3082" s="2"/>
    </row>
    <row r="3083" spans="4:16" x14ac:dyDescent="0.25">
      <c r="D3083" s="2"/>
      <c r="E3083" s="310"/>
      <c r="G3083" s="2"/>
      <c r="H3083" s="310"/>
      <c r="I3083" s="2"/>
      <c r="O3083" s="2"/>
      <c r="P3083" s="2"/>
    </row>
    <row r="3084" spans="4:16" x14ac:dyDescent="0.25">
      <c r="D3084" s="2"/>
      <c r="E3084" s="310"/>
      <c r="G3084" s="2"/>
      <c r="H3084" s="310"/>
      <c r="I3084" s="2"/>
      <c r="O3084" s="2"/>
      <c r="P3084" s="2"/>
    </row>
    <row r="3085" spans="4:16" x14ac:dyDescent="0.25">
      <c r="D3085" s="2"/>
      <c r="E3085" s="310"/>
      <c r="G3085" s="2"/>
      <c r="H3085" s="310"/>
      <c r="I3085" s="2"/>
      <c r="O3085" s="2"/>
      <c r="P3085" s="2"/>
    </row>
    <row r="3086" spans="4:16" x14ac:dyDescent="0.25">
      <c r="D3086" s="2"/>
      <c r="E3086" s="310"/>
      <c r="G3086" s="2"/>
      <c r="H3086" s="310"/>
      <c r="I3086" s="2"/>
      <c r="O3086" s="2"/>
      <c r="P3086" s="2"/>
    </row>
    <row r="3087" spans="4:16" x14ac:dyDescent="0.25">
      <c r="D3087" s="2"/>
      <c r="E3087" s="310"/>
      <c r="G3087" s="2"/>
      <c r="H3087" s="310"/>
      <c r="I3087" s="2"/>
      <c r="O3087" s="2"/>
      <c r="P3087" s="2"/>
    </row>
    <row r="3088" spans="4:16" x14ac:dyDescent="0.25">
      <c r="D3088" s="2"/>
      <c r="E3088" s="310"/>
      <c r="G3088" s="2"/>
      <c r="H3088" s="310"/>
      <c r="I3088" s="2"/>
      <c r="O3088" s="2"/>
      <c r="P3088" s="2"/>
    </row>
    <row r="3089" spans="4:16" x14ac:dyDescent="0.25">
      <c r="D3089" s="2"/>
      <c r="E3089" s="310"/>
      <c r="G3089" s="2"/>
      <c r="H3089" s="310"/>
      <c r="I3089" s="2"/>
      <c r="O3089" s="2"/>
      <c r="P3089" s="2"/>
    </row>
    <row r="3090" spans="4:16" x14ac:dyDescent="0.25">
      <c r="D3090" s="2"/>
      <c r="E3090" s="310"/>
      <c r="G3090" s="2"/>
      <c r="H3090" s="310"/>
      <c r="I3090" s="2"/>
      <c r="O3090" s="2"/>
      <c r="P3090" s="2"/>
    </row>
    <row r="3091" spans="4:16" x14ac:dyDescent="0.25">
      <c r="D3091" s="2"/>
      <c r="E3091" s="310"/>
      <c r="G3091" s="2"/>
      <c r="H3091" s="310"/>
      <c r="I3091" s="2"/>
      <c r="O3091" s="2"/>
      <c r="P3091" s="2"/>
    </row>
    <row r="3092" spans="4:16" x14ac:dyDescent="0.25">
      <c r="D3092" s="2"/>
      <c r="E3092" s="310"/>
      <c r="G3092" s="2"/>
      <c r="H3092" s="310"/>
      <c r="I3092" s="2"/>
      <c r="O3092" s="2"/>
      <c r="P3092" s="2"/>
    </row>
    <row r="3093" spans="4:16" x14ac:dyDescent="0.25">
      <c r="D3093" s="2"/>
      <c r="E3093" s="310"/>
      <c r="G3093" s="2"/>
      <c r="H3093" s="310"/>
      <c r="I3093" s="2"/>
      <c r="O3093" s="2"/>
      <c r="P3093" s="2"/>
    </row>
    <row r="3094" spans="4:16" x14ac:dyDescent="0.25">
      <c r="D3094" s="2"/>
      <c r="E3094" s="310"/>
      <c r="G3094" s="2"/>
      <c r="H3094" s="310"/>
      <c r="I3094" s="2"/>
      <c r="O3094" s="2"/>
      <c r="P3094" s="2"/>
    </row>
    <row r="3095" spans="4:16" x14ac:dyDescent="0.25">
      <c r="D3095" s="2"/>
      <c r="E3095" s="310"/>
      <c r="G3095" s="2"/>
      <c r="H3095" s="310"/>
      <c r="I3095" s="2"/>
      <c r="O3095" s="2"/>
      <c r="P3095" s="2"/>
    </row>
    <row r="3096" spans="4:16" x14ac:dyDescent="0.25">
      <c r="D3096" s="2"/>
      <c r="E3096" s="310"/>
      <c r="G3096" s="2"/>
      <c r="H3096" s="310"/>
      <c r="I3096" s="2"/>
      <c r="O3096" s="2"/>
      <c r="P3096" s="2"/>
    </row>
    <row r="3097" spans="4:16" x14ac:dyDescent="0.25">
      <c r="D3097" s="2"/>
      <c r="E3097" s="310"/>
      <c r="G3097" s="2"/>
      <c r="H3097" s="310"/>
      <c r="I3097" s="2"/>
      <c r="O3097" s="2"/>
      <c r="P3097" s="2"/>
    </row>
    <row r="3098" spans="4:16" x14ac:dyDescent="0.25">
      <c r="D3098" s="2"/>
      <c r="E3098" s="310"/>
      <c r="G3098" s="2"/>
      <c r="H3098" s="310"/>
      <c r="I3098" s="2"/>
      <c r="O3098" s="2"/>
      <c r="P3098" s="2"/>
    </row>
    <row r="3099" spans="4:16" x14ac:dyDescent="0.25">
      <c r="D3099" s="2"/>
      <c r="E3099" s="310"/>
      <c r="G3099" s="2"/>
      <c r="H3099" s="310"/>
      <c r="I3099" s="2"/>
      <c r="O3099" s="2"/>
      <c r="P3099" s="2"/>
    </row>
    <row r="3100" spans="4:16" x14ac:dyDescent="0.25">
      <c r="D3100" s="2"/>
      <c r="E3100" s="310"/>
      <c r="G3100" s="2"/>
      <c r="H3100" s="310"/>
      <c r="I3100" s="2"/>
      <c r="O3100" s="2"/>
      <c r="P3100" s="2"/>
    </row>
    <row r="3101" spans="4:16" x14ac:dyDescent="0.25">
      <c r="D3101" s="2"/>
      <c r="E3101" s="310"/>
      <c r="G3101" s="2"/>
      <c r="H3101" s="310"/>
      <c r="I3101" s="2"/>
      <c r="O3101" s="2"/>
      <c r="P3101" s="2"/>
    </row>
    <row r="3102" spans="4:16" x14ac:dyDescent="0.25">
      <c r="D3102" s="2"/>
      <c r="E3102" s="310"/>
      <c r="G3102" s="2"/>
      <c r="H3102" s="310"/>
      <c r="I3102" s="2"/>
      <c r="O3102" s="2"/>
      <c r="P3102" s="2"/>
    </row>
    <row r="3103" spans="4:16" x14ac:dyDescent="0.25">
      <c r="D3103" s="2"/>
      <c r="E3103" s="310"/>
      <c r="G3103" s="2"/>
      <c r="H3103" s="310"/>
      <c r="I3103" s="2"/>
      <c r="O3103" s="2"/>
      <c r="P3103" s="2"/>
    </row>
    <row r="3104" spans="4:16" x14ac:dyDescent="0.25">
      <c r="D3104" s="2"/>
      <c r="E3104" s="310"/>
      <c r="G3104" s="2"/>
      <c r="H3104" s="310"/>
      <c r="I3104" s="2"/>
      <c r="O3104" s="2"/>
      <c r="P3104" s="2"/>
    </row>
    <row r="3105" spans="4:16" x14ac:dyDescent="0.25">
      <c r="D3105" s="2"/>
      <c r="E3105" s="310"/>
      <c r="G3105" s="2"/>
      <c r="H3105" s="310"/>
      <c r="I3105" s="2"/>
      <c r="O3105" s="2"/>
      <c r="P3105" s="2"/>
    </row>
    <row r="3106" spans="4:16" x14ac:dyDescent="0.25">
      <c r="D3106" s="2"/>
      <c r="E3106" s="310"/>
      <c r="G3106" s="2"/>
      <c r="H3106" s="310"/>
      <c r="I3106" s="2"/>
      <c r="O3106" s="2"/>
      <c r="P3106" s="2"/>
    </row>
    <row r="3107" spans="4:16" x14ac:dyDescent="0.25">
      <c r="D3107" s="2"/>
      <c r="E3107" s="310"/>
      <c r="G3107" s="2"/>
      <c r="H3107" s="310"/>
      <c r="I3107" s="2"/>
      <c r="O3107" s="2"/>
      <c r="P3107" s="2"/>
    </row>
    <row r="3108" spans="4:16" x14ac:dyDescent="0.25">
      <c r="D3108" s="2"/>
      <c r="E3108" s="310"/>
      <c r="G3108" s="2"/>
      <c r="H3108" s="310"/>
      <c r="I3108" s="2"/>
      <c r="O3108" s="2"/>
      <c r="P3108" s="2"/>
    </row>
    <row r="3109" spans="4:16" x14ac:dyDescent="0.25">
      <c r="D3109" s="2"/>
      <c r="E3109" s="310"/>
      <c r="G3109" s="2"/>
      <c r="H3109" s="310"/>
      <c r="I3109" s="2"/>
      <c r="O3109" s="2"/>
      <c r="P3109" s="2"/>
    </row>
    <row r="3110" spans="4:16" x14ac:dyDescent="0.25">
      <c r="D3110" s="2"/>
      <c r="E3110" s="310"/>
      <c r="G3110" s="2"/>
      <c r="H3110" s="310"/>
      <c r="I3110" s="2"/>
      <c r="O3110" s="2"/>
      <c r="P3110" s="2"/>
    </row>
    <row r="3111" spans="4:16" x14ac:dyDescent="0.25">
      <c r="D3111" s="2"/>
      <c r="E3111" s="310"/>
      <c r="G3111" s="2"/>
      <c r="H3111" s="310"/>
      <c r="I3111" s="2"/>
      <c r="O3111" s="2"/>
      <c r="P3111" s="2"/>
    </row>
    <row r="3112" spans="4:16" x14ac:dyDescent="0.25">
      <c r="D3112" s="2"/>
      <c r="E3112" s="310"/>
      <c r="G3112" s="2"/>
      <c r="H3112" s="310"/>
      <c r="I3112" s="2"/>
      <c r="O3112" s="2"/>
      <c r="P3112" s="2"/>
    </row>
    <row r="3113" spans="4:16" x14ac:dyDescent="0.25">
      <c r="D3113" s="2"/>
      <c r="E3113" s="310"/>
      <c r="G3113" s="2"/>
      <c r="H3113" s="310"/>
      <c r="I3113" s="2"/>
      <c r="O3113" s="2"/>
      <c r="P3113" s="2"/>
    </row>
    <row r="3114" spans="4:16" x14ac:dyDescent="0.25">
      <c r="D3114" s="2"/>
      <c r="E3114" s="310"/>
      <c r="G3114" s="2"/>
      <c r="H3114" s="310"/>
      <c r="I3114" s="2"/>
      <c r="O3114" s="2"/>
      <c r="P3114" s="2"/>
    </row>
    <row r="3115" spans="4:16" x14ac:dyDescent="0.25">
      <c r="D3115" s="2"/>
      <c r="E3115" s="310"/>
      <c r="G3115" s="2"/>
      <c r="H3115" s="310"/>
      <c r="I3115" s="2"/>
      <c r="O3115" s="2"/>
      <c r="P3115" s="2"/>
    </row>
    <row r="3116" spans="4:16" x14ac:dyDescent="0.25">
      <c r="D3116" s="2"/>
      <c r="E3116" s="310"/>
      <c r="G3116" s="2"/>
      <c r="H3116" s="310"/>
      <c r="I3116" s="2"/>
      <c r="O3116" s="2"/>
      <c r="P3116" s="2"/>
    </row>
    <row r="3117" spans="4:16" x14ac:dyDescent="0.25">
      <c r="D3117" s="2"/>
      <c r="E3117" s="310"/>
      <c r="G3117" s="2"/>
      <c r="H3117" s="310"/>
      <c r="I3117" s="2"/>
      <c r="O3117" s="2"/>
      <c r="P3117" s="2"/>
    </row>
    <row r="3118" spans="4:16" x14ac:dyDescent="0.25">
      <c r="D3118" s="2"/>
      <c r="E3118" s="310"/>
      <c r="G3118" s="2"/>
      <c r="H3118" s="310"/>
      <c r="I3118" s="2"/>
      <c r="O3118" s="2"/>
      <c r="P3118" s="2"/>
    </row>
    <row r="3119" spans="4:16" x14ac:dyDescent="0.25">
      <c r="D3119" s="2"/>
      <c r="E3119" s="310"/>
      <c r="G3119" s="2"/>
      <c r="H3119" s="310"/>
      <c r="I3119" s="2"/>
      <c r="O3119" s="2"/>
      <c r="P3119" s="2"/>
    </row>
    <row r="3120" spans="4:16" x14ac:dyDescent="0.25">
      <c r="D3120" s="2"/>
      <c r="E3120" s="310"/>
      <c r="G3120" s="2"/>
      <c r="H3120" s="310"/>
      <c r="I3120" s="2"/>
      <c r="O3120" s="2"/>
      <c r="P3120" s="2"/>
    </row>
    <row r="3121" spans="4:16" x14ac:dyDescent="0.25">
      <c r="D3121" s="2"/>
      <c r="E3121" s="310"/>
      <c r="G3121" s="2"/>
      <c r="H3121" s="310"/>
      <c r="I3121" s="2"/>
      <c r="O3121" s="2"/>
      <c r="P3121" s="2"/>
    </row>
    <row r="3122" spans="4:16" x14ac:dyDescent="0.25">
      <c r="D3122" s="2"/>
      <c r="E3122" s="310"/>
      <c r="G3122" s="2"/>
      <c r="H3122" s="310"/>
      <c r="I3122" s="2"/>
      <c r="O3122" s="2"/>
      <c r="P3122" s="2"/>
    </row>
    <row r="3123" spans="4:16" x14ac:dyDescent="0.25">
      <c r="D3123" s="2"/>
      <c r="E3123" s="310"/>
      <c r="G3123" s="2"/>
      <c r="H3123" s="310"/>
      <c r="I3123" s="2"/>
      <c r="O3123" s="2"/>
      <c r="P3123" s="2"/>
    </row>
    <row r="3124" spans="4:16" x14ac:dyDescent="0.25">
      <c r="D3124" s="2"/>
      <c r="E3124" s="310"/>
      <c r="G3124" s="2"/>
      <c r="H3124" s="310"/>
      <c r="I3124" s="2"/>
      <c r="O3124" s="2"/>
      <c r="P3124" s="2"/>
    </row>
    <row r="3125" spans="4:16" x14ac:dyDescent="0.25">
      <c r="D3125" s="2"/>
      <c r="E3125" s="310"/>
      <c r="G3125" s="2"/>
      <c r="H3125" s="310"/>
      <c r="I3125" s="2"/>
      <c r="O3125" s="2"/>
      <c r="P3125" s="2"/>
    </row>
    <row r="3126" spans="4:16" x14ac:dyDescent="0.25">
      <c r="D3126" s="2"/>
      <c r="E3126" s="310"/>
      <c r="G3126" s="2"/>
      <c r="H3126" s="310"/>
      <c r="I3126" s="2"/>
      <c r="O3126" s="2"/>
      <c r="P3126" s="2"/>
    </row>
    <row r="3127" spans="4:16" x14ac:dyDescent="0.25">
      <c r="D3127" s="2"/>
      <c r="E3127" s="310"/>
      <c r="G3127" s="2"/>
      <c r="H3127" s="310"/>
      <c r="I3127" s="2"/>
      <c r="O3127" s="2"/>
      <c r="P3127" s="2"/>
    </row>
    <row r="3128" spans="4:16" x14ac:dyDescent="0.25">
      <c r="D3128" s="2"/>
      <c r="E3128" s="310"/>
      <c r="G3128" s="2"/>
      <c r="H3128" s="310"/>
      <c r="I3128" s="2"/>
      <c r="O3128" s="2"/>
      <c r="P3128" s="2"/>
    </row>
    <row r="3129" spans="4:16" x14ac:dyDescent="0.25">
      <c r="D3129" s="2"/>
      <c r="E3129" s="310"/>
      <c r="G3129" s="2"/>
      <c r="H3129" s="310"/>
      <c r="I3129" s="2"/>
      <c r="O3129" s="2"/>
      <c r="P3129" s="2"/>
    </row>
    <row r="3130" spans="4:16" x14ac:dyDescent="0.25">
      <c r="D3130" s="2"/>
      <c r="E3130" s="310"/>
      <c r="G3130" s="2"/>
      <c r="H3130" s="310"/>
      <c r="I3130" s="2"/>
      <c r="O3130" s="2"/>
      <c r="P3130" s="2"/>
    </row>
    <row r="3131" spans="4:16" x14ac:dyDescent="0.25">
      <c r="D3131" s="2"/>
      <c r="E3131" s="310"/>
      <c r="G3131" s="2"/>
      <c r="H3131" s="310"/>
      <c r="I3131" s="2"/>
      <c r="O3131" s="2"/>
      <c r="P3131" s="2"/>
    </row>
    <row r="3132" spans="4:16" x14ac:dyDescent="0.25">
      <c r="D3132" s="2"/>
      <c r="E3132" s="310"/>
      <c r="G3132" s="2"/>
      <c r="H3132" s="310"/>
      <c r="I3132" s="2"/>
      <c r="O3132" s="2"/>
      <c r="P3132" s="2"/>
    </row>
    <row r="3133" spans="4:16" x14ac:dyDescent="0.25">
      <c r="D3133" s="2"/>
      <c r="E3133" s="310"/>
      <c r="G3133" s="2"/>
      <c r="H3133" s="310"/>
      <c r="I3133" s="2"/>
      <c r="O3133" s="2"/>
      <c r="P3133" s="2"/>
    </row>
    <row r="3134" spans="4:16" x14ac:dyDescent="0.25">
      <c r="D3134" s="2"/>
      <c r="E3134" s="310"/>
      <c r="G3134" s="2"/>
      <c r="H3134" s="310"/>
      <c r="I3134" s="2"/>
      <c r="O3134" s="2"/>
      <c r="P3134" s="2"/>
    </row>
    <row r="3135" spans="4:16" x14ac:dyDescent="0.25">
      <c r="D3135" s="2"/>
      <c r="E3135" s="310"/>
      <c r="G3135" s="2"/>
      <c r="H3135" s="310"/>
      <c r="I3135" s="2"/>
      <c r="O3135" s="2"/>
      <c r="P3135" s="2"/>
    </row>
    <row r="3136" spans="4:16" x14ac:dyDescent="0.25">
      <c r="D3136" s="2"/>
      <c r="E3136" s="310"/>
      <c r="G3136" s="2"/>
      <c r="H3136" s="310"/>
      <c r="I3136" s="2"/>
      <c r="O3136" s="2"/>
      <c r="P3136" s="2"/>
    </row>
    <row r="3137" spans="4:16" x14ac:dyDescent="0.25">
      <c r="D3137" s="2"/>
      <c r="E3137" s="310"/>
      <c r="G3137" s="2"/>
      <c r="H3137" s="310"/>
      <c r="I3137" s="2"/>
      <c r="O3137" s="2"/>
      <c r="P3137" s="2"/>
    </row>
    <row r="3138" spans="4:16" x14ac:dyDescent="0.25">
      <c r="D3138" s="2"/>
      <c r="E3138" s="310"/>
      <c r="G3138" s="2"/>
      <c r="H3138" s="310"/>
      <c r="I3138" s="2"/>
      <c r="O3138" s="2"/>
      <c r="P3138" s="2"/>
    </row>
    <row r="3139" spans="4:16" x14ac:dyDescent="0.25">
      <c r="D3139" s="2"/>
      <c r="E3139" s="310"/>
      <c r="G3139" s="2"/>
      <c r="H3139" s="310"/>
      <c r="I3139" s="2"/>
      <c r="O3139" s="2"/>
      <c r="P3139" s="2"/>
    </row>
    <row r="3140" spans="4:16" x14ac:dyDescent="0.25">
      <c r="D3140" s="2"/>
      <c r="E3140" s="310"/>
      <c r="G3140" s="2"/>
      <c r="H3140" s="310"/>
      <c r="I3140" s="2"/>
      <c r="O3140" s="2"/>
      <c r="P3140" s="2"/>
    </row>
    <row r="3141" spans="4:16" x14ac:dyDescent="0.25">
      <c r="D3141" s="2"/>
      <c r="E3141" s="310"/>
      <c r="G3141" s="2"/>
      <c r="H3141" s="310"/>
      <c r="I3141" s="2"/>
      <c r="O3141" s="2"/>
      <c r="P3141" s="2"/>
    </row>
    <row r="3142" spans="4:16" x14ac:dyDescent="0.25">
      <c r="D3142" s="2"/>
      <c r="E3142" s="310"/>
      <c r="G3142" s="2"/>
      <c r="H3142" s="310"/>
      <c r="I3142" s="2"/>
      <c r="O3142" s="2"/>
      <c r="P3142" s="2"/>
    </row>
    <row r="3143" spans="4:16" x14ac:dyDescent="0.25">
      <c r="D3143" s="2"/>
      <c r="E3143" s="310"/>
      <c r="G3143" s="2"/>
      <c r="H3143" s="310"/>
      <c r="I3143" s="2"/>
      <c r="O3143" s="2"/>
      <c r="P3143" s="2"/>
    </row>
    <row r="3144" spans="4:16" x14ac:dyDescent="0.25">
      <c r="D3144" s="2"/>
      <c r="E3144" s="310"/>
      <c r="G3144" s="2"/>
      <c r="H3144" s="310"/>
      <c r="I3144" s="2"/>
      <c r="O3144" s="2"/>
      <c r="P3144" s="2"/>
    </row>
    <row r="3145" spans="4:16" x14ac:dyDescent="0.25">
      <c r="D3145" s="2"/>
      <c r="E3145" s="310"/>
      <c r="G3145" s="2"/>
      <c r="H3145" s="310"/>
      <c r="I3145" s="2"/>
      <c r="O3145" s="2"/>
      <c r="P3145" s="2"/>
    </row>
    <row r="3146" spans="4:16" x14ac:dyDescent="0.25">
      <c r="D3146" s="2"/>
      <c r="E3146" s="310"/>
      <c r="G3146" s="2"/>
      <c r="H3146" s="310"/>
      <c r="I3146" s="2"/>
      <c r="O3146" s="2"/>
      <c r="P3146" s="2"/>
    </row>
    <row r="3147" spans="4:16" x14ac:dyDescent="0.25">
      <c r="D3147" s="2"/>
      <c r="E3147" s="310"/>
      <c r="G3147" s="2"/>
      <c r="H3147" s="310"/>
      <c r="I3147" s="2"/>
      <c r="O3147" s="2"/>
      <c r="P3147" s="2"/>
    </row>
    <row r="3148" spans="4:16" x14ac:dyDescent="0.25">
      <c r="D3148" s="2"/>
      <c r="E3148" s="310"/>
      <c r="G3148" s="2"/>
      <c r="H3148" s="310"/>
      <c r="I3148" s="2"/>
      <c r="O3148" s="2"/>
      <c r="P3148" s="2"/>
    </row>
    <row r="3149" spans="4:16" x14ac:dyDescent="0.25">
      <c r="D3149" s="2"/>
      <c r="E3149" s="310"/>
      <c r="G3149" s="2"/>
      <c r="H3149" s="310"/>
      <c r="I3149" s="2"/>
      <c r="O3149" s="2"/>
      <c r="P3149" s="2"/>
    </row>
    <row r="3150" spans="4:16" x14ac:dyDescent="0.25">
      <c r="D3150" s="2"/>
      <c r="E3150" s="310"/>
      <c r="G3150" s="2"/>
      <c r="H3150" s="310"/>
      <c r="I3150" s="2"/>
      <c r="O3150" s="2"/>
      <c r="P3150" s="2"/>
    </row>
    <row r="3151" spans="4:16" x14ac:dyDescent="0.25">
      <c r="D3151" s="2"/>
      <c r="E3151" s="310"/>
      <c r="G3151" s="2"/>
      <c r="H3151" s="310"/>
      <c r="I3151" s="2"/>
      <c r="O3151" s="2"/>
      <c r="P3151" s="2"/>
    </row>
    <row r="3152" spans="4:16" x14ac:dyDescent="0.25">
      <c r="D3152" s="2"/>
      <c r="E3152" s="310"/>
      <c r="G3152" s="2"/>
      <c r="H3152" s="310"/>
      <c r="I3152" s="2"/>
      <c r="O3152" s="2"/>
      <c r="P3152" s="2"/>
    </row>
    <row r="3153" spans="4:16" x14ac:dyDescent="0.25">
      <c r="D3153" s="2"/>
      <c r="E3153" s="310"/>
      <c r="G3153" s="2"/>
      <c r="H3153" s="310"/>
      <c r="I3153" s="2"/>
      <c r="O3153" s="2"/>
      <c r="P3153" s="2"/>
    </row>
    <row r="3154" spans="4:16" x14ac:dyDescent="0.25">
      <c r="D3154" s="2"/>
      <c r="E3154" s="310"/>
      <c r="G3154" s="2"/>
      <c r="H3154" s="310"/>
      <c r="I3154" s="2"/>
      <c r="O3154" s="2"/>
      <c r="P3154" s="2"/>
    </row>
    <row r="3155" spans="4:16" x14ac:dyDescent="0.25">
      <c r="D3155" s="2"/>
      <c r="E3155" s="310"/>
      <c r="G3155" s="2"/>
      <c r="H3155" s="310"/>
      <c r="I3155" s="2"/>
      <c r="O3155" s="2"/>
      <c r="P3155" s="2"/>
    </row>
    <row r="3156" spans="4:16" x14ac:dyDescent="0.25">
      <c r="D3156" s="2"/>
      <c r="E3156" s="310"/>
      <c r="G3156" s="2"/>
      <c r="H3156" s="310"/>
      <c r="I3156" s="2"/>
      <c r="O3156" s="2"/>
      <c r="P3156" s="2"/>
    </row>
    <row r="3157" spans="4:16" x14ac:dyDescent="0.25">
      <c r="D3157" s="2"/>
      <c r="E3157" s="310"/>
      <c r="G3157" s="2"/>
      <c r="H3157" s="310"/>
      <c r="I3157" s="2"/>
      <c r="O3157" s="2"/>
      <c r="P3157" s="2"/>
    </row>
    <row r="3158" spans="4:16" x14ac:dyDescent="0.25">
      <c r="D3158" s="2"/>
      <c r="E3158" s="310"/>
      <c r="G3158" s="2"/>
      <c r="H3158" s="310"/>
      <c r="I3158" s="2"/>
      <c r="O3158" s="2"/>
      <c r="P3158" s="2"/>
    </row>
    <row r="3159" spans="4:16" x14ac:dyDescent="0.25">
      <c r="D3159" s="2"/>
      <c r="E3159" s="310"/>
      <c r="G3159" s="2"/>
      <c r="H3159" s="310"/>
      <c r="I3159" s="2"/>
      <c r="O3159" s="2"/>
      <c r="P3159" s="2"/>
    </row>
    <row r="3160" spans="4:16" x14ac:dyDescent="0.25">
      <c r="D3160" s="2"/>
      <c r="E3160" s="310"/>
      <c r="G3160" s="2"/>
      <c r="H3160" s="310"/>
      <c r="I3160" s="2"/>
      <c r="O3160" s="2"/>
      <c r="P3160" s="2"/>
    </row>
    <row r="3161" spans="4:16" x14ac:dyDescent="0.25">
      <c r="D3161" s="2"/>
      <c r="E3161" s="310"/>
      <c r="G3161" s="2"/>
      <c r="H3161" s="310"/>
      <c r="I3161" s="2"/>
      <c r="O3161" s="2"/>
      <c r="P3161" s="2"/>
    </row>
    <row r="3162" spans="4:16" x14ac:dyDescent="0.25">
      <c r="D3162" s="2"/>
      <c r="E3162" s="310"/>
      <c r="G3162" s="2"/>
      <c r="H3162" s="310"/>
      <c r="I3162" s="2"/>
      <c r="O3162" s="2"/>
      <c r="P3162" s="2"/>
    </row>
    <row r="3163" spans="4:16" x14ac:dyDescent="0.25">
      <c r="D3163" s="2"/>
      <c r="E3163" s="310"/>
      <c r="G3163" s="2"/>
      <c r="H3163" s="310"/>
      <c r="I3163" s="2"/>
      <c r="O3163" s="2"/>
      <c r="P3163" s="2"/>
    </row>
    <row r="3164" spans="4:16" x14ac:dyDescent="0.25">
      <c r="D3164" s="2"/>
      <c r="E3164" s="310"/>
      <c r="G3164" s="2"/>
      <c r="H3164" s="310"/>
      <c r="I3164" s="2"/>
      <c r="O3164" s="2"/>
      <c r="P3164" s="2"/>
    </row>
    <row r="3165" spans="4:16" x14ac:dyDescent="0.25">
      <c r="D3165" s="2"/>
      <c r="E3165" s="310"/>
      <c r="G3165" s="2"/>
      <c r="H3165" s="310"/>
      <c r="I3165" s="2"/>
      <c r="O3165" s="2"/>
      <c r="P3165" s="2"/>
    </row>
    <row r="3166" spans="4:16" x14ac:dyDescent="0.25">
      <c r="D3166" s="2"/>
      <c r="E3166" s="310"/>
      <c r="G3166" s="2"/>
      <c r="H3166" s="310"/>
      <c r="I3166" s="2"/>
      <c r="O3166" s="2"/>
      <c r="P3166" s="2"/>
    </row>
    <row r="3167" spans="4:16" x14ac:dyDescent="0.25">
      <c r="D3167" s="2"/>
      <c r="E3167" s="310"/>
      <c r="G3167" s="2"/>
      <c r="H3167" s="310"/>
      <c r="I3167" s="2"/>
      <c r="O3167" s="2"/>
      <c r="P3167" s="2"/>
    </row>
    <row r="3168" spans="4:16" x14ac:dyDescent="0.25">
      <c r="D3168" s="2"/>
      <c r="E3168" s="310"/>
      <c r="G3168" s="2"/>
      <c r="H3168" s="310"/>
      <c r="I3168" s="2"/>
      <c r="O3168" s="2"/>
      <c r="P3168" s="2"/>
    </row>
    <row r="3169" spans="4:16" x14ac:dyDescent="0.25">
      <c r="D3169" s="2"/>
      <c r="E3169" s="310"/>
      <c r="G3169" s="2"/>
      <c r="H3169" s="310"/>
      <c r="I3169" s="2"/>
      <c r="O3169" s="2"/>
      <c r="P3169" s="2"/>
    </row>
    <row r="3170" spans="4:16" x14ac:dyDescent="0.25">
      <c r="D3170" s="2"/>
      <c r="E3170" s="310"/>
      <c r="G3170" s="2"/>
      <c r="H3170" s="310"/>
      <c r="I3170" s="2"/>
      <c r="O3170" s="2"/>
      <c r="P3170" s="2"/>
    </row>
    <row r="3171" spans="4:16" x14ac:dyDescent="0.25">
      <c r="D3171" s="2"/>
      <c r="E3171" s="310"/>
      <c r="G3171" s="2"/>
      <c r="H3171" s="310"/>
      <c r="I3171" s="2"/>
      <c r="O3171" s="2"/>
      <c r="P3171" s="2"/>
    </row>
    <row r="3172" spans="4:16" x14ac:dyDescent="0.25">
      <c r="D3172" s="2"/>
      <c r="E3172" s="310"/>
      <c r="G3172" s="2"/>
      <c r="H3172" s="310"/>
      <c r="I3172" s="2"/>
      <c r="O3172" s="2"/>
      <c r="P3172" s="2"/>
    </row>
    <row r="3173" spans="4:16" x14ac:dyDescent="0.25">
      <c r="D3173" s="2"/>
      <c r="E3173" s="310"/>
      <c r="G3173" s="2"/>
      <c r="H3173" s="310"/>
      <c r="I3173" s="2"/>
      <c r="O3173" s="2"/>
      <c r="P3173" s="2"/>
    </row>
    <row r="3174" spans="4:16" x14ac:dyDescent="0.25">
      <c r="D3174" s="2"/>
      <c r="E3174" s="310"/>
      <c r="G3174" s="2"/>
      <c r="H3174" s="310"/>
      <c r="I3174" s="2"/>
      <c r="O3174" s="2"/>
      <c r="P3174" s="2"/>
    </row>
    <row r="3175" spans="4:16" x14ac:dyDescent="0.25">
      <c r="D3175" s="2"/>
      <c r="E3175" s="310"/>
      <c r="G3175" s="2"/>
      <c r="H3175" s="310"/>
      <c r="I3175" s="2"/>
      <c r="O3175" s="2"/>
      <c r="P3175" s="2"/>
    </row>
    <row r="3176" spans="4:16" x14ac:dyDescent="0.25">
      <c r="D3176" s="2"/>
      <c r="E3176" s="310"/>
      <c r="G3176" s="2"/>
      <c r="H3176" s="310"/>
      <c r="I3176" s="2"/>
      <c r="O3176" s="2"/>
      <c r="P3176" s="2"/>
    </row>
    <row r="3177" spans="4:16" x14ac:dyDescent="0.25">
      <c r="D3177" s="2"/>
      <c r="E3177" s="310"/>
      <c r="G3177" s="2"/>
      <c r="H3177" s="310"/>
      <c r="I3177" s="2"/>
      <c r="O3177" s="2"/>
      <c r="P3177" s="2"/>
    </row>
    <row r="3178" spans="4:16" x14ac:dyDescent="0.25">
      <c r="D3178" s="2"/>
      <c r="E3178" s="310"/>
      <c r="G3178" s="2"/>
      <c r="H3178" s="310"/>
      <c r="I3178" s="2"/>
      <c r="O3178" s="2"/>
      <c r="P3178" s="2"/>
    </row>
    <row r="3179" spans="4:16" x14ac:dyDescent="0.25">
      <c r="D3179" s="2"/>
      <c r="E3179" s="310"/>
      <c r="G3179" s="2"/>
      <c r="H3179" s="310"/>
      <c r="I3179" s="2"/>
      <c r="O3179" s="2"/>
      <c r="P3179" s="2"/>
    </row>
    <row r="3180" spans="4:16" x14ac:dyDescent="0.25">
      <c r="D3180" s="2"/>
      <c r="E3180" s="310"/>
      <c r="G3180" s="2"/>
      <c r="H3180" s="310"/>
      <c r="I3180" s="2"/>
      <c r="O3180" s="2"/>
      <c r="P3180" s="2"/>
    </row>
    <row r="3181" spans="4:16" x14ac:dyDescent="0.25">
      <c r="D3181" s="2"/>
      <c r="E3181" s="310"/>
      <c r="G3181" s="2"/>
      <c r="H3181" s="310"/>
      <c r="I3181" s="2"/>
      <c r="O3181" s="2"/>
      <c r="P3181" s="2"/>
    </row>
    <row r="3182" spans="4:16" x14ac:dyDescent="0.25">
      <c r="D3182" s="2"/>
      <c r="E3182" s="310"/>
      <c r="G3182" s="2"/>
      <c r="H3182" s="310"/>
      <c r="I3182" s="2"/>
      <c r="O3182" s="2"/>
      <c r="P3182" s="2"/>
    </row>
    <row r="3183" spans="4:16" x14ac:dyDescent="0.25">
      <c r="D3183" s="2"/>
      <c r="E3183" s="310"/>
      <c r="G3183" s="2"/>
      <c r="H3183" s="310"/>
      <c r="I3183" s="2"/>
      <c r="O3183" s="2"/>
      <c r="P3183" s="2"/>
    </row>
    <row r="3184" spans="4:16" x14ac:dyDescent="0.25">
      <c r="D3184" s="2"/>
      <c r="E3184" s="310"/>
      <c r="G3184" s="2"/>
      <c r="H3184" s="310"/>
      <c r="I3184" s="2"/>
      <c r="O3184" s="2"/>
      <c r="P3184" s="2"/>
    </row>
    <row r="3185" spans="4:16" x14ac:dyDescent="0.25">
      <c r="D3185" s="2"/>
      <c r="E3185" s="310"/>
      <c r="G3185" s="2"/>
      <c r="H3185" s="310"/>
      <c r="I3185" s="2"/>
      <c r="O3185" s="2"/>
      <c r="P3185" s="2"/>
    </row>
    <row r="3186" spans="4:16" x14ac:dyDescent="0.25">
      <c r="D3186" s="2"/>
      <c r="E3186" s="310"/>
      <c r="G3186" s="2"/>
      <c r="H3186" s="310"/>
      <c r="I3186" s="2"/>
      <c r="O3186" s="2"/>
      <c r="P3186" s="2"/>
    </row>
    <row r="3187" spans="4:16" x14ac:dyDescent="0.25">
      <c r="D3187" s="2"/>
      <c r="E3187" s="310"/>
      <c r="G3187" s="2"/>
      <c r="H3187" s="310"/>
      <c r="I3187" s="2"/>
      <c r="O3187" s="2"/>
      <c r="P3187" s="2"/>
    </row>
    <row r="3188" spans="4:16" x14ac:dyDescent="0.25">
      <c r="D3188" s="2"/>
      <c r="E3188" s="310"/>
      <c r="G3188" s="2"/>
      <c r="H3188" s="310"/>
      <c r="I3188" s="2"/>
      <c r="O3188" s="2"/>
      <c r="P3188" s="2"/>
    </row>
    <row r="3189" spans="4:16" x14ac:dyDescent="0.25">
      <c r="D3189" s="2"/>
      <c r="E3189" s="310"/>
      <c r="G3189" s="2"/>
      <c r="H3189" s="310"/>
      <c r="I3189" s="2"/>
      <c r="O3189" s="2"/>
      <c r="P3189" s="2"/>
    </row>
    <row r="3190" spans="4:16" x14ac:dyDescent="0.25">
      <c r="D3190" s="2"/>
      <c r="E3190" s="310"/>
      <c r="G3190" s="2"/>
      <c r="H3190" s="310"/>
      <c r="I3190" s="2"/>
      <c r="O3190" s="2"/>
      <c r="P3190" s="2"/>
    </row>
    <row r="3191" spans="4:16" x14ac:dyDescent="0.25">
      <c r="D3191" s="2"/>
      <c r="E3191" s="310"/>
      <c r="G3191" s="2"/>
      <c r="H3191" s="310"/>
      <c r="I3191" s="2"/>
      <c r="O3191" s="2"/>
      <c r="P3191" s="2"/>
    </row>
    <row r="3192" spans="4:16" x14ac:dyDescent="0.25">
      <c r="D3192" s="2"/>
      <c r="E3192" s="310"/>
      <c r="G3192" s="2"/>
      <c r="H3192" s="310"/>
      <c r="I3192" s="2"/>
      <c r="O3192" s="2"/>
      <c r="P3192" s="2"/>
    </row>
    <row r="3193" spans="4:16" x14ac:dyDescent="0.25">
      <c r="D3193" s="2"/>
      <c r="E3193" s="310"/>
      <c r="G3193" s="2"/>
      <c r="H3193" s="310"/>
      <c r="I3193" s="2"/>
      <c r="O3193" s="2"/>
      <c r="P3193" s="2"/>
    </row>
    <row r="3194" spans="4:16" x14ac:dyDescent="0.25">
      <c r="D3194" s="2"/>
      <c r="E3194" s="310"/>
      <c r="G3194" s="2"/>
      <c r="H3194" s="310"/>
      <c r="I3194" s="2"/>
      <c r="O3194" s="2"/>
      <c r="P3194" s="2"/>
    </row>
    <row r="3195" spans="4:16" x14ac:dyDescent="0.25">
      <c r="D3195" s="2"/>
      <c r="E3195" s="310"/>
      <c r="G3195" s="2"/>
      <c r="H3195" s="310"/>
      <c r="I3195" s="2"/>
      <c r="O3195" s="2"/>
      <c r="P3195" s="2"/>
    </row>
    <row r="3196" spans="4:16" x14ac:dyDescent="0.25">
      <c r="D3196" s="2"/>
      <c r="E3196" s="310"/>
      <c r="G3196" s="2"/>
      <c r="H3196" s="310"/>
      <c r="I3196" s="2"/>
      <c r="O3196" s="2"/>
      <c r="P3196" s="2"/>
    </row>
    <row r="3197" spans="4:16" x14ac:dyDescent="0.25">
      <c r="D3197" s="2"/>
      <c r="E3197" s="310"/>
      <c r="G3197" s="2"/>
      <c r="H3197" s="310"/>
      <c r="I3197" s="2"/>
      <c r="O3197" s="2"/>
      <c r="P3197" s="2"/>
    </row>
    <row r="3198" spans="4:16" x14ac:dyDescent="0.25">
      <c r="D3198" s="2"/>
      <c r="E3198" s="310"/>
      <c r="G3198" s="2"/>
      <c r="H3198" s="310"/>
      <c r="I3198" s="2"/>
      <c r="O3198" s="2"/>
      <c r="P3198" s="2"/>
    </row>
    <row r="3199" spans="4:16" x14ac:dyDescent="0.25">
      <c r="D3199" s="2"/>
      <c r="E3199" s="310"/>
      <c r="G3199" s="2"/>
      <c r="H3199" s="310"/>
      <c r="I3199" s="2"/>
      <c r="O3199" s="2"/>
      <c r="P3199" s="2"/>
    </row>
    <row r="3200" spans="4:16" x14ac:dyDescent="0.25">
      <c r="D3200" s="2"/>
      <c r="E3200" s="310"/>
      <c r="G3200" s="2"/>
      <c r="H3200" s="310"/>
      <c r="I3200" s="2"/>
      <c r="O3200" s="2"/>
      <c r="P3200" s="2"/>
    </row>
    <row r="3201" spans="4:16" x14ac:dyDescent="0.25">
      <c r="D3201" s="2"/>
      <c r="E3201" s="310"/>
      <c r="G3201" s="2"/>
      <c r="H3201" s="310"/>
      <c r="I3201" s="2"/>
      <c r="O3201" s="2"/>
      <c r="P3201" s="2"/>
    </row>
    <row r="3202" spans="4:16" x14ac:dyDescent="0.25">
      <c r="D3202" s="2"/>
      <c r="E3202" s="310"/>
      <c r="G3202" s="2"/>
      <c r="H3202" s="310"/>
      <c r="I3202" s="2"/>
      <c r="O3202" s="2"/>
      <c r="P3202" s="2"/>
    </row>
    <row r="3203" spans="4:16" x14ac:dyDescent="0.25">
      <c r="D3203" s="2"/>
      <c r="E3203" s="310"/>
      <c r="G3203" s="2"/>
      <c r="H3203" s="310"/>
      <c r="I3203" s="2"/>
      <c r="O3203" s="2"/>
      <c r="P3203" s="2"/>
    </row>
    <row r="3204" spans="4:16" x14ac:dyDescent="0.25">
      <c r="D3204" s="2"/>
      <c r="E3204" s="310"/>
      <c r="G3204" s="2"/>
      <c r="H3204" s="310"/>
      <c r="I3204" s="2"/>
      <c r="O3204" s="2"/>
      <c r="P3204" s="2"/>
    </row>
    <row r="3205" spans="4:16" x14ac:dyDescent="0.25">
      <c r="D3205" s="2"/>
      <c r="E3205" s="310"/>
      <c r="G3205" s="2"/>
      <c r="H3205" s="310"/>
      <c r="I3205" s="2"/>
      <c r="O3205" s="2"/>
      <c r="P3205" s="2"/>
    </row>
    <row r="3206" spans="4:16" x14ac:dyDescent="0.25">
      <c r="D3206" s="2"/>
      <c r="E3206" s="310"/>
      <c r="G3206" s="2"/>
      <c r="H3206" s="310"/>
      <c r="I3206" s="2"/>
      <c r="O3206" s="2"/>
      <c r="P3206" s="2"/>
    </row>
    <row r="3207" spans="4:16" x14ac:dyDescent="0.25">
      <c r="D3207" s="2"/>
      <c r="E3207" s="310"/>
      <c r="G3207" s="2"/>
      <c r="H3207" s="310"/>
      <c r="I3207" s="2"/>
      <c r="O3207" s="2"/>
      <c r="P3207" s="2"/>
    </row>
    <row r="3208" spans="4:16" x14ac:dyDescent="0.25">
      <c r="D3208" s="2"/>
      <c r="E3208" s="310"/>
      <c r="G3208" s="2"/>
      <c r="H3208" s="310"/>
      <c r="I3208" s="2"/>
      <c r="O3208" s="2"/>
      <c r="P3208" s="2"/>
    </row>
    <row r="3209" spans="4:16" x14ac:dyDescent="0.25">
      <c r="D3209" s="2"/>
      <c r="E3209" s="310"/>
      <c r="G3209" s="2"/>
      <c r="H3209" s="310"/>
      <c r="I3209" s="2"/>
      <c r="O3209" s="2"/>
      <c r="P3209" s="2"/>
    </row>
    <row r="3210" spans="4:16" x14ac:dyDescent="0.25">
      <c r="D3210" s="2"/>
      <c r="E3210" s="310"/>
      <c r="G3210" s="2"/>
      <c r="H3210" s="310"/>
      <c r="I3210" s="2"/>
      <c r="O3210" s="2"/>
      <c r="P3210" s="2"/>
    </row>
    <row r="3211" spans="4:16" x14ac:dyDescent="0.25">
      <c r="D3211" s="2"/>
      <c r="E3211" s="310"/>
      <c r="G3211" s="2"/>
      <c r="H3211" s="310"/>
      <c r="I3211" s="2"/>
      <c r="O3211" s="2"/>
      <c r="P3211" s="2"/>
    </row>
    <row r="3212" spans="4:16" x14ac:dyDescent="0.25">
      <c r="D3212" s="2"/>
      <c r="E3212" s="310"/>
      <c r="G3212" s="2"/>
      <c r="H3212" s="310"/>
      <c r="I3212" s="2"/>
      <c r="O3212" s="2"/>
      <c r="P3212" s="2"/>
    </row>
    <row r="3213" spans="4:16" x14ac:dyDescent="0.25">
      <c r="D3213" s="2"/>
      <c r="E3213" s="310"/>
      <c r="G3213" s="2"/>
      <c r="H3213" s="310"/>
      <c r="I3213" s="2"/>
      <c r="O3213" s="2"/>
      <c r="P3213" s="2"/>
    </row>
    <row r="3214" spans="4:16" x14ac:dyDescent="0.25">
      <c r="D3214" s="2"/>
      <c r="E3214" s="310"/>
      <c r="G3214" s="2"/>
      <c r="H3214" s="310"/>
      <c r="I3214" s="2"/>
      <c r="O3214" s="2"/>
      <c r="P3214" s="2"/>
    </row>
    <row r="3215" spans="4:16" x14ac:dyDescent="0.25">
      <c r="D3215" s="2"/>
      <c r="E3215" s="310"/>
      <c r="G3215" s="2"/>
      <c r="H3215" s="310"/>
      <c r="I3215" s="2"/>
      <c r="O3215" s="2"/>
      <c r="P3215" s="2"/>
    </row>
    <row r="3216" spans="4:16" x14ac:dyDescent="0.25">
      <c r="D3216" s="2"/>
      <c r="E3216" s="310"/>
      <c r="G3216" s="2"/>
      <c r="H3216" s="310"/>
      <c r="I3216" s="2"/>
      <c r="O3216" s="2"/>
      <c r="P3216" s="2"/>
    </row>
    <row r="3217" spans="4:16" x14ac:dyDescent="0.25">
      <c r="D3217" s="2"/>
      <c r="E3217" s="310"/>
      <c r="G3217" s="2"/>
      <c r="H3217" s="310"/>
      <c r="I3217" s="2"/>
      <c r="O3217" s="2"/>
      <c r="P3217" s="2"/>
    </row>
    <row r="3218" spans="4:16" x14ac:dyDescent="0.25">
      <c r="D3218" s="2"/>
      <c r="E3218" s="310"/>
      <c r="G3218" s="2"/>
      <c r="H3218" s="310"/>
      <c r="I3218" s="2"/>
      <c r="O3218" s="2"/>
      <c r="P3218" s="2"/>
    </row>
    <row r="3219" spans="4:16" x14ac:dyDescent="0.25">
      <c r="D3219" s="2"/>
      <c r="E3219" s="310"/>
      <c r="G3219" s="2"/>
      <c r="H3219" s="310"/>
      <c r="I3219" s="2"/>
      <c r="O3219" s="2"/>
      <c r="P3219" s="2"/>
    </row>
    <row r="3220" spans="4:16" x14ac:dyDescent="0.25">
      <c r="D3220" s="2"/>
      <c r="E3220" s="310"/>
      <c r="G3220" s="2"/>
      <c r="H3220" s="310"/>
      <c r="I3220" s="2"/>
      <c r="O3220" s="2"/>
      <c r="P3220" s="2"/>
    </row>
    <row r="3221" spans="4:16" x14ac:dyDescent="0.25">
      <c r="D3221" s="2"/>
      <c r="E3221" s="310"/>
      <c r="G3221" s="2"/>
      <c r="H3221" s="310"/>
      <c r="I3221" s="2"/>
      <c r="O3221" s="2"/>
      <c r="P3221" s="2"/>
    </row>
    <row r="3222" spans="4:16" x14ac:dyDescent="0.25">
      <c r="D3222" s="2"/>
      <c r="E3222" s="310"/>
      <c r="G3222" s="2"/>
      <c r="H3222" s="310"/>
      <c r="I3222" s="2"/>
      <c r="O3222" s="2"/>
      <c r="P3222" s="2"/>
    </row>
    <row r="3223" spans="4:16" x14ac:dyDescent="0.25">
      <c r="D3223" s="2"/>
      <c r="E3223" s="310"/>
      <c r="G3223" s="2"/>
      <c r="H3223" s="310"/>
      <c r="I3223" s="2"/>
      <c r="O3223" s="2"/>
      <c r="P3223" s="2"/>
    </row>
    <row r="3224" spans="4:16" x14ac:dyDescent="0.25">
      <c r="D3224" s="2"/>
      <c r="E3224" s="310"/>
      <c r="G3224" s="2"/>
      <c r="H3224" s="310"/>
      <c r="I3224" s="2"/>
      <c r="O3224" s="2"/>
      <c r="P3224" s="2"/>
    </row>
    <row r="3225" spans="4:16" x14ac:dyDescent="0.25">
      <c r="D3225" s="2"/>
      <c r="E3225" s="310"/>
      <c r="G3225" s="2"/>
      <c r="H3225" s="310"/>
      <c r="I3225" s="2"/>
      <c r="O3225" s="2"/>
      <c r="P3225" s="2"/>
    </row>
    <row r="3226" spans="4:16" x14ac:dyDescent="0.25">
      <c r="D3226" s="2"/>
      <c r="E3226" s="310"/>
      <c r="G3226" s="2"/>
      <c r="H3226" s="310"/>
      <c r="I3226" s="2"/>
      <c r="O3226" s="2"/>
      <c r="P3226" s="2"/>
    </row>
    <row r="3227" spans="4:16" x14ac:dyDescent="0.25">
      <c r="D3227" s="2"/>
      <c r="E3227" s="310"/>
      <c r="G3227" s="2"/>
      <c r="H3227" s="310"/>
      <c r="I3227" s="2"/>
      <c r="O3227" s="2"/>
      <c r="P3227" s="2"/>
    </row>
    <row r="3228" spans="4:16" x14ac:dyDescent="0.25">
      <c r="D3228" s="2"/>
      <c r="E3228" s="310"/>
      <c r="G3228" s="2"/>
      <c r="H3228" s="310"/>
      <c r="I3228" s="2"/>
      <c r="O3228" s="2"/>
      <c r="P3228" s="2"/>
    </row>
    <row r="3229" spans="4:16" x14ac:dyDescent="0.25">
      <c r="D3229" s="2"/>
      <c r="E3229" s="310"/>
      <c r="G3229" s="2"/>
      <c r="H3229" s="310"/>
      <c r="I3229" s="2"/>
      <c r="O3229" s="2"/>
      <c r="P3229" s="2"/>
    </row>
    <row r="3230" spans="4:16" x14ac:dyDescent="0.25">
      <c r="D3230" s="2"/>
      <c r="E3230" s="310"/>
      <c r="G3230" s="2"/>
      <c r="H3230" s="310"/>
      <c r="I3230" s="2"/>
      <c r="O3230" s="2"/>
      <c r="P3230" s="2"/>
    </row>
    <row r="3231" spans="4:16" x14ac:dyDescent="0.25">
      <c r="D3231" s="2"/>
      <c r="E3231" s="310"/>
      <c r="G3231" s="2"/>
      <c r="H3231" s="310"/>
      <c r="I3231" s="2"/>
      <c r="O3231" s="2"/>
      <c r="P3231" s="2"/>
    </row>
    <row r="3232" spans="4:16" x14ac:dyDescent="0.25">
      <c r="D3232" s="2"/>
      <c r="E3232" s="310"/>
      <c r="G3232" s="2"/>
      <c r="H3232" s="310"/>
      <c r="I3232" s="2"/>
      <c r="O3232" s="2"/>
      <c r="P3232" s="2"/>
    </row>
    <row r="3233" spans="4:16" x14ac:dyDescent="0.25">
      <c r="D3233" s="2"/>
      <c r="E3233" s="310"/>
      <c r="G3233" s="2"/>
      <c r="H3233" s="310"/>
      <c r="I3233" s="2"/>
      <c r="O3233" s="2"/>
      <c r="P3233" s="2"/>
    </row>
    <row r="3234" spans="4:16" x14ac:dyDescent="0.25">
      <c r="D3234" s="2"/>
      <c r="E3234" s="310"/>
      <c r="G3234" s="2"/>
      <c r="H3234" s="310"/>
      <c r="I3234" s="2"/>
      <c r="O3234" s="2"/>
      <c r="P3234" s="2"/>
    </row>
    <row r="3235" spans="4:16" x14ac:dyDescent="0.25">
      <c r="D3235" s="2"/>
      <c r="E3235" s="310"/>
      <c r="G3235" s="2"/>
      <c r="H3235" s="310"/>
      <c r="I3235" s="2"/>
      <c r="O3235" s="2"/>
      <c r="P3235" s="2"/>
    </row>
    <row r="3236" spans="4:16" x14ac:dyDescent="0.25">
      <c r="D3236" s="2"/>
      <c r="E3236" s="310"/>
      <c r="G3236" s="2"/>
      <c r="H3236" s="310"/>
      <c r="I3236" s="2"/>
      <c r="O3236" s="2"/>
      <c r="P3236" s="2"/>
    </row>
    <row r="3237" spans="4:16" x14ac:dyDescent="0.25">
      <c r="D3237" s="2"/>
      <c r="E3237" s="310"/>
      <c r="G3237" s="2"/>
      <c r="H3237" s="310"/>
      <c r="I3237" s="2"/>
      <c r="O3237" s="2"/>
      <c r="P3237" s="2"/>
    </row>
    <row r="3238" spans="4:16" x14ac:dyDescent="0.25">
      <c r="D3238" s="2"/>
      <c r="E3238" s="310"/>
      <c r="G3238" s="2"/>
      <c r="H3238" s="310"/>
      <c r="I3238" s="2"/>
      <c r="O3238" s="2"/>
      <c r="P3238" s="2"/>
    </row>
    <row r="3239" spans="4:16" x14ac:dyDescent="0.25">
      <c r="D3239" s="2"/>
      <c r="E3239" s="310"/>
      <c r="G3239" s="2"/>
      <c r="H3239" s="310"/>
      <c r="I3239" s="2"/>
      <c r="O3239" s="2"/>
      <c r="P3239" s="2"/>
    </row>
    <row r="3240" spans="4:16" x14ac:dyDescent="0.25">
      <c r="D3240" s="2"/>
      <c r="E3240" s="310"/>
      <c r="G3240" s="2"/>
      <c r="H3240" s="310"/>
      <c r="I3240" s="2"/>
      <c r="O3240" s="2"/>
      <c r="P3240" s="2"/>
    </row>
    <row r="3241" spans="4:16" x14ac:dyDescent="0.25">
      <c r="D3241" s="2"/>
      <c r="E3241" s="310"/>
      <c r="G3241" s="2"/>
      <c r="H3241" s="310"/>
      <c r="I3241" s="2"/>
      <c r="O3241" s="2"/>
      <c r="P3241" s="2"/>
    </row>
    <row r="3242" spans="4:16" x14ac:dyDescent="0.25">
      <c r="D3242" s="2"/>
      <c r="E3242" s="310"/>
      <c r="G3242" s="2"/>
      <c r="H3242" s="310"/>
      <c r="I3242" s="2"/>
      <c r="O3242" s="2"/>
      <c r="P3242" s="2"/>
    </row>
    <row r="3243" spans="4:16" x14ac:dyDescent="0.25">
      <c r="D3243" s="2"/>
      <c r="E3243" s="310"/>
      <c r="G3243" s="2"/>
      <c r="H3243" s="310"/>
      <c r="I3243" s="2"/>
      <c r="O3243" s="2"/>
      <c r="P3243" s="2"/>
    </row>
    <row r="3244" spans="4:16" x14ac:dyDescent="0.25">
      <c r="D3244" s="2"/>
      <c r="E3244" s="310"/>
      <c r="G3244" s="2"/>
      <c r="H3244" s="310"/>
      <c r="I3244" s="2"/>
      <c r="O3244" s="2"/>
      <c r="P3244" s="2"/>
    </row>
    <row r="3245" spans="4:16" x14ac:dyDescent="0.25">
      <c r="D3245" s="2"/>
      <c r="E3245" s="310"/>
      <c r="G3245" s="2"/>
      <c r="H3245" s="310"/>
      <c r="I3245" s="2"/>
      <c r="O3245" s="2"/>
      <c r="P3245" s="2"/>
    </row>
    <row r="3246" spans="4:16" x14ac:dyDescent="0.25">
      <c r="D3246" s="2"/>
      <c r="E3246" s="310"/>
      <c r="G3246" s="2"/>
      <c r="H3246" s="310"/>
      <c r="I3246" s="2"/>
      <c r="O3246" s="2"/>
      <c r="P3246" s="2"/>
    </row>
    <row r="3247" spans="4:16" x14ac:dyDescent="0.25">
      <c r="D3247" s="2"/>
      <c r="E3247" s="310"/>
      <c r="G3247" s="2"/>
      <c r="H3247" s="310"/>
      <c r="I3247" s="2"/>
      <c r="O3247" s="2"/>
      <c r="P3247" s="2"/>
    </row>
    <row r="3248" spans="4:16" x14ac:dyDescent="0.25">
      <c r="D3248" s="2"/>
      <c r="E3248" s="310"/>
      <c r="G3248" s="2"/>
      <c r="H3248" s="310"/>
      <c r="I3248" s="2"/>
      <c r="O3248" s="2"/>
      <c r="P3248" s="2"/>
    </row>
    <row r="3249" spans="4:16" x14ac:dyDescent="0.25">
      <c r="D3249" s="2"/>
      <c r="E3249" s="310"/>
      <c r="G3249" s="2"/>
      <c r="H3249" s="310"/>
      <c r="I3249" s="2"/>
      <c r="O3249" s="2"/>
      <c r="P3249" s="2"/>
    </row>
    <row r="3250" spans="4:16" x14ac:dyDescent="0.25">
      <c r="D3250" s="2"/>
      <c r="E3250" s="310"/>
      <c r="G3250" s="2"/>
      <c r="H3250" s="310"/>
      <c r="I3250" s="2"/>
      <c r="O3250" s="2"/>
      <c r="P3250" s="2"/>
    </row>
    <row r="3251" spans="4:16" x14ac:dyDescent="0.25">
      <c r="D3251" s="2"/>
      <c r="E3251" s="310"/>
      <c r="G3251" s="2"/>
      <c r="H3251" s="310"/>
      <c r="I3251" s="2"/>
      <c r="O3251" s="2"/>
      <c r="P3251" s="2"/>
    </row>
    <row r="3252" spans="4:16" x14ac:dyDescent="0.25">
      <c r="D3252" s="2"/>
      <c r="E3252" s="310"/>
      <c r="G3252" s="2"/>
      <c r="H3252" s="310"/>
      <c r="I3252" s="2"/>
      <c r="O3252" s="2"/>
      <c r="P3252" s="2"/>
    </row>
    <row r="3253" spans="4:16" x14ac:dyDescent="0.25">
      <c r="D3253" s="2"/>
      <c r="E3253" s="310"/>
      <c r="G3253" s="2"/>
      <c r="H3253" s="310"/>
      <c r="I3253" s="2"/>
      <c r="O3253" s="2"/>
      <c r="P3253" s="2"/>
    </row>
    <row r="3254" spans="4:16" x14ac:dyDescent="0.25">
      <c r="D3254" s="2"/>
      <c r="E3254" s="310"/>
      <c r="G3254" s="2"/>
      <c r="H3254" s="310"/>
      <c r="I3254" s="2"/>
      <c r="O3254" s="2"/>
      <c r="P3254" s="2"/>
    </row>
    <row r="3255" spans="4:16" x14ac:dyDescent="0.25">
      <c r="D3255" s="2"/>
      <c r="E3255" s="310"/>
      <c r="G3255" s="2"/>
      <c r="H3255" s="310"/>
      <c r="I3255" s="2"/>
      <c r="O3255" s="2"/>
      <c r="P3255" s="2"/>
    </row>
    <row r="3256" spans="4:16" x14ac:dyDescent="0.25">
      <c r="D3256" s="2"/>
      <c r="E3256" s="310"/>
      <c r="G3256" s="2"/>
      <c r="H3256" s="310"/>
      <c r="I3256" s="2"/>
      <c r="O3256" s="2"/>
      <c r="P3256" s="2"/>
    </row>
    <row r="3257" spans="4:16" x14ac:dyDescent="0.25">
      <c r="D3257" s="2"/>
      <c r="E3257" s="310"/>
      <c r="G3257" s="2"/>
      <c r="H3257" s="310"/>
      <c r="I3257" s="2"/>
      <c r="O3257" s="2"/>
      <c r="P3257" s="2"/>
    </row>
    <row r="3258" spans="4:16" x14ac:dyDescent="0.25">
      <c r="D3258" s="2"/>
      <c r="E3258" s="310"/>
      <c r="G3258" s="2"/>
      <c r="H3258" s="310"/>
      <c r="I3258" s="2"/>
      <c r="O3258" s="2"/>
      <c r="P3258" s="2"/>
    </row>
    <row r="3259" spans="4:16" x14ac:dyDescent="0.25">
      <c r="D3259" s="2"/>
      <c r="E3259" s="310"/>
      <c r="G3259" s="2"/>
      <c r="H3259" s="310"/>
      <c r="I3259" s="2"/>
      <c r="O3259" s="2"/>
      <c r="P3259" s="2"/>
    </row>
    <row r="3260" spans="4:16" x14ac:dyDescent="0.25">
      <c r="D3260" s="2"/>
      <c r="E3260" s="310"/>
      <c r="G3260" s="2"/>
      <c r="H3260" s="310"/>
      <c r="I3260" s="2"/>
      <c r="O3260" s="2"/>
      <c r="P3260" s="2"/>
    </row>
    <row r="3261" spans="4:16" x14ac:dyDescent="0.25">
      <c r="D3261" s="2"/>
      <c r="E3261" s="310"/>
      <c r="G3261" s="2"/>
      <c r="H3261" s="310"/>
      <c r="I3261" s="2"/>
      <c r="O3261" s="2"/>
      <c r="P3261" s="2"/>
    </row>
    <row r="3262" spans="4:16" x14ac:dyDescent="0.25">
      <c r="D3262" s="2"/>
      <c r="E3262" s="310"/>
      <c r="G3262" s="2"/>
      <c r="H3262" s="310"/>
      <c r="I3262" s="2"/>
      <c r="O3262" s="2"/>
      <c r="P3262" s="2"/>
    </row>
    <row r="3263" spans="4:16" x14ac:dyDescent="0.25">
      <c r="D3263" s="2"/>
      <c r="E3263" s="310"/>
      <c r="G3263" s="2"/>
      <c r="H3263" s="310"/>
      <c r="I3263" s="2"/>
      <c r="O3263" s="2"/>
      <c r="P3263" s="2"/>
    </row>
    <row r="3264" spans="4:16" x14ac:dyDescent="0.25">
      <c r="D3264" s="2"/>
      <c r="E3264" s="310"/>
      <c r="G3264" s="2"/>
      <c r="H3264" s="310"/>
      <c r="I3264" s="2"/>
      <c r="O3264" s="2"/>
      <c r="P3264" s="2"/>
    </row>
    <row r="3267" spans="4:16" x14ac:dyDescent="0.25">
      <c r="D3267" s="2"/>
      <c r="E3267" s="310"/>
      <c r="G3267" s="2"/>
      <c r="H3267" s="310"/>
      <c r="I3267" s="2"/>
      <c r="O3267" s="2"/>
      <c r="P3267" s="2"/>
    </row>
    <row r="3268" spans="4:16" x14ac:dyDescent="0.25">
      <c r="D3268" s="2"/>
      <c r="E3268" s="310"/>
      <c r="G3268" s="2"/>
      <c r="H3268" s="310"/>
      <c r="I3268" s="2"/>
      <c r="O3268" s="2"/>
      <c r="P3268" s="2"/>
    </row>
    <row r="3269" spans="4:16" x14ac:dyDescent="0.25">
      <c r="D3269" s="2"/>
      <c r="E3269" s="310"/>
      <c r="G3269" s="2"/>
      <c r="H3269" s="310"/>
      <c r="I3269" s="2"/>
      <c r="O3269" s="2"/>
      <c r="P3269" s="2"/>
    </row>
    <row r="3270" spans="4:16" x14ac:dyDescent="0.25">
      <c r="D3270" s="2"/>
      <c r="E3270" s="310"/>
      <c r="G3270" s="2"/>
      <c r="H3270" s="310"/>
      <c r="I3270" s="2"/>
      <c r="O3270" s="2"/>
      <c r="P3270" s="2"/>
    </row>
    <row r="3271" spans="4:16" x14ac:dyDescent="0.25">
      <c r="D3271" s="2"/>
      <c r="E3271" s="310"/>
      <c r="G3271" s="2"/>
      <c r="H3271" s="310"/>
      <c r="I3271" s="2"/>
      <c r="O3271" s="2"/>
      <c r="P3271" s="2"/>
    </row>
    <row r="3272" spans="4:16" x14ac:dyDescent="0.25">
      <c r="D3272" s="2"/>
      <c r="E3272" s="310"/>
      <c r="G3272" s="2"/>
      <c r="H3272" s="310"/>
      <c r="I3272" s="2"/>
      <c r="O3272" s="2"/>
      <c r="P3272" s="2"/>
    </row>
    <row r="3273" spans="4:16" x14ac:dyDescent="0.25">
      <c r="D3273" s="2"/>
      <c r="E3273" s="310"/>
      <c r="G3273" s="2"/>
      <c r="H3273" s="310"/>
      <c r="I3273" s="2"/>
      <c r="O3273" s="2"/>
      <c r="P3273" s="2"/>
    </row>
    <row r="3274" spans="4:16" x14ac:dyDescent="0.25">
      <c r="D3274" s="2"/>
      <c r="E3274" s="310"/>
      <c r="G3274" s="2"/>
      <c r="H3274" s="310"/>
      <c r="I3274" s="2"/>
      <c r="O3274" s="2"/>
      <c r="P3274" s="2"/>
    </row>
    <row r="3275" spans="4:16" x14ac:dyDescent="0.25">
      <c r="D3275" s="2"/>
      <c r="E3275" s="310"/>
      <c r="G3275" s="2"/>
      <c r="H3275" s="310"/>
      <c r="I3275" s="2"/>
      <c r="O3275" s="2"/>
      <c r="P3275" s="2"/>
    </row>
    <row r="3276" spans="4:16" x14ac:dyDescent="0.25">
      <c r="D3276" s="2"/>
      <c r="E3276" s="310"/>
      <c r="G3276" s="2"/>
      <c r="H3276" s="310"/>
      <c r="I3276" s="2"/>
      <c r="O3276" s="2"/>
      <c r="P3276" s="2"/>
    </row>
    <row r="3277" spans="4:16" x14ac:dyDescent="0.25">
      <c r="D3277" s="2"/>
      <c r="E3277" s="310"/>
      <c r="G3277" s="2"/>
      <c r="H3277" s="310"/>
      <c r="I3277" s="2"/>
      <c r="O3277" s="2"/>
      <c r="P3277" s="2"/>
    </row>
    <row r="3278" spans="4:16" x14ac:dyDescent="0.25">
      <c r="D3278" s="2"/>
      <c r="E3278" s="310"/>
      <c r="G3278" s="2"/>
      <c r="H3278" s="310"/>
      <c r="I3278" s="2"/>
      <c r="O3278" s="2"/>
      <c r="P3278" s="2"/>
    </row>
    <row r="3279" spans="4:16" x14ac:dyDescent="0.25">
      <c r="D3279" s="2"/>
      <c r="E3279" s="310"/>
      <c r="G3279" s="2"/>
      <c r="H3279" s="310"/>
      <c r="I3279" s="2"/>
      <c r="O3279" s="2"/>
      <c r="P3279" s="2"/>
    </row>
    <row r="3280" spans="4:16" x14ac:dyDescent="0.25">
      <c r="D3280" s="2"/>
      <c r="E3280" s="310"/>
      <c r="G3280" s="2"/>
      <c r="H3280" s="310"/>
      <c r="I3280" s="2"/>
      <c r="O3280" s="2"/>
      <c r="P3280" s="2"/>
    </row>
    <row r="3281" spans="4:16" x14ac:dyDescent="0.25">
      <c r="D3281" s="2"/>
      <c r="E3281" s="310"/>
      <c r="G3281" s="2"/>
      <c r="H3281" s="310"/>
      <c r="I3281" s="2"/>
      <c r="O3281" s="2"/>
      <c r="P3281" s="2"/>
    </row>
    <row r="3282" spans="4:16" x14ac:dyDescent="0.25">
      <c r="D3282" s="2"/>
      <c r="E3282" s="310"/>
      <c r="G3282" s="2"/>
      <c r="H3282" s="310"/>
      <c r="I3282" s="2"/>
      <c r="O3282" s="2"/>
      <c r="P3282" s="2"/>
    </row>
    <row r="3283" spans="4:16" x14ac:dyDescent="0.25">
      <c r="D3283" s="2"/>
      <c r="E3283" s="310"/>
      <c r="G3283" s="2"/>
      <c r="H3283" s="310"/>
      <c r="I3283" s="2"/>
      <c r="O3283" s="2"/>
      <c r="P3283" s="2"/>
    </row>
    <row r="3284" spans="4:16" x14ac:dyDescent="0.25">
      <c r="D3284" s="2"/>
      <c r="E3284" s="310"/>
      <c r="G3284" s="2"/>
      <c r="H3284" s="310"/>
      <c r="I3284" s="2"/>
      <c r="O3284" s="2"/>
      <c r="P3284" s="2"/>
    </row>
    <row r="3285" spans="4:16" x14ac:dyDescent="0.25">
      <c r="D3285" s="2"/>
      <c r="E3285" s="310"/>
      <c r="G3285" s="2"/>
      <c r="H3285" s="310"/>
      <c r="I3285" s="2"/>
      <c r="O3285" s="2"/>
      <c r="P3285" s="2"/>
    </row>
    <row r="3286" spans="4:16" x14ac:dyDescent="0.25">
      <c r="D3286" s="2"/>
      <c r="E3286" s="310"/>
      <c r="G3286" s="2"/>
      <c r="H3286" s="310"/>
      <c r="I3286" s="2"/>
      <c r="O3286" s="2"/>
      <c r="P3286" s="2"/>
    </row>
    <row r="3287" spans="4:16" x14ac:dyDescent="0.25">
      <c r="D3287" s="2"/>
      <c r="E3287" s="310"/>
      <c r="G3287" s="2"/>
      <c r="H3287" s="310"/>
      <c r="I3287" s="2"/>
      <c r="O3287" s="2"/>
      <c r="P3287" s="2"/>
    </row>
    <row r="3288" spans="4:16" x14ac:dyDescent="0.25">
      <c r="D3288" s="2"/>
      <c r="E3288" s="310"/>
      <c r="G3288" s="2"/>
      <c r="H3288" s="310"/>
      <c r="I3288" s="2"/>
      <c r="O3288" s="2"/>
      <c r="P3288" s="2"/>
    </row>
    <row r="3289" spans="4:16" x14ac:dyDescent="0.25">
      <c r="D3289" s="2"/>
      <c r="E3289" s="310"/>
      <c r="G3289" s="2"/>
      <c r="H3289" s="310"/>
      <c r="I3289" s="2"/>
      <c r="O3289" s="2"/>
      <c r="P3289" s="2"/>
    </row>
    <row r="3290" spans="4:16" x14ac:dyDescent="0.25">
      <c r="D3290" s="2"/>
      <c r="E3290" s="310"/>
      <c r="G3290" s="2"/>
      <c r="H3290" s="310"/>
      <c r="I3290" s="2"/>
      <c r="O3290" s="2"/>
      <c r="P3290" s="2"/>
    </row>
    <row r="3291" spans="4:16" x14ac:dyDescent="0.25">
      <c r="D3291" s="2"/>
      <c r="E3291" s="310"/>
      <c r="G3291" s="2"/>
      <c r="H3291" s="310"/>
      <c r="I3291" s="2"/>
      <c r="O3291" s="2"/>
      <c r="P3291" s="2"/>
    </row>
    <row r="3292" spans="4:16" x14ac:dyDescent="0.25">
      <c r="D3292" s="2"/>
      <c r="E3292" s="310"/>
      <c r="G3292" s="2"/>
      <c r="H3292" s="310"/>
      <c r="I3292" s="2"/>
      <c r="O3292" s="2"/>
      <c r="P3292" s="2"/>
    </row>
    <row r="3293" spans="4:16" x14ac:dyDescent="0.25">
      <c r="D3293" s="2"/>
      <c r="E3293" s="310"/>
      <c r="G3293" s="2"/>
      <c r="H3293" s="310"/>
      <c r="I3293" s="2"/>
      <c r="O3293" s="2"/>
      <c r="P3293" s="2"/>
    </row>
    <row r="3294" spans="4:16" x14ac:dyDescent="0.25">
      <c r="D3294" s="2"/>
      <c r="E3294" s="310"/>
      <c r="G3294" s="2"/>
      <c r="H3294" s="310"/>
      <c r="I3294" s="2"/>
      <c r="O3294" s="2"/>
      <c r="P3294" s="2"/>
    </row>
    <row r="3295" spans="4:16" x14ac:dyDescent="0.25">
      <c r="D3295" s="2"/>
      <c r="E3295" s="310"/>
      <c r="G3295" s="2"/>
      <c r="H3295" s="310"/>
      <c r="I3295" s="2"/>
      <c r="O3295" s="2"/>
      <c r="P3295" s="2"/>
    </row>
    <row r="3296" spans="4:16" x14ac:dyDescent="0.25">
      <c r="D3296" s="2"/>
      <c r="E3296" s="310"/>
      <c r="G3296" s="2"/>
      <c r="H3296" s="310"/>
      <c r="I3296" s="2"/>
      <c r="O3296" s="2"/>
      <c r="P3296" s="2"/>
    </row>
    <row r="3297" spans="4:16" x14ac:dyDescent="0.25">
      <c r="D3297" s="2"/>
      <c r="E3297" s="310"/>
      <c r="G3297" s="2"/>
      <c r="H3297" s="310"/>
      <c r="I3297" s="2"/>
      <c r="O3297" s="2"/>
      <c r="P3297" s="2"/>
    </row>
    <row r="3298" spans="4:16" x14ac:dyDescent="0.25">
      <c r="D3298" s="2"/>
      <c r="E3298" s="310"/>
      <c r="G3298" s="2"/>
      <c r="H3298" s="310"/>
      <c r="I3298" s="2"/>
      <c r="O3298" s="2"/>
      <c r="P3298" s="2"/>
    </row>
    <row r="3299" spans="4:16" x14ac:dyDescent="0.25">
      <c r="D3299" s="2"/>
      <c r="E3299" s="310"/>
      <c r="G3299" s="2"/>
      <c r="H3299" s="310"/>
      <c r="I3299" s="2"/>
      <c r="O3299" s="2"/>
      <c r="P3299" s="2"/>
    </row>
    <row r="3300" spans="4:16" x14ac:dyDescent="0.25">
      <c r="D3300" s="2"/>
      <c r="E3300" s="310"/>
      <c r="G3300" s="2"/>
      <c r="H3300" s="310"/>
      <c r="I3300" s="2"/>
      <c r="O3300" s="2"/>
      <c r="P3300" s="2"/>
    </row>
    <row r="3301" spans="4:16" x14ac:dyDescent="0.25">
      <c r="D3301" s="2"/>
      <c r="E3301" s="310"/>
      <c r="G3301" s="2"/>
      <c r="H3301" s="310"/>
      <c r="I3301" s="2"/>
      <c r="O3301" s="2"/>
      <c r="P3301" s="2"/>
    </row>
    <row r="3302" spans="4:16" x14ac:dyDescent="0.25">
      <c r="D3302" s="2"/>
      <c r="E3302" s="310"/>
      <c r="G3302" s="2"/>
      <c r="H3302" s="310"/>
      <c r="I3302" s="2"/>
      <c r="O3302" s="2"/>
      <c r="P3302" s="2"/>
    </row>
    <row r="3303" spans="4:16" x14ac:dyDescent="0.25">
      <c r="D3303" s="2"/>
      <c r="E3303" s="310"/>
      <c r="G3303" s="2"/>
      <c r="H3303" s="310"/>
      <c r="I3303" s="2"/>
      <c r="O3303" s="2"/>
      <c r="P3303" s="2"/>
    </row>
    <row r="3304" spans="4:16" x14ac:dyDescent="0.25">
      <c r="D3304" s="2"/>
      <c r="E3304" s="310"/>
      <c r="G3304" s="2"/>
      <c r="H3304" s="310"/>
      <c r="I3304" s="2"/>
      <c r="O3304" s="2"/>
      <c r="P3304" s="2"/>
    </row>
    <row r="3305" spans="4:16" x14ac:dyDescent="0.25">
      <c r="D3305" s="2"/>
      <c r="E3305" s="310"/>
      <c r="G3305" s="2"/>
      <c r="H3305" s="310"/>
      <c r="I3305" s="2"/>
      <c r="O3305" s="2"/>
      <c r="P3305" s="2"/>
    </row>
    <row r="3306" spans="4:16" x14ac:dyDescent="0.25">
      <c r="D3306" s="2"/>
      <c r="E3306" s="310"/>
      <c r="G3306" s="2"/>
      <c r="H3306" s="310"/>
      <c r="I3306" s="2"/>
      <c r="O3306" s="2"/>
      <c r="P3306" s="2"/>
    </row>
    <row r="3307" spans="4:16" x14ac:dyDescent="0.25">
      <c r="D3307" s="2"/>
      <c r="E3307" s="310"/>
      <c r="G3307" s="2"/>
      <c r="H3307" s="310"/>
      <c r="I3307" s="2"/>
      <c r="O3307" s="2"/>
      <c r="P3307" s="2"/>
    </row>
    <row r="3308" spans="4:16" x14ac:dyDescent="0.25">
      <c r="D3308" s="2"/>
      <c r="E3308" s="310"/>
      <c r="G3308" s="2"/>
      <c r="H3308" s="310"/>
      <c r="I3308" s="2"/>
      <c r="O3308" s="2"/>
      <c r="P3308" s="2"/>
    </row>
    <row r="3309" spans="4:16" x14ac:dyDescent="0.25">
      <c r="D3309" s="2"/>
      <c r="E3309" s="310"/>
      <c r="G3309" s="2"/>
      <c r="H3309" s="310"/>
      <c r="I3309" s="2"/>
      <c r="O3309" s="2"/>
      <c r="P3309" s="2"/>
    </row>
    <row r="3310" spans="4:16" x14ac:dyDescent="0.25">
      <c r="D3310" s="2"/>
      <c r="E3310" s="310"/>
      <c r="G3310" s="2"/>
      <c r="H3310" s="310"/>
      <c r="I3310" s="2"/>
      <c r="O3310" s="2"/>
      <c r="P3310" s="2"/>
    </row>
    <row r="3311" spans="4:16" x14ac:dyDescent="0.25">
      <c r="D3311" s="2"/>
      <c r="E3311" s="310"/>
      <c r="G3311" s="2"/>
      <c r="H3311" s="310"/>
      <c r="I3311" s="2"/>
      <c r="O3311" s="2"/>
      <c r="P3311" s="2"/>
    </row>
    <row r="3312" spans="4:16" x14ac:dyDescent="0.25">
      <c r="D3312" s="2"/>
      <c r="E3312" s="310"/>
      <c r="G3312" s="2"/>
      <c r="H3312" s="310"/>
      <c r="I3312" s="2"/>
      <c r="O3312" s="2"/>
      <c r="P3312" s="2"/>
    </row>
    <row r="3313" spans="4:16" x14ac:dyDescent="0.25">
      <c r="D3313" s="2"/>
      <c r="E3313" s="310"/>
      <c r="G3313" s="2"/>
      <c r="H3313" s="310"/>
      <c r="I3313" s="2"/>
      <c r="O3313" s="2"/>
      <c r="P3313" s="2"/>
    </row>
    <row r="3314" spans="4:16" x14ac:dyDescent="0.25">
      <c r="D3314" s="2"/>
      <c r="E3314" s="310"/>
      <c r="G3314" s="2"/>
      <c r="H3314" s="310"/>
      <c r="I3314" s="2"/>
      <c r="O3314" s="2"/>
      <c r="P3314" s="2"/>
    </row>
    <row r="3315" spans="4:16" x14ac:dyDescent="0.25">
      <c r="D3315" s="2"/>
      <c r="E3315" s="310"/>
      <c r="G3315" s="2"/>
      <c r="H3315" s="310"/>
      <c r="I3315" s="2"/>
      <c r="O3315" s="2"/>
      <c r="P3315" s="2"/>
    </row>
    <row r="3316" spans="4:16" x14ac:dyDescent="0.25">
      <c r="D3316" s="2"/>
      <c r="E3316" s="310"/>
      <c r="G3316" s="2"/>
      <c r="H3316" s="310"/>
      <c r="I3316" s="2"/>
      <c r="O3316" s="2"/>
      <c r="P3316" s="2"/>
    </row>
    <row r="3317" spans="4:16" x14ac:dyDescent="0.25">
      <c r="D3317" s="2"/>
      <c r="E3317" s="310"/>
      <c r="G3317" s="2"/>
      <c r="H3317" s="310"/>
      <c r="I3317" s="2"/>
      <c r="O3317" s="2"/>
      <c r="P3317" s="2"/>
    </row>
    <row r="3318" spans="4:16" x14ac:dyDescent="0.25">
      <c r="D3318" s="2"/>
      <c r="E3318" s="310"/>
      <c r="G3318" s="2"/>
      <c r="H3318" s="310"/>
      <c r="I3318" s="2"/>
      <c r="O3318" s="2"/>
      <c r="P3318" s="2"/>
    </row>
    <row r="3319" spans="4:16" x14ac:dyDescent="0.25">
      <c r="D3319" s="2"/>
      <c r="E3319" s="310"/>
      <c r="G3319" s="2"/>
      <c r="H3319" s="310"/>
      <c r="I3319" s="2"/>
      <c r="O3319" s="2"/>
      <c r="P3319" s="2"/>
    </row>
    <row r="3320" spans="4:16" x14ac:dyDescent="0.25">
      <c r="D3320" s="2"/>
      <c r="E3320" s="310"/>
      <c r="G3320" s="2"/>
      <c r="H3320" s="310"/>
      <c r="I3320" s="2"/>
      <c r="O3320" s="2"/>
      <c r="P3320" s="2"/>
    </row>
    <row r="3321" spans="4:16" x14ac:dyDescent="0.25">
      <c r="D3321" s="2"/>
      <c r="E3321" s="310"/>
      <c r="G3321" s="2"/>
      <c r="H3321" s="310"/>
      <c r="I3321" s="2"/>
      <c r="O3321" s="2"/>
      <c r="P3321" s="2"/>
    </row>
    <row r="3322" spans="4:16" x14ac:dyDescent="0.25">
      <c r="D3322" s="2"/>
      <c r="E3322" s="310"/>
      <c r="G3322" s="2"/>
      <c r="H3322" s="310"/>
      <c r="I3322" s="2"/>
      <c r="O3322" s="2"/>
      <c r="P3322" s="2"/>
    </row>
    <row r="3323" spans="4:16" x14ac:dyDescent="0.25">
      <c r="D3323" s="2"/>
      <c r="E3323" s="310"/>
      <c r="G3323" s="2"/>
      <c r="H3323" s="310"/>
      <c r="I3323" s="2"/>
      <c r="O3323" s="2"/>
      <c r="P3323" s="2"/>
    </row>
    <row r="3324" spans="4:16" x14ac:dyDescent="0.25">
      <c r="D3324" s="2"/>
      <c r="E3324" s="310"/>
      <c r="G3324" s="2"/>
      <c r="H3324" s="310"/>
      <c r="I3324" s="2"/>
      <c r="O3324" s="2"/>
      <c r="P3324" s="2"/>
    </row>
    <row r="3325" spans="4:16" x14ac:dyDescent="0.25">
      <c r="D3325" s="2"/>
      <c r="E3325" s="310"/>
      <c r="G3325" s="2"/>
      <c r="H3325" s="310"/>
      <c r="I3325" s="2"/>
      <c r="O3325" s="2"/>
      <c r="P3325" s="2"/>
    </row>
    <row r="3326" spans="4:16" x14ac:dyDescent="0.25">
      <c r="D3326" s="2"/>
      <c r="E3326" s="310"/>
      <c r="G3326" s="2"/>
      <c r="H3326" s="310"/>
      <c r="I3326" s="2"/>
      <c r="O3326" s="2"/>
      <c r="P3326" s="2"/>
    </row>
    <row r="3327" spans="4:16" x14ac:dyDescent="0.25">
      <c r="D3327" s="2"/>
      <c r="E3327" s="310"/>
      <c r="G3327" s="2"/>
      <c r="H3327" s="310"/>
      <c r="I3327" s="2"/>
      <c r="O3327" s="2"/>
      <c r="P3327" s="2"/>
    </row>
    <row r="3328" spans="4:16" x14ac:dyDescent="0.25">
      <c r="D3328" s="2"/>
      <c r="E3328" s="310"/>
      <c r="G3328" s="2"/>
      <c r="H3328" s="310"/>
      <c r="I3328" s="2"/>
      <c r="O3328" s="2"/>
      <c r="P3328" s="2"/>
    </row>
    <row r="3329" spans="4:16" x14ac:dyDescent="0.25">
      <c r="D3329" s="2"/>
      <c r="E3329" s="310"/>
      <c r="G3329" s="2"/>
      <c r="H3329" s="310"/>
      <c r="I3329" s="2"/>
      <c r="O3329" s="2"/>
      <c r="P3329" s="2"/>
    </row>
    <row r="3330" spans="4:16" x14ac:dyDescent="0.25">
      <c r="D3330" s="2"/>
      <c r="E3330" s="310"/>
      <c r="G3330" s="2"/>
      <c r="H3330" s="310"/>
      <c r="I3330" s="2"/>
      <c r="O3330" s="2"/>
      <c r="P3330" s="2"/>
    </row>
    <row r="3331" spans="4:16" x14ac:dyDescent="0.25">
      <c r="D3331" s="2"/>
      <c r="E3331" s="310"/>
      <c r="G3331" s="2"/>
      <c r="H3331" s="310"/>
      <c r="I3331" s="2"/>
      <c r="O3331" s="2"/>
      <c r="P3331" s="2"/>
    </row>
    <row r="3332" spans="4:16" x14ac:dyDescent="0.25">
      <c r="D3332" s="2"/>
      <c r="E3332" s="310"/>
      <c r="G3332" s="2"/>
      <c r="H3332" s="310"/>
      <c r="I3332" s="2"/>
      <c r="O3332" s="2"/>
      <c r="P3332" s="2"/>
    </row>
    <row r="3333" spans="4:16" x14ac:dyDescent="0.25">
      <c r="D3333" s="2"/>
      <c r="E3333" s="310"/>
      <c r="G3333" s="2"/>
      <c r="H3333" s="310"/>
      <c r="I3333" s="2"/>
      <c r="O3333" s="2"/>
      <c r="P3333" s="2"/>
    </row>
    <row r="3334" spans="4:16" x14ac:dyDescent="0.25">
      <c r="D3334" s="2"/>
      <c r="E3334" s="310"/>
      <c r="G3334" s="2"/>
      <c r="H3334" s="310"/>
      <c r="I3334" s="2"/>
      <c r="O3334" s="2"/>
      <c r="P3334" s="2"/>
    </row>
    <row r="3335" spans="4:16" x14ac:dyDescent="0.25">
      <c r="D3335" s="2"/>
      <c r="E3335" s="310"/>
      <c r="G3335" s="2"/>
      <c r="H3335" s="310"/>
      <c r="I3335" s="2"/>
      <c r="O3335" s="2"/>
      <c r="P3335" s="2"/>
    </row>
    <row r="3336" spans="4:16" x14ac:dyDescent="0.25">
      <c r="D3336" s="2"/>
      <c r="E3336" s="310"/>
      <c r="G3336" s="2"/>
      <c r="H3336" s="310"/>
      <c r="I3336" s="2"/>
      <c r="O3336" s="2"/>
      <c r="P3336" s="2"/>
    </row>
    <row r="3337" spans="4:16" x14ac:dyDescent="0.25">
      <c r="D3337" s="2"/>
      <c r="E3337" s="310"/>
      <c r="G3337" s="2"/>
      <c r="H3337" s="310"/>
      <c r="I3337" s="2"/>
      <c r="O3337" s="2"/>
      <c r="P3337" s="2"/>
    </row>
    <row r="3338" spans="4:16" x14ac:dyDescent="0.25">
      <c r="D3338" s="2"/>
      <c r="E3338" s="310"/>
      <c r="G3338" s="2"/>
      <c r="H3338" s="310"/>
      <c r="I3338" s="2"/>
      <c r="O3338" s="2"/>
      <c r="P3338" s="2"/>
    </row>
    <row r="3339" spans="4:16" x14ac:dyDescent="0.25">
      <c r="D3339" s="2"/>
      <c r="E3339" s="310"/>
      <c r="G3339" s="2"/>
      <c r="H3339" s="310"/>
      <c r="I3339" s="2"/>
      <c r="O3339" s="2"/>
      <c r="P3339" s="2"/>
    </row>
    <row r="3340" spans="4:16" x14ac:dyDescent="0.25">
      <c r="D3340" s="2"/>
      <c r="E3340" s="310"/>
      <c r="G3340" s="2"/>
      <c r="H3340" s="310"/>
      <c r="I3340" s="2"/>
      <c r="O3340" s="2"/>
      <c r="P3340" s="2"/>
    </row>
    <row r="3341" spans="4:16" x14ac:dyDescent="0.25">
      <c r="D3341" s="2"/>
      <c r="E3341" s="310"/>
      <c r="G3341" s="2"/>
      <c r="H3341" s="310"/>
      <c r="I3341" s="2"/>
      <c r="O3341" s="2"/>
      <c r="P3341" s="2"/>
    </row>
    <row r="3342" spans="4:16" x14ac:dyDescent="0.25">
      <c r="D3342" s="2"/>
      <c r="E3342" s="310"/>
      <c r="G3342" s="2"/>
      <c r="H3342" s="310"/>
      <c r="I3342" s="2"/>
      <c r="O3342" s="2"/>
      <c r="P3342" s="2"/>
    </row>
    <row r="3343" spans="4:16" x14ac:dyDescent="0.25">
      <c r="D3343" s="2"/>
      <c r="E3343" s="310"/>
      <c r="G3343" s="2"/>
      <c r="H3343" s="310"/>
      <c r="I3343" s="2"/>
      <c r="O3343" s="2"/>
      <c r="P3343" s="2"/>
    </row>
    <row r="3344" spans="4:16" x14ac:dyDescent="0.25">
      <c r="D3344" s="2"/>
      <c r="E3344" s="310"/>
      <c r="G3344" s="2"/>
      <c r="H3344" s="310"/>
      <c r="I3344" s="2"/>
      <c r="O3344" s="2"/>
      <c r="P3344" s="2"/>
    </row>
    <row r="3345" spans="4:16" x14ac:dyDescent="0.25">
      <c r="D3345" s="2"/>
      <c r="E3345" s="310"/>
      <c r="G3345" s="2"/>
      <c r="H3345" s="310"/>
      <c r="I3345" s="2"/>
      <c r="O3345" s="2"/>
      <c r="P3345" s="2"/>
    </row>
    <row r="3346" spans="4:16" x14ac:dyDescent="0.25">
      <c r="D3346" s="2"/>
      <c r="E3346" s="310"/>
      <c r="G3346" s="2"/>
      <c r="H3346" s="310"/>
      <c r="I3346" s="2"/>
      <c r="O3346" s="2"/>
      <c r="P3346" s="2"/>
    </row>
    <row r="3347" spans="4:16" x14ac:dyDescent="0.25">
      <c r="D3347" s="2"/>
      <c r="E3347" s="310"/>
      <c r="G3347" s="2"/>
      <c r="H3347" s="310"/>
      <c r="I3347" s="2"/>
      <c r="O3347" s="2"/>
      <c r="P3347" s="2"/>
    </row>
    <row r="3348" spans="4:16" x14ac:dyDescent="0.25">
      <c r="D3348" s="2"/>
      <c r="E3348" s="310"/>
      <c r="G3348" s="2"/>
      <c r="H3348" s="310"/>
      <c r="I3348" s="2"/>
      <c r="O3348" s="2"/>
      <c r="P3348" s="2"/>
    </row>
    <row r="3349" spans="4:16" x14ac:dyDescent="0.25">
      <c r="D3349" s="2"/>
      <c r="E3349" s="310"/>
      <c r="G3349" s="2"/>
      <c r="H3349" s="310"/>
      <c r="I3349" s="2"/>
      <c r="O3349" s="2"/>
      <c r="P3349" s="2"/>
    </row>
    <row r="3350" spans="4:16" x14ac:dyDescent="0.25">
      <c r="D3350" s="2"/>
      <c r="E3350" s="310"/>
      <c r="G3350" s="2"/>
      <c r="H3350" s="310"/>
      <c r="I3350" s="2"/>
      <c r="O3350" s="2"/>
      <c r="P3350" s="2"/>
    </row>
    <row r="3351" spans="4:16" x14ac:dyDescent="0.25">
      <c r="D3351" s="2"/>
      <c r="E3351" s="310"/>
      <c r="G3351" s="2"/>
      <c r="H3351" s="310"/>
      <c r="I3351" s="2"/>
      <c r="O3351" s="2"/>
      <c r="P3351" s="2"/>
    </row>
    <row r="3352" spans="4:16" x14ac:dyDescent="0.25">
      <c r="D3352" s="2"/>
      <c r="E3352" s="310"/>
      <c r="G3352" s="2"/>
      <c r="H3352" s="310"/>
      <c r="I3352" s="2"/>
      <c r="O3352" s="2"/>
      <c r="P3352" s="2"/>
    </row>
    <row r="3353" spans="4:16" x14ac:dyDescent="0.25">
      <c r="D3353" s="2"/>
      <c r="E3353" s="310"/>
      <c r="G3353" s="2"/>
      <c r="H3353" s="310"/>
      <c r="I3353" s="2"/>
      <c r="O3353" s="2"/>
      <c r="P3353" s="2"/>
    </row>
    <row r="3354" spans="4:16" x14ac:dyDescent="0.25">
      <c r="D3354" s="2"/>
      <c r="E3354" s="310"/>
      <c r="G3354" s="2"/>
      <c r="H3354" s="310"/>
      <c r="I3354" s="2"/>
      <c r="O3354" s="2"/>
      <c r="P3354" s="2"/>
    </row>
    <row r="3355" spans="4:16" x14ac:dyDescent="0.25">
      <c r="D3355" s="2"/>
      <c r="E3355" s="310"/>
      <c r="G3355" s="2"/>
      <c r="H3355" s="310"/>
      <c r="I3355" s="2"/>
      <c r="O3355" s="2"/>
      <c r="P3355" s="2"/>
    </row>
    <row r="3356" spans="4:16" x14ac:dyDescent="0.25">
      <c r="D3356" s="2"/>
      <c r="E3356" s="310"/>
      <c r="G3356" s="2"/>
      <c r="H3356" s="310"/>
      <c r="I3356" s="2"/>
      <c r="O3356" s="2"/>
      <c r="P3356" s="2"/>
    </row>
    <row r="3357" spans="4:16" x14ac:dyDescent="0.25">
      <c r="D3357" s="2"/>
      <c r="E3357" s="310"/>
      <c r="G3357" s="2"/>
      <c r="H3357" s="310"/>
      <c r="I3357" s="2"/>
      <c r="O3357" s="2"/>
      <c r="P3357" s="2"/>
    </row>
    <row r="3358" spans="4:16" x14ac:dyDescent="0.25">
      <c r="D3358" s="2"/>
      <c r="E3358" s="310"/>
      <c r="G3358" s="2"/>
      <c r="H3358" s="310"/>
      <c r="I3358" s="2"/>
      <c r="O3358" s="2"/>
      <c r="P3358" s="2"/>
    </row>
    <row r="3359" spans="4:16" x14ac:dyDescent="0.25">
      <c r="D3359" s="2"/>
      <c r="E3359" s="310"/>
      <c r="G3359" s="2"/>
      <c r="H3359" s="310"/>
      <c r="I3359" s="2"/>
      <c r="O3359" s="2"/>
      <c r="P3359" s="2"/>
    </row>
    <row r="3360" spans="4:16" x14ac:dyDescent="0.25">
      <c r="D3360" s="2"/>
      <c r="E3360" s="310"/>
      <c r="G3360" s="2"/>
      <c r="H3360" s="310"/>
      <c r="I3360" s="2"/>
      <c r="O3360" s="2"/>
      <c r="P3360" s="2"/>
    </row>
    <row r="3361" spans="4:16" x14ac:dyDescent="0.25">
      <c r="D3361" s="2"/>
      <c r="E3361" s="310"/>
      <c r="G3361" s="2"/>
      <c r="H3361" s="310"/>
      <c r="I3361" s="2"/>
      <c r="O3361" s="2"/>
      <c r="P3361" s="2"/>
    </row>
    <row r="3362" spans="4:16" x14ac:dyDescent="0.25">
      <c r="D3362" s="2"/>
      <c r="E3362" s="310"/>
      <c r="G3362" s="2"/>
      <c r="H3362" s="310"/>
      <c r="I3362" s="2"/>
      <c r="O3362" s="2"/>
      <c r="P3362" s="2"/>
    </row>
    <row r="3363" spans="4:16" x14ac:dyDescent="0.25">
      <c r="D3363" s="2"/>
      <c r="E3363" s="310"/>
      <c r="G3363" s="2"/>
      <c r="H3363" s="310"/>
      <c r="I3363" s="2"/>
      <c r="O3363" s="2"/>
      <c r="P3363" s="2"/>
    </row>
    <row r="3364" spans="4:16" x14ac:dyDescent="0.25">
      <c r="D3364" s="2"/>
      <c r="E3364" s="310"/>
      <c r="G3364" s="2"/>
      <c r="H3364" s="310"/>
      <c r="I3364" s="2"/>
      <c r="O3364" s="2"/>
      <c r="P3364" s="2"/>
    </row>
    <row r="3365" spans="4:16" x14ac:dyDescent="0.25">
      <c r="D3365" s="2"/>
      <c r="E3365" s="310"/>
      <c r="G3365" s="2"/>
      <c r="H3365" s="310"/>
      <c r="I3365" s="2"/>
      <c r="O3365" s="2"/>
      <c r="P3365" s="2"/>
    </row>
    <row r="3366" spans="4:16" x14ac:dyDescent="0.25">
      <c r="D3366" s="2"/>
      <c r="E3366" s="310"/>
      <c r="G3366" s="2"/>
      <c r="H3366" s="310"/>
      <c r="I3366" s="2"/>
      <c r="O3366" s="2"/>
      <c r="P3366" s="2"/>
    </row>
    <row r="3367" spans="4:16" x14ac:dyDescent="0.25">
      <c r="D3367" s="2"/>
      <c r="E3367" s="310"/>
      <c r="G3367" s="2"/>
      <c r="H3367" s="310"/>
      <c r="I3367" s="2"/>
      <c r="O3367" s="2"/>
      <c r="P3367" s="2"/>
    </row>
    <row r="3368" spans="4:16" x14ac:dyDescent="0.25">
      <c r="D3368" s="2"/>
      <c r="E3368" s="310"/>
      <c r="G3368" s="2"/>
      <c r="H3368" s="310"/>
      <c r="I3368" s="2"/>
      <c r="O3368" s="2"/>
      <c r="P3368" s="2"/>
    </row>
    <row r="3369" spans="4:16" x14ac:dyDescent="0.25">
      <c r="D3369" s="2"/>
      <c r="E3369" s="310"/>
      <c r="G3369" s="2"/>
      <c r="H3369" s="310"/>
      <c r="I3369" s="2"/>
      <c r="O3369" s="2"/>
      <c r="P3369" s="2"/>
    </row>
    <row r="3370" spans="4:16" x14ac:dyDescent="0.25">
      <c r="D3370" s="2"/>
      <c r="E3370" s="310"/>
      <c r="G3370" s="2"/>
      <c r="H3370" s="310"/>
      <c r="I3370" s="2"/>
      <c r="O3370" s="2"/>
      <c r="P3370" s="2"/>
    </row>
    <row r="3371" spans="4:16" x14ac:dyDescent="0.25">
      <c r="D3371" s="2"/>
      <c r="E3371" s="310"/>
      <c r="G3371" s="2"/>
      <c r="H3371" s="310"/>
      <c r="I3371" s="2"/>
      <c r="O3371" s="2"/>
      <c r="P3371" s="2"/>
    </row>
    <row r="3372" spans="4:16" x14ac:dyDescent="0.25">
      <c r="D3372" s="2"/>
      <c r="E3372" s="310"/>
      <c r="G3372" s="2"/>
      <c r="H3372" s="310"/>
      <c r="I3372" s="2"/>
      <c r="O3372" s="2"/>
      <c r="P3372" s="2"/>
    </row>
    <row r="3373" spans="4:16" x14ac:dyDescent="0.25">
      <c r="D3373" s="2"/>
      <c r="E3373" s="310"/>
      <c r="G3373" s="2"/>
      <c r="H3373" s="310"/>
      <c r="I3373" s="2"/>
      <c r="O3373" s="2"/>
      <c r="P3373" s="2"/>
    </row>
    <row r="3374" spans="4:16" x14ac:dyDescent="0.25">
      <c r="D3374" s="2"/>
      <c r="E3374" s="310"/>
      <c r="G3374" s="2"/>
      <c r="H3374" s="310"/>
      <c r="I3374" s="2"/>
      <c r="O3374" s="2"/>
      <c r="P3374" s="2"/>
    </row>
    <row r="3375" spans="4:16" x14ac:dyDescent="0.25">
      <c r="D3375" s="2"/>
      <c r="E3375" s="310"/>
      <c r="G3375" s="2"/>
      <c r="H3375" s="310"/>
      <c r="I3375" s="2"/>
      <c r="O3375" s="2"/>
      <c r="P3375" s="2"/>
    </row>
    <row r="3376" spans="4:16" x14ac:dyDescent="0.25">
      <c r="D3376" s="2"/>
      <c r="E3376" s="310"/>
      <c r="G3376" s="2"/>
      <c r="H3376" s="310"/>
      <c r="I3376" s="2"/>
      <c r="O3376" s="2"/>
      <c r="P3376" s="2"/>
    </row>
    <row r="3377" spans="4:16" x14ac:dyDescent="0.25">
      <c r="D3377" s="2"/>
      <c r="E3377" s="310"/>
      <c r="G3377" s="2"/>
      <c r="H3377" s="310"/>
      <c r="I3377" s="2"/>
      <c r="O3377" s="2"/>
      <c r="P3377" s="2"/>
    </row>
    <row r="3378" spans="4:16" x14ac:dyDescent="0.25">
      <c r="D3378" s="2"/>
      <c r="E3378" s="310"/>
      <c r="G3378" s="2"/>
      <c r="H3378" s="310"/>
      <c r="I3378" s="2"/>
      <c r="O3378" s="2"/>
      <c r="P3378" s="2"/>
    </row>
    <row r="3379" spans="4:16" x14ac:dyDescent="0.25">
      <c r="D3379" s="2"/>
      <c r="E3379" s="310"/>
      <c r="G3379" s="2"/>
      <c r="H3379" s="310"/>
      <c r="I3379" s="2"/>
      <c r="O3379" s="2"/>
      <c r="P3379" s="2"/>
    </row>
    <row r="3380" spans="4:16" x14ac:dyDescent="0.25">
      <c r="D3380" s="2"/>
      <c r="E3380" s="310"/>
      <c r="G3380" s="2"/>
      <c r="H3380" s="310"/>
      <c r="I3380" s="2"/>
      <c r="O3380" s="2"/>
      <c r="P3380" s="2"/>
    </row>
    <row r="3381" spans="4:16" x14ac:dyDescent="0.25">
      <c r="D3381" s="2"/>
      <c r="E3381" s="310"/>
      <c r="G3381" s="2"/>
      <c r="H3381" s="310"/>
      <c r="I3381" s="2"/>
      <c r="O3381" s="2"/>
      <c r="P3381" s="2"/>
    </row>
    <row r="3382" spans="4:16" x14ac:dyDescent="0.25">
      <c r="D3382" s="2"/>
      <c r="E3382" s="310"/>
      <c r="G3382" s="2"/>
      <c r="H3382" s="310"/>
      <c r="I3382" s="2"/>
      <c r="O3382" s="2"/>
      <c r="P3382" s="2"/>
    </row>
    <row r="3383" spans="4:16" x14ac:dyDescent="0.25">
      <c r="D3383" s="2"/>
      <c r="E3383" s="310"/>
      <c r="G3383" s="2"/>
      <c r="H3383" s="310"/>
      <c r="I3383" s="2"/>
      <c r="O3383" s="2"/>
      <c r="P3383" s="2"/>
    </row>
    <row r="3384" spans="4:16" x14ac:dyDescent="0.25">
      <c r="D3384" s="2"/>
      <c r="E3384" s="310"/>
      <c r="G3384" s="2"/>
      <c r="H3384" s="310"/>
      <c r="I3384" s="2"/>
      <c r="O3384" s="2"/>
      <c r="P3384" s="2"/>
    </row>
    <row r="3385" spans="4:16" x14ac:dyDescent="0.25">
      <c r="D3385" s="2"/>
      <c r="E3385" s="310"/>
      <c r="G3385" s="2"/>
      <c r="H3385" s="310"/>
      <c r="I3385" s="2"/>
      <c r="O3385" s="2"/>
      <c r="P3385" s="2"/>
    </row>
    <row r="3386" spans="4:16" x14ac:dyDescent="0.25">
      <c r="D3386" s="2"/>
      <c r="E3386" s="310"/>
      <c r="G3386" s="2"/>
      <c r="H3386" s="310"/>
      <c r="I3386" s="2"/>
      <c r="O3386" s="2"/>
      <c r="P3386" s="2"/>
    </row>
    <row r="3387" spans="4:16" x14ac:dyDescent="0.25">
      <c r="D3387" s="2"/>
      <c r="E3387" s="310"/>
      <c r="G3387" s="2"/>
      <c r="H3387" s="310"/>
      <c r="I3387" s="2"/>
      <c r="O3387" s="2"/>
      <c r="P3387" s="2"/>
    </row>
    <row r="3388" spans="4:16" x14ac:dyDescent="0.25">
      <c r="D3388" s="2"/>
      <c r="E3388" s="310"/>
      <c r="G3388" s="2"/>
      <c r="H3388" s="310"/>
      <c r="I3388" s="2"/>
      <c r="O3388" s="2"/>
      <c r="P3388" s="2"/>
    </row>
    <row r="3389" spans="4:16" x14ac:dyDescent="0.25">
      <c r="D3389" s="2"/>
      <c r="E3389" s="310"/>
      <c r="G3389" s="2"/>
      <c r="H3389" s="310"/>
      <c r="I3389" s="2"/>
      <c r="O3389" s="2"/>
      <c r="P3389" s="2"/>
    </row>
    <row r="3390" spans="4:16" x14ac:dyDescent="0.25">
      <c r="D3390" s="2"/>
      <c r="E3390" s="310"/>
      <c r="G3390" s="2"/>
      <c r="H3390" s="310"/>
      <c r="I3390" s="2"/>
      <c r="O3390" s="2"/>
      <c r="P3390" s="2"/>
    </row>
    <row r="3391" spans="4:16" x14ac:dyDescent="0.25">
      <c r="D3391" s="2"/>
      <c r="E3391" s="310"/>
      <c r="G3391" s="2"/>
      <c r="H3391" s="310"/>
      <c r="I3391" s="2"/>
      <c r="O3391" s="2"/>
      <c r="P3391" s="2"/>
    </row>
    <row r="3392" spans="4:16" x14ac:dyDescent="0.25">
      <c r="D3392" s="2"/>
      <c r="E3392" s="310"/>
      <c r="G3392" s="2"/>
      <c r="H3392" s="310"/>
      <c r="I3392" s="2"/>
      <c r="O3392" s="2"/>
      <c r="P3392" s="2"/>
    </row>
    <row r="3393" spans="4:16" x14ac:dyDescent="0.25">
      <c r="D3393" s="2"/>
      <c r="E3393" s="310"/>
      <c r="G3393" s="2"/>
      <c r="H3393" s="310"/>
      <c r="I3393" s="2"/>
      <c r="O3393" s="2"/>
      <c r="P3393" s="2"/>
    </row>
    <row r="3394" spans="4:16" x14ac:dyDescent="0.25">
      <c r="D3394" s="2"/>
      <c r="E3394" s="310"/>
      <c r="G3394" s="2"/>
      <c r="H3394" s="310"/>
      <c r="I3394" s="2"/>
      <c r="O3394" s="2"/>
      <c r="P3394" s="2"/>
    </row>
    <row r="3395" spans="4:16" x14ac:dyDescent="0.25">
      <c r="D3395" s="2"/>
      <c r="E3395" s="310"/>
      <c r="G3395" s="2"/>
      <c r="H3395" s="310"/>
      <c r="I3395" s="2"/>
      <c r="O3395" s="2"/>
      <c r="P3395" s="2"/>
    </row>
    <row r="3396" spans="4:16" x14ac:dyDescent="0.25">
      <c r="D3396" s="2"/>
      <c r="E3396" s="310"/>
      <c r="G3396" s="2"/>
      <c r="H3396" s="310"/>
      <c r="I3396" s="2"/>
      <c r="O3396" s="2"/>
      <c r="P3396" s="2"/>
    </row>
    <row r="3397" spans="4:16" x14ac:dyDescent="0.25">
      <c r="D3397" s="2"/>
      <c r="E3397" s="310"/>
      <c r="G3397" s="2"/>
      <c r="H3397" s="310"/>
      <c r="I3397" s="2"/>
      <c r="O3397" s="2"/>
      <c r="P3397" s="2"/>
    </row>
    <row r="3398" spans="4:16" x14ac:dyDescent="0.25">
      <c r="D3398" s="2"/>
      <c r="E3398" s="310"/>
      <c r="G3398" s="2"/>
      <c r="H3398" s="310"/>
      <c r="I3398" s="2"/>
      <c r="O3398" s="2"/>
      <c r="P3398" s="2"/>
    </row>
    <row r="3399" spans="4:16" x14ac:dyDescent="0.25">
      <c r="D3399" s="2"/>
      <c r="E3399" s="310"/>
      <c r="G3399" s="2"/>
      <c r="H3399" s="310"/>
      <c r="I3399" s="2"/>
      <c r="O3399" s="2"/>
      <c r="P3399" s="2"/>
    </row>
    <row r="3400" spans="4:16" x14ac:dyDescent="0.25">
      <c r="D3400" s="2"/>
      <c r="E3400" s="310"/>
      <c r="G3400" s="2"/>
      <c r="H3400" s="310"/>
      <c r="I3400" s="2"/>
      <c r="O3400" s="2"/>
      <c r="P3400" s="2"/>
    </row>
    <row r="3401" spans="4:16" x14ac:dyDescent="0.25">
      <c r="D3401" s="2"/>
      <c r="E3401" s="310"/>
      <c r="G3401" s="2"/>
      <c r="H3401" s="310"/>
      <c r="I3401" s="2"/>
      <c r="O3401" s="2"/>
      <c r="P3401" s="2"/>
    </row>
    <row r="3402" spans="4:16" x14ac:dyDescent="0.25">
      <c r="D3402" s="2"/>
      <c r="E3402" s="310"/>
      <c r="G3402" s="2"/>
      <c r="H3402" s="310"/>
      <c r="I3402" s="2"/>
      <c r="O3402" s="2"/>
      <c r="P3402" s="2"/>
    </row>
    <row r="3403" spans="4:16" x14ac:dyDescent="0.25">
      <c r="D3403" s="2"/>
      <c r="E3403" s="310"/>
      <c r="G3403" s="2"/>
      <c r="H3403" s="310"/>
      <c r="I3403" s="2"/>
      <c r="O3403" s="2"/>
      <c r="P3403" s="2"/>
    </row>
    <row r="3404" spans="4:16" x14ac:dyDescent="0.25">
      <c r="D3404" s="2"/>
      <c r="E3404" s="310"/>
      <c r="G3404" s="2"/>
      <c r="H3404" s="310"/>
      <c r="I3404" s="2"/>
      <c r="O3404" s="2"/>
      <c r="P3404" s="2"/>
    </row>
    <row r="3405" spans="4:16" x14ac:dyDescent="0.25">
      <c r="D3405" s="2"/>
      <c r="E3405" s="310"/>
      <c r="G3405" s="2"/>
      <c r="H3405" s="310"/>
      <c r="I3405" s="2"/>
      <c r="O3405" s="2"/>
      <c r="P3405" s="2"/>
    </row>
    <row r="3406" spans="4:16" x14ac:dyDescent="0.25">
      <c r="D3406" s="2"/>
      <c r="E3406" s="310"/>
      <c r="G3406" s="2"/>
      <c r="H3406" s="310"/>
      <c r="I3406" s="2"/>
      <c r="O3406" s="2"/>
      <c r="P3406" s="2"/>
    </row>
    <row r="3407" spans="4:16" x14ac:dyDescent="0.25">
      <c r="D3407" s="2"/>
      <c r="E3407" s="310"/>
      <c r="G3407" s="2"/>
      <c r="H3407" s="310"/>
      <c r="I3407" s="2"/>
      <c r="O3407" s="2"/>
      <c r="P3407" s="2"/>
    </row>
    <row r="3408" spans="4:16" x14ac:dyDescent="0.25">
      <c r="D3408" s="2"/>
      <c r="E3408" s="310"/>
      <c r="G3408" s="2"/>
      <c r="H3408" s="310"/>
      <c r="I3408" s="2"/>
      <c r="O3408" s="2"/>
      <c r="P3408" s="2"/>
    </row>
    <row r="3409" spans="4:16" x14ac:dyDescent="0.25">
      <c r="D3409" s="2"/>
      <c r="E3409" s="310"/>
      <c r="G3409" s="2"/>
      <c r="H3409" s="310"/>
      <c r="I3409" s="2"/>
      <c r="O3409" s="2"/>
      <c r="P3409" s="2"/>
    </row>
    <row r="3410" spans="4:16" x14ac:dyDescent="0.25">
      <c r="D3410" s="2"/>
      <c r="E3410" s="310"/>
      <c r="G3410" s="2"/>
      <c r="H3410" s="310"/>
      <c r="I3410" s="2"/>
      <c r="O3410" s="2"/>
      <c r="P3410" s="2"/>
    </row>
    <row r="3411" spans="4:16" x14ac:dyDescent="0.25">
      <c r="D3411" s="2"/>
      <c r="E3411" s="310"/>
      <c r="G3411" s="2"/>
      <c r="H3411" s="310"/>
      <c r="I3411" s="2"/>
      <c r="O3411" s="2"/>
      <c r="P3411" s="2"/>
    </row>
    <row r="3412" spans="4:16" x14ac:dyDescent="0.25">
      <c r="D3412" s="2"/>
      <c r="E3412" s="310"/>
      <c r="G3412" s="2"/>
      <c r="H3412" s="310"/>
      <c r="I3412" s="2"/>
      <c r="O3412" s="2"/>
      <c r="P3412" s="2"/>
    </row>
    <row r="3413" spans="4:16" x14ac:dyDescent="0.25">
      <c r="D3413" s="2"/>
      <c r="E3413" s="310"/>
      <c r="G3413" s="2"/>
      <c r="H3413" s="310"/>
      <c r="I3413" s="2"/>
      <c r="O3413" s="2"/>
      <c r="P3413" s="2"/>
    </row>
    <row r="3414" spans="4:16" x14ac:dyDescent="0.25">
      <c r="D3414" s="2"/>
      <c r="E3414" s="310"/>
      <c r="G3414" s="2"/>
      <c r="H3414" s="310"/>
      <c r="I3414" s="2"/>
      <c r="O3414" s="2"/>
      <c r="P3414" s="2"/>
    </row>
    <row r="3415" spans="4:16" x14ac:dyDescent="0.25">
      <c r="D3415" s="2"/>
      <c r="E3415" s="310"/>
      <c r="G3415" s="2"/>
      <c r="H3415" s="310"/>
      <c r="I3415" s="2"/>
      <c r="O3415" s="2"/>
      <c r="P3415" s="2"/>
    </row>
    <row r="3416" spans="4:16" x14ac:dyDescent="0.25">
      <c r="D3416" s="2"/>
      <c r="E3416" s="310"/>
      <c r="G3416" s="2"/>
      <c r="H3416" s="310"/>
      <c r="I3416" s="2"/>
      <c r="O3416" s="2"/>
      <c r="P3416" s="2"/>
    </row>
    <row r="3417" spans="4:16" x14ac:dyDescent="0.25">
      <c r="D3417" s="2"/>
      <c r="E3417" s="310"/>
      <c r="G3417" s="2"/>
      <c r="H3417" s="310"/>
      <c r="I3417" s="2"/>
      <c r="O3417" s="2"/>
      <c r="P3417" s="2"/>
    </row>
    <row r="3418" spans="4:16" x14ac:dyDescent="0.25">
      <c r="D3418" s="2"/>
      <c r="E3418" s="310"/>
      <c r="G3418" s="2"/>
      <c r="H3418" s="310"/>
      <c r="I3418" s="2"/>
      <c r="O3418" s="2"/>
      <c r="P3418" s="2"/>
    </row>
    <row r="3419" spans="4:16" x14ac:dyDescent="0.25">
      <c r="D3419" s="2"/>
      <c r="E3419" s="310"/>
      <c r="G3419" s="2"/>
      <c r="H3419" s="310"/>
      <c r="I3419" s="2"/>
      <c r="O3419" s="2"/>
      <c r="P3419" s="2"/>
    </row>
    <row r="3420" spans="4:16" x14ac:dyDescent="0.25">
      <c r="D3420" s="2"/>
      <c r="E3420" s="310"/>
      <c r="G3420" s="2"/>
      <c r="H3420" s="310"/>
      <c r="I3420" s="2"/>
      <c r="O3420" s="2"/>
      <c r="P3420" s="2"/>
    </row>
    <row r="3421" spans="4:16" x14ac:dyDescent="0.25">
      <c r="D3421" s="2"/>
      <c r="E3421" s="310"/>
      <c r="G3421" s="2"/>
      <c r="H3421" s="310"/>
      <c r="I3421" s="2"/>
      <c r="O3421" s="2"/>
      <c r="P3421" s="2"/>
    </row>
    <row r="3422" spans="4:16" x14ac:dyDescent="0.25">
      <c r="D3422" s="2"/>
      <c r="E3422" s="310"/>
      <c r="G3422" s="2"/>
      <c r="H3422" s="310"/>
      <c r="I3422" s="2"/>
      <c r="O3422" s="2"/>
      <c r="P3422" s="2"/>
    </row>
    <row r="3423" spans="4:16" x14ac:dyDescent="0.25">
      <c r="D3423" s="2"/>
      <c r="E3423" s="310"/>
      <c r="G3423" s="2"/>
      <c r="H3423" s="310"/>
      <c r="I3423" s="2"/>
      <c r="O3423" s="2"/>
      <c r="P3423" s="2"/>
    </row>
    <row r="3424" spans="4:16" x14ac:dyDescent="0.25">
      <c r="D3424" s="2"/>
      <c r="E3424" s="310"/>
      <c r="G3424" s="2"/>
      <c r="H3424" s="310"/>
      <c r="I3424" s="2"/>
      <c r="O3424" s="2"/>
      <c r="P3424" s="2"/>
    </row>
    <row r="3425" spans="4:16" x14ac:dyDescent="0.25">
      <c r="D3425" s="2"/>
      <c r="E3425" s="310"/>
      <c r="G3425" s="2"/>
      <c r="H3425" s="310"/>
      <c r="I3425" s="2"/>
      <c r="O3425" s="2"/>
      <c r="P3425" s="2"/>
    </row>
    <row r="3426" spans="4:16" x14ac:dyDescent="0.25">
      <c r="D3426" s="2"/>
      <c r="E3426" s="310"/>
      <c r="G3426" s="2"/>
      <c r="H3426" s="310"/>
      <c r="I3426" s="2"/>
      <c r="O3426" s="2"/>
      <c r="P3426" s="2"/>
    </row>
    <row r="3427" spans="4:16" x14ac:dyDescent="0.25">
      <c r="D3427" s="2"/>
      <c r="E3427" s="310"/>
      <c r="G3427" s="2"/>
      <c r="H3427" s="310"/>
      <c r="I3427" s="2"/>
      <c r="O3427" s="2"/>
      <c r="P3427" s="2"/>
    </row>
    <row r="3428" spans="4:16" x14ac:dyDescent="0.25">
      <c r="D3428" s="2"/>
      <c r="E3428" s="310"/>
      <c r="G3428" s="2"/>
      <c r="H3428" s="310"/>
      <c r="I3428" s="2"/>
      <c r="O3428" s="2"/>
      <c r="P3428" s="2"/>
    </row>
    <row r="3429" spans="4:16" x14ac:dyDescent="0.25">
      <c r="D3429" s="2"/>
      <c r="E3429" s="310"/>
      <c r="G3429" s="2"/>
      <c r="H3429" s="310"/>
      <c r="I3429" s="2"/>
      <c r="O3429" s="2"/>
      <c r="P3429" s="2"/>
    </row>
    <row r="3430" spans="4:16" x14ac:dyDescent="0.25">
      <c r="D3430" s="2"/>
      <c r="E3430" s="310"/>
      <c r="G3430" s="2"/>
      <c r="H3430" s="310"/>
      <c r="I3430" s="2"/>
      <c r="O3430" s="2"/>
      <c r="P3430" s="2"/>
    </row>
    <row r="3431" spans="4:16" x14ac:dyDescent="0.25">
      <c r="D3431" s="2"/>
      <c r="E3431" s="310"/>
      <c r="G3431" s="2"/>
      <c r="H3431" s="310"/>
      <c r="I3431" s="2"/>
      <c r="O3431" s="2"/>
      <c r="P3431" s="2"/>
    </row>
    <row r="3432" spans="4:16" x14ac:dyDescent="0.25">
      <c r="D3432" s="2"/>
      <c r="E3432" s="310"/>
      <c r="G3432" s="2"/>
      <c r="H3432" s="310"/>
      <c r="I3432" s="2"/>
      <c r="O3432" s="2"/>
      <c r="P3432" s="2"/>
    </row>
    <row r="3433" spans="4:16" x14ac:dyDescent="0.25">
      <c r="D3433" s="2"/>
      <c r="E3433" s="310"/>
      <c r="G3433" s="2"/>
      <c r="H3433" s="310"/>
      <c r="I3433" s="2"/>
      <c r="O3433" s="2"/>
      <c r="P3433" s="2"/>
    </row>
    <row r="3434" spans="4:16" x14ac:dyDescent="0.25">
      <c r="D3434" s="2"/>
      <c r="E3434" s="310"/>
      <c r="G3434" s="2"/>
      <c r="H3434" s="310"/>
      <c r="I3434" s="2"/>
      <c r="O3434" s="2"/>
      <c r="P3434" s="2"/>
    </row>
    <row r="3435" spans="4:16" x14ac:dyDescent="0.25">
      <c r="D3435" s="2"/>
      <c r="E3435" s="310"/>
      <c r="G3435" s="2"/>
      <c r="H3435" s="310"/>
      <c r="I3435" s="2"/>
      <c r="O3435" s="2"/>
      <c r="P3435" s="2"/>
    </row>
    <row r="3436" spans="4:16" x14ac:dyDescent="0.25">
      <c r="D3436" s="2"/>
      <c r="E3436" s="310"/>
      <c r="G3436" s="2"/>
      <c r="H3436" s="310"/>
      <c r="I3436" s="2"/>
      <c r="O3436" s="2"/>
      <c r="P3436" s="2"/>
    </row>
    <row r="3437" spans="4:16" x14ac:dyDescent="0.25">
      <c r="D3437" s="2"/>
      <c r="E3437" s="310"/>
      <c r="G3437" s="2"/>
      <c r="H3437" s="310"/>
      <c r="I3437" s="2"/>
      <c r="O3437" s="2"/>
      <c r="P3437" s="2"/>
    </row>
    <row r="3438" spans="4:16" x14ac:dyDescent="0.25">
      <c r="D3438" s="2"/>
      <c r="E3438" s="310"/>
      <c r="G3438" s="2"/>
      <c r="H3438" s="310"/>
      <c r="I3438" s="2"/>
      <c r="O3438" s="2"/>
      <c r="P3438" s="2"/>
    </row>
    <row r="3439" spans="4:16" x14ac:dyDescent="0.25">
      <c r="D3439" s="2"/>
      <c r="E3439" s="310"/>
      <c r="G3439" s="2"/>
      <c r="H3439" s="310"/>
      <c r="I3439" s="2"/>
      <c r="O3439" s="2"/>
      <c r="P3439" s="2"/>
    </row>
    <row r="3440" spans="4:16" x14ac:dyDescent="0.25">
      <c r="D3440" s="2"/>
      <c r="E3440" s="310"/>
      <c r="G3440" s="2"/>
      <c r="H3440" s="310"/>
      <c r="I3440" s="2"/>
      <c r="O3440" s="2"/>
      <c r="P3440" s="2"/>
    </row>
    <row r="3441" spans="4:16" x14ac:dyDescent="0.25">
      <c r="D3441" s="2"/>
      <c r="E3441" s="310"/>
      <c r="G3441" s="2"/>
      <c r="H3441" s="310"/>
      <c r="I3441" s="2"/>
      <c r="O3441" s="2"/>
      <c r="P3441" s="2"/>
    </row>
    <row r="3442" spans="4:16" x14ac:dyDescent="0.25">
      <c r="D3442" s="2"/>
      <c r="E3442" s="310"/>
      <c r="G3442" s="2"/>
      <c r="H3442" s="310"/>
      <c r="I3442" s="2"/>
      <c r="O3442" s="2"/>
      <c r="P3442" s="2"/>
    </row>
    <row r="3443" spans="4:16" x14ac:dyDescent="0.25">
      <c r="D3443" s="2"/>
      <c r="E3443" s="310"/>
      <c r="G3443" s="2"/>
      <c r="H3443" s="310"/>
      <c r="I3443" s="2"/>
      <c r="O3443" s="2"/>
      <c r="P3443" s="2"/>
    </row>
    <row r="3444" spans="4:16" x14ac:dyDescent="0.25">
      <c r="D3444" s="2"/>
      <c r="E3444" s="310"/>
      <c r="G3444" s="2"/>
      <c r="H3444" s="310"/>
      <c r="I3444" s="2"/>
      <c r="O3444" s="2"/>
      <c r="P3444" s="2"/>
    </row>
    <row r="3445" spans="4:16" x14ac:dyDescent="0.25">
      <c r="D3445" s="2"/>
      <c r="E3445" s="310"/>
      <c r="G3445" s="2"/>
      <c r="H3445" s="310"/>
      <c r="I3445" s="2"/>
      <c r="O3445" s="2"/>
      <c r="P3445" s="2"/>
    </row>
    <row r="3446" spans="4:16" x14ac:dyDescent="0.25">
      <c r="D3446" s="2"/>
      <c r="E3446" s="310"/>
      <c r="G3446" s="2"/>
      <c r="H3446" s="310"/>
      <c r="I3446" s="2"/>
      <c r="O3446" s="2"/>
      <c r="P3446" s="2"/>
    </row>
    <row r="3447" spans="4:16" x14ac:dyDescent="0.25">
      <c r="D3447" s="2"/>
      <c r="E3447" s="310"/>
      <c r="G3447" s="2"/>
      <c r="H3447" s="310"/>
      <c r="I3447" s="2"/>
      <c r="O3447" s="2"/>
      <c r="P3447" s="2"/>
    </row>
    <row r="3448" spans="4:16" x14ac:dyDescent="0.25">
      <c r="D3448" s="2"/>
      <c r="E3448" s="310"/>
      <c r="G3448" s="2"/>
      <c r="H3448" s="310"/>
      <c r="I3448" s="2"/>
      <c r="O3448" s="2"/>
      <c r="P3448" s="2"/>
    </row>
    <row r="3449" spans="4:16" x14ac:dyDescent="0.25">
      <c r="D3449" s="2"/>
      <c r="E3449" s="310"/>
      <c r="G3449" s="2"/>
      <c r="H3449" s="310"/>
      <c r="I3449" s="2"/>
      <c r="O3449" s="2"/>
      <c r="P3449" s="2"/>
    </row>
    <row r="3450" spans="4:16" x14ac:dyDescent="0.25">
      <c r="D3450" s="2"/>
      <c r="E3450" s="310"/>
      <c r="G3450" s="2"/>
      <c r="H3450" s="310"/>
      <c r="I3450" s="2"/>
      <c r="O3450" s="2"/>
      <c r="P3450" s="2"/>
    </row>
    <row r="3451" spans="4:16" x14ac:dyDescent="0.25">
      <c r="D3451" s="2"/>
      <c r="E3451" s="310"/>
      <c r="G3451" s="2"/>
      <c r="H3451" s="310"/>
      <c r="I3451" s="2"/>
      <c r="O3451" s="2"/>
      <c r="P3451" s="2"/>
    </row>
    <row r="3452" spans="4:16" x14ac:dyDescent="0.25">
      <c r="D3452" s="2"/>
      <c r="E3452" s="310"/>
      <c r="G3452" s="2"/>
      <c r="H3452" s="310"/>
      <c r="I3452" s="2"/>
      <c r="O3452" s="2"/>
      <c r="P3452" s="2"/>
    </row>
    <row r="3453" spans="4:16" x14ac:dyDescent="0.25">
      <c r="D3453" s="2"/>
      <c r="E3453" s="310"/>
      <c r="G3453" s="2"/>
      <c r="H3453" s="310"/>
      <c r="I3453" s="2"/>
      <c r="O3453" s="2"/>
      <c r="P3453" s="2"/>
    </row>
    <row r="3454" spans="4:16" x14ac:dyDescent="0.25">
      <c r="D3454" s="2"/>
      <c r="E3454" s="310"/>
      <c r="G3454" s="2"/>
      <c r="H3454" s="310"/>
      <c r="I3454" s="2"/>
      <c r="O3454" s="2"/>
      <c r="P3454" s="2"/>
    </row>
    <row r="3455" spans="4:16" x14ac:dyDescent="0.25">
      <c r="D3455" s="2"/>
      <c r="E3455" s="310"/>
      <c r="G3455" s="2"/>
      <c r="H3455" s="310"/>
      <c r="I3455" s="2"/>
      <c r="O3455" s="2"/>
      <c r="P3455" s="2"/>
    </row>
    <row r="3456" spans="4:16" x14ac:dyDescent="0.25">
      <c r="D3456" s="2"/>
      <c r="E3456" s="310"/>
      <c r="G3456" s="2"/>
      <c r="H3456" s="310"/>
      <c r="I3456" s="2"/>
      <c r="O3456" s="2"/>
      <c r="P3456" s="2"/>
    </row>
    <row r="3457" spans="4:16" x14ac:dyDescent="0.25">
      <c r="D3457" s="2"/>
      <c r="E3457" s="310"/>
      <c r="G3457" s="2"/>
      <c r="H3457" s="310"/>
      <c r="I3457" s="2"/>
      <c r="O3457" s="2"/>
      <c r="P3457" s="2"/>
    </row>
    <row r="3458" spans="4:16" x14ac:dyDescent="0.25">
      <c r="D3458" s="2"/>
      <c r="E3458" s="310"/>
      <c r="G3458" s="2"/>
      <c r="H3458" s="310"/>
      <c r="I3458" s="2"/>
      <c r="O3458" s="2"/>
      <c r="P3458" s="2"/>
    </row>
    <row r="3459" spans="4:16" x14ac:dyDescent="0.25">
      <c r="D3459" s="2"/>
      <c r="E3459" s="310"/>
      <c r="G3459" s="2"/>
      <c r="H3459" s="310"/>
      <c r="I3459" s="2"/>
      <c r="O3459" s="2"/>
      <c r="P3459" s="2"/>
    </row>
    <row r="3460" spans="4:16" x14ac:dyDescent="0.25">
      <c r="D3460" s="2"/>
      <c r="E3460" s="310"/>
      <c r="G3460" s="2"/>
      <c r="H3460" s="310"/>
      <c r="I3460" s="2"/>
      <c r="O3460" s="2"/>
      <c r="P3460" s="2"/>
    </row>
    <row r="3461" spans="4:16" x14ac:dyDescent="0.25">
      <c r="D3461" s="2"/>
      <c r="E3461" s="310"/>
      <c r="G3461" s="2"/>
      <c r="H3461" s="310"/>
      <c r="I3461" s="2"/>
      <c r="O3461" s="2"/>
      <c r="P3461" s="2"/>
    </row>
    <row r="3462" spans="4:16" x14ac:dyDescent="0.25">
      <c r="D3462" s="2"/>
      <c r="E3462" s="310"/>
      <c r="G3462" s="2"/>
      <c r="H3462" s="310"/>
      <c r="I3462" s="2"/>
      <c r="O3462" s="2"/>
      <c r="P3462" s="2"/>
    </row>
    <row r="3463" spans="4:16" x14ac:dyDescent="0.25">
      <c r="D3463" s="2"/>
      <c r="E3463" s="310"/>
      <c r="G3463" s="2"/>
      <c r="H3463" s="310"/>
      <c r="I3463" s="2"/>
      <c r="O3463" s="2"/>
      <c r="P3463" s="2"/>
    </row>
    <row r="3464" spans="4:16" x14ac:dyDescent="0.25">
      <c r="D3464" s="2"/>
      <c r="E3464" s="310"/>
      <c r="G3464" s="2"/>
      <c r="H3464" s="310"/>
      <c r="I3464" s="2"/>
      <c r="O3464" s="2"/>
      <c r="P3464" s="2"/>
    </row>
    <row r="3465" spans="4:16" x14ac:dyDescent="0.25">
      <c r="D3465" s="2"/>
      <c r="E3465" s="310"/>
      <c r="G3465" s="2"/>
      <c r="H3465" s="310"/>
      <c r="I3465" s="2"/>
      <c r="O3465" s="2"/>
      <c r="P3465" s="2"/>
    </row>
    <row r="3466" spans="4:16" x14ac:dyDescent="0.25">
      <c r="D3466" s="2"/>
      <c r="E3466" s="310"/>
      <c r="G3466" s="2"/>
      <c r="H3466" s="310"/>
      <c r="I3466" s="2"/>
      <c r="O3466" s="2"/>
      <c r="P3466" s="2"/>
    </row>
    <row r="3467" spans="4:16" x14ac:dyDescent="0.25">
      <c r="D3467" s="2"/>
      <c r="E3467" s="310"/>
      <c r="G3467" s="2"/>
      <c r="H3467" s="310"/>
      <c r="I3467" s="2"/>
      <c r="O3467" s="2"/>
      <c r="P3467" s="2"/>
    </row>
    <row r="3468" spans="4:16" x14ac:dyDescent="0.25">
      <c r="D3468" s="2"/>
      <c r="E3468" s="310"/>
      <c r="G3468" s="2"/>
      <c r="H3468" s="310"/>
      <c r="I3468" s="2"/>
      <c r="O3468" s="2"/>
      <c r="P3468" s="2"/>
    </row>
    <row r="3469" spans="4:16" x14ac:dyDescent="0.25">
      <c r="D3469" s="2"/>
      <c r="E3469" s="310"/>
      <c r="G3469" s="2"/>
      <c r="H3469" s="310"/>
      <c r="I3469" s="2"/>
      <c r="O3469" s="2"/>
      <c r="P3469" s="2"/>
    </row>
    <row r="3470" spans="4:16" x14ac:dyDescent="0.25">
      <c r="D3470" s="2"/>
      <c r="E3470" s="310"/>
      <c r="G3470" s="2"/>
      <c r="H3470" s="310"/>
      <c r="I3470" s="2"/>
      <c r="O3470" s="2"/>
      <c r="P3470" s="2"/>
    </row>
    <row r="3471" spans="4:16" x14ac:dyDescent="0.25">
      <c r="D3471" s="2"/>
      <c r="E3471" s="310"/>
      <c r="G3471" s="2"/>
      <c r="H3471" s="310"/>
      <c r="I3471" s="2"/>
      <c r="O3471" s="2"/>
      <c r="P3471" s="2"/>
    </row>
    <row r="3472" spans="4:16" x14ac:dyDescent="0.25">
      <c r="D3472" s="2"/>
      <c r="E3472" s="310"/>
      <c r="G3472" s="2"/>
      <c r="H3472" s="310"/>
      <c r="I3472" s="2"/>
      <c r="O3472" s="2"/>
      <c r="P3472" s="2"/>
    </row>
    <row r="3473" spans="4:16" x14ac:dyDescent="0.25">
      <c r="D3473" s="2"/>
      <c r="E3473" s="310"/>
      <c r="G3473" s="2"/>
      <c r="H3473" s="310"/>
      <c r="I3473" s="2"/>
      <c r="O3473" s="2"/>
      <c r="P3473" s="2"/>
    </row>
    <row r="3474" spans="4:16" x14ac:dyDescent="0.25">
      <c r="D3474" s="2"/>
      <c r="E3474" s="310"/>
      <c r="G3474" s="2"/>
      <c r="H3474" s="310"/>
      <c r="I3474" s="2"/>
      <c r="O3474" s="2"/>
      <c r="P3474" s="2"/>
    </row>
    <row r="3475" spans="4:16" x14ac:dyDescent="0.25">
      <c r="D3475" s="2"/>
      <c r="E3475" s="310"/>
      <c r="G3475" s="2"/>
      <c r="H3475" s="310"/>
      <c r="I3475" s="2"/>
      <c r="O3475" s="2"/>
      <c r="P3475" s="2"/>
    </row>
    <row r="3476" spans="4:16" x14ac:dyDescent="0.25">
      <c r="D3476" s="2"/>
      <c r="E3476" s="310"/>
      <c r="G3476" s="2"/>
      <c r="H3476" s="310"/>
      <c r="I3476" s="2"/>
      <c r="O3476" s="2"/>
      <c r="P3476" s="2"/>
    </row>
    <row r="3477" spans="4:16" x14ac:dyDescent="0.25">
      <c r="D3477" s="2"/>
      <c r="E3477" s="310"/>
      <c r="G3477" s="2"/>
      <c r="H3477" s="310"/>
      <c r="I3477" s="2"/>
      <c r="O3477" s="2"/>
      <c r="P3477" s="2"/>
    </row>
    <row r="3478" spans="4:16" x14ac:dyDescent="0.25">
      <c r="D3478" s="2"/>
      <c r="E3478" s="310"/>
      <c r="G3478" s="2"/>
      <c r="H3478" s="310"/>
      <c r="I3478" s="2"/>
      <c r="O3478" s="2"/>
      <c r="P3478" s="2"/>
    </row>
    <row r="3479" spans="4:16" x14ac:dyDescent="0.25">
      <c r="D3479" s="2"/>
      <c r="E3479" s="310"/>
      <c r="G3479" s="2"/>
      <c r="H3479" s="310"/>
      <c r="I3479" s="2"/>
      <c r="O3479" s="2"/>
      <c r="P3479" s="2"/>
    </row>
    <row r="3480" spans="4:16" x14ac:dyDescent="0.25">
      <c r="D3480" s="2"/>
      <c r="E3480" s="310"/>
      <c r="G3480" s="2"/>
      <c r="H3480" s="310"/>
      <c r="I3480" s="2"/>
      <c r="O3480" s="2"/>
      <c r="P3480" s="2"/>
    </row>
    <row r="3481" spans="4:16" x14ac:dyDescent="0.25">
      <c r="D3481" s="2"/>
      <c r="E3481" s="310"/>
      <c r="G3481" s="2"/>
      <c r="H3481" s="310"/>
      <c r="I3481" s="2"/>
      <c r="O3481" s="2"/>
      <c r="P3481" s="2"/>
    </row>
    <row r="3482" spans="4:16" x14ac:dyDescent="0.25">
      <c r="D3482" s="2"/>
      <c r="E3482" s="310"/>
      <c r="G3482" s="2"/>
      <c r="H3482" s="310"/>
      <c r="I3482" s="2"/>
      <c r="O3482" s="2"/>
      <c r="P3482" s="2"/>
    </row>
    <row r="3483" spans="4:16" x14ac:dyDescent="0.25">
      <c r="D3483" s="2"/>
      <c r="E3483" s="310"/>
      <c r="G3483" s="2"/>
      <c r="H3483" s="310"/>
      <c r="I3483" s="2"/>
      <c r="O3483" s="2"/>
      <c r="P3483" s="2"/>
    </row>
    <row r="3484" spans="4:16" x14ac:dyDescent="0.25">
      <c r="D3484" s="2"/>
      <c r="E3484" s="310"/>
      <c r="G3484" s="2"/>
      <c r="H3484" s="310"/>
      <c r="I3484" s="2"/>
      <c r="O3484" s="2"/>
      <c r="P3484" s="2"/>
    </row>
    <row r="3485" spans="4:16" x14ac:dyDescent="0.25">
      <c r="D3485" s="2"/>
      <c r="E3485" s="310"/>
      <c r="G3485" s="2"/>
      <c r="H3485" s="310"/>
      <c r="I3485" s="2"/>
      <c r="O3485" s="2"/>
      <c r="P3485" s="2"/>
    </row>
    <row r="3486" spans="4:16" x14ac:dyDescent="0.25">
      <c r="D3486" s="2"/>
      <c r="E3486" s="310"/>
      <c r="G3486" s="2"/>
      <c r="H3486" s="310"/>
      <c r="I3486" s="2"/>
      <c r="O3486" s="2"/>
      <c r="P3486" s="2"/>
    </row>
    <row r="3487" spans="4:16" x14ac:dyDescent="0.25">
      <c r="D3487" s="2"/>
      <c r="E3487" s="310"/>
      <c r="G3487" s="2"/>
      <c r="H3487" s="310"/>
      <c r="I3487" s="2"/>
      <c r="O3487" s="2"/>
      <c r="P3487" s="2"/>
    </row>
    <row r="3488" spans="4:16" x14ac:dyDescent="0.25">
      <c r="D3488" s="2"/>
      <c r="E3488" s="310"/>
      <c r="G3488" s="2"/>
      <c r="H3488" s="310"/>
      <c r="I3488" s="2"/>
      <c r="O3488" s="2"/>
      <c r="P3488" s="2"/>
    </row>
    <row r="3489" spans="4:16" x14ac:dyDescent="0.25">
      <c r="D3489" s="2"/>
      <c r="E3489" s="310"/>
      <c r="G3489" s="2"/>
      <c r="H3489" s="310"/>
      <c r="I3489" s="2"/>
      <c r="O3489" s="2"/>
      <c r="P3489" s="2"/>
    </row>
    <row r="3490" spans="4:16" x14ac:dyDescent="0.25">
      <c r="D3490" s="2"/>
      <c r="E3490" s="310"/>
      <c r="G3490" s="2"/>
      <c r="H3490" s="310"/>
      <c r="I3490" s="2"/>
      <c r="O3490" s="2"/>
      <c r="P3490" s="2"/>
    </row>
    <row r="3491" spans="4:16" x14ac:dyDescent="0.25">
      <c r="D3491" s="2"/>
      <c r="E3491" s="310"/>
      <c r="G3491" s="2"/>
      <c r="H3491" s="310"/>
      <c r="I3491" s="2"/>
      <c r="O3491" s="2"/>
      <c r="P3491" s="2"/>
    </row>
    <row r="3492" spans="4:16" x14ac:dyDescent="0.25">
      <c r="D3492" s="2"/>
      <c r="E3492" s="310"/>
      <c r="G3492" s="2"/>
      <c r="H3492" s="310"/>
      <c r="I3492" s="2"/>
      <c r="O3492" s="2"/>
      <c r="P3492" s="2"/>
    </row>
    <row r="3493" spans="4:16" x14ac:dyDescent="0.25">
      <c r="D3493" s="2"/>
      <c r="E3493" s="310"/>
      <c r="G3493" s="2"/>
      <c r="H3493" s="310"/>
      <c r="I3493" s="2"/>
      <c r="O3493" s="2"/>
      <c r="P3493" s="2"/>
    </row>
    <row r="3494" spans="4:16" x14ac:dyDescent="0.25">
      <c r="D3494" s="2"/>
      <c r="E3494" s="310"/>
      <c r="G3494" s="2"/>
      <c r="H3494" s="310"/>
      <c r="I3494" s="2"/>
      <c r="O3494" s="2"/>
      <c r="P3494" s="2"/>
    </row>
    <row r="3495" spans="4:16" x14ac:dyDescent="0.25">
      <c r="D3495" s="2"/>
      <c r="E3495" s="310"/>
      <c r="G3495" s="2"/>
      <c r="H3495" s="310"/>
      <c r="I3495" s="2"/>
      <c r="O3495" s="2"/>
      <c r="P3495" s="2"/>
    </row>
    <row r="3496" spans="4:16" x14ac:dyDescent="0.25">
      <c r="D3496" s="2"/>
      <c r="E3496" s="310"/>
      <c r="G3496" s="2"/>
      <c r="H3496" s="310"/>
      <c r="I3496" s="2"/>
      <c r="O3496" s="2"/>
      <c r="P3496" s="2"/>
    </row>
    <row r="3497" spans="4:16" x14ac:dyDescent="0.25">
      <c r="D3497" s="2"/>
      <c r="E3497" s="310"/>
      <c r="G3497" s="2"/>
      <c r="H3497" s="310"/>
      <c r="I3497" s="2"/>
      <c r="O3497" s="2"/>
      <c r="P3497" s="2"/>
    </row>
    <row r="3498" spans="4:16" x14ac:dyDescent="0.25">
      <c r="D3498" s="2"/>
      <c r="E3498" s="310"/>
      <c r="G3498" s="2"/>
      <c r="H3498" s="310"/>
      <c r="I3498" s="2"/>
      <c r="O3498" s="2"/>
      <c r="P3498" s="2"/>
    </row>
    <row r="3499" spans="4:16" x14ac:dyDescent="0.25">
      <c r="D3499" s="2"/>
      <c r="E3499" s="310"/>
      <c r="G3499" s="2"/>
      <c r="H3499" s="310"/>
      <c r="I3499" s="2"/>
      <c r="O3499" s="2"/>
      <c r="P3499" s="2"/>
    </row>
    <row r="3500" spans="4:16" x14ac:dyDescent="0.25">
      <c r="D3500" s="2"/>
      <c r="E3500" s="310"/>
      <c r="G3500" s="2"/>
      <c r="H3500" s="310"/>
      <c r="I3500" s="2"/>
      <c r="O3500" s="2"/>
      <c r="P3500" s="2"/>
    </row>
    <row r="3501" spans="4:16" x14ac:dyDescent="0.25">
      <c r="D3501" s="2"/>
      <c r="E3501" s="310"/>
      <c r="G3501" s="2"/>
      <c r="H3501" s="310"/>
      <c r="I3501" s="2"/>
      <c r="O3501" s="2"/>
      <c r="P3501" s="2"/>
    </row>
    <row r="3502" spans="4:16" x14ac:dyDescent="0.25">
      <c r="D3502" s="2"/>
      <c r="E3502" s="310"/>
      <c r="G3502" s="2"/>
      <c r="H3502" s="310"/>
      <c r="I3502" s="2"/>
      <c r="O3502" s="2"/>
      <c r="P3502" s="2"/>
    </row>
    <row r="3503" spans="4:16" x14ac:dyDescent="0.25">
      <c r="D3503" s="2"/>
      <c r="E3503" s="310"/>
      <c r="G3503" s="2"/>
      <c r="H3503" s="310"/>
      <c r="I3503" s="2"/>
      <c r="O3503" s="2"/>
      <c r="P3503" s="2"/>
    </row>
    <row r="3504" spans="4:16" x14ac:dyDescent="0.25">
      <c r="D3504" s="2"/>
      <c r="E3504" s="310"/>
      <c r="G3504" s="2"/>
      <c r="H3504" s="310"/>
      <c r="I3504" s="2"/>
      <c r="O3504" s="2"/>
      <c r="P3504" s="2"/>
    </row>
    <row r="3505" spans="4:16" x14ac:dyDescent="0.25">
      <c r="D3505" s="2"/>
      <c r="E3505" s="310"/>
      <c r="G3505" s="2"/>
      <c r="H3505" s="310"/>
      <c r="I3505" s="2"/>
      <c r="O3505" s="2"/>
      <c r="P3505" s="2"/>
    </row>
    <row r="3506" spans="4:16" x14ac:dyDescent="0.25">
      <c r="D3506" s="2"/>
      <c r="E3506" s="310"/>
      <c r="G3506" s="2"/>
      <c r="H3506" s="310"/>
      <c r="I3506" s="2"/>
      <c r="O3506" s="2"/>
      <c r="P3506" s="2"/>
    </row>
    <row r="3507" spans="4:16" x14ac:dyDescent="0.25">
      <c r="D3507" s="2"/>
      <c r="E3507" s="310"/>
      <c r="G3507" s="2"/>
      <c r="H3507" s="310"/>
      <c r="I3507" s="2"/>
      <c r="O3507" s="2"/>
      <c r="P3507" s="2"/>
    </row>
    <row r="3508" spans="4:16" x14ac:dyDescent="0.25">
      <c r="D3508" s="2"/>
      <c r="E3508" s="310"/>
      <c r="G3508" s="2"/>
      <c r="H3508" s="310"/>
      <c r="I3508" s="2"/>
      <c r="O3508" s="2"/>
      <c r="P3508" s="2"/>
    </row>
    <row r="3509" spans="4:16" x14ac:dyDescent="0.25">
      <c r="D3509" s="2"/>
      <c r="E3509" s="310"/>
      <c r="G3509" s="2"/>
      <c r="H3509" s="310"/>
      <c r="I3509" s="2"/>
      <c r="O3509" s="2"/>
      <c r="P3509" s="2"/>
    </row>
    <row r="3510" spans="4:16" x14ac:dyDescent="0.25">
      <c r="D3510" s="2"/>
      <c r="E3510" s="310"/>
      <c r="G3510" s="2"/>
      <c r="H3510" s="310"/>
      <c r="I3510" s="2"/>
      <c r="O3510" s="2"/>
      <c r="P3510" s="2"/>
    </row>
    <row r="3511" spans="4:16" x14ac:dyDescent="0.25">
      <c r="D3511" s="2"/>
      <c r="E3511" s="310"/>
      <c r="G3511" s="2"/>
      <c r="H3511" s="310"/>
      <c r="I3511" s="2"/>
      <c r="O3511" s="2"/>
      <c r="P3511" s="2"/>
    </row>
    <row r="3512" spans="4:16" x14ac:dyDescent="0.25">
      <c r="D3512" s="2"/>
      <c r="E3512" s="310"/>
      <c r="G3512" s="2"/>
      <c r="H3512" s="310"/>
      <c r="I3512" s="2"/>
      <c r="O3512" s="2"/>
      <c r="P3512" s="2"/>
    </row>
    <row r="3513" spans="4:16" x14ac:dyDescent="0.25">
      <c r="D3513" s="2"/>
      <c r="E3513" s="310"/>
      <c r="G3513" s="2"/>
      <c r="H3513" s="310"/>
      <c r="I3513" s="2"/>
      <c r="O3513" s="2"/>
      <c r="P3513" s="2"/>
    </row>
    <row r="3514" spans="4:16" x14ac:dyDescent="0.25">
      <c r="D3514" s="2"/>
      <c r="E3514" s="310"/>
      <c r="G3514" s="2"/>
      <c r="H3514" s="310"/>
      <c r="I3514" s="2"/>
      <c r="O3514" s="2"/>
      <c r="P3514" s="2"/>
    </row>
    <row r="3515" spans="4:16" x14ac:dyDescent="0.25">
      <c r="D3515" s="2"/>
      <c r="E3515" s="310"/>
      <c r="G3515" s="2"/>
      <c r="H3515" s="310"/>
      <c r="I3515" s="2"/>
      <c r="O3515" s="2"/>
      <c r="P3515" s="2"/>
    </row>
    <row r="3516" spans="4:16" x14ac:dyDescent="0.25">
      <c r="D3516" s="2"/>
      <c r="E3516" s="310"/>
      <c r="G3516" s="2"/>
      <c r="H3516" s="310"/>
      <c r="I3516" s="2"/>
      <c r="O3516" s="2"/>
      <c r="P3516" s="2"/>
    </row>
    <row r="3517" spans="4:16" x14ac:dyDescent="0.25">
      <c r="D3517" s="2"/>
      <c r="E3517" s="310"/>
      <c r="G3517" s="2"/>
      <c r="H3517" s="310"/>
      <c r="I3517" s="2"/>
      <c r="O3517" s="2"/>
      <c r="P3517" s="2"/>
    </row>
    <row r="3518" spans="4:16" x14ac:dyDescent="0.25">
      <c r="D3518" s="2"/>
      <c r="E3518" s="310"/>
      <c r="G3518" s="2"/>
      <c r="H3518" s="310"/>
      <c r="I3518" s="2"/>
      <c r="O3518" s="2"/>
      <c r="P3518" s="2"/>
    </row>
    <row r="3519" spans="4:16" x14ac:dyDescent="0.25">
      <c r="D3519" s="2"/>
      <c r="E3519" s="310"/>
      <c r="G3519" s="2"/>
      <c r="H3519" s="310"/>
      <c r="I3519" s="2"/>
      <c r="O3519" s="2"/>
      <c r="P3519" s="2"/>
    </row>
    <row r="3520" spans="4:16" x14ac:dyDescent="0.25">
      <c r="D3520" s="2"/>
      <c r="E3520" s="310"/>
      <c r="G3520" s="2"/>
      <c r="H3520" s="310"/>
      <c r="I3520" s="2"/>
      <c r="O3520" s="2"/>
      <c r="P3520" s="2"/>
    </row>
    <row r="3521" spans="4:16" x14ac:dyDescent="0.25">
      <c r="D3521" s="2"/>
      <c r="E3521" s="310"/>
      <c r="G3521" s="2"/>
      <c r="H3521" s="310"/>
      <c r="I3521" s="2"/>
      <c r="O3521" s="2"/>
      <c r="P3521" s="2"/>
    </row>
    <row r="3522" spans="4:16" x14ac:dyDescent="0.25">
      <c r="D3522" s="2"/>
      <c r="E3522" s="310"/>
      <c r="G3522" s="2"/>
      <c r="H3522" s="310"/>
      <c r="I3522" s="2"/>
      <c r="O3522" s="2"/>
      <c r="P3522" s="2"/>
    </row>
    <row r="3523" spans="4:16" x14ac:dyDescent="0.25">
      <c r="D3523" s="2"/>
      <c r="E3523" s="310"/>
      <c r="G3523" s="2"/>
      <c r="H3523" s="310"/>
      <c r="I3523" s="2"/>
      <c r="O3523" s="2"/>
      <c r="P3523" s="2"/>
    </row>
    <row r="3524" spans="4:16" x14ac:dyDescent="0.25">
      <c r="D3524" s="2"/>
      <c r="E3524" s="310"/>
      <c r="G3524" s="2"/>
      <c r="H3524" s="310"/>
      <c r="I3524" s="2"/>
      <c r="O3524" s="2"/>
      <c r="P3524" s="2"/>
    </row>
    <row r="3525" spans="4:16" x14ac:dyDescent="0.25">
      <c r="D3525" s="2"/>
      <c r="E3525" s="310"/>
      <c r="G3525" s="2"/>
      <c r="H3525" s="310"/>
      <c r="I3525" s="2"/>
      <c r="O3525" s="2"/>
      <c r="P3525" s="2"/>
    </row>
    <row r="3526" spans="4:16" x14ac:dyDescent="0.25">
      <c r="D3526" s="2"/>
      <c r="E3526" s="310"/>
      <c r="G3526" s="2"/>
      <c r="H3526" s="310"/>
      <c r="I3526" s="2"/>
      <c r="O3526" s="2"/>
      <c r="P3526" s="2"/>
    </row>
    <row r="3527" spans="4:16" x14ac:dyDescent="0.25">
      <c r="D3527" s="2"/>
      <c r="E3527" s="310"/>
      <c r="G3527" s="2"/>
      <c r="H3527" s="310"/>
      <c r="I3527" s="2"/>
      <c r="O3527" s="2"/>
      <c r="P3527" s="2"/>
    </row>
    <row r="3528" spans="4:16" x14ac:dyDescent="0.25">
      <c r="D3528" s="2"/>
      <c r="E3528" s="310"/>
      <c r="G3528" s="2"/>
      <c r="H3528" s="310"/>
      <c r="I3528" s="2"/>
      <c r="O3528" s="2"/>
      <c r="P3528" s="2"/>
    </row>
    <row r="3529" spans="4:16" x14ac:dyDescent="0.25">
      <c r="D3529" s="2"/>
      <c r="E3529" s="310"/>
      <c r="G3529" s="2"/>
      <c r="H3529" s="310"/>
      <c r="I3529" s="2"/>
      <c r="O3529" s="2"/>
      <c r="P3529" s="2"/>
    </row>
    <row r="3530" spans="4:16" x14ac:dyDescent="0.25">
      <c r="D3530" s="2"/>
      <c r="E3530" s="310"/>
      <c r="G3530" s="2"/>
      <c r="H3530" s="310"/>
      <c r="I3530" s="2"/>
      <c r="O3530" s="2"/>
      <c r="P3530" s="2"/>
    </row>
    <row r="3531" spans="4:16" x14ac:dyDescent="0.25">
      <c r="D3531" s="2"/>
      <c r="E3531" s="310"/>
      <c r="G3531" s="2"/>
      <c r="H3531" s="310"/>
      <c r="I3531" s="2"/>
      <c r="O3531" s="2"/>
      <c r="P3531" s="2"/>
    </row>
    <row r="3532" spans="4:16" x14ac:dyDescent="0.25">
      <c r="D3532" s="2"/>
      <c r="E3532" s="310"/>
      <c r="G3532" s="2"/>
      <c r="H3532" s="310"/>
      <c r="I3532" s="2"/>
      <c r="O3532" s="2"/>
      <c r="P3532" s="2"/>
    </row>
    <row r="3533" spans="4:16" x14ac:dyDescent="0.25">
      <c r="D3533" s="2"/>
      <c r="E3533" s="310"/>
      <c r="G3533" s="2"/>
      <c r="H3533" s="310"/>
      <c r="I3533" s="2"/>
      <c r="O3533" s="2"/>
      <c r="P3533" s="2"/>
    </row>
    <row r="3534" spans="4:16" x14ac:dyDescent="0.25">
      <c r="D3534" s="2"/>
      <c r="E3534" s="310"/>
      <c r="G3534" s="2"/>
      <c r="H3534" s="310"/>
      <c r="I3534" s="2"/>
      <c r="O3534" s="2"/>
      <c r="P3534" s="2"/>
    </row>
    <row r="3535" spans="4:16" x14ac:dyDescent="0.25">
      <c r="D3535" s="2"/>
      <c r="E3535" s="310"/>
      <c r="G3535" s="2"/>
      <c r="H3535" s="310"/>
      <c r="I3535" s="2"/>
      <c r="O3535" s="2"/>
      <c r="P3535" s="2"/>
    </row>
    <row r="3536" spans="4:16" x14ac:dyDescent="0.25">
      <c r="D3536" s="2"/>
      <c r="E3536" s="310"/>
      <c r="G3536" s="2"/>
      <c r="H3536" s="310"/>
      <c r="I3536" s="2"/>
      <c r="O3536" s="2"/>
      <c r="P3536" s="2"/>
    </row>
    <row r="3537" spans="4:16" x14ac:dyDescent="0.25">
      <c r="D3537" s="2"/>
      <c r="E3537" s="310"/>
      <c r="G3537" s="2"/>
      <c r="H3537" s="310"/>
      <c r="I3537" s="2"/>
      <c r="O3537" s="2"/>
      <c r="P3537" s="2"/>
    </row>
    <row r="3538" spans="4:16" x14ac:dyDescent="0.25">
      <c r="D3538" s="2"/>
      <c r="E3538" s="310"/>
      <c r="G3538" s="2"/>
      <c r="H3538" s="310"/>
      <c r="I3538" s="2"/>
      <c r="O3538" s="2"/>
      <c r="P3538" s="2"/>
    </row>
    <row r="3539" spans="4:16" x14ac:dyDescent="0.25">
      <c r="D3539" s="2"/>
      <c r="E3539" s="310"/>
      <c r="G3539" s="2"/>
      <c r="H3539" s="310"/>
      <c r="I3539" s="2"/>
      <c r="O3539" s="2"/>
      <c r="P3539" s="2"/>
    </row>
    <row r="3540" spans="4:16" x14ac:dyDescent="0.25">
      <c r="D3540" s="2"/>
      <c r="E3540" s="310"/>
      <c r="G3540" s="2"/>
      <c r="H3540" s="310"/>
      <c r="I3540" s="2"/>
      <c r="O3540" s="2"/>
      <c r="P3540" s="2"/>
    </row>
    <row r="3541" spans="4:16" x14ac:dyDescent="0.25">
      <c r="D3541" s="2"/>
      <c r="E3541" s="310"/>
      <c r="G3541" s="2"/>
      <c r="H3541" s="310"/>
      <c r="I3541" s="2"/>
      <c r="O3541" s="2"/>
      <c r="P3541" s="2"/>
    </row>
    <row r="3542" spans="4:16" x14ac:dyDescent="0.25">
      <c r="D3542" s="2"/>
      <c r="E3542" s="310"/>
      <c r="G3542" s="2"/>
      <c r="H3542" s="310"/>
      <c r="I3542" s="2"/>
      <c r="O3542" s="2"/>
      <c r="P3542" s="2"/>
    </row>
    <row r="3543" spans="4:16" x14ac:dyDescent="0.25">
      <c r="D3543" s="2"/>
      <c r="E3543" s="310"/>
      <c r="G3543" s="2"/>
      <c r="H3543" s="310"/>
      <c r="I3543" s="2"/>
      <c r="O3543" s="2"/>
      <c r="P3543" s="2"/>
    </row>
    <row r="3544" spans="4:16" x14ac:dyDescent="0.25">
      <c r="D3544" s="2"/>
      <c r="E3544" s="310"/>
      <c r="G3544" s="2"/>
      <c r="H3544" s="310"/>
      <c r="I3544" s="2"/>
      <c r="O3544" s="2"/>
      <c r="P3544" s="2"/>
    </row>
    <row r="3545" spans="4:16" x14ac:dyDescent="0.25">
      <c r="D3545" s="2"/>
      <c r="E3545" s="310"/>
      <c r="G3545" s="2"/>
      <c r="H3545" s="310"/>
      <c r="I3545" s="2"/>
      <c r="O3545" s="2"/>
      <c r="P3545" s="2"/>
    </row>
    <row r="3546" spans="4:16" x14ac:dyDescent="0.25">
      <c r="D3546" s="2"/>
      <c r="E3546" s="310"/>
      <c r="G3546" s="2"/>
      <c r="H3546" s="310"/>
      <c r="I3546" s="2"/>
      <c r="O3546" s="2"/>
      <c r="P3546" s="2"/>
    </row>
    <row r="3547" spans="4:16" x14ac:dyDescent="0.25">
      <c r="D3547" s="2"/>
      <c r="E3547" s="310"/>
      <c r="G3547" s="2"/>
      <c r="H3547" s="310"/>
      <c r="I3547" s="2"/>
      <c r="O3547" s="2"/>
      <c r="P3547" s="2"/>
    </row>
    <row r="3548" spans="4:16" x14ac:dyDescent="0.25">
      <c r="D3548" s="2"/>
      <c r="E3548" s="310"/>
      <c r="G3548" s="2"/>
      <c r="H3548" s="310"/>
      <c r="I3548" s="2"/>
      <c r="O3548" s="2"/>
      <c r="P3548" s="2"/>
    </row>
    <row r="3549" spans="4:16" x14ac:dyDescent="0.25">
      <c r="D3549" s="2"/>
      <c r="E3549" s="310"/>
      <c r="G3549" s="2"/>
      <c r="H3549" s="310"/>
      <c r="I3549" s="2"/>
      <c r="O3549" s="2"/>
      <c r="P3549" s="2"/>
    </row>
    <row r="3550" spans="4:16" x14ac:dyDescent="0.25">
      <c r="D3550" s="2"/>
      <c r="E3550" s="310"/>
      <c r="G3550" s="2"/>
      <c r="H3550" s="310"/>
      <c r="I3550" s="2"/>
      <c r="O3550" s="2"/>
      <c r="P3550" s="2"/>
    </row>
    <row r="3551" spans="4:16" x14ac:dyDescent="0.25">
      <c r="D3551" s="2"/>
      <c r="E3551" s="310"/>
      <c r="G3551" s="2"/>
      <c r="H3551" s="310"/>
      <c r="I3551" s="2"/>
      <c r="O3551" s="2"/>
      <c r="P3551" s="2"/>
    </row>
    <row r="3552" spans="4:16" x14ac:dyDescent="0.25">
      <c r="D3552" s="2"/>
      <c r="E3552" s="310"/>
      <c r="G3552" s="2"/>
      <c r="H3552" s="310"/>
      <c r="I3552" s="2"/>
      <c r="O3552" s="2"/>
      <c r="P3552" s="2"/>
    </row>
    <row r="3553" spans="4:16" x14ac:dyDescent="0.25">
      <c r="D3553" s="2"/>
      <c r="E3553" s="310"/>
      <c r="G3553" s="2"/>
      <c r="H3553" s="310"/>
      <c r="I3553" s="2"/>
      <c r="O3553" s="2"/>
      <c r="P3553" s="2"/>
    </row>
    <row r="3554" spans="4:16" x14ac:dyDescent="0.25">
      <c r="D3554" s="2"/>
      <c r="E3554" s="310"/>
      <c r="G3554" s="2"/>
      <c r="H3554" s="310"/>
      <c r="I3554" s="2"/>
      <c r="O3554" s="2"/>
      <c r="P3554" s="2"/>
    </row>
    <row r="3555" spans="4:16" x14ac:dyDescent="0.25">
      <c r="D3555" s="2"/>
      <c r="E3555" s="310"/>
      <c r="G3555" s="2"/>
      <c r="H3555" s="310"/>
      <c r="I3555" s="2"/>
      <c r="O3555" s="2"/>
      <c r="P3555" s="2"/>
    </row>
    <row r="3556" spans="4:16" x14ac:dyDescent="0.25">
      <c r="D3556" s="2"/>
      <c r="E3556" s="310"/>
      <c r="G3556" s="2"/>
      <c r="H3556" s="310"/>
      <c r="I3556" s="2"/>
      <c r="O3556" s="2"/>
      <c r="P3556" s="2"/>
    </row>
    <row r="3557" spans="4:16" x14ac:dyDescent="0.25">
      <c r="D3557" s="2"/>
      <c r="E3557" s="310"/>
      <c r="G3557" s="2"/>
      <c r="H3557" s="310"/>
      <c r="I3557" s="2"/>
      <c r="O3557" s="2"/>
      <c r="P3557" s="2"/>
    </row>
    <row r="3558" spans="4:16" x14ac:dyDescent="0.25">
      <c r="D3558" s="2"/>
      <c r="E3558" s="310"/>
      <c r="G3558" s="2"/>
      <c r="H3558" s="310"/>
      <c r="I3558" s="2"/>
      <c r="O3558" s="2"/>
      <c r="P3558" s="2"/>
    </row>
    <row r="3559" spans="4:16" x14ac:dyDescent="0.25">
      <c r="D3559" s="2"/>
      <c r="E3559" s="310"/>
      <c r="G3559" s="2"/>
      <c r="H3559" s="310"/>
      <c r="I3559" s="2"/>
      <c r="O3559" s="2"/>
      <c r="P3559" s="2"/>
    </row>
    <row r="3560" spans="4:16" x14ac:dyDescent="0.25">
      <c r="D3560" s="2"/>
      <c r="E3560" s="310"/>
      <c r="G3560" s="2"/>
      <c r="H3560" s="310"/>
      <c r="I3560" s="2"/>
      <c r="O3560" s="2"/>
      <c r="P3560" s="2"/>
    </row>
    <row r="3561" spans="4:16" x14ac:dyDescent="0.25">
      <c r="D3561" s="2"/>
      <c r="E3561" s="310"/>
      <c r="G3561" s="2"/>
      <c r="H3561" s="310"/>
      <c r="I3561" s="2"/>
      <c r="O3561" s="2"/>
      <c r="P3561" s="2"/>
    </row>
    <row r="3562" spans="4:16" x14ac:dyDescent="0.25">
      <c r="D3562" s="2"/>
      <c r="E3562" s="310"/>
      <c r="G3562" s="2"/>
      <c r="H3562" s="310"/>
      <c r="I3562" s="2"/>
      <c r="O3562" s="2"/>
      <c r="P3562" s="2"/>
    </row>
    <row r="3563" spans="4:16" x14ac:dyDescent="0.25">
      <c r="D3563" s="2"/>
      <c r="E3563" s="310"/>
      <c r="G3563" s="2"/>
      <c r="H3563" s="310"/>
      <c r="I3563" s="2"/>
      <c r="O3563" s="2"/>
      <c r="P3563" s="2"/>
    </row>
    <row r="3564" spans="4:16" x14ac:dyDescent="0.25">
      <c r="D3564" s="2"/>
      <c r="E3564" s="310"/>
      <c r="G3564" s="2"/>
      <c r="H3564" s="310"/>
      <c r="I3564" s="2"/>
      <c r="O3564" s="2"/>
      <c r="P3564" s="2"/>
    </row>
    <row r="3565" spans="4:16" x14ac:dyDescent="0.25">
      <c r="D3565" s="2"/>
      <c r="E3565" s="310"/>
      <c r="G3565" s="2"/>
      <c r="H3565" s="310"/>
      <c r="I3565" s="2"/>
      <c r="O3565" s="2"/>
      <c r="P3565" s="2"/>
    </row>
    <row r="3566" spans="4:16" x14ac:dyDescent="0.25">
      <c r="D3566" s="2"/>
      <c r="E3566" s="310"/>
      <c r="G3566" s="2"/>
      <c r="H3566" s="310"/>
      <c r="I3566" s="2"/>
      <c r="O3566" s="2"/>
      <c r="P3566" s="2"/>
    </row>
    <row r="3567" spans="4:16" x14ac:dyDescent="0.25">
      <c r="D3567" s="2"/>
      <c r="E3567" s="310"/>
      <c r="G3567" s="2"/>
      <c r="H3567" s="310"/>
      <c r="I3567" s="2"/>
      <c r="O3567" s="2"/>
      <c r="P3567" s="2"/>
    </row>
    <row r="3568" spans="4:16" x14ac:dyDescent="0.25">
      <c r="D3568" s="2"/>
      <c r="E3568" s="310"/>
      <c r="G3568" s="2"/>
      <c r="H3568" s="310"/>
      <c r="I3568" s="2"/>
      <c r="O3568" s="2"/>
      <c r="P3568" s="2"/>
    </row>
    <row r="3569" spans="4:16" x14ac:dyDescent="0.25">
      <c r="D3569" s="2"/>
      <c r="E3569" s="310"/>
      <c r="G3569" s="2"/>
      <c r="H3569" s="310"/>
      <c r="I3569" s="2"/>
      <c r="O3569" s="2"/>
      <c r="P3569" s="2"/>
    </row>
    <row r="3570" spans="4:16" x14ac:dyDescent="0.25">
      <c r="D3570" s="2"/>
      <c r="E3570" s="310"/>
      <c r="G3570" s="2"/>
      <c r="H3570" s="310"/>
      <c r="I3570" s="2"/>
      <c r="O3570" s="2"/>
      <c r="P3570" s="2"/>
    </row>
    <row r="3571" spans="4:16" x14ac:dyDescent="0.25">
      <c r="D3571" s="2"/>
      <c r="E3571" s="310"/>
      <c r="G3571" s="2"/>
      <c r="H3571" s="310"/>
      <c r="I3571" s="2"/>
      <c r="O3571" s="2"/>
      <c r="P3571" s="2"/>
    </row>
    <row r="3572" spans="4:16" x14ac:dyDescent="0.25">
      <c r="D3572" s="2"/>
      <c r="E3572" s="310"/>
      <c r="G3572" s="2"/>
      <c r="H3572" s="310"/>
      <c r="I3572" s="2"/>
      <c r="O3572" s="2"/>
      <c r="P3572" s="2"/>
    </row>
    <row r="3573" spans="4:16" x14ac:dyDescent="0.25">
      <c r="D3573" s="2"/>
      <c r="E3573" s="310"/>
      <c r="G3573" s="2"/>
      <c r="H3573" s="310"/>
      <c r="I3573" s="2"/>
      <c r="O3573" s="2"/>
      <c r="P3573" s="2"/>
    </row>
    <row r="3574" spans="4:16" x14ac:dyDescent="0.25">
      <c r="D3574" s="2"/>
      <c r="E3574" s="310"/>
      <c r="G3574" s="2"/>
      <c r="H3574" s="310"/>
      <c r="I3574" s="2"/>
      <c r="O3574" s="2"/>
      <c r="P3574" s="2"/>
    </row>
    <row r="3575" spans="4:16" x14ac:dyDescent="0.25">
      <c r="D3575" s="2"/>
      <c r="E3575" s="310"/>
      <c r="G3575" s="2"/>
      <c r="H3575" s="310"/>
      <c r="I3575" s="2"/>
      <c r="O3575" s="2"/>
      <c r="P3575" s="2"/>
    </row>
    <row r="3576" spans="4:16" x14ac:dyDescent="0.25">
      <c r="D3576" s="2"/>
      <c r="E3576" s="310"/>
      <c r="G3576" s="2"/>
      <c r="H3576" s="310"/>
      <c r="I3576" s="2"/>
      <c r="O3576" s="2"/>
      <c r="P3576" s="2"/>
    </row>
    <row r="3577" spans="4:16" x14ac:dyDescent="0.25">
      <c r="D3577" s="2"/>
      <c r="E3577" s="310"/>
      <c r="G3577" s="2"/>
      <c r="H3577" s="310"/>
      <c r="I3577" s="2"/>
      <c r="O3577" s="2"/>
      <c r="P3577" s="2"/>
    </row>
    <row r="3578" spans="4:16" x14ac:dyDescent="0.25">
      <c r="D3578" s="2"/>
      <c r="E3578" s="310"/>
      <c r="G3578" s="2"/>
      <c r="H3578" s="310"/>
      <c r="I3578" s="2"/>
      <c r="O3578" s="2"/>
      <c r="P3578" s="2"/>
    </row>
    <row r="3579" spans="4:16" x14ac:dyDescent="0.25">
      <c r="D3579" s="2"/>
      <c r="E3579" s="310"/>
      <c r="G3579" s="2"/>
      <c r="H3579" s="310"/>
      <c r="I3579" s="2"/>
      <c r="O3579" s="2"/>
      <c r="P3579" s="2"/>
    </row>
    <row r="3580" spans="4:16" x14ac:dyDescent="0.25">
      <c r="D3580" s="2"/>
      <c r="E3580" s="310"/>
      <c r="G3580" s="2"/>
      <c r="H3580" s="310"/>
      <c r="I3580" s="2"/>
      <c r="O3580" s="2"/>
      <c r="P3580" s="2"/>
    </row>
    <row r="3581" spans="4:16" x14ac:dyDescent="0.25">
      <c r="D3581" s="2"/>
      <c r="E3581" s="310"/>
      <c r="G3581" s="2"/>
      <c r="H3581" s="310"/>
      <c r="I3581" s="2"/>
      <c r="O3581" s="2"/>
      <c r="P3581" s="2"/>
    </row>
    <row r="3582" spans="4:16" x14ac:dyDescent="0.25">
      <c r="D3582" s="2"/>
      <c r="E3582" s="310"/>
      <c r="G3582" s="2"/>
      <c r="H3582" s="310"/>
      <c r="I3582" s="2"/>
      <c r="O3582" s="2"/>
      <c r="P3582" s="2"/>
    </row>
    <row r="3583" spans="4:16" x14ac:dyDescent="0.25">
      <c r="D3583" s="2"/>
      <c r="E3583" s="310"/>
      <c r="G3583" s="2"/>
      <c r="H3583" s="310"/>
      <c r="I3583" s="2"/>
      <c r="O3583" s="2"/>
      <c r="P3583" s="2"/>
    </row>
    <row r="3584" spans="4:16" x14ac:dyDescent="0.25">
      <c r="D3584" s="2"/>
      <c r="E3584" s="310"/>
      <c r="G3584" s="2"/>
      <c r="H3584" s="310"/>
      <c r="I3584" s="2"/>
      <c r="O3584" s="2"/>
      <c r="P3584" s="2"/>
    </row>
    <row r="3585" spans="4:16" x14ac:dyDescent="0.25">
      <c r="D3585" s="2"/>
      <c r="E3585" s="310"/>
      <c r="G3585" s="2"/>
      <c r="H3585" s="310"/>
      <c r="I3585" s="2"/>
      <c r="O3585" s="2"/>
      <c r="P3585" s="2"/>
    </row>
    <row r="3586" spans="4:16" x14ac:dyDescent="0.25">
      <c r="D3586" s="2"/>
      <c r="E3586" s="310"/>
      <c r="G3586" s="2"/>
      <c r="H3586" s="310"/>
      <c r="I3586" s="2"/>
      <c r="O3586" s="2"/>
      <c r="P3586" s="2"/>
    </row>
    <row r="3587" spans="4:16" x14ac:dyDescent="0.25">
      <c r="D3587" s="2"/>
      <c r="E3587" s="310"/>
      <c r="G3587" s="2"/>
      <c r="H3587" s="310"/>
      <c r="I3587" s="2"/>
      <c r="O3587" s="2"/>
      <c r="P3587" s="2"/>
    </row>
    <row r="3588" spans="4:16" x14ac:dyDescent="0.25">
      <c r="D3588" s="2"/>
      <c r="E3588" s="310"/>
      <c r="G3588" s="2"/>
      <c r="H3588" s="310"/>
      <c r="I3588" s="2"/>
      <c r="O3588" s="2"/>
      <c r="P3588" s="2"/>
    </row>
    <row r="3589" spans="4:16" x14ac:dyDescent="0.25">
      <c r="D3589" s="2"/>
      <c r="E3589" s="310"/>
      <c r="G3589" s="2"/>
      <c r="H3589" s="310"/>
      <c r="I3589" s="2"/>
      <c r="O3589" s="2"/>
      <c r="P3589" s="2"/>
    </row>
    <row r="3590" spans="4:16" x14ac:dyDescent="0.25">
      <c r="D3590" s="2"/>
      <c r="E3590" s="310"/>
      <c r="G3590" s="2"/>
      <c r="H3590" s="310"/>
      <c r="I3590" s="2"/>
      <c r="O3590" s="2"/>
      <c r="P3590" s="2"/>
    </row>
    <row r="3591" spans="4:16" x14ac:dyDescent="0.25">
      <c r="D3591" s="2"/>
      <c r="E3591" s="310"/>
      <c r="G3591" s="2"/>
      <c r="H3591" s="310"/>
      <c r="I3591" s="2"/>
      <c r="O3591" s="2"/>
      <c r="P3591" s="2"/>
    </row>
    <row r="3592" spans="4:16" x14ac:dyDescent="0.25">
      <c r="D3592" s="2"/>
      <c r="E3592" s="310"/>
      <c r="G3592" s="2"/>
      <c r="H3592" s="310"/>
      <c r="I3592" s="2"/>
      <c r="O3592" s="2"/>
      <c r="P3592" s="2"/>
    </row>
    <row r="3593" spans="4:16" x14ac:dyDescent="0.25">
      <c r="D3593" s="2"/>
      <c r="E3593" s="310"/>
      <c r="G3593" s="2"/>
      <c r="H3593" s="310"/>
      <c r="I3593" s="2"/>
      <c r="O3593" s="2"/>
      <c r="P3593" s="2"/>
    </row>
    <row r="3594" spans="4:16" x14ac:dyDescent="0.25">
      <c r="D3594" s="2"/>
      <c r="E3594" s="310"/>
      <c r="G3594" s="2"/>
      <c r="H3594" s="310"/>
      <c r="I3594" s="2"/>
      <c r="O3594" s="2"/>
      <c r="P3594" s="2"/>
    </row>
    <row r="3595" spans="4:16" x14ac:dyDescent="0.25">
      <c r="D3595" s="2"/>
      <c r="E3595" s="310"/>
      <c r="G3595" s="2"/>
      <c r="H3595" s="310"/>
      <c r="I3595" s="2"/>
      <c r="O3595" s="2"/>
      <c r="P3595" s="2"/>
    </row>
    <row r="3596" spans="4:16" x14ac:dyDescent="0.25">
      <c r="D3596" s="2"/>
      <c r="E3596" s="310"/>
      <c r="G3596" s="2"/>
      <c r="H3596" s="310"/>
      <c r="I3596" s="2"/>
      <c r="O3596" s="2"/>
      <c r="P3596" s="2"/>
    </row>
    <row r="3597" spans="4:16" x14ac:dyDescent="0.25">
      <c r="D3597" s="2"/>
      <c r="E3597" s="310"/>
      <c r="G3597" s="2"/>
      <c r="H3597" s="310"/>
      <c r="I3597" s="2"/>
      <c r="O3597" s="2"/>
      <c r="P3597" s="2"/>
    </row>
    <row r="3598" spans="4:16" x14ac:dyDescent="0.25">
      <c r="D3598" s="2"/>
      <c r="E3598" s="310"/>
      <c r="G3598" s="2"/>
      <c r="H3598" s="310"/>
      <c r="I3598" s="2"/>
      <c r="O3598" s="2"/>
      <c r="P3598" s="2"/>
    </row>
    <row r="3599" spans="4:16" x14ac:dyDescent="0.25">
      <c r="D3599" s="2"/>
      <c r="E3599" s="310"/>
      <c r="G3599" s="2"/>
      <c r="H3599" s="310"/>
      <c r="I3599" s="2"/>
      <c r="O3599" s="2"/>
      <c r="P3599" s="2"/>
    </row>
    <row r="3600" spans="4:16" x14ac:dyDescent="0.25">
      <c r="D3600" s="2"/>
      <c r="E3600" s="310"/>
      <c r="G3600" s="2"/>
      <c r="H3600" s="310"/>
      <c r="I3600" s="2"/>
      <c r="O3600" s="2"/>
      <c r="P3600" s="2"/>
    </row>
    <row r="3601" spans="4:16" x14ac:dyDescent="0.25">
      <c r="D3601" s="2"/>
      <c r="E3601" s="310"/>
      <c r="G3601" s="2"/>
      <c r="H3601" s="310"/>
      <c r="I3601" s="2"/>
      <c r="O3601" s="2"/>
      <c r="P3601" s="2"/>
    </row>
    <row r="3602" spans="4:16" x14ac:dyDescent="0.25">
      <c r="D3602" s="2"/>
      <c r="E3602" s="310"/>
      <c r="G3602" s="2"/>
      <c r="H3602" s="310"/>
      <c r="I3602" s="2"/>
      <c r="O3602" s="2"/>
      <c r="P3602" s="2"/>
    </row>
    <row r="3603" spans="4:16" x14ac:dyDescent="0.25">
      <c r="D3603" s="2"/>
      <c r="E3603" s="310"/>
      <c r="G3603" s="2"/>
      <c r="H3603" s="310"/>
      <c r="I3603" s="2"/>
      <c r="O3603" s="2"/>
      <c r="P3603" s="2"/>
    </row>
    <row r="3604" spans="4:16" x14ac:dyDescent="0.25">
      <c r="D3604" s="2"/>
      <c r="E3604" s="310"/>
      <c r="G3604" s="2"/>
      <c r="H3604" s="310"/>
      <c r="I3604" s="2"/>
      <c r="O3604" s="2"/>
      <c r="P3604" s="2"/>
    </row>
    <row r="3605" spans="4:16" x14ac:dyDescent="0.25">
      <c r="D3605" s="2"/>
      <c r="E3605" s="310"/>
      <c r="G3605" s="2"/>
      <c r="H3605" s="310"/>
      <c r="I3605" s="2"/>
      <c r="O3605" s="2"/>
      <c r="P3605" s="2"/>
    </row>
    <row r="3606" spans="4:16" x14ac:dyDescent="0.25">
      <c r="D3606" s="2"/>
      <c r="E3606" s="310"/>
      <c r="G3606" s="2"/>
      <c r="H3606" s="310"/>
      <c r="I3606" s="2"/>
      <c r="O3606" s="2"/>
      <c r="P3606" s="2"/>
    </row>
    <row r="3607" spans="4:16" x14ac:dyDescent="0.25">
      <c r="D3607" s="2"/>
      <c r="E3607" s="310"/>
      <c r="G3607" s="2"/>
      <c r="H3607" s="310"/>
      <c r="I3607" s="2"/>
      <c r="O3607" s="2"/>
      <c r="P3607" s="2"/>
    </row>
    <row r="3608" spans="4:16" x14ac:dyDescent="0.25">
      <c r="D3608" s="2"/>
      <c r="E3608" s="310"/>
      <c r="G3608" s="2"/>
      <c r="H3608" s="310"/>
      <c r="I3608" s="2"/>
      <c r="O3608" s="2"/>
      <c r="P3608" s="2"/>
    </row>
    <row r="3609" spans="4:16" x14ac:dyDescent="0.25">
      <c r="D3609" s="2"/>
      <c r="E3609" s="310"/>
      <c r="G3609" s="2"/>
      <c r="H3609" s="310"/>
      <c r="I3609" s="2"/>
      <c r="O3609" s="2"/>
      <c r="P3609" s="2"/>
    </row>
    <row r="3610" spans="4:16" x14ac:dyDescent="0.25">
      <c r="D3610" s="2"/>
      <c r="E3610" s="310"/>
      <c r="G3610" s="2"/>
      <c r="H3610" s="310"/>
      <c r="I3610" s="2"/>
      <c r="O3610" s="2"/>
      <c r="P3610" s="2"/>
    </row>
    <row r="3611" spans="4:16" x14ac:dyDescent="0.25">
      <c r="D3611" s="2"/>
      <c r="E3611" s="310"/>
      <c r="G3611" s="2"/>
      <c r="H3611" s="310"/>
      <c r="I3611" s="2"/>
      <c r="O3611" s="2"/>
      <c r="P3611" s="2"/>
    </row>
    <row r="3612" spans="4:16" x14ac:dyDescent="0.25">
      <c r="D3612" s="2"/>
      <c r="E3612" s="310"/>
      <c r="G3612" s="2"/>
      <c r="H3612" s="310"/>
      <c r="I3612" s="2"/>
      <c r="O3612" s="2"/>
      <c r="P3612" s="2"/>
    </row>
    <row r="3613" spans="4:16" x14ac:dyDescent="0.25">
      <c r="D3613" s="2"/>
      <c r="E3613" s="310"/>
      <c r="G3613" s="2"/>
      <c r="H3613" s="310"/>
      <c r="I3613" s="2"/>
      <c r="O3613" s="2"/>
      <c r="P3613" s="2"/>
    </row>
    <row r="3614" spans="4:16" x14ac:dyDescent="0.25">
      <c r="D3614" s="2"/>
      <c r="E3614" s="310"/>
      <c r="G3614" s="2"/>
      <c r="H3614" s="310"/>
      <c r="I3614" s="2"/>
      <c r="O3614" s="2"/>
      <c r="P3614" s="2"/>
    </row>
    <row r="3615" spans="4:16" x14ac:dyDescent="0.25">
      <c r="D3615" s="2"/>
      <c r="E3615" s="310"/>
      <c r="G3615" s="2"/>
      <c r="H3615" s="310"/>
      <c r="I3615" s="2"/>
      <c r="O3615" s="2"/>
      <c r="P3615" s="2"/>
    </row>
    <row r="3616" spans="4:16" x14ac:dyDescent="0.25">
      <c r="D3616" s="2"/>
      <c r="E3616" s="310"/>
      <c r="G3616" s="2"/>
      <c r="H3616" s="310"/>
      <c r="I3616" s="2"/>
      <c r="O3616" s="2"/>
      <c r="P3616" s="2"/>
    </row>
    <row r="3617" spans="4:16" x14ac:dyDescent="0.25">
      <c r="D3617" s="2"/>
      <c r="E3617" s="310"/>
      <c r="G3617" s="2"/>
      <c r="H3617" s="310"/>
      <c r="I3617" s="2"/>
      <c r="O3617" s="2"/>
      <c r="P3617" s="2"/>
    </row>
    <row r="3618" spans="4:16" x14ac:dyDescent="0.25">
      <c r="D3618" s="2"/>
      <c r="E3618" s="310"/>
      <c r="G3618" s="2"/>
      <c r="H3618" s="310"/>
      <c r="I3618" s="2"/>
      <c r="O3618" s="2"/>
      <c r="P3618" s="2"/>
    </row>
    <row r="3619" spans="4:16" x14ac:dyDescent="0.25">
      <c r="D3619" s="2"/>
      <c r="E3619" s="310"/>
      <c r="G3619" s="2"/>
      <c r="H3619" s="310"/>
      <c r="I3619" s="2"/>
      <c r="O3619" s="2"/>
      <c r="P3619" s="2"/>
    </row>
    <row r="3620" spans="4:16" x14ac:dyDescent="0.25">
      <c r="D3620" s="2"/>
      <c r="E3620" s="310"/>
      <c r="G3620" s="2"/>
      <c r="H3620" s="310"/>
      <c r="I3620" s="2"/>
      <c r="O3620" s="2"/>
      <c r="P3620" s="2"/>
    </row>
    <row r="3621" spans="4:16" x14ac:dyDescent="0.25">
      <c r="D3621" s="2"/>
      <c r="E3621" s="310"/>
      <c r="G3621" s="2"/>
      <c r="H3621" s="310"/>
      <c r="I3621" s="2"/>
      <c r="O3621" s="2"/>
      <c r="P3621" s="2"/>
    </row>
    <row r="3622" spans="4:16" x14ac:dyDescent="0.25">
      <c r="D3622" s="2"/>
      <c r="E3622" s="310"/>
      <c r="G3622" s="2"/>
      <c r="H3622" s="310"/>
      <c r="I3622" s="2"/>
      <c r="O3622" s="2"/>
      <c r="P3622" s="2"/>
    </row>
    <row r="3623" spans="4:16" x14ac:dyDescent="0.25">
      <c r="D3623" s="2"/>
      <c r="E3623" s="310"/>
      <c r="G3623" s="2"/>
      <c r="H3623" s="310"/>
      <c r="I3623" s="2"/>
      <c r="O3623" s="2"/>
      <c r="P3623" s="2"/>
    </row>
    <row r="3624" spans="4:16" x14ac:dyDescent="0.25">
      <c r="D3624" s="2"/>
      <c r="E3624" s="310"/>
      <c r="G3624" s="2"/>
      <c r="H3624" s="310"/>
      <c r="I3624" s="2"/>
      <c r="O3624" s="2"/>
      <c r="P3624" s="2"/>
    </row>
    <row r="3625" spans="4:16" x14ac:dyDescent="0.25">
      <c r="D3625" s="2"/>
      <c r="E3625" s="310"/>
      <c r="G3625" s="2"/>
      <c r="H3625" s="310"/>
      <c r="I3625" s="2"/>
      <c r="O3625" s="2"/>
      <c r="P3625" s="2"/>
    </row>
    <row r="3626" spans="4:16" x14ac:dyDescent="0.25">
      <c r="D3626" s="2"/>
      <c r="E3626" s="310"/>
      <c r="G3626" s="2"/>
      <c r="H3626" s="310"/>
      <c r="I3626" s="2"/>
      <c r="O3626" s="2"/>
      <c r="P3626" s="2"/>
    </row>
    <row r="3627" spans="4:16" x14ac:dyDescent="0.25">
      <c r="D3627" s="2"/>
      <c r="E3627" s="310"/>
      <c r="G3627" s="2"/>
      <c r="H3627" s="310"/>
      <c r="I3627" s="2"/>
      <c r="O3627" s="2"/>
      <c r="P3627" s="2"/>
    </row>
    <row r="3628" spans="4:16" x14ac:dyDescent="0.25">
      <c r="D3628" s="2"/>
      <c r="E3628" s="310"/>
      <c r="G3628" s="2"/>
      <c r="H3628" s="310"/>
      <c r="I3628" s="2"/>
      <c r="O3628" s="2"/>
      <c r="P3628" s="2"/>
    </row>
    <row r="3629" spans="4:16" x14ac:dyDescent="0.25">
      <c r="D3629" s="2"/>
      <c r="E3629" s="310"/>
      <c r="G3629" s="2"/>
      <c r="H3629" s="310"/>
      <c r="I3629" s="2"/>
      <c r="O3629" s="2"/>
      <c r="P3629" s="2"/>
    </row>
    <row r="3630" spans="4:16" x14ac:dyDescent="0.25">
      <c r="D3630" s="2"/>
      <c r="E3630" s="310"/>
      <c r="G3630" s="2"/>
      <c r="H3630" s="310"/>
      <c r="I3630" s="2"/>
      <c r="O3630" s="2"/>
      <c r="P3630" s="2"/>
    </row>
    <row r="3631" spans="4:16" x14ac:dyDescent="0.25">
      <c r="D3631" s="2"/>
      <c r="E3631" s="310"/>
      <c r="G3631" s="2"/>
      <c r="H3631" s="310"/>
      <c r="I3631" s="2"/>
      <c r="O3631" s="2"/>
      <c r="P3631" s="2"/>
    </row>
    <row r="3632" spans="4:16" x14ac:dyDescent="0.25">
      <c r="D3632" s="2"/>
      <c r="E3632" s="310"/>
      <c r="G3632" s="2"/>
      <c r="H3632" s="310"/>
      <c r="I3632" s="2"/>
      <c r="O3632" s="2"/>
      <c r="P3632" s="2"/>
    </row>
    <row r="3639" spans="4:16" x14ac:dyDescent="0.25">
      <c r="D3639" s="2"/>
      <c r="E3639" s="310"/>
      <c r="G3639" s="2"/>
      <c r="H3639" s="310"/>
      <c r="I3639" s="2"/>
      <c r="O3639" s="2"/>
      <c r="P3639" s="2"/>
    </row>
    <row r="3640" spans="4:16" x14ac:dyDescent="0.25">
      <c r="D3640" s="2"/>
      <c r="E3640" s="310"/>
      <c r="G3640" s="2"/>
      <c r="H3640" s="310"/>
      <c r="I3640" s="2"/>
      <c r="O3640" s="2"/>
      <c r="P3640" s="2"/>
    </row>
    <row r="3641" spans="4:16" x14ac:dyDescent="0.25">
      <c r="D3641" s="2"/>
      <c r="E3641" s="310"/>
      <c r="G3641" s="2"/>
      <c r="H3641" s="310"/>
      <c r="I3641" s="2"/>
      <c r="O3641" s="2"/>
      <c r="P3641" s="2"/>
    </row>
    <row r="3642" spans="4:16" x14ac:dyDescent="0.25">
      <c r="D3642" s="2"/>
      <c r="E3642" s="310"/>
      <c r="G3642" s="2"/>
      <c r="H3642" s="310"/>
      <c r="I3642" s="2"/>
      <c r="O3642" s="2"/>
      <c r="P3642" s="2"/>
    </row>
    <row r="3643" spans="4:16" x14ac:dyDescent="0.25">
      <c r="D3643" s="2"/>
      <c r="E3643" s="310"/>
      <c r="G3643" s="2"/>
      <c r="H3643" s="310"/>
      <c r="I3643" s="2"/>
      <c r="O3643" s="2"/>
      <c r="P3643" s="2"/>
    </row>
    <row r="3644" spans="4:16" x14ac:dyDescent="0.25">
      <c r="D3644" s="2"/>
      <c r="E3644" s="310"/>
      <c r="G3644" s="2"/>
      <c r="H3644" s="310"/>
      <c r="I3644" s="2"/>
      <c r="O3644" s="2"/>
      <c r="P3644" s="2"/>
    </row>
    <row r="3645" spans="4:16" x14ac:dyDescent="0.25">
      <c r="D3645" s="2"/>
      <c r="E3645" s="310"/>
      <c r="G3645" s="2"/>
      <c r="H3645" s="310"/>
      <c r="I3645" s="2"/>
      <c r="O3645" s="2"/>
      <c r="P3645" s="2"/>
    </row>
    <row r="3646" spans="4:16" x14ac:dyDescent="0.25">
      <c r="D3646" s="2"/>
      <c r="E3646" s="310"/>
      <c r="G3646" s="2"/>
      <c r="H3646" s="310"/>
      <c r="I3646" s="2"/>
      <c r="O3646" s="2"/>
      <c r="P3646" s="2"/>
    </row>
    <row r="3647" spans="4:16" x14ac:dyDescent="0.25">
      <c r="D3647" s="2"/>
      <c r="E3647" s="310"/>
      <c r="G3647" s="2"/>
      <c r="H3647" s="310"/>
      <c r="I3647" s="2"/>
      <c r="O3647" s="2"/>
      <c r="P3647" s="2"/>
    </row>
    <row r="3648" spans="4:16" x14ac:dyDescent="0.25">
      <c r="D3648" s="2"/>
      <c r="E3648" s="310"/>
      <c r="G3648" s="2"/>
      <c r="H3648" s="310"/>
      <c r="I3648" s="2"/>
      <c r="O3648" s="2"/>
      <c r="P3648" s="2"/>
    </row>
    <row r="3649" spans="4:16" x14ac:dyDescent="0.25">
      <c r="D3649" s="2"/>
      <c r="E3649" s="310"/>
      <c r="G3649" s="2"/>
      <c r="H3649" s="310"/>
      <c r="I3649" s="2"/>
      <c r="O3649" s="2"/>
      <c r="P3649" s="2"/>
    </row>
    <row r="3650" spans="4:16" x14ac:dyDescent="0.25">
      <c r="D3650" s="2"/>
      <c r="E3650" s="310"/>
      <c r="G3650" s="2"/>
      <c r="H3650" s="310"/>
      <c r="I3650" s="2"/>
      <c r="O3650" s="2"/>
      <c r="P3650" s="2"/>
    </row>
    <row r="3651" spans="4:16" x14ac:dyDescent="0.25">
      <c r="D3651" s="2"/>
      <c r="E3651" s="310"/>
      <c r="G3651" s="2"/>
      <c r="H3651" s="310"/>
      <c r="I3651" s="2"/>
      <c r="O3651" s="2"/>
      <c r="P3651" s="2"/>
    </row>
    <row r="3652" spans="4:16" x14ac:dyDescent="0.25">
      <c r="D3652" s="2"/>
      <c r="E3652" s="310"/>
      <c r="G3652" s="2"/>
      <c r="H3652" s="310"/>
      <c r="I3652" s="2"/>
      <c r="O3652" s="2"/>
      <c r="P3652" s="2"/>
    </row>
    <row r="3653" spans="4:16" x14ac:dyDescent="0.25">
      <c r="D3653" s="2"/>
      <c r="E3653" s="310"/>
      <c r="G3653" s="2"/>
      <c r="H3653" s="310"/>
      <c r="I3653" s="2"/>
      <c r="O3653" s="2"/>
      <c r="P3653" s="2"/>
    </row>
    <row r="3654" spans="4:16" x14ac:dyDescent="0.25">
      <c r="D3654" s="2"/>
      <c r="E3654" s="310"/>
      <c r="G3654" s="2"/>
      <c r="H3654" s="310"/>
      <c r="I3654" s="2"/>
      <c r="O3654" s="2"/>
      <c r="P3654" s="2"/>
    </row>
    <row r="3655" spans="4:16" x14ac:dyDescent="0.25">
      <c r="D3655" s="2"/>
      <c r="E3655" s="310"/>
      <c r="G3655" s="2"/>
      <c r="H3655" s="310"/>
      <c r="I3655" s="2"/>
      <c r="O3655" s="2"/>
      <c r="P3655" s="2"/>
    </row>
    <row r="3656" spans="4:16" x14ac:dyDescent="0.25">
      <c r="D3656" s="2"/>
      <c r="E3656" s="310"/>
      <c r="G3656" s="2"/>
      <c r="H3656" s="310"/>
      <c r="I3656" s="2"/>
      <c r="O3656" s="2"/>
      <c r="P3656" s="2"/>
    </row>
    <row r="3657" spans="4:16" x14ac:dyDescent="0.25">
      <c r="D3657" s="2"/>
      <c r="E3657" s="310"/>
      <c r="G3657" s="2"/>
      <c r="H3657" s="310"/>
      <c r="I3657" s="2"/>
      <c r="O3657" s="2"/>
      <c r="P3657" s="2"/>
    </row>
    <row r="3658" spans="4:16" x14ac:dyDescent="0.25">
      <c r="D3658" s="2"/>
      <c r="E3658" s="310"/>
      <c r="G3658" s="2"/>
      <c r="H3658" s="310"/>
      <c r="I3658" s="2"/>
      <c r="O3658" s="2"/>
      <c r="P3658" s="2"/>
    </row>
    <row r="3659" spans="4:16" x14ac:dyDescent="0.25">
      <c r="D3659" s="2"/>
      <c r="E3659" s="310"/>
      <c r="G3659" s="2"/>
      <c r="H3659" s="310"/>
      <c r="I3659" s="2"/>
      <c r="O3659" s="2"/>
      <c r="P3659" s="2"/>
    </row>
    <row r="3660" spans="4:16" x14ac:dyDescent="0.25">
      <c r="D3660" s="2"/>
      <c r="E3660" s="310"/>
      <c r="G3660" s="2"/>
      <c r="H3660" s="310"/>
      <c r="I3660" s="2"/>
      <c r="O3660" s="2"/>
      <c r="P3660" s="2"/>
    </row>
    <row r="3661" spans="4:16" x14ac:dyDescent="0.25">
      <c r="D3661" s="2"/>
      <c r="E3661" s="310"/>
      <c r="G3661" s="2"/>
      <c r="H3661" s="310"/>
      <c r="I3661" s="2"/>
      <c r="O3661" s="2"/>
      <c r="P3661" s="2"/>
    </row>
    <row r="3662" spans="4:16" x14ac:dyDescent="0.25">
      <c r="D3662" s="2"/>
      <c r="E3662" s="310"/>
      <c r="G3662" s="2"/>
      <c r="H3662" s="310"/>
      <c r="I3662" s="2"/>
      <c r="O3662" s="2"/>
      <c r="P3662" s="2"/>
    </row>
    <row r="3663" spans="4:16" x14ac:dyDescent="0.25">
      <c r="D3663" s="2"/>
      <c r="E3663" s="310"/>
      <c r="G3663" s="2"/>
      <c r="H3663" s="310"/>
      <c r="I3663" s="2"/>
      <c r="O3663" s="2"/>
      <c r="P3663" s="2"/>
    </row>
    <row r="3664" spans="4:16" x14ac:dyDescent="0.25">
      <c r="D3664" s="2"/>
      <c r="E3664" s="310"/>
      <c r="G3664" s="2"/>
      <c r="H3664" s="310"/>
      <c r="I3664" s="2"/>
      <c r="O3664" s="2"/>
      <c r="P3664" s="2"/>
    </row>
    <row r="3665" spans="4:16" x14ac:dyDescent="0.25">
      <c r="D3665" s="2"/>
      <c r="E3665" s="310"/>
      <c r="G3665" s="2"/>
      <c r="H3665" s="310"/>
      <c r="I3665" s="2"/>
      <c r="O3665" s="2"/>
      <c r="P3665" s="2"/>
    </row>
    <row r="3666" spans="4:16" x14ac:dyDescent="0.25">
      <c r="D3666" s="2"/>
      <c r="E3666" s="310"/>
      <c r="G3666" s="2"/>
      <c r="H3666" s="310"/>
      <c r="I3666" s="2"/>
      <c r="O3666" s="2"/>
      <c r="P3666" s="2"/>
    </row>
    <row r="3667" spans="4:16" x14ac:dyDescent="0.25">
      <c r="D3667" s="2"/>
      <c r="E3667" s="310"/>
      <c r="G3667" s="2"/>
      <c r="H3667" s="310"/>
      <c r="I3667" s="2"/>
      <c r="O3667" s="2"/>
      <c r="P3667" s="2"/>
    </row>
    <row r="3668" spans="4:16" x14ac:dyDescent="0.25">
      <c r="D3668" s="2"/>
      <c r="E3668" s="310"/>
      <c r="G3668" s="2"/>
      <c r="H3668" s="310"/>
      <c r="I3668" s="2"/>
      <c r="O3668" s="2"/>
      <c r="P3668" s="2"/>
    </row>
    <row r="3669" spans="4:16" x14ac:dyDescent="0.25">
      <c r="D3669" s="2"/>
      <c r="E3669" s="310"/>
      <c r="G3669" s="2"/>
      <c r="H3669" s="310"/>
      <c r="I3669" s="2"/>
      <c r="O3669" s="2"/>
      <c r="P3669" s="2"/>
    </row>
    <row r="3670" spans="4:16" x14ac:dyDescent="0.25">
      <c r="D3670" s="2"/>
      <c r="E3670" s="310"/>
      <c r="G3670" s="2"/>
      <c r="H3670" s="310"/>
      <c r="I3670" s="2"/>
      <c r="O3670" s="2"/>
      <c r="P3670" s="2"/>
    </row>
    <row r="3671" spans="4:16" x14ac:dyDescent="0.25">
      <c r="D3671" s="2"/>
      <c r="E3671" s="310"/>
      <c r="G3671" s="2"/>
      <c r="H3671" s="310"/>
      <c r="I3671" s="2"/>
      <c r="O3671" s="2"/>
      <c r="P3671" s="2"/>
    </row>
    <row r="3672" spans="4:16" x14ac:dyDescent="0.25">
      <c r="D3672" s="2"/>
      <c r="E3672" s="310"/>
      <c r="G3672" s="2"/>
      <c r="H3672" s="310"/>
      <c r="I3672" s="2"/>
      <c r="O3672" s="2"/>
      <c r="P3672" s="2"/>
    </row>
    <row r="3673" spans="4:16" x14ac:dyDescent="0.25">
      <c r="D3673" s="2"/>
      <c r="E3673" s="310"/>
      <c r="G3673" s="2"/>
      <c r="H3673" s="310"/>
      <c r="I3673" s="2"/>
      <c r="O3673" s="2"/>
      <c r="P3673" s="2"/>
    </row>
    <row r="3674" spans="4:16" x14ac:dyDescent="0.25">
      <c r="D3674" s="2"/>
      <c r="E3674" s="310"/>
      <c r="G3674" s="2"/>
      <c r="H3674" s="310"/>
      <c r="I3674" s="2"/>
      <c r="O3674" s="2"/>
      <c r="P3674" s="2"/>
    </row>
    <row r="3675" spans="4:16" x14ac:dyDescent="0.25">
      <c r="D3675" s="2"/>
      <c r="E3675" s="310"/>
      <c r="G3675" s="2"/>
      <c r="H3675" s="310"/>
      <c r="I3675" s="2"/>
      <c r="O3675" s="2"/>
      <c r="P3675" s="2"/>
    </row>
    <row r="3676" spans="4:16" x14ac:dyDescent="0.25">
      <c r="D3676" s="2"/>
      <c r="E3676" s="310"/>
      <c r="G3676" s="2"/>
      <c r="H3676" s="310"/>
      <c r="I3676" s="2"/>
      <c r="O3676" s="2"/>
      <c r="P3676" s="2"/>
    </row>
    <row r="3677" spans="4:16" x14ac:dyDescent="0.25">
      <c r="D3677" s="2"/>
      <c r="E3677" s="310"/>
      <c r="G3677" s="2"/>
      <c r="H3677" s="310"/>
      <c r="I3677" s="2"/>
      <c r="O3677" s="2"/>
      <c r="P3677" s="2"/>
    </row>
    <row r="3678" spans="4:16" x14ac:dyDescent="0.25">
      <c r="D3678" s="2"/>
      <c r="E3678" s="310"/>
      <c r="G3678" s="2"/>
      <c r="H3678" s="310"/>
      <c r="I3678" s="2"/>
      <c r="O3678" s="2"/>
      <c r="P3678" s="2"/>
    </row>
    <row r="3679" spans="4:16" x14ac:dyDescent="0.25">
      <c r="D3679" s="2"/>
      <c r="E3679" s="310"/>
      <c r="G3679" s="2"/>
      <c r="H3679" s="310"/>
      <c r="I3679" s="2"/>
      <c r="O3679" s="2"/>
      <c r="P3679" s="2"/>
    </row>
    <row r="3680" spans="4:16" x14ac:dyDescent="0.25">
      <c r="D3680" s="2"/>
      <c r="E3680" s="310"/>
      <c r="G3680" s="2"/>
      <c r="H3680" s="310"/>
      <c r="I3680" s="2"/>
      <c r="O3680" s="2"/>
      <c r="P3680" s="2"/>
    </row>
    <row r="3681" spans="4:16" x14ac:dyDescent="0.25">
      <c r="D3681" s="2"/>
      <c r="E3681" s="310"/>
      <c r="G3681" s="2"/>
      <c r="H3681" s="310"/>
      <c r="I3681" s="2"/>
      <c r="O3681" s="2"/>
      <c r="P3681" s="2"/>
    </row>
    <row r="3682" spans="4:16" x14ac:dyDescent="0.25">
      <c r="D3682" s="2"/>
      <c r="E3682" s="310"/>
      <c r="G3682" s="2"/>
      <c r="H3682" s="310"/>
      <c r="I3682" s="2"/>
      <c r="O3682" s="2"/>
      <c r="P3682" s="2"/>
    </row>
    <row r="3683" spans="4:16" x14ac:dyDescent="0.25">
      <c r="D3683" s="2"/>
      <c r="E3683" s="310"/>
      <c r="G3683" s="2"/>
      <c r="H3683" s="310"/>
      <c r="I3683" s="2"/>
      <c r="O3683" s="2"/>
      <c r="P3683" s="2"/>
    </row>
    <row r="3684" spans="4:16" x14ac:dyDescent="0.25">
      <c r="D3684" s="2"/>
      <c r="E3684" s="310"/>
      <c r="G3684" s="2"/>
      <c r="H3684" s="310"/>
      <c r="I3684" s="2"/>
      <c r="O3684" s="2"/>
      <c r="P3684" s="2"/>
    </row>
    <row r="3685" spans="4:16" x14ac:dyDescent="0.25">
      <c r="D3685" s="2"/>
      <c r="E3685" s="310"/>
      <c r="G3685" s="2"/>
      <c r="H3685" s="310"/>
      <c r="I3685" s="2"/>
      <c r="O3685" s="2"/>
      <c r="P3685" s="2"/>
    </row>
    <row r="3686" spans="4:16" x14ac:dyDescent="0.25">
      <c r="D3686" s="2"/>
      <c r="E3686" s="310"/>
      <c r="G3686" s="2"/>
      <c r="H3686" s="310"/>
      <c r="I3686" s="2"/>
      <c r="O3686" s="2"/>
      <c r="P3686" s="2"/>
    </row>
    <row r="3687" spans="4:16" x14ac:dyDescent="0.25">
      <c r="D3687" s="2"/>
      <c r="E3687" s="310"/>
      <c r="G3687" s="2"/>
      <c r="H3687" s="310"/>
      <c r="I3687" s="2"/>
      <c r="O3687" s="2"/>
      <c r="P3687" s="2"/>
    </row>
    <row r="3688" spans="4:16" x14ac:dyDescent="0.25">
      <c r="D3688" s="2"/>
      <c r="E3688" s="310"/>
      <c r="G3688" s="2"/>
      <c r="H3688" s="310"/>
      <c r="I3688" s="2"/>
      <c r="O3688" s="2"/>
      <c r="P3688" s="2"/>
    </row>
    <row r="3689" spans="4:16" x14ac:dyDescent="0.25">
      <c r="D3689" s="2"/>
      <c r="E3689" s="310"/>
      <c r="G3689" s="2"/>
      <c r="H3689" s="310"/>
      <c r="I3689" s="2"/>
      <c r="O3689" s="2"/>
      <c r="P3689" s="2"/>
    </row>
    <row r="3690" spans="4:16" x14ac:dyDescent="0.25">
      <c r="D3690" s="2"/>
      <c r="E3690" s="310"/>
      <c r="G3690" s="2"/>
      <c r="H3690" s="310"/>
      <c r="I3690" s="2"/>
      <c r="O3690" s="2"/>
      <c r="P3690" s="2"/>
    </row>
    <row r="3691" spans="4:16" x14ac:dyDescent="0.25">
      <c r="D3691" s="2"/>
      <c r="E3691" s="310"/>
      <c r="G3691" s="2"/>
      <c r="H3691" s="310"/>
      <c r="I3691" s="2"/>
      <c r="O3691" s="2"/>
      <c r="P3691" s="2"/>
    </row>
    <row r="3692" spans="4:16" x14ac:dyDescent="0.25">
      <c r="D3692" s="2"/>
      <c r="E3692" s="310"/>
      <c r="G3692" s="2"/>
      <c r="H3692" s="310"/>
      <c r="I3692" s="2"/>
      <c r="O3692" s="2"/>
      <c r="P3692" s="2"/>
    </row>
    <row r="3693" spans="4:16" x14ac:dyDescent="0.25">
      <c r="D3693" s="2"/>
      <c r="E3693" s="310"/>
      <c r="G3693" s="2"/>
      <c r="H3693" s="310"/>
      <c r="I3693" s="2"/>
      <c r="O3693" s="2"/>
      <c r="P3693" s="2"/>
    </row>
    <row r="3694" spans="4:16" x14ac:dyDescent="0.25">
      <c r="D3694" s="2"/>
      <c r="E3694" s="310"/>
      <c r="G3694" s="2"/>
      <c r="H3694" s="310"/>
      <c r="I3694" s="2"/>
      <c r="O3694" s="2"/>
      <c r="P3694" s="2"/>
    </row>
    <row r="3695" spans="4:16" x14ac:dyDescent="0.25">
      <c r="D3695" s="2"/>
      <c r="E3695" s="310"/>
      <c r="G3695" s="2"/>
      <c r="H3695" s="310"/>
      <c r="I3695" s="2"/>
      <c r="O3695" s="2"/>
      <c r="P3695" s="2"/>
    </row>
    <row r="3696" spans="4:16" x14ac:dyDescent="0.25">
      <c r="D3696" s="2"/>
      <c r="E3696" s="310"/>
      <c r="G3696" s="2"/>
      <c r="H3696" s="310"/>
      <c r="I3696" s="2"/>
      <c r="O3696" s="2"/>
      <c r="P3696" s="2"/>
    </row>
    <row r="3697" spans="4:16" x14ac:dyDescent="0.25">
      <c r="D3697" s="2"/>
      <c r="E3697" s="310"/>
      <c r="G3697" s="2"/>
      <c r="H3697" s="310"/>
      <c r="I3697" s="2"/>
      <c r="O3697" s="2"/>
      <c r="P3697" s="2"/>
    </row>
    <row r="3698" spans="4:16" x14ac:dyDescent="0.25">
      <c r="D3698" s="2"/>
      <c r="E3698" s="310"/>
      <c r="G3698" s="2"/>
      <c r="H3698" s="310"/>
      <c r="I3698" s="2"/>
      <c r="O3698" s="2"/>
      <c r="P3698" s="2"/>
    </row>
    <row r="3699" spans="4:16" x14ac:dyDescent="0.25">
      <c r="D3699" s="2"/>
      <c r="E3699" s="310"/>
      <c r="G3699" s="2"/>
      <c r="H3699" s="310"/>
      <c r="I3699" s="2"/>
      <c r="O3699" s="2"/>
      <c r="P3699" s="2"/>
    </row>
    <row r="3700" spans="4:16" x14ac:dyDescent="0.25">
      <c r="D3700" s="2"/>
      <c r="E3700" s="310"/>
      <c r="G3700" s="2"/>
      <c r="H3700" s="310"/>
      <c r="I3700" s="2"/>
      <c r="O3700" s="2"/>
      <c r="P3700" s="2"/>
    </row>
    <row r="3701" spans="4:16" x14ac:dyDescent="0.25">
      <c r="D3701" s="2"/>
      <c r="E3701" s="310"/>
      <c r="G3701" s="2"/>
      <c r="H3701" s="310"/>
      <c r="I3701" s="2"/>
      <c r="O3701" s="2"/>
      <c r="P3701" s="2"/>
    </row>
    <row r="3702" spans="4:16" x14ac:dyDescent="0.25">
      <c r="D3702" s="2"/>
      <c r="E3702" s="310"/>
      <c r="G3702" s="2"/>
      <c r="H3702" s="310"/>
      <c r="I3702" s="2"/>
      <c r="O3702" s="2"/>
      <c r="P3702" s="2"/>
    </row>
    <row r="3703" spans="4:16" x14ac:dyDescent="0.25">
      <c r="D3703" s="2"/>
      <c r="E3703" s="310"/>
      <c r="G3703" s="2"/>
      <c r="H3703" s="310"/>
      <c r="I3703" s="2"/>
      <c r="O3703" s="2"/>
      <c r="P3703" s="2"/>
    </row>
    <row r="3704" spans="4:16" x14ac:dyDescent="0.25">
      <c r="D3704" s="2"/>
      <c r="E3704" s="310"/>
      <c r="G3704" s="2"/>
      <c r="H3704" s="310"/>
      <c r="I3704" s="2"/>
      <c r="O3704" s="2"/>
      <c r="P3704" s="2"/>
    </row>
    <row r="3705" spans="4:16" x14ac:dyDescent="0.25">
      <c r="D3705" s="2"/>
      <c r="E3705" s="310"/>
      <c r="G3705" s="2"/>
      <c r="H3705" s="310"/>
      <c r="I3705" s="2"/>
      <c r="O3705" s="2"/>
      <c r="P3705" s="2"/>
    </row>
    <row r="3706" spans="4:16" x14ac:dyDescent="0.25">
      <c r="D3706" s="2"/>
      <c r="E3706" s="310"/>
      <c r="G3706" s="2"/>
      <c r="H3706" s="310"/>
      <c r="I3706" s="2"/>
      <c r="O3706" s="2"/>
      <c r="P3706" s="2"/>
    </row>
    <row r="3707" spans="4:16" x14ac:dyDescent="0.25">
      <c r="D3707" s="2"/>
      <c r="E3707" s="310"/>
      <c r="G3707" s="2"/>
      <c r="H3707" s="310"/>
      <c r="I3707" s="2"/>
      <c r="O3707" s="2"/>
      <c r="P3707" s="2"/>
    </row>
    <row r="3708" spans="4:16" x14ac:dyDescent="0.25">
      <c r="D3708" s="2"/>
      <c r="E3708" s="310"/>
      <c r="G3708" s="2"/>
      <c r="H3708" s="310"/>
      <c r="I3708" s="2"/>
      <c r="O3708" s="2"/>
      <c r="P3708" s="2"/>
    </row>
    <row r="3709" spans="4:16" x14ac:dyDescent="0.25">
      <c r="D3709" s="2"/>
      <c r="E3709" s="310"/>
      <c r="G3709" s="2"/>
      <c r="H3709" s="310"/>
      <c r="I3709" s="2"/>
      <c r="O3709" s="2"/>
      <c r="P3709" s="2"/>
    </row>
    <row r="3710" spans="4:16" x14ac:dyDescent="0.25">
      <c r="D3710" s="2"/>
      <c r="E3710" s="310"/>
      <c r="G3710" s="2"/>
      <c r="H3710" s="310"/>
      <c r="I3710" s="2"/>
      <c r="O3710" s="2"/>
      <c r="P3710" s="2"/>
    </row>
    <row r="3711" spans="4:16" x14ac:dyDescent="0.25">
      <c r="D3711" s="2"/>
      <c r="E3711" s="310"/>
      <c r="G3711" s="2"/>
      <c r="H3711" s="310"/>
      <c r="I3711" s="2"/>
      <c r="O3711" s="2"/>
      <c r="P3711" s="2"/>
    </row>
    <row r="3712" spans="4:16" x14ac:dyDescent="0.25">
      <c r="D3712" s="2"/>
      <c r="E3712" s="310"/>
      <c r="G3712" s="2"/>
      <c r="H3712" s="310"/>
      <c r="I3712" s="2"/>
      <c r="O3712" s="2"/>
      <c r="P3712" s="2"/>
    </row>
    <row r="3713" spans="4:16" x14ac:dyDescent="0.25">
      <c r="D3713" s="2"/>
      <c r="E3713" s="310"/>
      <c r="G3713" s="2"/>
      <c r="H3713" s="310"/>
      <c r="I3713" s="2"/>
      <c r="O3713" s="2"/>
      <c r="P3713" s="2"/>
    </row>
    <row r="3714" spans="4:16" x14ac:dyDescent="0.25">
      <c r="D3714" s="2"/>
      <c r="E3714" s="310"/>
      <c r="G3714" s="2"/>
      <c r="H3714" s="310"/>
      <c r="I3714" s="2"/>
      <c r="O3714" s="2"/>
      <c r="P3714" s="2"/>
    </row>
    <row r="3715" spans="4:16" x14ac:dyDescent="0.25">
      <c r="D3715" s="2"/>
      <c r="E3715" s="310"/>
      <c r="G3715" s="2"/>
      <c r="H3715" s="310"/>
      <c r="I3715" s="2"/>
      <c r="O3715" s="2"/>
      <c r="P3715" s="2"/>
    </row>
    <row r="3716" spans="4:16" x14ac:dyDescent="0.25">
      <c r="D3716" s="2"/>
      <c r="E3716" s="310"/>
      <c r="G3716" s="2"/>
      <c r="H3716" s="310"/>
      <c r="I3716" s="2"/>
      <c r="O3716" s="2"/>
      <c r="P3716" s="2"/>
    </row>
    <row r="3717" spans="4:16" x14ac:dyDescent="0.25">
      <c r="D3717" s="2"/>
      <c r="E3717" s="310"/>
      <c r="G3717" s="2"/>
      <c r="H3717" s="310"/>
      <c r="I3717" s="2"/>
      <c r="O3717" s="2"/>
      <c r="P3717" s="2"/>
    </row>
    <row r="3718" spans="4:16" x14ac:dyDescent="0.25">
      <c r="D3718" s="2"/>
      <c r="E3718" s="310"/>
      <c r="G3718" s="2"/>
      <c r="H3718" s="310"/>
      <c r="I3718" s="2"/>
      <c r="O3718" s="2"/>
      <c r="P3718" s="2"/>
    </row>
    <row r="3719" spans="4:16" x14ac:dyDescent="0.25">
      <c r="D3719" s="2"/>
      <c r="E3719" s="310"/>
      <c r="G3719" s="2"/>
      <c r="H3719" s="310"/>
      <c r="I3719" s="2"/>
      <c r="O3719" s="2"/>
      <c r="P3719" s="2"/>
    </row>
    <row r="3720" spans="4:16" x14ac:dyDescent="0.25">
      <c r="D3720" s="2"/>
      <c r="E3720" s="310"/>
      <c r="G3720" s="2"/>
      <c r="H3720" s="310"/>
      <c r="I3720" s="2"/>
      <c r="O3720" s="2"/>
      <c r="P3720" s="2"/>
    </row>
    <row r="3721" spans="4:16" x14ac:dyDescent="0.25">
      <c r="D3721" s="2"/>
      <c r="E3721" s="310"/>
      <c r="G3721" s="2"/>
      <c r="H3721" s="310"/>
      <c r="I3721" s="2"/>
      <c r="O3721" s="2"/>
      <c r="P3721" s="2"/>
    </row>
    <row r="3722" spans="4:16" x14ac:dyDescent="0.25">
      <c r="D3722" s="2"/>
      <c r="E3722" s="310"/>
      <c r="G3722" s="2"/>
      <c r="H3722" s="310"/>
      <c r="I3722" s="2"/>
      <c r="O3722" s="2"/>
      <c r="P3722" s="2"/>
    </row>
    <row r="3723" spans="4:16" x14ac:dyDescent="0.25">
      <c r="D3723" s="2"/>
      <c r="E3723" s="310"/>
      <c r="G3723" s="2"/>
      <c r="H3723" s="310"/>
      <c r="I3723" s="2"/>
      <c r="O3723" s="2"/>
      <c r="P3723" s="2"/>
    </row>
    <row r="3724" spans="4:16" x14ac:dyDescent="0.25">
      <c r="D3724" s="2"/>
      <c r="E3724" s="310"/>
      <c r="G3724" s="2"/>
      <c r="H3724" s="310"/>
      <c r="I3724" s="2"/>
      <c r="O3724" s="2"/>
      <c r="P3724" s="2"/>
    </row>
    <row r="3725" spans="4:16" x14ac:dyDescent="0.25">
      <c r="D3725" s="2"/>
      <c r="E3725" s="310"/>
      <c r="G3725" s="2"/>
      <c r="H3725" s="310"/>
      <c r="I3725" s="2"/>
      <c r="O3725" s="2"/>
      <c r="P3725" s="2"/>
    </row>
    <row r="3726" spans="4:16" x14ac:dyDescent="0.25">
      <c r="D3726" s="2"/>
      <c r="E3726" s="310"/>
      <c r="G3726" s="2"/>
      <c r="H3726" s="310"/>
      <c r="I3726" s="2"/>
      <c r="O3726" s="2"/>
      <c r="P3726" s="2"/>
    </row>
    <row r="3727" spans="4:16" x14ac:dyDescent="0.25">
      <c r="D3727" s="2"/>
      <c r="E3727" s="310"/>
      <c r="G3727" s="2"/>
      <c r="H3727" s="310"/>
      <c r="I3727" s="2"/>
      <c r="O3727" s="2"/>
      <c r="P3727" s="2"/>
    </row>
    <row r="3728" spans="4:16" x14ac:dyDescent="0.25">
      <c r="D3728" s="2"/>
      <c r="E3728" s="310"/>
      <c r="G3728" s="2"/>
      <c r="H3728" s="310"/>
      <c r="I3728" s="2"/>
      <c r="O3728" s="2"/>
      <c r="P3728" s="2"/>
    </row>
    <row r="3729" spans="4:16" x14ac:dyDescent="0.25">
      <c r="D3729" s="2"/>
      <c r="E3729" s="310"/>
      <c r="G3729" s="2"/>
      <c r="H3729" s="310"/>
      <c r="I3729" s="2"/>
      <c r="O3729" s="2"/>
      <c r="P3729" s="2"/>
    </row>
    <row r="3730" spans="4:16" x14ac:dyDescent="0.25">
      <c r="D3730" s="2"/>
      <c r="E3730" s="310"/>
      <c r="G3730" s="2"/>
      <c r="H3730" s="310"/>
      <c r="I3730" s="2"/>
      <c r="O3730" s="2"/>
      <c r="P3730" s="2"/>
    </row>
    <row r="3731" spans="4:16" x14ac:dyDescent="0.25">
      <c r="D3731" s="2"/>
      <c r="E3731" s="310"/>
      <c r="G3731" s="2"/>
      <c r="H3731" s="310"/>
      <c r="I3731" s="2"/>
      <c r="O3731" s="2"/>
      <c r="P3731" s="2"/>
    </row>
    <row r="3732" spans="4:16" x14ac:dyDescent="0.25">
      <c r="D3732" s="2"/>
      <c r="E3732" s="310"/>
      <c r="G3732" s="2"/>
      <c r="H3732" s="310"/>
      <c r="I3732" s="2"/>
      <c r="O3732" s="2"/>
      <c r="P3732" s="2"/>
    </row>
    <row r="3733" spans="4:16" x14ac:dyDescent="0.25">
      <c r="D3733" s="2"/>
      <c r="E3733" s="310"/>
      <c r="G3733" s="2"/>
      <c r="H3733" s="310"/>
      <c r="I3733" s="2"/>
      <c r="O3733" s="2"/>
      <c r="P3733" s="2"/>
    </row>
    <row r="3734" spans="4:16" x14ac:dyDescent="0.25">
      <c r="D3734" s="2"/>
      <c r="E3734" s="310"/>
      <c r="G3734" s="2"/>
      <c r="H3734" s="310"/>
      <c r="I3734" s="2"/>
      <c r="O3734" s="2"/>
      <c r="P3734" s="2"/>
    </row>
    <row r="3735" spans="4:16" x14ac:dyDescent="0.25">
      <c r="D3735" s="2"/>
      <c r="E3735" s="310"/>
      <c r="G3735" s="2"/>
      <c r="H3735" s="310"/>
      <c r="I3735" s="2"/>
      <c r="O3735" s="2"/>
      <c r="P3735" s="2"/>
    </row>
    <row r="3736" spans="4:16" x14ac:dyDescent="0.25">
      <c r="D3736" s="2"/>
      <c r="E3736" s="310"/>
      <c r="G3736" s="2"/>
      <c r="H3736" s="310"/>
      <c r="I3736" s="2"/>
      <c r="O3736" s="2"/>
      <c r="P3736" s="2"/>
    </row>
    <row r="3737" spans="4:16" x14ac:dyDescent="0.25">
      <c r="D3737" s="2"/>
      <c r="E3737" s="310"/>
      <c r="G3737" s="2"/>
      <c r="H3737" s="310"/>
      <c r="I3737" s="2"/>
      <c r="O3737" s="2"/>
      <c r="P3737" s="2"/>
    </row>
    <row r="3738" spans="4:16" x14ac:dyDescent="0.25">
      <c r="D3738" s="2"/>
      <c r="E3738" s="310"/>
      <c r="G3738" s="2"/>
      <c r="H3738" s="310"/>
      <c r="I3738" s="2"/>
      <c r="O3738" s="2"/>
      <c r="P3738" s="2"/>
    </row>
    <row r="3739" spans="4:16" x14ac:dyDescent="0.25">
      <c r="D3739" s="2"/>
      <c r="E3739" s="310"/>
      <c r="G3739" s="2"/>
      <c r="H3739" s="310"/>
      <c r="I3739" s="2"/>
      <c r="O3739" s="2"/>
      <c r="P3739" s="2"/>
    </row>
    <row r="3740" spans="4:16" x14ac:dyDescent="0.25">
      <c r="D3740" s="2"/>
      <c r="E3740" s="310"/>
      <c r="G3740" s="2"/>
      <c r="H3740" s="310"/>
      <c r="I3740" s="2"/>
      <c r="O3740" s="2"/>
      <c r="P3740" s="2"/>
    </row>
    <row r="3741" spans="4:16" x14ac:dyDescent="0.25">
      <c r="D3741" s="2"/>
      <c r="E3741" s="310"/>
      <c r="G3741" s="2"/>
      <c r="H3741" s="310"/>
      <c r="I3741" s="2"/>
      <c r="O3741" s="2"/>
      <c r="P3741" s="2"/>
    </row>
    <row r="3742" spans="4:16" x14ac:dyDescent="0.25">
      <c r="D3742" s="2"/>
      <c r="E3742" s="310"/>
      <c r="G3742" s="2"/>
      <c r="H3742" s="310"/>
      <c r="I3742" s="2"/>
      <c r="O3742" s="2"/>
      <c r="P3742" s="2"/>
    </row>
    <row r="3743" spans="4:16" x14ac:dyDescent="0.25">
      <c r="D3743" s="2"/>
      <c r="E3743" s="310"/>
      <c r="G3743" s="2"/>
      <c r="H3743" s="310"/>
      <c r="I3743" s="2"/>
      <c r="O3743" s="2"/>
      <c r="P3743" s="2"/>
    </row>
    <row r="3744" spans="4:16" x14ac:dyDescent="0.25">
      <c r="D3744" s="2"/>
      <c r="E3744" s="310"/>
      <c r="G3744" s="2"/>
      <c r="H3744" s="310"/>
      <c r="I3744" s="2"/>
      <c r="O3744" s="2"/>
      <c r="P3744" s="2"/>
    </row>
    <row r="3745" spans="4:16" x14ac:dyDescent="0.25">
      <c r="D3745" s="2"/>
      <c r="E3745" s="310"/>
      <c r="G3745" s="2"/>
      <c r="H3745" s="310"/>
      <c r="I3745" s="2"/>
      <c r="O3745" s="2"/>
      <c r="P3745" s="2"/>
    </row>
    <row r="3746" spans="4:16" x14ac:dyDescent="0.25">
      <c r="D3746" s="2"/>
      <c r="E3746" s="310"/>
      <c r="G3746" s="2"/>
      <c r="H3746" s="310"/>
      <c r="I3746" s="2"/>
      <c r="O3746" s="2"/>
      <c r="P3746" s="2"/>
    </row>
    <row r="3747" spans="4:16" x14ac:dyDescent="0.25">
      <c r="D3747" s="2"/>
      <c r="E3747" s="310"/>
      <c r="G3747" s="2"/>
      <c r="H3747" s="310"/>
      <c r="I3747" s="2"/>
      <c r="O3747" s="2"/>
      <c r="P3747" s="2"/>
    </row>
    <row r="3748" spans="4:16" x14ac:dyDescent="0.25">
      <c r="D3748" s="2"/>
      <c r="E3748" s="310"/>
      <c r="G3748" s="2"/>
      <c r="H3748" s="310"/>
      <c r="I3748" s="2"/>
      <c r="O3748" s="2"/>
      <c r="P3748" s="2"/>
    </row>
    <row r="3749" spans="4:16" x14ac:dyDescent="0.25">
      <c r="D3749" s="2"/>
      <c r="E3749" s="310"/>
      <c r="G3749" s="2"/>
      <c r="H3749" s="310"/>
      <c r="I3749" s="2"/>
      <c r="O3749" s="2"/>
      <c r="P3749" s="2"/>
    </row>
    <row r="3750" spans="4:16" x14ac:dyDescent="0.25">
      <c r="D3750" s="2"/>
      <c r="E3750" s="310"/>
      <c r="G3750" s="2"/>
      <c r="H3750" s="310"/>
      <c r="I3750" s="2"/>
      <c r="O3750" s="2"/>
      <c r="P3750" s="2"/>
    </row>
    <row r="3751" spans="4:16" x14ac:dyDescent="0.25">
      <c r="D3751" s="2"/>
      <c r="E3751" s="310"/>
      <c r="G3751" s="2"/>
      <c r="H3751" s="310"/>
      <c r="I3751" s="2"/>
      <c r="O3751" s="2"/>
      <c r="P3751" s="2"/>
    </row>
    <row r="3752" spans="4:16" x14ac:dyDescent="0.25">
      <c r="D3752" s="2"/>
      <c r="E3752" s="310"/>
      <c r="G3752" s="2"/>
      <c r="H3752" s="310"/>
      <c r="I3752" s="2"/>
      <c r="O3752" s="2"/>
      <c r="P3752" s="2"/>
    </row>
    <row r="3753" spans="4:16" x14ac:dyDescent="0.25">
      <c r="D3753" s="2"/>
      <c r="E3753" s="310"/>
      <c r="G3753" s="2"/>
      <c r="H3753" s="310"/>
      <c r="I3753" s="2"/>
      <c r="O3753" s="2"/>
      <c r="P3753" s="2"/>
    </row>
    <row r="3754" spans="4:16" x14ac:dyDescent="0.25">
      <c r="D3754" s="2"/>
      <c r="E3754" s="310"/>
      <c r="G3754" s="2"/>
      <c r="H3754" s="310"/>
      <c r="I3754" s="2"/>
      <c r="O3754" s="2"/>
      <c r="P3754" s="2"/>
    </row>
    <row r="3755" spans="4:16" x14ac:dyDescent="0.25">
      <c r="D3755" s="2"/>
      <c r="E3755" s="310"/>
      <c r="G3755" s="2"/>
      <c r="H3755" s="310"/>
      <c r="I3755" s="2"/>
      <c r="O3755" s="2"/>
      <c r="P3755" s="2"/>
    </row>
    <row r="3756" spans="4:16" x14ac:dyDescent="0.25">
      <c r="D3756" s="2"/>
      <c r="E3756" s="310"/>
      <c r="G3756" s="2"/>
      <c r="H3756" s="310"/>
      <c r="I3756" s="2"/>
      <c r="O3756" s="2"/>
      <c r="P3756" s="2"/>
    </row>
    <row r="3757" spans="4:16" x14ac:dyDescent="0.25">
      <c r="D3757" s="2"/>
      <c r="E3757" s="310"/>
      <c r="G3757" s="2"/>
      <c r="H3757" s="310"/>
      <c r="I3757" s="2"/>
      <c r="O3757" s="2"/>
      <c r="P3757" s="2"/>
    </row>
    <row r="3758" spans="4:16" x14ac:dyDescent="0.25">
      <c r="D3758" s="2"/>
      <c r="E3758" s="310"/>
      <c r="G3758" s="2"/>
      <c r="H3758" s="310"/>
      <c r="I3758" s="2"/>
      <c r="O3758" s="2"/>
      <c r="P3758" s="2"/>
    </row>
    <row r="3759" spans="4:16" x14ac:dyDescent="0.25">
      <c r="D3759" s="2"/>
      <c r="E3759" s="310"/>
      <c r="G3759" s="2"/>
      <c r="H3759" s="310"/>
      <c r="I3759" s="2"/>
      <c r="O3759" s="2"/>
      <c r="P3759" s="2"/>
    </row>
    <row r="3760" spans="4:16" x14ac:dyDescent="0.25">
      <c r="D3760" s="2"/>
      <c r="E3760" s="310"/>
      <c r="G3760" s="2"/>
      <c r="H3760" s="310"/>
      <c r="I3760" s="2"/>
      <c r="O3760" s="2"/>
      <c r="P3760" s="2"/>
    </row>
    <row r="3761" spans="4:16" x14ac:dyDescent="0.25">
      <c r="D3761" s="2"/>
      <c r="E3761" s="310"/>
      <c r="G3761" s="2"/>
      <c r="H3761" s="310"/>
      <c r="I3761" s="2"/>
      <c r="O3761" s="2"/>
      <c r="P3761" s="2"/>
    </row>
    <row r="3762" spans="4:16" x14ac:dyDescent="0.25">
      <c r="D3762" s="2"/>
      <c r="E3762" s="310"/>
      <c r="G3762" s="2"/>
      <c r="H3762" s="310"/>
      <c r="I3762" s="2"/>
      <c r="O3762" s="2"/>
      <c r="P3762" s="2"/>
    </row>
    <row r="3763" spans="4:16" x14ac:dyDescent="0.25">
      <c r="D3763" s="2"/>
      <c r="E3763" s="310"/>
      <c r="G3763" s="2"/>
      <c r="H3763" s="310"/>
      <c r="I3763" s="2"/>
      <c r="O3763" s="2"/>
      <c r="P3763" s="2"/>
    </row>
    <row r="3764" spans="4:16" x14ac:dyDescent="0.25">
      <c r="D3764" s="2"/>
      <c r="E3764" s="310"/>
      <c r="G3764" s="2"/>
      <c r="H3764" s="310"/>
      <c r="I3764" s="2"/>
      <c r="O3764" s="2"/>
      <c r="P3764" s="2"/>
    </row>
    <row r="3765" spans="4:16" x14ac:dyDescent="0.25">
      <c r="D3765" s="2"/>
      <c r="E3765" s="310"/>
      <c r="G3765" s="2"/>
      <c r="H3765" s="310"/>
      <c r="I3765" s="2"/>
      <c r="O3765" s="2"/>
      <c r="P3765" s="2"/>
    </row>
    <row r="3766" spans="4:16" x14ac:dyDescent="0.25">
      <c r="D3766" s="2"/>
      <c r="E3766" s="310"/>
      <c r="G3766" s="2"/>
      <c r="H3766" s="310"/>
      <c r="I3766" s="2"/>
      <c r="O3766" s="2"/>
      <c r="P3766" s="2"/>
    </row>
    <row r="3767" spans="4:16" x14ac:dyDescent="0.25">
      <c r="D3767" s="2"/>
      <c r="E3767" s="310"/>
      <c r="G3767" s="2"/>
      <c r="H3767" s="310"/>
      <c r="I3767" s="2"/>
      <c r="O3767" s="2"/>
      <c r="P3767" s="2"/>
    </row>
    <row r="3768" spans="4:16" x14ac:dyDescent="0.25">
      <c r="D3768" s="2"/>
      <c r="E3768" s="310"/>
      <c r="G3768" s="2"/>
      <c r="H3768" s="310"/>
      <c r="I3768" s="2"/>
      <c r="O3768" s="2"/>
      <c r="P3768" s="2"/>
    </row>
    <row r="3769" spans="4:16" x14ac:dyDescent="0.25">
      <c r="D3769" s="2"/>
      <c r="E3769" s="310"/>
      <c r="G3769" s="2"/>
      <c r="H3769" s="310"/>
      <c r="I3769" s="2"/>
      <c r="O3769" s="2"/>
      <c r="P3769" s="2"/>
    </row>
    <row r="3770" spans="4:16" x14ac:dyDescent="0.25">
      <c r="D3770" s="2"/>
      <c r="E3770" s="310"/>
      <c r="G3770" s="2"/>
      <c r="H3770" s="310"/>
      <c r="I3770" s="2"/>
      <c r="O3770" s="2"/>
      <c r="P3770" s="2"/>
    </row>
    <row r="3771" spans="4:16" x14ac:dyDescent="0.25">
      <c r="D3771" s="2"/>
      <c r="E3771" s="310"/>
      <c r="G3771" s="2"/>
      <c r="H3771" s="310"/>
      <c r="I3771" s="2"/>
      <c r="O3771" s="2"/>
      <c r="P3771" s="2"/>
    </row>
    <row r="3772" spans="4:16" x14ac:dyDescent="0.25">
      <c r="D3772" s="2"/>
      <c r="E3772" s="310"/>
      <c r="G3772" s="2"/>
      <c r="H3772" s="310"/>
      <c r="I3772" s="2"/>
      <c r="O3772" s="2"/>
      <c r="P3772" s="2"/>
    </row>
    <row r="3773" spans="4:16" x14ac:dyDescent="0.25">
      <c r="D3773" s="2"/>
      <c r="E3773" s="310"/>
      <c r="G3773" s="2"/>
      <c r="H3773" s="310"/>
      <c r="I3773" s="2"/>
      <c r="O3773" s="2"/>
      <c r="P3773" s="2"/>
    </row>
    <row r="3774" spans="4:16" x14ac:dyDescent="0.25">
      <c r="D3774" s="2"/>
      <c r="E3774" s="310"/>
      <c r="G3774" s="2"/>
      <c r="H3774" s="310"/>
      <c r="I3774" s="2"/>
      <c r="O3774" s="2"/>
      <c r="P3774" s="2"/>
    </row>
    <row r="3775" spans="4:16" x14ac:dyDescent="0.25">
      <c r="D3775" s="2"/>
      <c r="E3775" s="310"/>
      <c r="G3775" s="2"/>
      <c r="H3775" s="310"/>
      <c r="I3775" s="2"/>
      <c r="O3775" s="2"/>
      <c r="P3775" s="2"/>
    </row>
    <row r="3776" spans="4:16" x14ac:dyDescent="0.25">
      <c r="D3776" s="2"/>
      <c r="E3776" s="310"/>
      <c r="G3776" s="2"/>
      <c r="H3776" s="310"/>
      <c r="I3776" s="2"/>
      <c r="O3776" s="2"/>
      <c r="P3776" s="2"/>
    </row>
    <row r="3777" spans="4:16" x14ac:dyDescent="0.25">
      <c r="D3777" s="2"/>
      <c r="E3777" s="310"/>
      <c r="G3777" s="2"/>
      <c r="H3777" s="310"/>
      <c r="I3777" s="2"/>
      <c r="O3777" s="2"/>
      <c r="P3777" s="2"/>
    </row>
    <row r="3778" spans="4:16" x14ac:dyDescent="0.25">
      <c r="D3778" s="2"/>
      <c r="E3778" s="310"/>
      <c r="G3778" s="2"/>
      <c r="H3778" s="310"/>
      <c r="I3778" s="2"/>
      <c r="O3778" s="2"/>
      <c r="P3778" s="2"/>
    </row>
    <row r="3779" spans="4:16" x14ac:dyDescent="0.25">
      <c r="D3779" s="2"/>
      <c r="E3779" s="310"/>
      <c r="G3779" s="2"/>
      <c r="H3779" s="310"/>
      <c r="I3779" s="2"/>
      <c r="O3779" s="2"/>
      <c r="P3779" s="2"/>
    </row>
    <row r="3780" spans="4:16" x14ac:dyDescent="0.25">
      <c r="D3780" s="2"/>
      <c r="E3780" s="310"/>
      <c r="G3780" s="2"/>
      <c r="H3780" s="310"/>
      <c r="I3780" s="2"/>
      <c r="O3780" s="2"/>
      <c r="P3780" s="2"/>
    </row>
    <row r="3781" spans="4:16" x14ac:dyDescent="0.25">
      <c r="D3781" s="2"/>
      <c r="E3781" s="310"/>
      <c r="G3781" s="2"/>
      <c r="H3781" s="310"/>
      <c r="I3781" s="2"/>
      <c r="O3781" s="2"/>
      <c r="P3781" s="2"/>
    </row>
    <row r="3782" spans="4:16" x14ac:dyDescent="0.25">
      <c r="D3782" s="2"/>
      <c r="E3782" s="310"/>
      <c r="G3782" s="2"/>
      <c r="H3782" s="310"/>
      <c r="I3782" s="2"/>
      <c r="O3782" s="2"/>
      <c r="P3782" s="2"/>
    </row>
    <row r="3783" spans="4:16" x14ac:dyDescent="0.25">
      <c r="D3783" s="2"/>
      <c r="E3783" s="310"/>
      <c r="G3783" s="2"/>
      <c r="H3783" s="310"/>
      <c r="I3783" s="2"/>
      <c r="O3783" s="2"/>
      <c r="P3783" s="2"/>
    </row>
    <row r="3784" spans="4:16" x14ac:dyDescent="0.25">
      <c r="D3784" s="2"/>
      <c r="E3784" s="310"/>
      <c r="G3784" s="2"/>
      <c r="H3784" s="310"/>
      <c r="I3784" s="2"/>
      <c r="O3784" s="2"/>
      <c r="P3784" s="2"/>
    </row>
    <row r="3785" spans="4:16" x14ac:dyDescent="0.25">
      <c r="D3785" s="2"/>
      <c r="E3785" s="310"/>
      <c r="G3785" s="2"/>
      <c r="H3785" s="310"/>
      <c r="I3785" s="2"/>
      <c r="O3785" s="2"/>
      <c r="P3785" s="2"/>
    </row>
    <row r="3786" spans="4:16" x14ac:dyDescent="0.25">
      <c r="D3786" s="2"/>
      <c r="E3786" s="310"/>
      <c r="G3786" s="2"/>
      <c r="H3786" s="310"/>
      <c r="I3786" s="2"/>
      <c r="O3786" s="2"/>
      <c r="P3786" s="2"/>
    </row>
    <row r="3787" spans="4:16" x14ac:dyDescent="0.25">
      <c r="D3787" s="2"/>
      <c r="E3787" s="310"/>
      <c r="G3787" s="2"/>
      <c r="H3787" s="310"/>
      <c r="I3787" s="2"/>
      <c r="O3787" s="2"/>
      <c r="P3787" s="2"/>
    </row>
    <row r="3788" spans="4:16" x14ac:dyDescent="0.25">
      <c r="D3788" s="2"/>
      <c r="E3788" s="310"/>
      <c r="G3788" s="2"/>
      <c r="H3788" s="310"/>
      <c r="I3788" s="2"/>
      <c r="O3788" s="2"/>
      <c r="P3788" s="2"/>
    </row>
    <row r="3789" spans="4:16" x14ac:dyDescent="0.25">
      <c r="D3789" s="2"/>
      <c r="E3789" s="310"/>
      <c r="G3789" s="2"/>
      <c r="H3789" s="310"/>
      <c r="I3789" s="2"/>
      <c r="O3789" s="2"/>
      <c r="P3789" s="2"/>
    </row>
    <row r="3790" spans="4:16" x14ac:dyDescent="0.25">
      <c r="D3790" s="2"/>
      <c r="E3790" s="310"/>
      <c r="G3790" s="2"/>
      <c r="H3790" s="310"/>
      <c r="I3790" s="2"/>
      <c r="O3790" s="2"/>
      <c r="P3790" s="2"/>
    </row>
    <row r="3791" spans="4:16" x14ac:dyDescent="0.25">
      <c r="D3791" s="2"/>
      <c r="E3791" s="310"/>
      <c r="G3791" s="2"/>
      <c r="H3791" s="310"/>
      <c r="I3791" s="2"/>
      <c r="O3791" s="2"/>
      <c r="P3791" s="2"/>
    </row>
    <row r="3792" spans="4:16" x14ac:dyDescent="0.25">
      <c r="D3792" s="2"/>
      <c r="E3792" s="310"/>
      <c r="G3792" s="2"/>
      <c r="H3792" s="310"/>
      <c r="I3792" s="2"/>
      <c r="O3792" s="2"/>
      <c r="P3792" s="2"/>
    </row>
    <row r="3793" spans="4:16" x14ac:dyDescent="0.25">
      <c r="D3793" s="2"/>
      <c r="E3793" s="310"/>
      <c r="G3793" s="2"/>
      <c r="H3793" s="310"/>
      <c r="I3793" s="2"/>
      <c r="O3793" s="2"/>
      <c r="P3793" s="2"/>
    </row>
    <row r="3794" spans="4:16" x14ac:dyDescent="0.25">
      <c r="D3794" s="2"/>
      <c r="E3794" s="310"/>
      <c r="G3794" s="2"/>
      <c r="H3794" s="310"/>
      <c r="I3794" s="2"/>
      <c r="O3794" s="2"/>
      <c r="P3794" s="2"/>
    </row>
    <row r="3795" spans="4:16" x14ac:dyDescent="0.25">
      <c r="D3795" s="2"/>
      <c r="E3795" s="310"/>
      <c r="G3795" s="2"/>
      <c r="H3795" s="310"/>
      <c r="I3795" s="2"/>
      <c r="O3795" s="2"/>
      <c r="P3795" s="2"/>
    </row>
    <row r="3796" spans="4:16" x14ac:dyDescent="0.25">
      <c r="D3796" s="2"/>
      <c r="E3796" s="310"/>
      <c r="G3796" s="2"/>
      <c r="H3796" s="310"/>
      <c r="I3796" s="2"/>
      <c r="O3796" s="2"/>
      <c r="P3796" s="2"/>
    </row>
    <row r="3797" spans="4:16" x14ac:dyDescent="0.25">
      <c r="D3797" s="2"/>
      <c r="E3797" s="310"/>
      <c r="G3797" s="2"/>
      <c r="H3797" s="310"/>
      <c r="I3797" s="2"/>
      <c r="O3797" s="2"/>
      <c r="P3797" s="2"/>
    </row>
    <row r="3798" spans="4:16" x14ac:dyDescent="0.25">
      <c r="D3798" s="2"/>
      <c r="E3798" s="310"/>
      <c r="G3798" s="2"/>
      <c r="H3798" s="310"/>
      <c r="I3798" s="2"/>
      <c r="O3798" s="2"/>
      <c r="P3798" s="2"/>
    </row>
    <row r="3799" spans="4:16" x14ac:dyDescent="0.25">
      <c r="D3799" s="2"/>
      <c r="E3799" s="310"/>
      <c r="G3799" s="2"/>
      <c r="H3799" s="310"/>
      <c r="I3799" s="2"/>
      <c r="O3799" s="2"/>
      <c r="P3799" s="2"/>
    </row>
    <row r="3800" spans="4:16" x14ac:dyDescent="0.25">
      <c r="D3800" s="2"/>
      <c r="E3800" s="310"/>
      <c r="G3800" s="2"/>
      <c r="H3800" s="310"/>
      <c r="I3800" s="2"/>
      <c r="O3800" s="2"/>
      <c r="P3800" s="2"/>
    </row>
    <row r="3801" spans="4:16" x14ac:dyDescent="0.25">
      <c r="D3801" s="2"/>
      <c r="E3801" s="310"/>
      <c r="G3801" s="2"/>
      <c r="H3801" s="310"/>
      <c r="I3801" s="2"/>
      <c r="O3801" s="2"/>
      <c r="P3801" s="2"/>
    </row>
    <row r="3802" spans="4:16" x14ac:dyDescent="0.25">
      <c r="D3802" s="2"/>
      <c r="E3802" s="310"/>
      <c r="G3802" s="2"/>
      <c r="H3802" s="310"/>
      <c r="I3802" s="2"/>
      <c r="O3802" s="2"/>
      <c r="P3802" s="2"/>
    </row>
    <row r="3803" spans="4:16" x14ac:dyDescent="0.25">
      <c r="D3803" s="2"/>
      <c r="E3803" s="310"/>
      <c r="G3803" s="2"/>
      <c r="H3803" s="310"/>
      <c r="I3803" s="2"/>
      <c r="O3803" s="2"/>
      <c r="P3803" s="2"/>
    </row>
    <row r="3804" spans="4:16" x14ac:dyDescent="0.25">
      <c r="D3804" s="2"/>
      <c r="E3804" s="310"/>
      <c r="G3804" s="2"/>
      <c r="H3804" s="310"/>
      <c r="I3804" s="2"/>
      <c r="O3804" s="2"/>
      <c r="P3804" s="2"/>
    </row>
    <row r="3805" spans="4:16" x14ac:dyDescent="0.25">
      <c r="D3805" s="2"/>
      <c r="E3805" s="310"/>
      <c r="G3805" s="2"/>
      <c r="H3805" s="310"/>
      <c r="I3805" s="2"/>
      <c r="O3805" s="2"/>
      <c r="P3805" s="2"/>
    </row>
    <row r="3806" spans="4:16" x14ac:dyDescent="0.25">
      <c r="D3806" s="2"/>
      <c r="E3806" s="310"/>
      <c r="G3806" s="2"/>
      <c r="H3806" s="310"/>
      <c r="I3806" s="2"/>
      <c r="O3806" s="2"/>
      <c r="P3806" s="2"/>
    </row>
    <row r="3807" spans="4:16" x14ac:dyDescent="0.25">
      <c r="D3807" s="2"/>
      <c r="E3807" s="310"/>
      <c r="G3807" s="2"/>
      <c r="H3807" s="310"/>
      <c r="I3807" s="2"/>
      <c r="O3807" s="2"/>
      <c r="P3807" s="2"/>
    </row>
    <row r="3808" spans="4:16" x14ac:dyDescent="0.25">
      <c r="D3808" s="2"/>
      <c r="E3808" s="310"/>
      <c r="G3808" s="2"/>
      <c r="H3808" s="310"/>
      <c r="I3808" s="2"/>
      <c r="O3808" s="2"/>
      <c r="P3808" s="2"/>
    </row>
    <row r="3809" spans="4:16" x14ac:dyDescent="0.25">
      <c r="D3809" s="2"/>
      <c r="E3809" s="310"/>
      <c r="G3809" s="2"/>
      <c r="H3809" s="310"/>
      <c r="I3809" s="2"/>
      <c r="O3809" s="2"/>
      <c r="P3809" s="2"/>
    </row>
    <row r="3810" spans="4:16" x14ac:dyDescent="0.25">
      <c r="D3810" s="2"/>
      <c r="E3810" s="310"/>
      <c r="G3810" s="2"/>
      <c r="H3810" s="310"/>
      <c r="I3810" s="2"/>
      <c r="O3810" s="2"/>
      <c r="P3810" s="2"/>
    </row>
    <row r="3811" spans="4:16" x14ac:dyDescent="0.25">
      <c r="D3811" s="2"/>
      <c r="E3811" s="310"/>
      <c r="G3811" s="2"/>
      <c r="H3811" s="310"/>
      <c r="I3811" s="2"/>
      <c r="O3811" s="2"/>
      <c r="P3811" s="2"/>
    </row>
    <row r="3812" spans="4:16" x14ac:dyDescent="0.25">
      <c r="D3812" s="2"/>
      <c r="E3812" s="310"/>
      <c r="G3812" s="2"/>
      <c r="H3812" s="310"/>
      <c r="I3812" s="2"/>
      <c r="O3812" s="2"/>
      <c r="P3812" s="2"/>
    </row>
    <row r="3813" spans="4:16" x14ac:dyDescent="0.25">
      <c r="D3813" s="2"/>
      <c r="E3813" s="310"/>
      <c r="G3813" s="2"/>
      <c r="H3813" s="310"/>
      <c r="I3813" s="2"/>
      <c r="O3813" s="2"/>
      <c r="P3813" s="2"/>
    </row>
    <row r="3814" spans="4:16" x14ac:dyDescent="0.25">
      <c r="D3814" s="2"/>
      <c r="E3814" s="310"/>
      <c r="G3814" s="2"/>
      <c r="H3814" s="310"/>
      <c r="I3814" s="2"/>
      <c r="O3814" s="2"/>
      <c r="P3814" s="2"/>
    </row>
    <row r="3815" spans="4:16" x14ac:dyDescent="0.25">
      <c r="D3815" s="2"/>
      <c r="E3815" s="310"/>
      <c r="G3815" s="2"/>
      <c r="H3815" s="310"/>
      <c r="I3815" s="2"/>
      <c r="O3815" s="2"/>
      <c r="P3815" s="2"/>
    </row>
    <row r="3816" spans="4:16" x14ac:dyDescent="0.25">
      <c r="D3816" s="2"/>
      <c r="E3816" s="310"/>
      <c r="G3816" s="2"/>
      <c r="H3816" s="310"/>
      <c r="I3816" s="2"/>
      <c r="O3816" s="2"/>
      <c r="P3816" s="2"/>
    </row>
    <row r="3817" spans="4:16" x14ac:dyDescent="0.25">
      <c r="D3817" s="2"/>
      <c r="E3817" s="310"/>
      <c r="G3817" s="2"/>
      <c r="H3817" s="310"/>
      <c r="I3817" s="2"/>
      <c r="O3817" s="2"/>
      <c r="P3817" s="2"/>
    </row>
    <row r="3818" spans="4:16" x14ac:dyDescent="0.25">
      <c r="D3818" s="2"/>
      <c r="E3818" s="310"/>
      <c r="G3818" s="2"/>
      <c r="H3818" s="310"/>
      <c r="I3818" s="2"/>
      <c r="O3818" s="2"/>
      <c r="P3818" s="2"/>
    </row>
    <row r="3819" spans="4:16" x14ac:dyDescent="0.25">
      <c r="D3819" s="2"/>
      <c r="E3819" s="310"/>
      <c r="G3819" s="2"/>
      <c r="H3819" s="310"/>
      <c r="I3819" s="2"/>
      <c r="O3819" s="2"/>
      <c r="P3819" s="2"/>
    </row>
    <row r="3820" spans="4:16" x14ac:dyDescent="0.25">
      <c r="D3820" s="2"/>
      <c r="E3820" s="310"/>
      <c r="G3820" s="2"/>
      <c r="H3820" s="310"/>
      <c r="I3820" s="2"/>
      <c r="O3820" s="2"/>
      <c r="P3820" s="2"/>
    </row>
    <row r="3821" spans="4:16" x14ac:dyDescent="0.25">
      <c r="D3821" s="2"/>
      <c r="E3821" s="310"/>
      <c r="G3821" s="2"/>
      <c r="H3821" s="310"/>
      <c r="I3821" s="2"/>
      <c r="O3821" s="2"/>
      <c r="P3821" s="2"/>
    </row>
    <row r="3822" spans="4:16" x14ac:dyDescent="0.25">
      <c r="D3822" s="2"/>
      <c r="E3822" s="310"/>
      <c r="G3822" s="2"/>
      <c r="H3822" s="310"/>
      <c r="I3822" s="2"/>
      <c r="O3822" s="2"/>
      <c r="P3822" s="2"/>
    </row>
    <row r="3823" spans="4:16" x14ac:dyDescent="0.25">
      <c r="D3823" s="2"/>
      <c r="E3823" s="310"/>
      <c r="G3823" s="2"/>
      <c r="H3823" s="310"/>
      <c r="I3823" s="2"/>
      <c r="O3823" s="2"/>
      <c r="P3823" s="2"/>
    </row>
    <row r="3824" spans="4:16" x14ac:dyDescent="0.25">
      <c r="D3824" s="2"/>
      <c r="E3824" s="310"/>
      <c r="G3824" s="2"/>
      <c r="H3824" s="310"/>
      <c r="I3824" s="2"/>
      <c r="O3824" s="2"/>
      <c r="P3824" s="2"/>
    </row>
    <row r="3825" spans="4:16" x14ac:dyDescent="0.25">
      <c r="D3825" s="2"/>
      <c r="E3825" s="310"/>
      <c r="G3825" s="2"/>
      <c r="H3825" s="310"/>
      <c r="I3825" s="2"/>
      <c r="O3825" s="2"/>
      <c r="P3825" s="2"/>
    </row>
    <row r="3826" spans="4:16" x14ac:dyDescent="0.25">
      <c r="D3826" s="2"/>
      <c r="E3826" s="310"/>
      <c r="G3826" s="2"/>
      <c r="H3826" s="310"/>
      <c r="I3826" s="2"/>
      <c r="O3826" s="2"/>
      <c r="P3826" s="2"/>
    </row>
    <row r="3827" spans="4:16" x14ac:dyDescent="0.25">
      <c r="D3827" s="2"/>
      <c r="E3827" s="310"/>
      <c r="G3827" s="2"/>
      <c r="H3827" s="310"/>
      <c r="I3827" s="2"/>
      <c r="O3827" s="2"/>
      <c r="P3827" s="2"/>
    </row>
    <row r="3828" spans="4:16" x14ac:dyDescent="0.25">
      <c r="D3828" s="2"/>
      <c r="E3828" s="310"/>
      <c r="G3828" s="2"/>
      <c r="H3828" s="310"/>
      <c r="I3828" s="2"/>
      <c r="O3828" s="2"/>
      <c r="P3828" s="2"/>
    </row>
    <row r="3829" spans="4:16" x14ac:dyDescent="0.25">
      <c r="D3829" s="2"/>
      <c r="E3829" s="310"/>
      <c r="G3829" s="2"/>
      <c r="H3829" s="310"/>
      <c r="I3829" s="2"/>
      <c r="O3829" s="2"/>
      <c r="P3829" s="2"/>
    </row>
    <row r="3830" spans="4:16" x14ac:dyDescent="0.25">
      <c r="D3830" s="2"/>
      <c r="E3830" s="310"/>
      <c r="G3830" s="2"/>
      <c r="H3830" s="310"/>
      <c r="I3830" s="2"/>
      <c r="O3830" s="2"/>
      <c r="P3830" s="2"/>
    </row>
    <row r="3831" spans="4:16" x14ac:dyDescent="0.25">
      <c r="D3831" s="2"/>
      <c r="E3831" s="310"/>
      <c r="G3831" s="2"/>
      <c r="H3831" s="310"/>
      <c r="I3831" s="2"/>
      <c r="O3831" s="2"/>
      <c r="P3831" s="2"/>
    </row>
    <row r="3832" spans="4:16" x14ac:dyDescent="0.25">
      <c r="D3832" s="2"/>
      <c r="E3832" s="310"/>
      <c r="G3832" s="2"/>
      <c r="H3832" s="310"/>
      <c r="I3832" s="2"/>
      <c r="O3832" s="2"/>
      <c r="P3832" s="2"/>
    </row>
    <row r="3833" spans="4:16" x14ac:dyDescent="0.25">
      <c r="D3833" s="2"/>
      <c r="E3833" s="310"/>
      <c r="G3833" s="2"/>
      <c r="H3833" s="310"/>
      <c r="I3833" s="2"/>
      <c r="O3833" s="2"/>
      <c r="P3833" s="2"/>
    </row>
    <row r="3834" spans="4:16" x14ac:dyDescent="0.25">
      <c r="D3834" s="2"/>
      <c r="E3834" s="310"/>
      <c r="G3834" s="2"/>
      <c r="H3834" s="310"/>
      <c r="I3834" s="2"/>
      <c r="O3834" s="2"/>
      <c r="P3834" s="2"/>
    </row>
    <row r="3835" spans="4:16" x14ac:dyDescent="0.25">
      <c r="D3835" s="2"/>
      <c r="E3835" s="310"/>
      <c r="G3835" s="2"/>
      <c r="H3835" s="310"/>
      <c r="I3835" s="2"/>
      <c r="O3835" s="2"/>
      <c r="P3835" s="2"/>
    </row>
    <row r="3836" spans="4:16" x14ac:dyDescent="0.25">
      <c r="D3836" s="2"/>
      <c r="E3836" s="310"/>
      <c r="G3836" s="2"/>
      <c r="H3836" s="310"/>
      <c r="I3836" s="2"/>
      <c r="O3836" s="2"/>
      <c r="P3836" s="2"/>
    </row>
    <row r="3837" spans="4:16" x14ac:dyDescent="0.25">
      <c r="D3837" s="2"/>
      <c r="E3837" s="310"/>
      <c r="G3837" s="2"/>
      <c r="H3837" s="310"/>
      <c r="I3837" s="2"/>
      <c r="O3837" s="2"/>
      <c r="P3837" s="2"/>
    </row>
    <row r="3838" spans="4:16" x14ac:dyDescent="0.25">
      <c r="D3838" s="2"/>
      <c r="E3838" s="310"/>
      <c r="G3838" s="2"/>
      <c r="H3838" s="310"/>
      <c r="I3838" s="2"/>
      <c r="O3838" s="2"/>
      <c r="P3838" s="2"/>
    </row>
    <row r="3839" spans="4:16" x14ac:dyDescent="0.25">
      <c r="D3839" s="2"/>
      <c r="E3839" s="310"/>
      <c r="G3839" s="2"/>
      <c r="H3839" s="310"/>
      <c r="I3839" s="2"/>
      <c r="O3839" s="2"/>
      <c r="P3839" s="2"/>
    </row>
    <row r="3840" spans="4:16" x14ac:dyDescent="0.25">
      <c r="D3840" s="2"/>
      <c r="E3840" s="310"/>
      <c r="G3840" s="2"/>
      <c r="H3840" s="310"/>
      <c r="I3840" s="2"/>
      <c r="O3840" s="2"/>
      <c r="P3840" s="2"/>
    </row>
    <row r="3841" spans="4:16" x14ac:dyDescent="0.25">
      <c r="D3841" s="2"/>
      <c r="E3841" s="310"/>
      <c r="G3841" s="2"/>
      <c r="H3841" s="310"/>
      <c r="I3841" s="2"/>
      <c r="O3841" s="2"/>
      <c r="P3841" s="2"/>
    </row>
    <row r="3842" spans="4:16" x14ac:dyDescent="0.25">
      <c r="D3842" s="2"/>
      <c r="E3842" s="310"/>
      <c r="G3842" s="2"/>
      <c r="H3842" s="310"/>
      <c r="I3842" s="2"/>
      <c r="O3842" s="2"/>
      <c r="P3842" s="2"/>
    </row>
    <row r="3843" spans="4:16" x14ac:dyDescent="0.25">
      <c r="D3843" s="2"/>
      <c r="E3843" s="310"/>
      <c r="G3843" s="2"/>
      <c r="H3843" s="310"/>
      <c r="I3843" s="2"/>
      <c r="O3843" s="2"/>
      <c r="P3843" s="2"/>
    </row>
    <row r="3844" spans="4:16" x14ac:dyDescent="0.25">
      <c r="D3844" s="2"/>
      <c r="E3844" s="310"/>
      <c r="G3844" s="2"/>
      <c r="H3844" s="310"/>
      <c r="I3844" s="2"/>
      <c r="O3844" s="2"/>
      <c r="P3844" s="2"/>
    </row>
    <row r="3845" spans="4:16" x14ac:dyDescent="0.25">
      <c r="D3845" s="2"/>
      <c r="E3845" s="310"/>
      <c r="G3845" s="2"/>
      <c r="H3845" s="310"/>
      <c r="I3845" s="2"/>
      <c r="O3845" s="2"/>
      <c r="P3845" s="2"/>
    </row>
    <row r="3846" spans="4:16" x14ac:dyDescent="0.25">
      <c r="D3846" s="2"/>
      <c r="E3846" s="310"/>
      <c r="G3846" s="2"/>
      <c r="H3846" s="310"/>
      <c r="I3846" s="2"/>
      <c r="O3846" s="2"/>
      <c r="P3846" s="2"/>
    </row>
    <row r="3847" spans="4:16" x14ac:dyDescent="0.25">
      <c r="D3847" s="2"/>
      <c r="E3847" s="310"/>
      <c r="G3847" s="2"/>
      <c r="H3847" s="310"/>
      <c r="I3847" s="2"/>
      <c r="O3847" s="2"/>
      <c r="P3847" s="2"/>
    </row>
    <row r="3848" spans="4:16" x14ac:dyDescent="0.25">
      <c r="D3848" s="2"/>
      <c r="E3848" s="310"/>
      <c r="G3848" s="2"/>
      <c r="H3848" s="310"/>
      <c r="I3848" s="2"/>
      <c r="O3848" s="2"/>
      <c r="P3848" s="2"/>
    </row>
    <row r="3849" spans="4:16" x14ac:dyDescent="0.25">
      <c r="D3849" s="2"/>
      <c r="E3849" s="310"/>
      <c r="G3849" s="2"/>
      <c r="H3849" s="310"/>
      <c r="I3849" s="2"/>
      <c r="O3849" s="2"/>
      <c r="P3849" s="2"/>
    </row>
    <row r="3850" spans="4:16" x14ac:dyDescent="0.25">
      <c r="D3850" s="2"/>
      <c r="E3850" s="310"/>
      <c r="G3850" s="2"/>
      <c r="H3850" s="310"/>
      <c r="I3850" s="2"/>
      <c r="O3850" s="2"/>
      <c r="P3850" s="2"/>
    </row>
    <row r="3851" spans="4:16" x14ac:dyDescent="0.25">
      <c r="D3851" s="2"/>
      <c r="E3851" s="310"/>
      <c r="G3851" s="2"/>
      <c r="H3851" s="310"/>
      <c r="I3851" s="2"/>
      <c r="O3851" s="2"/>
      <c r="P3851" s="2"/>
    </row>
    <row r="3852" spans="4:16" x14ac:dyDescent="0.25">
      <c r="D3852" s="2"/>
      <c r="E3852" s="310"/>
      <c r="G3852" s="2"/>
      <c r="H3852" s="310"/>
      <c r="I3852" s="2"/>
      <c r="O3852" s="2"/>
      <c r="P3852" s="2"/>
    </row>
    <row r="3853" spans="4:16" x14ac:dyDescent="0.25">
      <c r="D3853" s="2"/>
      <c r="E3853" s="310"/>
      <c r="G3853" s="2"/>
      <c r="H3853" s="310"/>
      <c r="I3853" s="2"/>
      <c r="O3853" s="2"/>
      <c r="P3853" s="2"/>
    </row>
    <row r="3854" spans="4:16" x14ac:dyDescent="0.25">
      <c r="D3854" s="2"/>
      <c r="E3854" s="310"/>
      <c r="G3854" s="2"/>
      <c r="H3854" s="310"/>
      <c r="I3854" s="2"/>
      <c r="O3854" s="2"/>
      <c r="P3854" s="2"/>
    </row>
    <row r="3855" spans="4:16" x14ac:dyDescent="0.25">
      <c r="D3855" s="2"/>
      <c r="E3855" s="310"/>
      <c r="G3855" s="2"/>
      <c r="H3855" s="310"/>
      <c r="I3855" s="2"/>
      <c r="O3855" s="2"/>
      <c r="P3855" s="2"/>
    </row>
    <row r="3856" spans="4:16" x14ac:dyDescent="0.25">
      <c r="D3856" s="2"/>
      <c r="E3856" s="310"/>
      <c r="G3856" s="2"/>
      <c r="H3856" s="310"/>
      <c r="I3856" s="2"/>
      <c r="O3856" s="2"/>
      <c r="P3856" s="2"/>
    </row>
    <row r="3857" spans="4:16" x14ac:dyDescent="0.25">
      <c r="D3857" s="2"/>
      <c r="E3857" s="310"/>
      <c r="G3857" s="2"/>
      <c r="H3857" s="310"/>
      <c r="I3857" s="2"/>
      <c r="O3857" s="2"/>
      <c r="P3857" s="2"/>
    </row>
    <row r="3858" spans="4:16" x14ac:dyDescent="0.25">
      <c r="D3858" s="2"/>
      <c r="E3858" s="310"/>
      <c r="G3858" s="2"/>
      <c r="H3858" s="310"/>
      <c r="I3858" s="2"/>
      <c r="O3858" s="2"/>
      <c r="P3858" s="2"/>
    </row>
    <row r="3859" spans="4:16" x14ac:dyDescent="0.25">
      <c r="D3859" s="2"/>
      <c r="E3859" s="310"/>
      <c r="G3859" s="2"/>
      <c r="H3859" s="310"/>
      <c r="I3859" s="2"/>
      <c r="O3859" s="2"/>
      <c r="P3859" s="2"/>
    </row>
    <row r="3860" spans="4:16" x14ac:dyDescent="0.25">
      <c r="D3860" s="2"/>
      <c r="E3860" s="310"/>
      <c r="G3860" s="2"/>
      <c r="H3860" s="310"/>
      <c r="I3860" s="2"/>
      <c r="O3860" s="2"/>
      <c r="P3860" s="2"/>
    </row>
    <row r="3861" spans="4:16" x14ac:dyDescent="0.25">
      <c r="D3861" s="2"/>
      <c r="E3861" s="310"/>
      <c r="G3861" s="2"/>
      <c r="H3861" s="310"/>
      <c r="I3861" s="2"/>
      <c r="O3861" s="2"/>
      <c r="P3861" s="2"/>
    </row>
    <row r="3862" spans="4:16" x14ac:dyDescent="0.25">
      <c r="D3862" s="2"/>
      <c r="E3862" s="310"/>
      <c r="G3862" s="2"/>
      <c r="H3862" s="310"/>
      <c r="I3862" s="2"/>
      <c r="O3862" s="2"/>
      <c r="P3862" s="2"/>
    </row>
    <row r="3863" spans="4:16" x14ac:dyDescent="0.25">
      <c r="D3863" s="2"/>
      <c r="E3863" s="310"/>
      <c r="G3863" s="2"/>
      <c r="H3863" s="310"/>
      <c r="I3863" s="2"/>
      <c r="O3863" s="2"/>
      <c r="P3863" s="2"/>
    </row>
    <row r="3864" spans="4:16" x14ac:dyDescent="0.25">
      <c r="D3864" s="2"/>
      <c r="E3864" s="310"/>
      <c r="G3864" s="2"/>
      <c r="H3864" s="310"/>
      <c r="I3864" s="2"/>
      <c r="O3864" s="2"/>
      <c r="P3864" s="2"/>
    </row>
    <row r="3865" spans="4:16" x14ac:dyDescent="0.25">
      <c r="D3865" s="2"/>
      <c r="E3865" s="310"/>
      <c r="G3865" s="2"/>
      <c r="H3865" s="310"/>
      <c r="I3865" s="2"/>
      <c r="O3865" s="2"/>
      <c r="P3865" s="2"/>
    </row>
    <row r="3866" spans="4:16" x14ac:dyDescent="0.25">
      <c r="D3866" s="2"/>
      <c r="E3866" s="310"/>
      <c r="G3866" s="2"/>
      <c r="H3866" s="310"/>
      <c r="I3866" s="2"/>
      <c r="O3866" s="2"/>
      <c r="P3866" s="2"/>
    </row>
    <row r="3867" spans="4:16" x14ac:dyDescent="0.25">
      <c r="D3867" s="2"/>
      <c r="E3867" s="310"/>
      <c r="G3867" s="2"/>
      <c r="H3867" s="310"/>
      <c r="I3867" s="2"/>
      <c r="O3867" s="2"/>
      <c r="P3867" s="2"/>
    </row>
    <row r="3868" spans="4:16" x14ac:dyDescent="0.25">
      <c r="D3868" s="2"/>
      <c r="E3868" s="310"/>
      <c r="G3868" s="2"/>
      <c r="H3868" s="310"/>
      <c r="I3868" s="2"/>
      <c r="O3868" s="2"/>
      <c r="P3868" s="2"/>
    </row>
    <row r="3869" spans="4:16" x14ac:dyDescent="0.25">
      <c r="D3869" s="2"/>
      <c r="E3869" s="310"/>
      <c r="G3869" s="2"/>
      <c r="H3869" s="310"/>
      <c r="I3869" s="2"/>
      <c r="O3869" s="2"/>
      <c r="P3869" s="2"/>
    </row>
    <row r="3870" spans="4:16" x14ac:dyDescent="0.25">
      <c r="D3870" s="2"/>
      <c r="E3870" s="310"/>
      <c r="G3870" s="2"/>
      <c r="H3870" s="310"/>
      <c r="I3870" s="2"/>
      <c r="O3870" s="2"/>
      <c r="P3870" s="2"/>
    </row>
    <row r="3871" spans="4:16" x14ac:dyDescent="0.25">
      <c r="D3871" s="2"/>
      <c r="E3871" s="310"/>
      <c r="G3871" s="2"/>
      <c r="H3871" s="310"/>
      <c r="I3871" s="2"/>
      <c r="O3871" s="2"/>
      <c r="P3871" s="2"/>
    </row>
    <row r="3872" spans="4:16" x14ac:dyDescent="0.25">
      <c r="D3872" s="2"/>
      <c r="E3872" s="310"/>
      <c r="G3872" s="2"/>
      <c r="H3872" s="310"/>
      <c r="I3872" s="2"/>
      <c r="O3872" s="2"/>
      <c r="P3872" s="2"/>
    </row>
    <row r="3873" spans="4:16" x14ac:dyDescent="0.25">
      <c r="D3873" s="2"/>
      <c r="E3873" s="310"/>
      <c r="G3873" s="2"/>
      <c r="H3873" s="310"/>
      <c r="I3873" s="2"/>
      <c r="O3873" s="2"/>
      <c r="P3873" s="2"/>
    </row>
    <row r="3874" spans="4:16" x14ac:dyDescent="0.25">
      <c r="D3874" s="2"/>
      <c r="E3874" s="310"/>
      <c r="G3874" s="2"/>
      <c r="H3874" s="310"/>
      <c r="I3874" s="2"/>
      <c r="O3874" s="2"/>
      <c r="P3874" s="2"/>
    </row>
    <row r="3875" spans="4:16" x14ac:dyDescent="0.25">
      <c r="D3875" s="2"/>
      <c r="E3875" s="310"/>
      <c r="G3875" s="2"/>
      <c r="H3875" s="310"/>
      <c r="I3875" s="2"/>
      <c r="O3875" s="2"/>
      <c r="P3875" s="2"/>
    </row>
    <row r="3876" spans="4:16" x14ac:dyDescent="0.25">
      <c r="D3876" s="2"/>
      <c r="E3876" s="310"/>
      <c r="G3876" s="2"/>
      <c r="H3876" s="310"/>
      <c r="I3876" s="2"/>
      <c r="O3876" s="2"/>
      <c r="P3876" s="2"/>
    </row>
    <row r="3877" spans="4:16" x14ac:dyDescent="0.25">
      <c r="D3877" s="2"/>
      <c r="E3877" s="310"/>
      <c r="G3877" s="2"/>
      <c r="H3877" s="310"/>
      <c r="I3877" s="2"/>
      <c r="O3877" s="2"/>
      <c r="P3877" s="2"/>
    </row>
    <row r="3878" spans="4:16" x14ac:dyDescent="0.25">
      <c r="D3878" s="2"/>
      <c r="E3878" s="310"/>
      <c r="G3878" s="2"/>
      <c r="H3878" s="310"/>
      <c r="I3878" s="2"/>
      <c r="O3878" s="2"/>
      <c r="P3878" s="2"/>
    </row>
    <row r="3879" spans="4:16" x14ac:dyDescent="0.25">
      <c r="D3879" s="2"/>
      <c r="E3879" s="310"/>
      <c r="G3879" s="2"/>
      <c r="H3879" s="310"/>
      <c r="I3879" s="2"/>
      <c r="O3879" s="2"/>
      <c r="P3879" s="2"/>
    </row>
    <row r="3880" spans="4:16" x14ac:dyDescent="0.25">
      <c r="D3880" s="2"/>
      <c r="E3880" s="310"/>
      <c r="G3880" s="2"/>
      <c r="H3880" s="310"/>
      <c r="I3880" s="2"/>
      <c r="O3880" s="2"/>
      <c r="P3880" s="2"/>
    </row>
    <row r="3881" spans="4:16" x14ac:dyDescent="0.25">
      <c r="D3881" s="2"/>
      <c r="E3881" s="310"/>
      <c r="G3881" s="2"/>
      <c r="H3881" s="310"/>
      <c r="I3881" s="2"/>
      <c r="O3881" s="2"/>
      <c r="P3881" s="2"/>
    </row>
    <row r="3889" spans="4:16" x14ac:dyDescent="0.25">
      <c r="D3889" s="2"/>
      <c r="E3889" s="310"/>
      <c r="G3889" s="2"/>
      <c r="H3889" s="310"/>
      <c r="I3889" s="2"/>
      <c r="O3889" s="2"/>
      <c r="P3889" s="2"/>
    </row>
    <row r="3890" spans="4:16" x14ac:dyDescent="0.25">
      <c r="D3890" s="2"/>
      <c r="E3890" s="310"/>
      <c r="G3890" s="2"/>
      <c r="H3890" s="310"/>
      <c r="I3890" s="2"/>
      <c r="O3890" s="2"/>
      <c r="P3890" s="2"/>
    </row>
    <row r="3891" spans="4:16" x14ac:dyDescent="0.25">
      <c r="D3891" s="2"/>
      <c r="E3891" s="310"/>
      <c r="G3891" s="2"/>
      <c r="H3891" s="310"/>
      <c r="I3891" s="2"/>
      <c r="O3891" s="2"/>
      <c r="P3891" s="2"/>
    </row>
    <row r="3892" spans="4:16" x14ac:dyDescent="0.25">
      <c r="D3892" s="2"/>
      <c r="E3892" s="310"/>
      <c r="G3892" s="2"/>
      <c r="H3892" s="310"/>
      <c r="I3892" s="2"/>
      <c r="O3892" s="2"/>
      <c r="P3892" s="2"/>
    </row>
    <row r="3893" spans="4:16" x14ac:dyDescent="0.25">
      <c r="D3893" s="2"/>
      <c r="E3893" s="310"/>
      <c r="G3893" s="2"/>
      <c r="H3893" s="310"/>
      <c r="I3893" s="2"/>
      <c r="O3893" s="2"/>
      <c r="P3893" s="2"/>
    </row>
    <row r="3894" spans="4:16" x14ac:dyDescent="0.25">
      <c r="D3894" s="2"/>
      <c r="E3894" s="310"/>
      <c r="G3894" s="2"/>
      <c r="H3894" s="310"/>
      <c r="I3894" s="2"/>
      <c r="O3894" s="2"/>
      <c r="P3894" s="2"/>
    </row>
    <row r="3895" spans="4:16" x14ac:dyDescent="0.25">
      <c r="D3895" s="2"/>
      <c r="E3895" s="310"/>
      <c r="G3895" s="2"/>
      <c r="H3895" s="310"/>
      <c r="I3895" s="2"/>
      <c r="O3895" s="2"/>
      <c r="P3895" s="2"/>
    </row>
    <row r="3896" spans="4:16" x14ac:dyDescent="0.25">
      <c r="D3896" s="2"/>
      <c r="E3896" s="310"/>
      <c r="G3896" s="2"/>
      <c r="H3896" s="310"/>
      <c r="I3896" s="2"/>
      <c r="O3896" s="2"/>
      <c r="P3896" s="2"/>
    </row>
    <row r="3897" spans="4:16" x14ac:dyDescent="0.25">
      <c r="D3897" s="2"/>
      <c r="E3897" s="310"/>
      <c r="G3897" s="2"/>
      <c r="H3897" s="310"/>
      <c r="I3897" s="2"/>
      <c r="O3897" s="2"/>
      <c r="P3897" s="2"/>
    </row>
    <row r="3898" spans="4:16" x14ac:dyDescent="0.25">
      <c r="D3898" s="2"/>
      <c r="E3898" s="310"/>
      <c r="G3898" s="2"/>
      <c r="H3898" s="310"/>
      <c r="I3898" s="2"/>
      <c r="O3898" s="2"/>
      <c r="P3898" s="2"/>
    </row>
    <row r="3899" spans="4:16" x14ac:dyDescent="0.25">
      <c r="D3899" s="2"/>
      <c r="E3899" s="310"/>
      <c r="G3899" s="2"/>
      <c r="H3899" s="310"/>
      <c r="I3899" s="2"/>
      <c r="O3899" s="2"/>
      <c r="P3899" s="2"/>
    </row>
    <row r="3900" spans="4:16" x14ac:dyDescent="0.25">
      <c r="D3900" s="2"/>
      <c r="E3900" s="310"/>
      <c r="G3900" s="2"/>
      <c r="H3900" s="310"/>
      <c r="I3900" s="2"/>
      <c r="O3900" s="2"/>
      <c r="P3900" s="2"/>
    </row>
    <row r="3901" spans="4:16" x14ac:dyDescent="0.25">
      <c r="D3901" s="2"/>
      <c r="E3901" s="310"/>
      <c r="G3901" s="2"/>
      <c r="H3901" s="310"/>
      <c r="I3901" s="2"/>
      <c r="O3901" s="2"/>
      <c r="P3901" s="2"/>
    </row>
    <row r="3902" spans="4:16" x14ac:dyDescent="0.25">
      <c r="D3902" s="2"/>
      <c r="E3902" s="310"/>
      <c r="G3902" s="2"/>
      <c r="H3902" s="310"/>
      <c r="I3902" s="2"/>
      <c r="O3902" s="2"/>
      <c r="P3902" s="2"/>
    </row>
    <row r="3903" spans="4:16" x14ac:dyDescent="0.25">
      <c r="D3903" s="2"/>
      <c r="E3903" s="310"/>
      <c r="G3903" s="2"/>
      <c r="H3903" s="310"/>
      <c r="I3903" s="2"/>
      <c r="O3903" s="2"/>
      <c r="P3903" s="2"/>
    </row>
    <row r="3904" spans="4:16" x14ac:dyDescent="0.25">
      <c r="D3904" s="2"/>
      <c r="E3904" s="310"/>
      <c r="G3904" s="2"/>
      <c r="H3904" s="310"/>
      <c r="I3904" s="2"/>
      <c r="O3904" s="2"/>
      <c r="P3904" s="2"/>
    </row>
    <row r="3905" spans="4:16" x14ac:dyDescent="0.25">
      <c r="D3905" s="2"/>
      <c r="E3905" s="310"/>
      <c r="G3905" s="2"/>
      <c r="H3905" s="310"/>
      <c r="I3905" s="2"/>
      <c r="O3905" s="2"/>
      <c r="P3905" s="2"/>
    </row>
    <row r="3906" spans="4:16" x14ac:dyDescent="0.25">
      <c r="D3906" s="2"/>
      <c r="E3906" s="310"/>
      <c r="G3906" s="2"/>
      <c r="H3906" s="310"/>
      <c r="I3906" s="2"/>
      <c r="O3906" s="2"/>
      <c r="P3906" s="2"/>
    </row>
    <row r="3907" spans="4:16" x14ac:dyDescent="0.25">
      <c r="D3907" s="2"/>
      <c r="E3907" s="310"/>
      <c r="G3907" s="2"/>
      <c r="H3907" s="310"/>
      <c r="I3907" s="2"/>
      <c r="O3907" s="2"/>
      <c r="P3907" s="2"/>
    </row>
    <row r="3908" spans="4:16" x14ac:dyDescent="0.25">
      <c r="D3908" s="2"/>
      <c r="E3908" s="310"/>
      <c r="G3908" s="2"/>
      <c r="H3908" s="310"/>
      <c r="I3908" s="2"/>
      <c r="O3908" s="2"/>
      <c r="P3908" s="2"/>
    </row>
    <row r="3909" spans="4:16" x14ac:dyDescent="0.25">
      <c r="D3909" s="2"/>
      <c r="E3909" s="310"/>
      <c r="G3909" s="2"/>
      <c r="H3909" s="310"/>
      <c r="I3909" s="2"/>
      <c r="O3909" s="2"/>
      <c r="P3909" s="2"/>
    </row>
    <row r="3910" spans="4:16" x14ac:dyDescent="0.25">
      <c r="D3910" s="2"/>
      <c r="E3910" s="310"/>
      <c r="G3910" s="2"/>
      <c r="H3910" s="310"/>
      <c r="I3910" s="2"/>
      <c r="O3910" s="2"/>
      <c r="P3910" s="2"/>
    </row>
    <row r="3911" spans="4:16" x14ac:dyDescent="0.25">
      <c r="D3911" s="2"/>
      <c r="E3911" s="310"/>
      <c r="G3911" s="2"/>
      <c r="H3911" s="310"/>
      <c r="I3911" s="2"/>
      <c r="O3911" s="2"/>
      <c r="P3911" s="2"/>
    </row>
    <row r="3912" spans="4:16" x14ac:dyDescent="0.25">
      <c r="D3912" s="2"/>
      <c r="E3912" s="310"/>
      <c r="G3912" s="2"/>
      <c r="H3912" s="310"/>
      <c r="I3912" s="2"/>
      <c r="O3912" s="2"/>
      <c r="P3912" s="2"/>
    </row>
    <row r="3913" spans="4:16" x14ac:dyDescent="0.25">
      <c r="D3913" s="2"/>
      <c r="E3913" s="310"/>
      <c r="G3913" s="2"/>
      <c r="H3913" s="310"/>
      <c r="I3913" s="2"/>
      <c r="O3913" s="2"/>
      <c r="P3913" s="2"/>
    </row>
    <row r="3914" spans="4:16" x14ac:dyDescent="0.25">
      <c r="D3914" s="2"/>
      <c r="E3914" s="310"/>
      <c r="G3914" s="2"/>
      <c r="H3914" s="310"/>
      <c r="I3914" s="2"/>
      <c r="O3914" s="2"/>
      <c r="P3914" s="2"/>
    </row>
    <row r="3915" spans="4:16" x14ac:dyDescent="0.25">
      <c r="D3915" s="2"/>
      <c r="E3915" s="310"/>
      <c r="G3915" s="2"/>
      <c r="H3915" s="310"/>
      <c r="I3915" s="2"/>
      <c r="O3915" s="2"/>
      <c r="P3915" s="2"/>
    </row>
    <row r="3916" spans="4:16" x14ac:dyDescent="0.25">
      <c r="D3916" s="2"/>
      <c r="E3916" s="310"/>
      <c r="G3916" s="2"/>
      <c r="H3916" s="310"/>
      <c r="I3916" s="2"/>
      <c r="O3916" s="2"/>
      <c r="P3916" s="2"/>
    </row>
    <row r="3917" spans="4:16" x14ac:dyDescent="0.25">
      <c r="D3917" s="2"/>
      <c r="E3917" s="310"/>
      <c r="G3917" s="2"/>
      <c r="H3917" s="310"/>
      <c r="I3917" s="2"/>
      <c r="O3917" s="2"/>
      <c r="P3917" s="2"/>
    </row>
    <row r="3918" spans="4:16" x14ac:dyDescent="0.25">
      <c r="D3918" s="2"/>
      <c r="E3918" s="310"/>
      <c r="G3918" s="2"/>
      <c r="H3918" s="310"/>
      <c r="I3918" s="2"/>
      <c r="O3918" s="2"/>
      <c r="P3918" s="2"/>
    </row>
    <row r="3919" spans="4:16" x14ac:dyDescent="0.25">
      <c r="D3919" s="2"/>
      <c r="E3919" s="310"/>
      <c r="G3919" s="2"/>
      <c r="H3919" s="310"/>
      <c r="I3919" s="2"/>
      <c r="O3919" s="2"/>
      <c r="P3919" s="2"/>
    </row>
    <row r="3920" spans="4:16" x14ac:dyDescent="0.25">
      <c r="D3920" s="2"/>
      <c r="E3920" s="310"/>
      <c r="G3920" s="2"/>
      <c r="H3920" s="310"/>
      <c r="I3920" s="2"/>
      <c r="O3920" s="2"/>
      <c r="P3920" s="2"/>
    </row>
    <row r="3921" spans="4:16" x14ac:dyDescent="0.25">
      <c r="D3921" s="2"/>
      <c r="E3921" s="310"/>
      <c r="G3921" s="2"/>
      <c r="H3921" s="310"/>
      <c r="I3921" s="2"/>
      <c r="O3921" s="2"/>
      <c r="P3921" s="2"/>
    </row>
    <row r="3922" spans="4:16" x14ac:dyDescent="0.25">
      <c r="D3922" s="2"/>
      <c r="E3922" s="310"/>
      <c r="G3922" s="2"/>
      <c r="H3922" s="310"/>
      <c r="I3922" s="2"/>
      <c r="O3922" s="2"/>
      <c r="P3922" s="2"/>
    </row>
    <row r="3923" spans="4:16" x14ac:dyDescent="0.25">
      <c r="D3923" s="2"/>
      <c r="E3923" s="310"/>
      <c r="G3923" s="2"/>
      <c r="H3923" s="310"/>
      <c r="I3923" s="2"/>
      <c r="O3923" s="2"/>
      <c r="P3923" s="2"/>
    </row>
    <row r="3924" spans="4:16" x14ac:dyDescent="0.25">
      <c r="D3924" s="2"/>
      <c r="E3924" s="310"/>
      <c r="G3924" s="2"/>
      <c r="H3924" s="310"/>
      <c r="I3924" s="2"/>
      <c r="O3924" s="2"/>
      <c r="P3924" s="2"/>
    </row>
    <row r="3925" spans="4:16" x14ac:dyDescent="0.25">
      <c r="D3925" s="2"/>
      <c r="E3925" s="310"/>
      <c r="G3925" s="2"/>
      <c r="H3925" s="310"/>
      <c r="I3925" s="2"/>
      <c r="O3925" s="2"/>
      <c r="P3925" s="2"/>
    </row>
    <row r="3926" spans="4:16" x14ac:dyDescent="0.25">
      <c r="D3926" s="2"/>
      <c r="E3926" s="310"/>
      <c r="G3926" s="2"/>
      <c r="H3926" s="310"/>
      <c r="I3926" s="2"/>
      <c r="O3926" s="2"/>
      <c r="P3926" s="2"/>
    </row>
    <row r="3927" spans="4:16" x14ac:dyDescent="0.25">
      <c r="D3927" s="2"/>
      <c r="E3927" s="310"/>
      <c r="G3927" s="2"/>
      <c r="H3927" s="310"/>
      <c r="I3927" s="2"/>
      <c r="O3927" s="2"/>
      <c r="P3927" s="2"/>
    </row>
    <row r="3928" spans="4:16" x14ac:dyDescent="0.25">
      <c r="D3928" s="2"/>
      <c r="E3928" s="310"/>
      <c r="G3928" s="2"/>
      <c r="H3928" s="310"/>
      <c r="I3928" s="2"/>
      <c r="O3928" s="2"/>
      <c r="P3928" s="2"/>
    </row>
    <row r="3929" spans="4:16" x14ac:dyDescent="0.25">
      <c r="D3929" s="2"/>
      <c r="E3929" s="310"/>
      <c r="G3929" s="2"/>
      <c r="H3929" s="310"/>
      <c r="I3929" s="2"/>
      <c r="O3929" s="2"/>
      <c r="P3929" s="2"/>
    </row>
    <row r="3930" spans="4:16" x14ac:dyDescent="0.25">
      <c r="D3930" s="2"/>
      <c r="E3930" s="310"/>
      <c r="G3930" s="2"/>
      <c r="H3930" s="310"/>
      <c r="I3930" s="2"/>
      <c r="O3930" s="2"/>
      <c r="P3930" s="2"/>
    </row>
    <row r="3931" spans="4:16" x14ac:dyDescent="0.25">
      <c r="D3931" s="2"/>
      <c r="E3931" s="310"/>
      <c r="G3931" s="2"/>
      <c r="H3931" s="310"/>
      <c r="I3931" s="2"/>
      <c r="O3931" s="2"/>
      <c r="P3931" s="2"/>
    </row>
    <row r="3932" spans="4:16" x14ac:dyDescent="0.25">
      <c r="D3932" s="2"/>
      <c r="E3932" s="310"/>
      <c r="G3932" s="2"/>
      <c r="H3932" s="310"/>
      <c r="I3932" s="2"/>
      <c r="O3932" s="2"/>
      <c r="P3932" s="2"/>
    </row>
    <row r="3933" spans="4:16" x14ac:dyDescent="0.25">
      <c r="D3933" s="2"/>
      <c r="E3933" s="310"/>
      <c r="G3933" s="2"/>
      <c r="H3933" s="310"/>
      <c r="I3933" s="2"/>
      <c r="O3933" s="2"/>
      <c r="P3933" s="2"/>
    </row>
    <row r="3934" spans="4:16" x14ac:dyDescent="0.25">
      <c r="D3934" s="2"/>
      <c r="E3934" s="310"/>
      <c r="G3934" s="2"/>
      <c r="H3934" s="310"/>
      <c r="I3934" s="2"/>
      <c r="O3934" s="2"/>
      <c r="P3934" s="2"/>
    </row>
    <row r="3935" spans="4:16" x14ac:dyDescent="0.25">
      <c r="D3935" s="2"/>
      <c r="E3935" s="310"/>
      <c r="G3935" s="2"/>
      <c r="H3935" s="310"/>
      <c r="I3935" s="2"/>
      <c r="O3935" s="2"/>
      <c r="P3935" s="2"/>
    </row>
    <row r="3936" spans="4:16" x14ac:dyDescent="0.25">
      <c r="D3936" s="2"/>
      <c r="E3936" s="310"/>
      <c r="G3936" s="2"/>
      <c r="H3936" s="310"/>
      <c r="I3936" s="2"/>
      <c r="O3936" s="2"/>
      <c r="P3936" s="2"/>
    </row>
    <row r="3937" spans="4:16" x14ac:dyDescent="0.25">
      <c r="D3937" s="2"/>
      <c r="E3937" s="310"/>
      <c r="G3937" s="2"/>
      <c r="H3937" s="310"/>
      <c r="I3937" s="2"/>
      <c r="O3937" s="2"/>
      <c r="P3937" s="2"/>
    </row>
    <row r="3938" spans="4:16" x14ac:dyDescent="0.25">
      <c r="D3938" s="2"/>
      <c r="E3938" s="310"/>
      <c r="G3938" s="2"/>
      <c r="H3938" s="310"/>
      <c r="I3938" s="2"/>
      <c r="O3938" s="2"/>
      <c r="P3938" s="2"/>
    </row>
    <row r="3939" spans="4:16" x14ac:dyDescent="0.25">
      <c r="D3939" s="2"/>
      <c r="E3939" s="310"/>
      <c r="G3939" s="2"/>
      <c r="H3939" s="310"/>
      <c r="I3939" s="2"/>
      <c r="O3939" s="2"/>
      <c r="P3939" s="2"/>
    </row>
    <row r="3940" spans="4:16" x14ac:dyDescent="0.25">
      <c r="D3940" s="2"/>
      <c r="E3940" s="310"/>
      <c r="G3940" s="2"/>
      <c r="H3940" s="310"/>
      <c r="I3940" s="2"/>
      <c r="O3940" s="2"/>
      <c r="P3940" s="2"/>
    </row>
    <row r="3941" spans="4:16" x14ac:dyDescent="0.25">
      <c r="D3941" s="2"/>
      <c r="E3941" s="310"/>
      <c r="G3941" s="2"/>
      <c r="H3941" s="310"/>
      <c r="I3941" s="2"/>
      <c r="O3941" s="2"/>
      <c r="P3941" s="2"/>
    </row>
    <row r="3942" spans="4:16" x14ac:dyDescent="0.25">
      <c r="D3942" s="2"/>
      <c r="E3942" s="310"/>
      <c r="G3942" s="2"/>
      <c r="H3942" s="310"/>
      <c r="I3942" s="2"/>
      <c r="O3942" s="2"/>
      <c r="P3942" s="2"/>
    </row>
    <row r="3943" spans="4:16" x14ac:dyDescent="0.25">
      <c r="D3943" s="2"/>
      <c r="E3943" s="310"/>
      <c r="G3943" s="2"/>
      <c r="H3943" s="310"/>
      <c r="I3943" s="2"/>
      <c r="O3943" s="2"/>
      <c r="P3943" s="2"/>
    </row>
    <row r="3944" spans="4:16" x14ac:dyDescent="0.25">
      <c r="D3944" s="2"/>
      <c r="E3944" s="310"/>
      <c r="G3944" s="2"/>
      <c r="H3944" s="310"/>
      <c r="I3944" s="2"/>
      <c r="O3944" s="2"/>
      <c r="P3944" s="2"/>
    </row>
    <row r="3945" spans="4:16" x14ac:dyDescent="0.25">
      <c r="D3945" s="2"/>
      <c r="E3945" s="310"/>
      <c r="G3945" s="2"/>
      <c r="H3945" s="310"/>
      <c r="I3945" s="2"/>
      <c r="O3945" s="2"/>
      <c r="P3945" s="2"/>
    </row>
    <row r="3946" spans="4:16" x14ac:dyDescent="0.25">
      <c r="D3946" s="2"/>
      <c r="E3946" s="310"/>
      <c r="G3946" s="2"/>
      <c r="H3946" s="310"/>
      <c r="I3946" s="2"/>
      <c r="O3946" s="2"/>
      <c r="P3946" s="2"/>
    </row>
    <row r="3947" spans="4:16" x14ac:dyDescent="0.25">
      <c r="D3947" s="2"/>
      <c r="E3947" s="310"/>
      <c r="G3947" s="2"/>
      <c r="H3947" s="310"/>
      <c r="I3947" s="2"/>
      <c r="O3947" s="2"/>
      <c r="P3947" s="2"/>
    </row>
    <row r="3948" spans="4:16" x14ac:dyDescent="0.25">
      <c r="D3948" s="2"/>
      <c r="E3948" s="310"/>
      <c r="G3948" s="2"/>
      <c r="H3948" s="310"/>
      <c r="I3948" s="2"/>
      <c r="O3948" s="2"/>
      <c r="P3948" s="2"/>
    </row>
    <row r="3949" spans="4:16" x14ac:dyDescent="0.25">
      <c r="D3949" s="2"/>
      <c r="E3949" s="310"/>
      <c r="G3949" s="2"/>
      <c r="H3949" s="310"/>
      <c r="I3949" s="2"/>
      <c r="O3949" s="2"/>
      <c r="P3949" s="2"/>
    </row>
    <row r="3950" spans="4:16" x14ac:dyDescent="0.25">
      <c r="D3950" s="2"/>
      <c r="E3950" s="310"/>
      <c r="G3950" s="2"/>
      <c r="H3950" s="310"/>
      <c r="I3950" s="2"/>
      <c r="O3950" s="2"/>
      <c r="P3950" s="2"/>
    </row>
    <row r="3951" spans="4:16" x14ac:dyDescent="0.25">
      <c r="D3951" s="2"/>
      <c r="E3951" s="310"/>
      <c r="G3951" s="2"/>
      <c r="H3951" s="310"/>
      <c r="I3951" s="2"/>
      <c r="O3951" s="2"/>
      <c r="P3951" s="2"/>
    </row>
    <row r="3952" spans="4:16" x14ac:dyDescent="0.25">
      <c r="D3952" s="2"/>
      <c r="E3952" s="310"/>
      <c r="G3952" s="2"/>
      <c r="H3952" s="310"/>
      <c r="I3952" s="2"/>
      <c r="O3952" s="2"/>
      <c r="P3952" s="2"/>
    </row>
    <row r="3953" spans="4:16" x14ac:dyDescent="0.25">
      <c r="D3953" s="2"/>
      <c r="E3953" s="310"/>
      <c r="G3953" s="2"/>
      <c r="H3953" s="310"/>
      <c r="I3953" s="2"/>
      <c r="O3953" s="2"/>
      <c r="P3953" s="2"/>
    </row>
    <row r="3954" spans="4:16" x14ac:dyDescent="0.25">
      <c r="D3954" s="2"/>
      <c r="E3954" s="310"/>
      <c r="G3954" s="2"/>
      <c r="H3954" s="310"/>
      <c r="I3954" s="2"/>
      <c r="O3954" s="2"/>
      <c r="P3954" s="2"/>
    </row>
    <row r="3955" spans="4:16" x14ac:dyDescent="0.25">
      <c r="D3955" s="2"/>
      <c r="E3955" s="310"/>
      <c r="G3955" s="2"/>
      <c r="H3955" s="310"/>
      <c r="I3955" s="2"/>
      <c r="O3955" s="2"/>
      <c r="P3955" s="2"/>
    </row>
    <row r="3956" spans="4:16" x14ac:dyDescent="0.25">
      <c r="D3956" s="2"/>
      <c r="E3956" s="310"/>
      <c r="G3956" s="2"/>
      <c r="H3956" s="310"/>
      <c r="I3956" s="2"/>
      <c r="O3956" s="2"/>
      <c r="P3956" s="2"/>
    </row>
    <row r="3957" spans="4:16" x14ac:dyDescent="0.25">
      <c r="D3957" s="2"/>
      <c r="E3957" s="310"/>
      <c r="G3957" s="2"/>
      <c r="H3957" s="310"/>
      <c r="I3957" s="2"/>
      <c r="O3957" s="2"/>
      <c r="P3957" s="2"/>
    </row>
    <row r="3958" spans="4:16" x14ac:dyDescent="0.25">
      <c r="D3958" s="2"/>
      <c r="E3958" s="310"/>
      <c r="G3958" s="2"/>
      <c r="H3958" s="310"/>
      <c r="I3958" s="2"/>
      <c r="O3958" s="2"/>
      <c r="P3958" s="2"/>
    </row>
    <row r="3959" spans="4:16" x14ac:dyDescent="0.25">
      <c r="D3959" s="2"/>
      <c r="E3959" s="310"/>
      <c r="G3959" s="2"/>
      <c r="H3959" s="310"/>
      <c r="I3959" s="2"/>
      <c r="O3959" s="2"/>
      <c r="P3959" s="2"/>
    </row>
    <row r="3960" spans="4:16" x14ac:dyDescent="0.25">
      <c r="D3960" s="2"/>
      <c r="E3960" s="310"/>
      <c r="G3960" s="2"/>
      <c r="H3960" s="310"/>
      <c r="I3960" s="2"/>
      <c r="O3960" s="2"/>
      <c r="P3960" s="2"/>
    </row>
    <row r="3961" spans="4:16" x14ac:dyDescent="0.25">
      <c r="D3961" s="2"/>
      <c r="E3961" s="310"/>
      <c r="G3961" s="2"/>
      <c r="H3961" s="310"/>
      <c r="I3961" s="2"/>
      <c r="O3961" s="2"/>
      <c r="P3961" s="2"/>
    </row>
    <row r="3962" spans="4:16" x14ac:dyDescent="0.25">
      <c r="D3962" s="2"/>
      <c r="E3962" s="310"/>
      <c r="G3962" s="2"/>
      <c r="H3962" s="310"/>
      <c r="I3962" s="2"/>
      <c r="O3962" s="2"/>
      <c r="P3962" s="2"/>
    </row>
    <row r="3963" spans="4:16" x14ac:dyDescent="0.25">
      <c r="D3963" s="2"/>
      <c r="E3963" s="310"/>
      <c r="G3963" s="2"/>
      <c r="H3963" s="310"/>
      <c r="I3963" s="2"/>
      <c r="O3963" s="2"/>
      <c r="P3963" s="2"/>
    </row>
    <row r="3964" spans="4:16" x14ac:dyDescent="0.25">
      <c r="D3964" s="2"/>
      <c r="E3964" s="310"/>
      <c r="G3964" s="2"/>
      <c r="H3964" s="310"/>
      <c r="I3964" s="2"/>
      <c r="O3964" s="2"/>
      <c r="P3964" s="2"/>
    </row>
    <row r="3965" spans="4:16" x14ac:dyDescent="0.25">
      <c r="D3965" s="2"/>
      <c r="E3965" s="310"/>
      <c r="G3965" s="2"/>
      <c r="H3965" s="310"/>
      <c r="I3965" s="2"/>
      <c r="O3965" s="2"/>
      <c r="P3965" s="2"/>
    </row>
    <row r="3966" spans="4:16" x14ac:dyDescent="0.25">
      <c r="D3966" s="2"/>
      <c r="E3966" s="310"/>
      <c r="G3966" s="2"/>
      <c r="H3966" s="310"/>
      <c r="I3966" s="2"/>
      <c r="O3966" s="2"/>
      <c r="P3966" s="2"/>
    </row>
    <row r="3967" spans="4:16" x14ac:dyDescent="0.25">
      <c r="D3967" s="2"/>
      <c r="E3967" s="310"/>
      <c r="G3967" s="2"/>
      <c r="H3967" s="310"/>
      <c r="I3967" s="2"/>
      <c r="O3967" s="2"/>
      <c r="P3967" s="2"/>
    </row>
    <row r="3968" spans="4:16" x14ac:dyDescent="0.25">
      <c r="D3968" s="2"/>
      <c r="E3968" s="310"/>
      <c r="G3968" s="2"/>
      <c r="H3968" s="310"/>
      <c r="I3968" s="2"/>
      <c r="O3968" s="2"/>
      <c r="P3968" s="2"/>
    </row>
    <row r="3969" spans="4:16" x14ac:dyDescent="0.25">
      <c r="D3969" s="2"/>
      <c r="E3969" s="310"/>
      <c r="G3969" s="2"/>
      <c r="H3969" s="310"/>
      <c r="I3969" s="2"/>
      <c r="O3969" s="2"/>
      <c r="P3969" s="2"/>
    </row>
    <row r="3970" spans="4:16" x14ac:dyDescent="0.25">
      <c r="D3970" s="2"/>
      <c r="E3970" s="310"/>
      <c r="G3970" s="2"/>
      <c r="H3970" s="310"/>
      <c r="I3970" s="2"/>
      <c r="O3970" s="2"/>
      <c r="P3970" s="2"/>
    </row>
    <row r="3971" spans="4:16" x14ac:dyDescent="0.25">
      <c r="D3971" s="2"/>
      <c r="E3971" s="310"/>
      <c r="G3971" s="2"/>
      <c r="H3971" s="310"/>
      <c r="I3971" s="2"/>
      <c r="O3971" s="2"/>
      <c r="P3971" s="2"/>
    </row>
    <row r="3972" spans="4:16" x14ac:dyDescent="0.25">
      <c r="D3972" s="2"/>
      <c r="E3972" s="310"/>
      <c r="G3972" s="2"/>
      <c r="H3972" s="310"/>
      <c r="I3972" s="2"/>
      <c r="O3972" s="2"/>
      <c r="P3972" s="2"/>
    </row>
    <row r="3973" spans="4:16" x14ac:dyDescent="0.25">
      <c r="D3973" s="2"/>
      <c r="E3973" s="310"/>
      <c r="G3973" s="2"/>
      <c r="H3973" s="310"/>
      <c r="I3973" s="2"/>
      <c r="O3973" s="2"/>
      <c r="P3973" s="2"/>
    </row>
    <row r="3974" spans="4:16" x14ac:dyDescent="0.25">
      <c r="D3974" s="2"/>
      <c r="E3974" s="310"/>
      <c r="G3974" s="2"/>
      <c r="H3974" s="310"/>
      <c r="I3974" s="2"/>
      <c r="O3974" s="2"/>
      <c r="P3974" s="2"/>
    </row>
    <row r="3975" spans="4:16" x14ac:dyDescent="0.25">
      <c r="D3975" s="2"/>
      <c r="E3975" s="310"/>
      <c r="G3975" s="2"/>
      <c r="H3975" s="310"/>
      <c r="I3975" s="2"/>
      <c r="O3975" s="2"/>
      <c r="P3975" s="2"/>
    </row>
    <row r="3976" spans="4:16" x14ac:dyDescent="0.25">
      <c r="D3976" s="2"/>
      <c r="E3976" s="310"/>
      <c r="G3976" s="2"/>
      <c r="H3976" s="310"/>
      <c r="I3976" s="2"/>
      <c r="O3976" s="2"/>
      <c r="P3976" s="2"/>
    </row>
    <row r="3977" spans="4:16" x14ac:dyDescent="0.25">
      <c r="D3977" s="2"/>
      <c r="E3977" s="310"/>
      <c r="G3977" s="2"/>
      <c r="H3977" s="310"/>
      <c r="I3977" s="2"/>
      <c r="O3977" s="2"/>
      <c r="P3977" s="2"/>
    </row>
    <row r="3978" spans="4:16" x14ac:dyDescent="0.25">
      <c r="D3978" s="2"/>
      <c r="E3978" s="310"/>
      <c r="G3978" s="2"/>
      <c r="H3978" s="310"/>
      <c r="I3978" s="2"/>
      <c r="O3978" s="2"/>
      <c r="P3978" s="2"/>
    </row>
    <row r="3979" spans="4:16" x14ac:dyDescent="0.25">
      <c r="D3979" s="2"/>
      <c r="E3979" s="310"/>
      <c r="G3979" s="2"/>
      <c r="H3979" s="310"/>
      <c r="I3979" s="2"/>
      <c r="O3979" s="2"/>
      <c r="P3979" s="2"/>
    </row>
    <row r="3980" spans="4:16" x14ac:dyDescent="0.25">
      <c r="D3980" s="2"/>
      <c r="E3980" s="310"/>
      <c r="G3980" s="2"/>
      <c r="H3980" s="310"/>
      <c r="I3980" s="2"/>
      <c r="O3980" s="2"/>
      <c r="P3980" s="2"/>
    </row>
    <row r="3981" spans="4:16" x14ac:dyDescent="0.25">
      <c r="D3981" s="2"/>
      <c r="E3981" s="310"/>
      <c r="G3981" s="2"/>
      <c r="H3981" s="310"/>
      <c r="I3981" s="2"/>
      <c r="O3981" s="2"/>
      <c r="P3981" s="2"/>
    </row>
    <row r="3982" spans="4:16" x14ac:dyDescent="0.25">
      <c r="D3982" s="2"/>
      <c r="E3982" s="310"/>
      <c r="G3982" s="2"/>
      <c r="H3982" s="310"/>
      <c r="I3982" s="2"/>
      <c r="O3982" s="2"/>
      <c r="P3982" s="2"/>
    </row>
    <row r="3983" spans="4:16" x14ac:dyDescent="0.25">
      <c r="D3983" s="2"/>
      <c r="E3983" s="310"/>
      <c r="G3983" s="2"/>
      <c r="H3983" s="310"/>
      <c r="I3983" s="2"/>
      <c r="O3983" s="2"/>
      <c r="P3983" s="2"/>
    </row>
    <row r="3984" spans="4:16" x14ac:dyDescent="0.25">
      <c r="D3984" s="2"/>
      <c r="E3984" s="310"/>
      <c r="G3984" s="2"/>
      <c r="H3984" s="310"/>
      <c r="I3984" s="2"/>
      <c r="O3984" s="2"/>
      <c r="P3984" s="2"/>
    </row>
    <row r="3985" spans="4:16" x14ac:dyDescent="0.25">
      <c r="D3985" s="2"/>
      <c r="E3985" s="310"/>
      <c r="G3985" s="2"/>
      <c r="H3985" s="310"/>
      <c r="I3985" s="2"/>
      <c r="O3985" s="2"/>
      <c r="P3985" s="2"/>
    </row>
    <row r="3986" spans="4:16" x14ac:dyDescent="0.25">
      <c r="D3986" s="2"/>
      <c r="E3986" s="310"/>
      <c r="G3986" s="2"/>
      <c r="H3986" s="310"/>
      <c r="I3986" s="2"/>
      <c r="O3986" s="2"/>
      <c r="P3986" s="2"/>
    </row>
    <row r="3987" spans="4:16" x14ac:dyDescent="0.25">
      <c r="D3987" s="2"/>
      <c r="E3987" s="310"/>
      <c r="G3987" s="2"/>
      <c r="H3987" s="310"/>
      <c r="I3987" s="2"/>
      <c r="O3987" s="2"/>
      <c r="P3987" s="2"/>
    </row>
    <row r="3988" spans="4:16" x14ac:dyDescent="0.25">
      <c r="D3988" s="2"/>
      <c r="E3988" s="310"/>
      <c r="G3988" s="2"/>
      <c r="H3988" s="310"/>
      <c r="I3988" s="2"/>
      <c r="O3988" s="2"/>
      <c r="P3988" s="2"/>
    </row>
    <row r="3989" spans="4:16" x14ac:dyDescent="0.25">
      <c r="D3989" s="2"/>
      <c r="E3989" s="310"/>
      <c r="G3989" s="2"/>
      <c r="H3989" s="310"/>
      <c r="I3989" s="2"/>
      <c r="O3989" s="2"/>
      <c r="P3989" s="2"/>
    </row>
    <row r="3990" spans="4:16" x14ac:dyDescent="0.25">
      <c r="D3990" s="2"/>
      <c r="E3990" s="310"/>
      <c r="G3990" s="2"/>
      <c r="H3990" s="310"/>
      <c r="I3990" s="2"/>
      <c r="O3990" s="2"/>
      <c r="P3990" s="2"/>
    </row>
    <row r="3991" spans="4:16" x14ac:dyDescent="0.25">
      <c r="D3991" s="2"/>
      <c r="E3991" s="310"/>
      <c r="G3991" s="2"/>
      <c r="H3991" s="310"/>
      <c r="I3991" s="2"/>
      <c r="O3991" s="2"/>
      <c r="P3991" s="2"/>
    </row>
    <row r="3992" spans="4:16" x14ac:dyDescent="0.25">
      <c r="D3992" s="2"/>
      <c r="E3992" s="310"/>
      <c r="G3992" s="2"/>
      <c r="H3992" s="310"/>
      <c r="I3992" s="2"/>
      <c r="O3992" s="2"/>
      <c r="P3992" s="2"/>
    </row>
    <row r="3993" spans="4:16" x14ac:dyDescent="0.25">
      <c r="D3993" s="2"/>
      <c r="E3993" s="310"/>
      <c r="G3993" s="2"/>
      <c r="H3993" s="310"/>
      <c r="I3993" s="2"/>
      <c r="O3993" s="2"/>
      <c r="P3993" s="2"/>
    </row>
    <row r="3994" spans="4:16" x14ac:dyDescent="0.25">
      <c r="D3994" s="2"/>
      <c r="E3994" s="310"/>
      <c r="G3994" s="2"/>
      <c r="H3994" s="310"/>
      <c r="I3994" s="2"/>
      <c r="O3994" s="2"/>
      <c r="P3994" s="2"/>
    </row>
    <row r="3995" spans="4:16" x14ac:dyDescent="0.25">
      <c r="D3995" s="2"/>
      <c r="E3995" s="310"/>
      <c r="G3995" s="2"/>
      <c r="H3995" s="310"/>
      <c r="I3995" s="2"/>
      <c r="O3995" s="2"/>
      <c r="P3995" s="2"/>
    </row>
    <row r="3996" spans="4:16" x14ac:dyDescent="0.25">
      <c r="D3996" s="2"/>
      <c r="E3996" s="310"/>
      <c r="G3996" s="2"/>
      <c r="H3996" s="310"/>
      <c r="I3996" s="2"/>
      <c r="O3996" s="2"/>
      <c r="P3996" s="2"/>
    </row>
    <row r="3997" spans="4:16" x14ac:dyDescent="0.25">
      <c r="D3997" s="2"/>
      <c r="E3997" s="310"/>
      <c r="G3997" s="2"/>
      <c r="H3997" s="310"/>
      <c r="I3997" s="2"/>
      <c r="O3997" s="2"/>
      <c r="P3997" s="2"/>
    </row>
    <row r="3998" spans="4:16" x14ac:dyDescent="0.25">
      <c r="D3998" s="2"/>
      <c r="E3998" s="310"/>
      <c r="G3998" s="2"/>
      <c r="H3998" s="310"/>
      <c r="I3998" s="2"/>
      <c r="O3998" s="2"/>
      <c r="P3998" s="2"/>
    </row>
    <row r="3999" spans="4:16" x14ac:dyDescent="0.25">
      <c r="D3999" s="2"/>
      <c r="E3999" s="310"/>
      <c r="G3999" s="2"/>
      <c r="H3999" s="310"/>
      <c r="I3999" s="2"/>
      <c r="O3999" s="2"/>
      <c r="P3999" s="2"/>
    </row>
    <row r="4000" spans="4:16" x14ac:dyDescent="0.25">
      <c r="D4000" s="2"/>
      <c r="E4000" s="310"/>
      <c r="G4000" s="2"/>
      <c r="H4000" s="310"/>
      <c r="I4000" s="2"/>
      <c r="O4000" s="2"/>
      <c r="P4000" s="2"/>
    </row>
    <row r="4001" spans="4:16" x14ac:dyDescent="0.25">
      <c r="D4001" s="2"/>
      <c r="E4001" s="310"/>
      <c r="G4001" s="2"/>
      <c r="H4001" s="310"/>
      <c r="I4001" s="2"/>
      <c r="O4001" s="2"/>
      <c r="P4001" s="2"/>
    </row>
    <row r="4002" spans="4:16" x14ac:dyDescent="0.25">
      <c r="D4002" s="2"/>
      <c r="E4002" s="310"/>
      <c r="G4002" s="2"/>
      <c r="H4002" s="310"/>
      <c r="I4002" s="2"/>
      <c r="O4002" s="2"/>
      <c r="P4002" s="2"/>
    </row>
    <row r="4003" spans="4:16" x14ac:dyDescent="0.25">
      <c r="D4003" s="2"/>
      <c r="E4003" s="310"/>
      <c r="G4003" s="2"/>
      <c r="H4003" s="310"/>
      <c r="I4003" s="2"/>
      <c r="O4003" s="2"/>
      <c r="P4003" s="2"/>
    </row>
    <row r="4004" spans="4:16" x14ac:dyDescent="0.25">
      <c r="D4004" s="2"/>
      <c r="E4004" s="310"/>
      <c r="G4004" s="2"/>
      <c r="H4004" s="310"/>
      <c r="I4004" s="2"/>
      <c r="O4004" s="2"/>
      <c r="P4004" s="2"/>
    </row>
    <row r="4005" spans="4:16" x14ac:dyDescent="0.25">
      <c r="D4005" s="2"/>
      <c r="E4005" s="310"/>
      <c r="G4005" s="2"/>
      <c r="H4005" s="310"/>
      <c r="I4005" s="2"/>
      <c r="O4005" s="2"/>
      <c r="P4005" s="2"/>
    </row>
    <row r="4006" spans="4:16" x14ac:dyDescent="0.25">
      <c r="D4006" s="2"/>
      <c r="E4006" s="310"/>
      <c r="G4006" s="2"/>
      <c r="H4006" s="310"/>
      <c r="I4006" s="2"/>
      <c r="O4006" s="2"/>
      <c r="P4006" s="2"/>
    </row>
    <row r="4007" spans="4:16" x14ac:dyDescent="0.25">
      <c r="D4007" s="2"/>
      <c r="E4007" s="310"/>
      <c r="G4007" s="2"/>
      <c r="H4007" s="310"/>
      <c r="I4007" s="2"/>
      <c r="O4007" s="2"/>
      <c r="P4007" s="2"/>
    </row>
    <row r="4008" spans="4:16" x14ac:dyDescent="0.25">
      <c r="D4008" s="2"/>
      <c r="E4008" s="310"/>
      <c r="G4008" s="2"/>
      <c r="H4008" s="310"/>
      <c r="I4008" s="2"/>
      <c r="O4008" s="2"/>
      <c r="P4008" s="2"/>
    </row>
    <row r="4009" spans="4:16" x14ac:dyDescent="0.25">
      <c r="D4009" s="2"/>
      <c r="E4009" s="310"/>
      <c r="G4009" s="2"/>
      <c r="H4009" s="310"/>
      <c r="I4009" s="2"/>
      <c r="O4009" s="2"/>
      <c r="P4009" s="2"/>
    </row>
    <row r="4010" spans="4:16" x14ac:dyDescent="0.25">
      <c r="D4010" s="2"/>
      <c r="E4010" s="310"/>
      <c r="G4010" s="2"/>
      <c r="H4010" s="310"/>
      <c r="I4010" s="2"/>
      <c r="O4010" s="2"/>
      <c r="P4010" s="2"/>
    </row>
    <row r="4011" spans="4:16" x14ac:dyDescent="0.25">
      <c r="D4011" s="2"/>
      <c r="E4011" s="310"/>
      <c r="G4011" s="2"/>
      <c r="H4011" s="310"/>
      <c r="I4011" s="2"/>
      <c r="O4011" s="2"/>
      <c r="P4011" s="2"/>
    </row>
    <row r="4012" spans="4:16" x14ac:dyDescent="0.25">
      <c r="D4012" s="2"/>
      <c r="E4012" s="310"/>
      <c r="G4012" s="2"/>
      <c r="H4012" s="310"/>
      <c r="I4012" s="2"/>
      <c r="O4012" s="2"/>
      <c r="P4012" s="2"/>
    </row>
    <row r="4013" spans="4:16" x14ac:dyDescent="0.25">
      <c r="D4013" s="2"/>
      <c r="E4013" s="310"/>
      <c r="G4013" s="2"/>
      <c r="H4013" s="310"/>
      <c r="I4013" s="2"/>
      <c r="O4013" s="2"/>
      <c r="P4013" s="2"/>
    </row>
    <row r="4014" spans="4:16" x14ac:dyDescent="0.25">
      <c r="D4014" s="2"/>
      <c r="E4014" s="310"/>
      <c r="G4014" s="2"/>
      <c r="H4014" s="310"/>
      <c r="I4014" s="2"/>
      <c r="O4014" s="2"/>
      <c r="P4014" s="2"/>
    </row>
    <row r="4015" spans="4:16" x14ac:dyDescent="0.25">
      <c r="D4015" s="2"/>
      <c r="E4015" s="310"/>
      <c r="G4015" s="2"/>
      <c r="H4015" s="310"/>
      <c r="I4015" s="2"/>
      <c r="O4015" s="2"/>
      <c r="P4015" s="2"/>
    </row>
    <row r="4016" spans="4:16" x14ac:dyDescent="0.25">
      <c r="D4016" s="2"/>
      <c r="E4016" s="310"/>
      <c r="G4016" s="2"/>
      <c r="H4016" s="310"/>
      <c r="I4016" s="2"/>
      <c r="O4016" s="2"/>
      <c r="P4016" s="2"/>
    </row>
    <row r="4017" spans="4:16" x14ac:dyDescent="0.25">
      <c r="D4017" s="2"/>
      <c r="E4017" s="310"/>
      <c r="G4017" s="2"/>
      <c r="H4017" s="310"/>
      <c r="I4017" s="2"/>
      <c r="O4017" s="2"/>
      <c r="P4017" s="2"/>
    </row>
    <row r="4018" spans="4:16" x14ac:dyDescent="0.25">
      <c r="D4018" s="2"/>
      <c r="E4018" s="310"/>
      <c r="G4018" s="2"/>
      <c r="H4018" s="310"/>
      <c r="I4018" s="2"/>
      <c r="O4018" s="2"/>
      <c r="P4018" s="2"/>
    </row>
    <row r="4019" spans="4:16" x14ac:dyDescent="0.25">
      <c r="D4019" s="2"/>
      <c r="E4019" s="310"/>
      <c r="G4019" s="2"/>
      <c r="H4019" s="310"/>
      <c r="I4019" s="2"/>
      <c r="O4019" s="2"/>
      <c r="P4019" s="2"/>
    </row>
    <row r="4020" spans="4:16" x14ac:dyDescent="0.25">
      <c r="D4020" s="2"/>
      <c r="E4020" s="310"/>
      <c r="G4020" s="2"/>
      <c r="H4020" s="310"/>
      <c r="I4020" s="2"/>
      <c r="O4020" s="2"/>
      <c r="P4020" s="2"/>
    </row>
    <row r="4021" spans="4:16" x14ac:dyDescent="0.25">
      <c r="D4021" s="2"/>
      <c r="E4021" s="310"/>
      <c r="G4021" s="2"/>
      <c r="H4021" s="310"/>
      <c r="I4021" s="2"/>
      <c r="O4021" s="2"/>
      <c r="P4021" s="2"/>
    </row>
    <row r="4022" spans="4:16" x14ac:dyDescent="0.25">
      <c r="D4022" s="2"/>
      <c r="E4022" s="310"/>
      <c r="G4022" s="2"/>
      <c r="H4022" s="310"/>
      <c r="I4022" s="2"/>
      <c r="O4022" s="2"/>
      <c r="P4022" s="2"/>
    </row>
    <row r="4023" spans="4:16" x14ac:dyDescent="0.25">
      <c r="D4023" s="2"/>
      <c r="E4023" s="310"/>
      <c r="G4023" s="2"/>
      <c r="H4023" s="310"/>
      <c r="I4023" s="2"/>
      <c r="O4023" s="2"/>
      <c r="P4023" s="2"/>
    </row>
    <row r="4024" spans="4:16" x14ac:dyDescent="0.25">
      <c r="D4024" s="2"/>
      <c r="E4024" s="310"/>
      <c r="G4024" s="2"/>
      <c r="H4024" s="310"/>
      <c r="I4024" s="2"/>
      <c r="O4024" s="2"/>
      <c r="P4024" s="2"/>
    </row>
    <row r="4025" spans="4:16" x14ac:dyDescent="0.25">
      <c r="D4025" s="2"/>
      <c r="E4025" s="310"/>
      <c r="G4025" s="2"/>
      <c r="H4025" s="310"/>
      <c r="I4025" s="2"/>
      <c r="O4025" s="2"/>
      <c r="P4025" s="2"/>
    </row>
    <row r="4026" spans="4:16" x14ac:dyDescent="0.25">
      <c r="D4026" s="2"/>
      <c r="E4026" s="310"/>
      <c r="G4026" s="2"/>
      <c r="H4026" s="310"/>
      <c r="I4026" s="2"/>
      <c r="O4026" s="2"/>
      <c r="P4026" s="2"/>
    </row>
    <row r="4027" spans="4:16" x14ac:dyDescent="0.25">
      <c r="D4027" s="2"/>
      <c r="E4027" s="310"/>
      <c r="G4027" s="2"/>
      <c r="H4027" s="310"/>
      <c r="I4027" s="2"/>
      <c r="O4027" s="2"/>
      <c r="P4027" s="2"/>
    </row>
    <row r="4028" spans="4:16" x14ac:dyDescent="0.25">
      <c r="D4028" s="2"/>
      <c r="E4028" s="310"/>
      <c r="G4028" s="2"/>
      <c r="H4028" s="310"/>
      <c r="I4028" s="2"/>
      <c r="O4028" s="2"/>
      <c r="P4028" s="2"/>
    </row>
    <row r="4029" spans="4:16" x14ac:dyDescent="0.25">
      <c r="D4029" s="2"/>
      <c r="E4029" s="310"/>
      <c r="G4029" s="2"/>
      <c r="H4029" s="310"/>
      <c r="I4029" s="2"/>
      <c r="O4029" s="2"/>
      <c r="P4029" s="2"/>
    </row>
    <row r="4030" spans="4:16" x14ac:dyDescent="0.25">
      <c r="D4030" s="2"/>
      <c r="E4030" s="310"/>
      <c r="G4030" s="2"/>
      <c r="H4030" s="310"/>
      <c r="I4030" s="2"/>
      <c r="O4030" s="2"/>
      <c r="P4030" s="2"/>
    </row>
    <row r="4031" spans="4:16" x14ac:dyDescent="0.25">
      <c r="D4031" s="2"/>
      <c r="E4031" s="310"/>
      <c r="G4031" s="2"/>
      <c r="H4031" s="310"/>
      <c r="I4031" s="2"/>
      <c r="O4031" s="2"/>
      <c r="P4031" s="2"/>
    </row>
    <row r="4032" spans="4:16" x14ac:dyDescent="0.25">
      <c r="D4032" s="2"/>
      <c r="E4032" s="310"/>
      <c r="G4032" s="2"/>
      <c r="H4032" s="310"/>
      <c r="I4032" s="2"/>
      <c r="O4032" s="2"/>
      <c r="P4032" s="2"/>
    </row>
    <row r="4033" spans="4:16" x14ac:dyDescent="0.25">
      <c r="D4033" s="2"/>
      <c r="E4033" s="310"/>
      <c r="G4033" s="2"/>
      <c r="H4033" s="310"/>
      <c r="I4033" s="2"/>
      <c r="O4033" s="2"/>
      <c r="P4033" s="2"/>
    </row>
    <row r="4034" spans="4:16" x14ac:dyDescent="0.25">
      <c r="D4034" s="2"/>
      <c r="E4034" s="310"/>
      <c r="G4034" s="2"/>
      <c r="H4034" s="310"/>
      <c r="I4034" s="2"/>
      <c r="O4034" s="2"/>
      <c r="P4034" s="2"/>
    </row>
    <row r="4035" spans="4:16" x14ac:dyDescent="0.25">
      <c r="D4035" s="2"/>
      <c r="E4035" s="310"/>
      <c r="G4035" s="2"/>
      <c r="H4035" s="310"/>
      <c r="I4035" s="2"/>
      <c r="O4035" s="2"/>
      <c r="P4035" s="2"/>
    </row>
    <row r="4036" spans="4:16" x14ac:dyDescent="0.25">
      <c r="D4036" s="2"/>
      <c r="E4036" s="310"/>
      <c r="G4036" s="2"/>
      <c r="H4036" s="310"/>
      <c r="I4036" s="2"/>
      <c r="O4036" s="2"/>
      <c r="P4036" s="2"/>
    </row>
    <row r="4037" spans="4:16" x14ac:dyDescent="0.25">
      <c r="D4037" s="2"/>
      <c r="E4037" s="310"/>
      <c r="G4037" s="2"/>
      <c r="H4037" s="310"/>
      <c r="I4037" s="2"/>
      <c r="O4037" s="2"/>
      <c r="P4037" s="2"/>
    </row>
    <row r="4038" spans="4:16" x14ac:dyDescent="0.25">
      <c r="D4038" s="2"/>
      <c r="E4038" s="310"/>
      <c r="G4038" s="2"/>
      <c r="H4038" s="310"/>
      <c r="I4038" s="2"/>
      <c r="O4038" s="2"/>
      <c r="P4038" s="2"/>
    </row>
    <row r="4039" spans="4:16" x14ac:dyDescent="0.25">
      <c r="D4039" s="2"/>
      <c r="E4039" s="310"/>
      <c r="G4039" s="2"/>
      <c r="H4039" s="310"/>
      <c r="I4039" s="2"/>
      <c r="O4039" s="2"/>
      <c r="P4039" s="2"/>
    </row>
    <row r="4040" spans="4:16" x14ac:dyDescent="0.25">
      <c r="D4040" s="2"/>
      <c r="E4040" s="310"/>
      <c r="G4040" s="2"/>
      <c r="H4040" s="310"/>
      <c r="I4040" s="2"/>
      <c r="O4040" s="2"/>
      <c r="P4040" s="2"/>
    </row>
    <row r="4041" spans="4:16" x14ac:dyDescent="0.25">
      <c r="D4041" s="2"/>
      <c r="E4041" s="310"/>
      <c r="G4041" s="2"/>
      <c r="H4041" s="310"/>
      <c r="I4041" s="2"/>
      <c r="O4041" s="2"/>
      <c r="P4041" s="2"/>
    </row>
    <row r="4042" spans="4:16" x14ac:dyDescent="0.25">
      <c r="D4042" s="2"/>
      <c r="E4042" s="310"/>
      <c r="G4042" s="2"/>
      <c r="H4042" s="310"/>
      <c r="I4042" s="2"/>
      <c r="O4042" s="2"/>
      <c r="P4042" s="2"/>
    </row>
    <row r="4043" spans="4:16" x14ac:dyDescent="0.25">
      <c r="D4043" s="2"/>
      <c r="E4043" s="310"/>
      <c r="G4043" s="2"/>
      <c r="H4043" s="310"/>
      <c r="I4043" s="2"/>
      <c r="O4043" s="2"/>
      <c r="P4043" s="2"/>
    </row>
    <row r="4044" spans="4:16" x14ac:dyDescent="0.25">
      <c r="D4044" s="2"/>
      <c r="E4044" s="310"/>
      <c r="G4044" s="2"/>
      <c r="H4044" s="310"/>
      <c r="I4044" s="2"/>
      <c r="O4044" s="2"/>
      <c r="P4044" s="2"/>
    </row>
    <row r="4045" spans="4:16" x14ac:dyDescent="0.25">
      <c r="D4045" s="2"/>
      <c r="E4045" s="310"/>
      <c r="G4045" s="2"/>
      <c r="H4045" s="310"/>
      <c r="I4045" s="2"/>
      <c r="O4045" s="2"/>
      <c r="P4045" s="2"/>
    </row>
    <row r="4046" spans="4:16" x14ac:dyDescent="0.25">
      <c r="D4046" s="2"/>
      <c r="E4046" s="310"/>
      <c r="G4046" s="2"/>
      <c r="H4046" s="310"/>
      <c r="I4046" s="2"/>
      <c r="O4046" s="2"/>
      <c r="P4046" s="2"/>
    </row>
    <row r="4047" spans="4:16" x14ac:dyDescent="0.25">
      <c r="D4047" s="2"/>
      <c r="E4047" s="310"/>
      <c r="G4047" s="2"/>
      <c r="H4047" s="310"/>
      <c r="I4047" s="2"/>
      <c r="O4047" s="2"/>
      <c r="P4047" s="2"/>
    </row>
    <row r="4048" spans="4:16" x14ac:dyDescent="0.25">
      <c r="D4048" s="2"/>
      <c r="E4048" s="310"/>
      <c r="G4048" s="2"/>
      <c r="H4048" s="310"/>
      <c r="I4048" s="2"/>
      <c r="O4048" s="2"/>
      <c r="P4048" s="2"/>
    </row>
    <row r="4049" spans="4:16" x14ac:dyDescent="0.25">
      <c r="D4049" s="2"/>
      <c r="E4049" s="310"/>
      <c r="G4049" s="2"/>
      <c r="H4049" s="310"/>
      <c r="I4049" s="2"/>
      <c r="O4049" s="2"/>
      <c r="P4049" s="2"/>
    </row>
    <row r="4050" spans="4:16" x14ac:dyDescent="0.25">
      <c r="D4050" s="2"/>
      <c r="E4050" s="310"/>
      <c r="G4050" s="2"/>
      <c r="H4050" s="310"/>
      <c r="I4050" s="2"/>
      <c r="O4050" s="2"/>
      <c r="P4050" s="2"/>
    </row>
    <row r="4051" spans="4:16" x14ac:dyDescent="0.25">
      <c r="D4051" s="2"/>
      <c r="E4051" s="310"/>
      <c r="G4051" s="2"/>
      <c r="H4051" s="310"/>
      <c r="I4051" s="2"/>
      <c r="O4051" s="2"/>
      <c r="P4051" s="2"/>
    </row>
    <row r="4052" spans="4:16" x14ac:dyDescent="0.25">
      <c r="D4052" s="2"/>
      <c r="E4052" s="310"/>
      <c r="G4052" s="2"/>
      <c r="H4052" s="310"/>
      <c r="I4052" s="2"/>
      <c r="O4052" s="2"/>
      <c r="P4052" s="2"/>
    </row>
    <row r="4053" spans="4:16" x14ac:dyDescent="0.25">
      <c r="D4053" s="2"/>
      <c r="E4053" s="310"/>
      <c r="G4053" s="2"/>
      <c r="H4053" s="310"/>
      <c r="I4053" s="2"/>
      <c r="O4053" s="2"/>
      <c r="P4053" s="2"/>
    </row>
    <row r="4054" spans="4:16" x14ac:dyDescent="0.25">
      <c r="D4054" s="2"/>
      <c r="E4054" s="310"/>
      <c r="G4054" s="2"/>
      <c r="H4054" s="310"/>
      <c r="I4054" s="2"/>
      <c r="O4054" s="2"/>
      <c r="P4054" s="2"/>
    </row>
    <row r="4055" spans="4:16" x14ac:dyDescent="0.25">
      <c r="D4055" s="2"/>
      <c r="E4055" s="310"/>
      <c r="G4055" s="2"/>
      <c r="H4055" s="310"/>
      <c r="I4055" s="2"/>
      <c r="O4055" s="2"/>
      <c r="P4055" s="2"/>
    </row>
    <row r="4056" spans="4:16" x14ac:dyDescent="0.25">
      <c r="D4056" s="2"/>
      <c r="E4056" s="310"/>
      <c r="G4056" s="2"/>
      <c r="H4056" s="310"/>
      <c r="I4056" s="2"/>
      <c r="O4056" s="2"/>
      <c r="P4056" s="2"/>
    </row>
    <row r="4057" spans="4:16" x14ac:dyDescent="0.25">
      <c r="D4057" s="2"/>
      <c r="E4057" s="310"/>
      <c r="G4057" s="2"/>
      <c r="H4057" s="310"/>
      <c r="I4057" s="2"/>
      <c r="O4057" s="2"/>
      <c r="P4057" s="2"/>
    </row>
    <row r="4058" spans="4:16" x14ac:dyDescent="0.25">
      <c r="D4058" s="2"/>
      <c r="E4058" s="310"/>
      <c r="G4058" s="2"/>
      <c r="H4058" s="310"/>
      <c r="I4058" s="2"/>
      <c r="O4058" s="2"/>
      <c r="P4058" s="2"/>
    </row>
    <row r="4059" spans="4:16" x14ac:dyDescent="0.25">
      <c r="D4059" s="2"/>
      <c r="E4059" s="310"/>
      <c r="G4059" s="2"/>
      <c r="H4059" s="310"/>
      <c r="I4059" s="2"/>
      <c r="O4059" s="2"/>
      <c r="P4059" s="2"/>
    </row>
    <row r="4060" spans="4:16" x14ac:dyDescent="0.25">
      <c r="D4060" s="2"/>
      <c r="E4060" s="310"/>
      <c r="G4060" s="2"/>
      <c r="H4060" s="310"/>
      <c r="I4060" s="2"/>
      <c r="O4060" s="2"/>
      <c r="P4060" s="2"/>
    </row>
    <row r="4061" spans="4:16" x14ac:dyDescent="0.25">
      <c r="D4061" s="2"/>
      <c r="E4061" s="310"/>
      <c r="G4061" s="2"/>
      <c r="H4061" s="310"/>
      <c r="I4061" s="2"/>
      <c r="O4061" s="2"/>
      <c r="P4061" s="2"/>
    </row>
    <row r="4062" spans="4:16" x14ac:dyDescent="0.25">
      <c r="D4062" s="2"/>
      <c r="E4062" s="310"/>
      <c r="G4062" s="2"/>
      <c r="H4062" s="310"/>
      <c r="I4062" s="2"/>
      <c r="O4062" s="2"/>
      <c r="P4062" s="2"/>
    </row>
    <row r="4063" spans="4:16" x14ac:dyDescent="0.25">
      <c r="D4063" s="2"/>
      <c r="E4063" s="310"/>
      <c r="G4063" s="2"/>
      <c r="H4063" s="310"/>
      <c r="I4063" s="2"/>
      <c r="O4063" s="2"/>
      <c r="P4063" s="2"/>
    </row>
    <row r="4064" spans="4:16" x14ac:dyDescent="0.25">
      <c r="D4064" s="2"/>
      <c r="E4064" s="310"/>
      <c r="G4064" s="2"/>
      <c r="H4064" s="310"/>
      <c r="I4064" s="2"/>
      <c r="O4064" s="2"/>
      <c r="P4064" s="2"/>
    </row>
    <row r="4065" spans="4:16" x14ac:dyDescent="0.25">
      <c r="D4065" s="2"/>
      <c r="E4065" s="310"/>
      <c r="G4065" s="2"/>
      <c r="H4065" s="310"/>
      <c r="I4065" s="2"/>
      <c r="O4065" s="2"/>
      <c r="P4065" s="2"/>
    </row>
    <row r="4066" spans="4:16" x14ac:dyDescent="0.25">
      <c r="D4066" s="2"/>
      <c r="E4066" s="310"/>
      <c r="G4066" s="2"/>
      <c r="H4066" s="310"/>
      <c r="I4066" s="2"/>
      <c r="O4066" s="2"/>
      <c r="P4066" s="2"/>
    </row>
    <row r="4067" spans="4:16" x14ac:dyDescent="0.25">
      <c r="D4067" s="2"/>
      <c r="E4067" s="310"/>
      <c r="G4067" s="2"/>
      <c r="H4067" s="310"/>
      <c r="I4067" s="2"/>
      <c r="O4067" s="2"/>
      <c r="P4067" s="2"/>
    </row>
    <row r="4068" spans="4:16" x14ac:dyDescent="0.25">
      <c r="D4068" s="2"/>
      <c r="E4068" s="310"/>
      <c r="G4068" s="2"/>
      <c r="H4068" s="310"/>
      <c r="I4068" s="2"/>
      <c r="O4068" s="2"/>
      <c r="P4068" s="2"/>
    </row>
    <row r="4069" spans="4:16" x14ac:dyDescent="0.25">
      <c r="D4069" s="2"/>
      <c r="E4069" s="310"/>
      <c r="G4069" s="2"/>
      <c r="H4069" s="310"/>
      <c r="I4069" s="2"/>
      <c r="O4069" s="2"/>
      <c r="P4069" s="2"/>
    </row>
    <row r="4070" spans="4:16" x14ac:dyDescent="0.25">
      <c r="D4070" s="2"/>
      <c r="E4070" s="310"/>
      <c r="G4070" s="2"/>
      <c r="H4070" s="310"/>
      <c r="I4070" s="2"/>
      <c r="O4070" s="2"/>
      <c r="P4070" s="2"/>
    </row>
    <row r="4071" spans="4:16" x14ac:dyDescent="0.25">
      <c r="D4071" s="2"/>
      <c r="E4071" s="310"/>
      <c r="G4071" s="2"/>
      <c r="H4071" s="310"/>
      <c r="I4071" s="2"/>
      <c r="O4071" s="2"/>
      <c r="P4071" s="2"/>
    </row>
    <row r="4072" spans="4:16" x14ac:dyDescent="0.25">
      <c r="D4072" s="2"/>
      <c r="E4072" s="310"/>
      <c r="G4072" s="2"/>
      <c r="H4072" s="310"/>
      <c r="I4072" s="2"/>
      <c r="O4072" s="2"/>
      <c r="P4072" s="2"/>
    </row>
    <row r="4073" spans="4:16" x14ac:dyDescent="0.25">
      <c r="D4073" s="2"/>
      <c r="E4073" s="310"/>
      <c r="G4073" s="2"/>
      <c r="H4073" s="310"/>
      <c r="I4073" s="2"/>
      <c r="O4073" s="2"/>
      <c r="P4073" s="2"/>
    </row>
    <row r="4074" spans="4:16" x14ac:dyDescent="0.25">
      <c r="D4074" s="2"/>
      <c r="E4074" s="310"/>
      <c r="G4074" s="2"/>
      <c r="H4074" s="310"/>
      <c r="I4074" s="2"/>
      <c r="O4074" s="2"/>
      <c r="P4074" s="2"/>
    </row>
    <row r="4075" spans="4:16" x14ac:dyDescent="0.25">
      <c r="D4075" s="2"/>
      <c r="E4075" s="310"/>
      <c r="G4075" s="2"/>
      <c r="H4075" s="310"/>
      <c r="I4075" s="2"/>
      <c r="O4075" s="2"/>
      <c r="P4075" s="2"/>
    </row>
    <row r="4076" spans="4:16" x14ac:dyDescent="0.25">
      <c r="D4076" s="2"/>
      <c r="E4076" s="310"/>
      <c r="G4076" s="2"/>
      <c r="H4076" s="310"/>
      <c r="I4076" s="2"/>
      <c r="O4076" s="2"/>
      <c r="P4076" s="2"/>
    </row>
    <row r="4077" spans="4:16" x14ac:dyDescent="0.25">
      <c r="D4077" s="2"/>
      <c r="E4077" s="310"/>
      <c r="G4077" s="2"/>
      <c r="H4077" s="310"/>
      <c r="I4077" s="2"/>
      <c r="O4077" s="2"/>
      <c r="P4077" s="2"/>
    </row>
    <row r="4078" spans="4:16" x14ac:dyDescent="0.25">
      <c r="D4078" s="2"/>
      <c r="E4078" s="310"/>
      <c r="G4078" s="2"/>
      <c r="H4078" s="310"/>
      <c r="I4078" s="2"/>
      <c r="O4078" s="2"/>
      <c r="P4078" s="2"/>
    </row>
    <row r="4079" spans="4:16" x14ac:dyDescent="0.25">
      <c r="D4079" s="2"/>
      <c r="E4079" s="310"/>
      <c r="G4079" s="2"/>
      <c r="H4079" s="310"/>
      <c r="I4079" s="2"/>
      <c r="O4079" s="2"/>
      <c r="P4079" s="2"/>
    </row>
    <row r="4080" spans="4:16" x14ac:dyDescent="0.25">
      <c r="D4080" s="2"/>
      <c r="E4080" s="310"/>
      <c r="G4080" s="2"/>
      <c r="H4080" s="310"/>
      <c r="I4080" s="2"/>
      <c r="O4080" s="2"/>
      <c r="P4080" s="2"/>
    </row>
    <row r="4081" spans="4:16" x14ac:dyDescent="0.25">
      <c r="D4081" s="2"/>
      <c r="E4081" s="310"/>
      <c r="G4081" s="2"/>
      <c r="H4081" s="310"/>
      <c r="I4081" s="2"/>
      <c r="O4081" s="2"/>
      <c r="P4081" s="2"/>
    </row>
    <row r="4082" spans="4:16" x14ac:dyDescent="0.25">
      <c r="D4082" s="2"/>
      <c r="E4082" s="310"/>
      <c r="G4082" s="2"/>
      <c r="H4082" s="310"/>
      <c r="I4082" s="2"/>
      <c r="O4082" s="2"/>
      <c r="P4082" s="2"/>
    </row>
    <row r="4083" spans="4:16" x14ac:dyDescent="0.25">
      <c r="D4083" s="2"/>
      <c r="E4083" s="310"/>
      <c r="G4083" s="2"/>
      <c r="H4083" s="310"/>
      <c r="I4083" s="2"/>
      <c r="O4083" s="2"/>
      <c r="P4083" s="2"/>
    </row>
    <row r="4084" spans="4:16" x14ac:dyDescent="0.25">
      <c r="D4084" s="2"/>
      <c r="E4084" s="310"/>
      <c r="G4084" s="2"/>
      <c r="H4084" s="310"/>
      <c r="I4084" s="2"/>
      <c r="O4084" s="2"/>
      <c r="P4084" s="2"/>
    </row>
    <row r="4085" spans="4:16" x14ac:dyDescent="0.25">
      <c r="D4085" s="2"/>
      <c r="E4085" s="310"/>
      <c r="G4085" s="2"/>
      <c r="H4085" s="310"/>
      <c r="I4085" s="2"/>
      <c r="O4085" s="2"/>
      <c r="P4085" s="2"/>
    </row>
    <row r="4086" spans="4:16" x14ac:dyDescent="0.25">
      <c r="D4086" s="2"/>
      <c r="E4086" s="310"/>
      <c r="G4086" s="2"/>
      <c r="H4086" s="310"/>
      <c r="I4086" s="2"/>
      <c r="O4086" s="2"/>
      <c r="P4086" s="2"/>
    </row>
    <row r="4087" spans="4:16" x14ac:dyDescent="0.25">
      <c r="D4087" s="2"/>
      <c r="E4087" s="310"/>
      <c r="G4087" s="2"/>
      <c r="H4087" s="310"/>
      <c r="I4087" s="2"/>
      <c r="O4087" s="2"/>
      <c r="P4087" s="2"/>
    </row>
    <row r="4088" spans="4:16" x14ac:dyDescent="0.25">
      <c r="D4088" s="2"/>
      <c r="E4088" s="310"/>
      <c r="G4088" s="2"/>
      <c r="H4088" s="310"/>
      <c r="I4088" s="2"/>
      <c r="O4088" s="2"/>
      <c r="P4088" s="2"/>
    </row>
    <row r="4089" spans="4:16" x14ac:dyDescent="0.25">
      <c r="D4089" s="2"/>
      <c r="E4089" s="310"/>
      <c r="G4089" s="2"/>
      <c r="H4089" s="310"/>
      <c r="I4089" s="2"/>
      <c r="O4089" s="2"/>
      <c r="P4089" s="2"/>
    </row>
    <row r="4090" spans="4:16" x14ac:dyDescent="0.25">
      <c r="D4090" s="2"/>
      <c r="E4090" s="310"/>
      <c r="G4090" s="2"/>
      <c r="H4090" s="310"/>
      <c r="I4090" s="2"/>
      <c r="O4090" s="2"/>
      <c r="P4090" s="2"/>
    </row>
    <row r="4091" spans="4:16" x14ac:dyDescent="0.25">
      <c r="D4091" s="2"/>
      <c r="E4091" s="310"/>
      <c r="G4091" s="2"/>
      <c r="H4091" s="310"/>
      <c r="I4091" s="2"/>
      <c r="O4091" s="2"/>
      <c r="P4091" s="2"/>
    </row>
    <row r="4092" spans="4:16" x14ac:dyDescent="0.25">
      <c r="D4092" s="2"/>
      <c r="E4092" s="310"/>
      <c r="G4092" s="2"/>
      <c r="H4092" s="310"/>
      <c r="I4092" s="2"/>
      <c r="O4092" s="2"/>
      <c r="P4092" s="2"/>
    </row>
    <row r="4093" spans="4:16" x14ac:dyDescent="0.25">
      <c r="D4093" s="2"/>
      <c r="E4093" s="310"/>
      <c r="G4093" s="2"/>
      <c r="H4093" s="310"/>
      <c r="I4093" s="2"/>
      <c r="O4093" s="2"/>
      <c r="P4093" s="2"/>
    </row>
    <row r="4094" spans="4:16" x14ac:dyDescent="0.25">
      <c r="D4094" s="2"/>
      <c r="E4094" s="310"/>
      <c r="G4094" s="2"/>
      <c r="H4094" s="310"/>
      <c r="I4094" s="2"/>
      <c r="O4094" s="2"/>
      <c r="P4094" s="2"/>
    </row>
    <row r="4095" spans="4:16" x14ac:dyDescent="0.25">
      <c r="D4095" s="2"/>
      <c r="E4095" s="310"/>
      <c r="G4095" s="2"/>
      <c r="H4095" s="310"/>
      <c r="I4095" s="2"/>
      <c r="O4095" s="2"/>
      <c r="P4095" s="2"/>
    </row>
    <row r="4096" spans="4:16" x14ac:dyDescent="0.25">
      <c r="D4096" s="2"/>
      <c r="E4096" s="310"/>
      <c r="G4096" s="2"/>
      <c r="H4096" s="310"/>
      <c r="I4096" s="2"/>
      <c r="O4096" s="2"/>
      <c r="P4096" s="2"/>
    </row>
    <row r="4097" spans="4:16" x14ac:dyDescent="0.25">
      <c r="D4097" s="2"/>
      <c r="E4097" s="310"/>
      <c r="G4097" s="2"/>
      <c r="H4097" s="310"/>
      <c r="I4097" s="2"/>
      <c r="O4097" s="2"/>
      <c r="P4097" s="2"/>
    </row>
    <row r="4098" spans="4:16" x14ac:dyDescent="0.25">
      <c r="D4098" s="2"/>
      <c r="E4098" s="310"/>
      <c r="G4098" s="2"/>
      <c r="H4098" s="310"/>
      <c r="I4098" s="2"/>
      <c r="O4098" s="2"/>
      <c r="P4098" s="2"/>
    </row>
    <row r="4099" spans="4:16" x14ac:dyDescent="0.25">
      <c r="D4099" s="2"/>
      <c r="E4099" s="310"/>
      <c r="G4099" s="2"/>
      <c r="H4099" s="310"/>
      <c r="I4099" s="2"/>
      <c r="O4099" s="2"/>
      <c r="P4099" s="2"/>
    </row>
    <row r="4100" spans="4:16" x14ac:dyDescent="0.25">
      <c r="D4100" s="2"/>
      <c r="E4100" s="310"/>
      <c r="G4100" s="2"/>
      <c r="H4100" s="310"/>
      <c r="I4100" s="2"/>
      <c r="O4100" s="2"/>
      <c r="P4100" s="2"/>
    </row>
    <row r="4101" spans="4:16" x14ac:dyDescent="0.25">
      <c r="D4101" s="2"/>
      <c r="E4101" s="310"/>
      <c r="G4101" s="2"/>
      <c r="H4101" s="310"/>
      <c r="I4101" s="2"/>
      <c r="O4101" s="2"/>
      <c r="P4101" s="2"/>
    </row>
    <row r="4102" spans="4:16" x14ac:dyDescent="0.25">
      <c r="D4102" s="2"/>
      <c r="E4102" s="310"/>
      <c r="G4102" s="2"/>
      <c r="H4102" s="310"/>
      <c r="I4102" s="2"/>
      <c r="O4102" s="2"/>
      <c r="P4102" s="2"/>
    </row>
    <row r="4103" spans="4:16" x14ac:dyDescent="0.25">
      <c r="D4103" s="2"/>
      <c r="E4103" s="310"/>
      <c r="G4103" s="2"/>
      <c r="H4103" s="310"/>
      <c r="I4103" s="2"/>
      <c r="O4103" s="2"/>
      <c r="P4103" s="2"/>
    </row>
    <row r="4104" spans="4:16" x14ac:dyDescent="0.25">
      <c r="D4104" s="2"/>
      <c r="E4104" s="310"/>
      <c r="G4104" s="2"/>
      <c r="H4104" s="310"/>
      <c r="I4104" s="2"/>
      <c r="O4104" s="2"/>
      <c r="P4104" s="2"/>
    </row>
    <row r="4105" spans="4:16" x14ac:dyDescent="0.25">
      <c r="D4105" s="2"/>
      <c r="E4105" s="310"/>
      <c r="G4105" s="2"/>
      <c r="H4105" s="310"/>
      <c r="I4105" s="2"/>
      <c r="O4105" s="2"/>
      <c r="P4105" s="2"/>
    </row>
    <row r="4106" spans="4:16" x14ac:dyDescent="0.25">
      <c r="D4106" s="2"/>
      <c r="E4106" s="310"/>
      <c r="G4106" s="2"/>
      <c r="H4106" s="310"/>
      <c r="I4106" s="2"/>
      <c r="O4106" s="2"/>
      <c r="P4106" s="2"/>
    </row>
    <row r="4107" spans="4:16" x14ac:dyDescent="0.25">
      <c r="D4107" s="2"/>
      <c r="E4107" s="310"/>
      <c r="G4107" s="2"/>
      <c r="H4107" s="310"/>
      <c r="I4107" s="2"/>
      <c r="O4107" s="2"/>
      <c r="P4107" s="2"/>
    </row>
    <row r="4108" spans="4:16" x14ac:dyDescent="0.25">
      <c r="D4108" s="2"/>
      <c r="E4108" s="310"/>
      <c r="G4108" s="2"/>
      <c r="H4108" s="310"/>
      <c r="I4108" s="2"/>
      <c r="O4108" s="2"/>
      <c r="P4108" s="2"/>
    </row>
    <row r="4109" spans="4:16" x14ac:dyDescent="0.25">
      <c r="D4109" s="2"/>
      <c r="E4109" s="310"/>
      <c r="G4109" s="2"/>
      <c r="H4109" s="310"/>
      <c r="I4109" s="2"/>
      <c r="O4109" s="2"/>
      <c r="P4109" s="2"/>
    </row>
    <row r="4110" spans="4:16" x14ac:dyDescent="0.25">
      <c r="D4110" s="2"/>
      <c r="E4110" s="310"/>
      <c r="G4110" s="2"/>
      <c r="H4110" s="310"/>
      <c r="I4110" s="2"/>
      <c r="O4110" s="2"/>
      <c r="P4110" s="2"/>
    </row>
    <row r="4111" spans="4:16" x14ac:dyDescent="0.25">
      <c r="D4111" s="2"/>
      <c r="E4111" s="310"/>
      <c r="G4111" s="2"/>
      <c r="H4111" s="310"/>
      <c r="I4111" s="2"/>
      <c r="O4111" s="2"/>
      <c r="P4111" s="2"/>
    </row>
    <row r="4112" spans="4:16" x14ac:dyDescent="0.25">
      <c r="D4112" s="2"/>
      <c r="E4112" s="310"/>
      <c r="G4112" s="2"/>
      <c r="H4112" s="310"/>
      <c r="I4112" s="2"/>
      <c r="O4112" s="2"/>
      <c r="P4112" s="2"/>
    </row>
    <row r="4113" spans="4:16" x14ac:dyDescent="0.25">
      <c r="D4113" s="2"/>
      <c r="E4113" s="310"/>
      <c r="G4113" s="2"/>
      <c r="H4113" s="310"/>
      <c r="I4113" s="2"/>
      <c r="O4113" s="2"/>
      <c r="P4113" s="2"/>
    </row>
    <row r="4114" spans="4:16" x14ac:dyDescent="0.25">
      <c r="D4114" s="2"/>
      <c r="E4114" s="310"/>
      <c r="G4114" s="2"/>
      <c r="H4114" s="310"/>
      <c r="I4114" s="2"/>
      <c r="O4114" s="2"/>
      <c r="P4114" s="2"/>
    </row>
    <row r="4115" spans="4:16" x14ac:dyDescent="0.25">
      <c r="D4115" s="2"/>
      <c r="E4115" s="310"/>
      <c r="G4115" s="2"/>
      <c r="H4115" s="310"/>
      <c r="I4115" s="2"/>
      <c r="O4115" s="2"/>
      <c r="P4115" s="2"/>
    </row>
    <row r="4116" spans="4:16" x14ac:dyDescent="0.25">
      <c r="D4116" s="2"/>
      <c r="E4116" s="310"/>
      <c r="G4116" s="2"/>
      <c r="H4116" s="310"/>
      <c r="I4116" s="2"/>
      <c r="O4116" s="2"/>
      <c r="P4116" s="2"/>
    </row>
    <row r="4117" spans="4:16" x14ac:dyDescent="0.25">
      <c r="D4117" s="2"/>
      <c r="E4117" s="310"/>
      <c r="G4117" s="2"/>
      <c r="H4117" s="310"/>
      <c r="I4117" s="2"/>
      <c r="O4117" s="2"/>
      <c r="P4117" s="2"/>
    </row>
    <row r="4118" spans="4:16" x14ac:dyDescent="0.25">
      <c r="D4118" s="2"/>
      <c r="E4118" s="310"/>
      <c r="G4118" s="2"/>
      <c r="H4118" s="310"/>
      <c r="I4118" s="2"/>
      <c r="O4118" s="2"/>
      <c r="P4118" s="2"/>
    </row>
    <row r="4119" spans="4:16" x14ac:dyDescent="0.25">
      <c r="D4119" s="2"/>
      <c r="E4119" s="310"/>
      <c r="G4119" s="2"/>
      <c r="H4119" s="310"/>
      <c r="I4119" s="2"/>
      <c r="O4119" s="2"/>
      <c r="P4119" s="2"/>
    </row>
    <row r="4120" spans="4:16" x14ac:dyDescent="0.25">
      <c r="D4120" s="2"/>
      <c r="E4120" s="310"/>
      <c r="G4120" s="2"/>
      <c r="H4120" s="310"/>
      <c r="I4120" s="2"/>
      <c r="O4120" s="2"/>
      <c r="P4120" s="2"/>
    </row>
    <row r="4121" spans="4:16" x14ac:dyDescent="0.25">
      <c r="D4121" s="2"/>
      <c r="E4121" s="310"/>
      <c r="G4121" s="2"/>
      <c r="H4121" s="310"/>
      <c r="I4121" s="2"/>
      <c r="O4121" s="2"/>
      <c r="P4121" s="2"/>
    </row>
    <row r="4122" spans="4:16" x14ac:dyDescent="0.25">
      <c r="D4122" s="2"/>
      <c r="E4122" s="310"/>
      <c r="G4122" s="2"/>
      <c r="H4122" s="310"/>
      <c r="I4122" s="2"/>
      <c r="O4122" s="2"/>
      <c r="P4122" s="2"/>
    </row>
    <row r="4123" spans="4:16" x14ac:dyDescent="0.25">
      <c r="D4123" s="2"/>
      <c r="E4123" s="310"/>
      <c r="G4123" s="2"/>
      <c r="H4123" s="310"/>
      <c r="I4123" s="2"/>
      <c r="O4123" s="2"/>
      <c r="P4123" s="2"/>
    </row>
    <row r="4124" spans="4:16" x14ac:dyDescent="0.25">
      <c r="D4124" s="2"/>
      <c r="E4124" s="310"/>
      <c r="G4124" s="2"/>
      <c r="H4124" s="310"/>
      <c r="I4124" s="2"/>
      <c r="O4124" s="2"/>
      <c r="P4124" s="2"/>
    </row>
    <row r="4125" spans="4:16" x14ac:dyDescent="0.25">
      <c r="D4125" s="2"/>
      <c r="E4125" s="310"/>
      <c r="G4125" s="2"/>
      <c r="H4125" s="310"/>
      <c r="I4125" s="2"/>
      <c r="O4125" s="2"/>
      <c r="P4125" s="2"/>
    </row>
    <row r="4126" spans="4:16" x14ac:dyDescent="0.25">
      <c r="D4126" s="2"/>
      <c r="E4126" s="310"/>
      <c r="G4126" s="2"/>
      <c r="H4126" s="310"/>
      <c r="I4126" s="2"/>
      <c r="O4126" s="2"/>
      <c r="P4126" s="2"/>
    </row>
    <row r="4127" spans="4:16" x14ac:dyDescent="0.25">
      <c r="D4127" s="2"/>
      <c r="E4127" s="310"/>
      <c r="G4127" s="2"/>
      <c r="H4127" s="310"/>
      <c r="I4127" s="2"/>
      <c r="O4127" s="2"/>
      <c r="P4127" s="2"/>
    </row>
    <row r="4128" spans="4:16" x14ac:dyDescent="0.25">
      <c r="D4128" s="2"/>
      <c r="E4128" s="310"/>
      <c r="G4128" s="2"/>
      <c r="H4128" s="310"/>
      <c r="I4128" s="2"/>
      <c r="O4128" s="2"/>
      <c r="P4128" s="2"/>
    </row>
    <row r="4129" spans="4:16" x14ac:dyDescent="0.25">
      <c r="D4129" s="2"/>
      <c r="E4129" s="310"/>
      <c r="G4129" s="2"/>
      <c r="H4129" s="310"/>
      <c r="I4129" s="2"/>
      <c r="O4129" s="2"/>
      <c r="P4129" s="2"/>
    </row>
    <row r="4130" spans="4:16" x14ac:dyDescent="0.25">
      <c r="D4130" s="2"/>
      <c r="E4130" s="310"/>
      <c r="G4130" s="2"/>
      <c r="H4130" s="310"/>
      <c r="I4130" s="2"/>
      <c r="O4130" s="2"/>
      <c r="P4130" s="2"/>
    </row>
    <row r="4131" spans="4:16" x14ac:dyDescent="0.25">
      <c r="D4131" s="2"/>
      <c r="E4131" s="310"/>
      <c r="G4131" s="2"/>
      <c r="H4131" s="310"/>
      <c r="I4131" s="2"/>
      <c r="O4131" s="2"/>
      <c r="P4131" s="2"/>
    </row>
    <row r="4132" spans="4:16" x14ac:dyDescent="0.25">
      <c r="D4132" s="2"/>
      <c r="E4132" s="310"/>
      <c r="G4132" s="2"/>
      <c r="H4132" s="310"/>
      <c r="I4132" s="2"/>
      <c r="O4132" s="2"/>
      <c r="P4132" s="2"/>
    </row>
    <row r="4133" spans="4:16" x14ac:dyDescent="0.25">
      <c r="D4133" s="2"/>
      <c r="E4133" s="310"/>
      <c r="G4133" s="2"/>
      <c r="H4133" s="310"/>
      <c r="I4133" s="2"/>
      <c r="O4133" s="2"/>
      <c r="P4133" s="2"/>
    </row>
    <row r="4134" spans="4:16" x14ac:dyDescent="0.25">
      <c r="D4134" s="2"/>
      <c r="E4134" s="310"/>
      <c r="G4134" s="2"/>
      <c r="H4134" s="310"/>
      <c r="I4134" s="2"/>
      <c r="O4134" s="2"/>
      <c r="P4134" s="2"/>
    </row>
    <row r="4135" spans="4:16" x14ac:dyDescent="0.25">
      <c r="D4135" s="2"/>
      <c r="E4135" s="310"/>
      <c r="G4135" s="2"/>
      <c r="H4135" s="310"/>
      <c r="I4135" s="2"/>
      <c r="O4135" s="2"/>
      <c r="P4135" s="2"/>
    </row>
    <row r="4136" spans="4:16" x14ac:dyDescent="0.25">
      <c r="D4136" s="2"/>
      <c r="E4136" s="310"/>
      <c r="G4136" s="2"/>
      <c r="H4136" s="310"/>
      <c r="I4136" s="2"/>
      <c r="O4136" s="2"/>
      <c r="P4136" s="2"/>
    </row>
    <row r="4137" spans="4:16" x14ac:dyDescent="0.25">
      <c r="D4137" s="2"/>
      <c r="E4137" s="310"/>
      <c r="G4137" s="2"/>
      <c r="H4137" s="310"/>
      <c r="I4137" s="2"/>
      <c r="O4137" s="2"/>
      <c r="P4137" s="2"/>
    </row>
    <row r="4138" spans="4:16" x14ac:dyDescent="0.25">
      <c r="D4138" s="2"/>
      <c r="E4138" s="310"/>
      <c r="G4138" s="2"/>
      <c r="H4138" s="310"/>
      <c r="I4138" s="2"/>
      <c r="O4138" s="2"/>
      <c r="P4138" s="2"/>
    </row>
    <row r="4139" spans="4:16" x14ac:dyDescent="0.25">
      <c r="D4139" s="2"/>
      <c r="E4139" s="310"/>
      <c r="G4139" s="2"/>
      <c r="H4139" s="310"/>
      <c r="I4139" s="2"/>
      <c r="O4139" s="2"/>
      <c r="P4139" s="2"/>
    </row>
    <row r="4140" spans="4:16" x14ac:dyDescent="0.25">
      <c r="D4140" s="2"/>
      <c r="E4140" s="310"/>
      <c r="G4140" s="2"/>
      <c r="H4140" s="310"/>
      <c r="I4140" s="2"/>
      <c r="O4140" s="2"/>
      <c r="P4140" s="2"/>
    </row>
    <row r="4141" spans="4:16" x14ac:dyDescent="0.25">
      <c r="D4141" s="2"/>
      <c r="E4141" s="310"/>
      <c r="G4141" s="2"/>
      <c r="H4141" s="310"/>
      <c r="I4141" s="2"/>
      <c r="O4141" s="2"/>
      <c r="P4141" s="2"/>
    </row>
    <row r="4142" spans="4:16" x14ac:dyDescent="0.25">
      <c r="D4142" s="2"/>
      <c r="E4142" s="310"/>
      <c r="G4142" s="2"/>
      <c r="H4142" s="310"/>
      <c r="I4142" s="2"/>
      <c r="O4142" s="2"/>
      <c r="P4142" s="2"/>
    </row>
    <row r="4143" spans="4:16" x14ac:dyDescent="0.25">
      <c r="D4143" s="2"/>
      <c r="E4143" s="310"/>
      <c r="G4143" s="2"/>
      <c r="H4143" s="310"/>
      <c r="I4143" s="2"/>
      <c r="O4143" s="2"/>
      <c r="P4143" s="2"/>
    </row>
    <row r="4144" spans="4:16" x14ac:dyDescent="0.25">
      <c r="D4144" s="2"/>
      <c r="E4144" s="310"/>
      <c r="G4144" s="2"/>
      <c r="H4144" s="310"/>
      <c r="I4144" s="2"/>
      <c r="O4144" s="2"/>
      <c r="P4144" s="2"/>
    </row>
    <row r="4145" spans="4:16" x14ac:dyDescent="0.25">
      <c r="D4145" s="2"/>
      <c r="E4145" s="310"/>
      <c r="G4145" s="2"/>
      <c r="H4145" s="310"/>
      <c r="I4145" s="2"/>
      <c r="O4145" s="2"/>
      <c r="P4145" s="2"/>
    </row>
    <row r="4146" spans="4:16" x14ac:dyDescent="0.25">
      <c r="D4146" s="2"/>
      <c r="E4146" s="310"/>
      <c r="G4146" s="2"/>
      <c r="H4146" s="310"/>
      <c r="I4146" s="2"/>
      <c r="O4146" s="2"/>
      <c r="P4146" s="2"/>
    </row>
    <row r="4147" spans="4:16" x14ac:dyDescent="0.25">
      <c r="D4147" s="2"/>
      <c r="E4147" s="310"/>
      <c r="G4147" s="2"/>
      <c r="H4147" s="310"/>
      <c r="I4147" s="2"/>
      <c r="O4147" s="2"/>
      <c r="P4147" s="2"/>
    </row>
    <row r="4148" spans="4:16" x14ac:dyDescent="0.25">
      <c r="D4148" s="2"/>
      <c r="E4148" s="310"/>
      <c r="G4148" s="2"/>
      <c r="H4148" s="310"/>
      <c r="I4148" s="2"/>
      <c r="O4148" s="2"/>
      <c r="P4148" s="2"/>
    </row>
    <row r="4149" spans="4:16" x14ac:dyDescent="0.25">
      <c r="D4149" s="2"/>
      <c r="E4149" s="310"/>
      <c r="G4149" s="2"/>
      <c r="H4149" s="310"/>
      <c r="I4149" s="2"/>
      <c r="O4149" s="2"/>
      <c r="P4149" s="2"/>
    </row>
    <row r="4150" spans="4:16" x14ac:dyDescent="0.25">
      <c r="D4150" s="2"/>
      <c r="E4150" s="310"/>
      <c r="G4150" s="2"/>
      <c r="H4150" s="310"/>
      <c r="I4150" s="2"/>
      <c r="O4150" s="2"/>
      <c r="P4150" s="2"/>
    </row>
    <row r="4151" spans="4:16" x14ac:dyDescent="0.25">
      <c r="D4151" s="2"/>
      <c r="E4151" s="310"/>
      <c r="G4151" s="2"/>
      <c r="H4151" s="310"/>
      <c r="I4151" s="2"/>
      <c r="O4151" s="2"/>
      <c r="P4151" s="2"/>
    </row>
    <row r="4152" spans="4:16" x14ac:dyDescent="0.25">
      <c r="D4152" s="2"/>
      <c r="E4152" s="310"/>
      <c r="G4152" s="2"/>
      <c r="H4152" s="310"/>
      <c r="I4152" s="2"/>
      <c r="O4152" s="2"/>
      <c r="P4152" s="2"/>
    </row>
    <row r="4153" spans="4:16" x14ac:dyDescent="0.25">
      <c r="D4153" s="2"/>
      <c r="E4153" s="310"/>
      <c r="G4153" s="2"/>
      <c r="H4153" s="310"/>
      <c r="I4153" s="2"/>
      <c r="O4153" s="2"/>
      <c r="P4153" s="2"/>
    </row>
    <row r="4154" spans="4:16" x14ac:dyDescent="0.25">
      <c r="D4154" s="2"/>
      <c r="E4154" s="310"/>
      <c r="G4154" s="2"/>
      <c r="H4154" s="310"/>
      <c r="I4154" s="2"/>
      <c r="O4154" s="2"/>
      <c r="P4154" s="2"/>
    </row>
    <row r="4155" spans="4:16" x14ac:dyDescent="0.25">
      <c r="D4155" s="2"/>
      <c r="E4155" s="310"/>
      <c r="G4155" s="2"/>
      <c r="H4155" s="310"/>
      <c r="I4155" s="2"/>
      <c r="O4155" s="2"/>
      <c r="P4155" s="2"/>
    </row>
    <row r="4156" spans="4:16" x14ac:dyDescent="0.25">
      <c r="D4156" s="2"/>
      <c r="E4156" s="310"/>
      <c r="G4156" s="2"/>
      <c r="H4156" s="310"/>
      <c r="I4156" s="2"/>
      <c r="O4156" s="2"/>
      <c r="P4156" s="2"/>
    </row>
    <row r="4157" spans="4:16" x14ac:dyDescent="0.25">
      <c r="D4157" s="2"/>
      <c r="E4157" s="310"/>
      <c r="G4157" s="2"/>
      <c r="H4157" s="310"/>
      <c r="I4157" s="2"/>
      <c r="O4157" s="2"/>
      <c r="P4157" s="2"/>
    </row>
    <row r="4158" spans="4:16" x14ac:dyDescent="0.25">
      <c r="D4158" s="2"/>
      <c r="E4158" s="310"/>
      <c r="G4158" s="2"/>
      <c r="H4158" s="310"/>
      <c r="I4158" s="2"/>
      <c r="O4158" s="2"/>
      <c r="P4158" s="2"/>
    </row>
    <row r="4159" spans="4:16" x14ac:dyDescent="0.25">
      <c r="D4159" s="2"/>
      <c r="E4159" s="310"/>
      <c r="G4159" s="2"/>
      <c r="H4159" s="310"/>
      <c r="I4159" s="2"/>
      <c r="O4159" s="2"/>
      <c r="P4159" s="2"/>
    </row>
    <row r="4160" spans="4:16" x14ac:dyDescent="0.25">
      <c r="D4160" s="2"/>
      <c r="E4160" s="310"/>
      <c r="G4160" s="2"/>
      <c r="H4160" s="310"/>
      <c r="I4160" s="2"/>
      <c r="O4160" s="2"/>
      <c r="P4160" s="2"/>
    </row>
    <row r="4161" spans="4:16" x14ac:dyDescent="0.25">
      <c r="D4161" s="2"/>
      <c r="E4161" s="310"/>
      <c r="G4161" s="2"/>
      <c r="H4161" s="310"/>
      <c r="I4161" s="2"/>
      <c r="O4161" s="2"/>
      <c r="P4161" s="2"/>
    </row>
    <row r="4162" spans="4:16" x14ac:dyDescent="0.25">
      <c r="D4162" s="2"/>
      <c r="E4162" s="310"/>
      <c r="G4162" s="2"/>
      <c r="H4162" s="310"/>
      <c r="I4162" s="2"/>
      <c r="O4162" s="2"/>
      <c r="P4162" s="2"/>
    </row>
    <row r="4163" spans="4:16" x14ac:dyDescent="0.25">
      <c r="D4163" s="2"/>
      <c r="E4163" s="310"/>
      <c r="G4163" s="2"/>
      <c r="H4163" s="310"/>
      <c r="I4163" s="2"/>
      <c r="O4163" s="2"/>
      <c r="P4163" s="2"/>
    </row>
    <row r="4164" spans="4:16" x14ac:dyDescent="0.25">
      <c r="D4164" s="2"/>
      <c r="E4164" s="310"/>
      <c r="G4164" s="2"/>
      <c r="H4164" s="310"/>
      <c r="I4164" s="2"/>
      <c r="O4164" s="2"/>
      <c r="P4164" s="2"/>
    </row>
    <row r="4165" spans="4:16" x14ac:dyDescent="0.25">
      <c r="D4165" s="2"/>
      <c r="E4165" s="310"/>
      <c r="G4165" s="2"/>
      <c r="H4165" s="310"/>
      <c r="I4165" s="2"/>
      <c r="O4165" s="2"/>
      <c r="P4165" s="2"/>
    </row>
    <row r="4166" spans="4:16" x14ac:dyDescent="0.25">
      <c r="D4166" s="2"/>
      <c r="E4166" s="310"/>
      <c r="G4166" s="2"/>
      <c r="H4166" s="310"/>
      <c r="I4166" s="2"/>
      <c r="O4166" s="2"/>
      <c r="P4166" s="2"/>
    </row>
    <row r="4167" spans="4:16" x14ac:dyDescent="0.25">
      <c r="D4167" s="2"/>
      <c r="E4167" s="310"/>
      <c r="G4167" s="2"/>
      <c r="H4167" s="310"/>
      <c r="I4167" s="2"/>
      <c r="O4167" s="2"/>
      <c r="P4167" s="2"/>
    </row>
    <row r="4168" spans="4:16" x14ac:dyDescent="0.25">
      <c r="D4168" s="2"/>
      <c r="E4168" s="310"/>
      <c r="G4168" s="2"/>
      <c r="H4168" s="310"/>
      <c r="I4168" s="2"/>
      <c r="O4168" s="2"/>
      <c r="P4168" s="2"/>
    </row>
    <row r="4169" spans="4:16" x14ac:dyDescent="0.25">
      <c r="D4169" s="2"/>
      <c r="E4169" s="310"/>
      <c r="G4169" s="2"/>
      <c r="H4169" s="310"/>
      <c r="I4169" s="2"/>
      <c r="O4169" s="2"/>
      <c r="P4169" s="2"/>
    </row>
    <row r="4170" spans="4:16" x14ac:dyDescent="0.25">
      <c r="D4170" s="2"/>
      <c r="E4170" s="310"/>
      <c r="G4170" s="2"/>
      <c r="H4170" s="310"/>
      <c r="I4170" s="2"/>
      <c r="O4170" s="2"/>
      <c r="P4170" s="2"/>
    </row>
    <row r="4171" spans="4:16" x14ac:dyDescent="0.25">
      <c r="D4171" s="2"/>
      <c r="E4171" s="310"/>
      <c r="G4171" s="2"/>
      <c r="H4171" s="310"/>
      <c r="I4171" s="2"/>
      <c r="O4171" s="2"/>
      <c r="P4171" s="2"/>
    </row>
    <row r="4172" spans="4:16" x14ac:dyDescent="0.25">
      <c r="D4172" s="2"/>
      <c r="E4172" s="310"/>
      <c r="G4172" s="2"/>
      <c r="H4172" s="310"/>
      <c r="I4172" s="2"/>
      <c r="O4172" s="2"/>
      <c r="P4172" s="2"/>
    </row>
    <row r="4173" spans="4:16" x14ac:dyDescent="0.25">
      <c r="D4173" s="2"/>
      <c r="E4173" s="310"/>
      <c r="G4173" s="2"/>
      <c r="H4173" s="310"/>
      <c r="I4173" s="2"/>
      <c r="O4173" s="2"/>
      <c r="P4173" s="2"/>
    </row>
    <row r="4174" spans="4:16" x14ac:dyDescent="0.25">
      <c r="D4174" s="2"/>
      <c r="E4174" s="310"/>
      <c r="G4174" s="2"/>
      <c r="H4174" s="310"/>
      <c r="I4174" s="2"/>
      <c r="O4174" s="2"/>
      <c r="P4174" s="2"/>
    </row>
    <row r="4175" spans="4:16" x14ac:dyDescent="0.25">
      <c r="D4175" s="2"/>
      <c r="E4175" s="310"/>
      <c r="G4175" s="2"/>
      <c r="H4175" s="310"/>
      <c r="I4175" s="2"/>
      <c r="O4175" s="2"/>
      <c r="P4175" s="2"/>
    </row>
    <row r="4176" spans="4:16" x14ac:dyDescent="0.25">
      <c r="D4176" s="2"/>
      <c r="E4176" s="310"/>
      <c r="G4176" s="2"/>
      <c r="H4176" s="310"/>
      <c r="I4176" s="2"/>
      <c r="O4176" s="2"/>
      <c r="P4176" s="2"/>
    </row>
    <row r="4177" spans="4:16" x14ac:dyDescent="0.25">
      <c r="D4177" s="2"/>
      <c r="E4177" s="310"/>
      <c r="G4177" s="2"/>
      <c r="H4177" s="310"/>
      <c r="I4177" s="2"/>
      <c r="O4177" s="2"/>
      <c r="P4177" s="2"/>
    </row>
    <row r="4178" spans="4:16" x14ac:dyDescent="0.25">
      <c r="D4178" s="2"/>
      <c r="E4178" s="310"/>
      <c r="G4178" s="2"/>
      <c r="H4178" s="310"/>
      <c r="I4178" s="2"/>
      <c r="O4178" s="2"/>
      <c r="P4178" s="2"/>
    </row>
    <row r="4179" spans="4:16" x14ac:dyDescent="0.25">
      <c r="D4179" s="2"/>
      <c r="E4179" s="310"/>
      <c r="G4179" s="2"/>
      <c r="H4179" s="310"/>
      <c r="I4179" s="2"/>
      <c r="O4179" s="2"/>
      <c r="P4179" s="2"/>
    </row>
    <row r="4180" spans="4:16" x14ac:dyDescent="0.25">
      <c r="D4180" s="2"/>
      <c r="E4180" s="310"/>
      <c r="G4180" s="2"/>
      <c r="H4180" s="310"/>
      <c r="I4180" s="2"/>
      <c r="O4180" s="2"/>
      <c r="P4180" s="2"/>
    </row>
    <row r="4181" spans="4:16" x14ac:dyDescent="0.25">
      <c r="D4181" s="2"/>
      <c r="E4181" s="310"/>
      <c r="G4181" s="2"/>
      <c r="H4181" s="310"/>
      <c r="I4181" s="2"/>
      <c r="O4181" s="2"/>
      <c r="P4181" s="2"/>
    </row>
    <row r="4182" spans="4:16" x14ac:dyDescent="0.25">
      <c r="D4182" s="2"/>
      <c r="E4182" s="310"/>
      <c r="G4182" s="2"/>
      <c r="H4182" s="310"/>
      <c r="I4182" s="2"/>
      <c r="O4182" s="2"/>
      <c r="P4182" s="2"/>
    </row>
    <row r="4183" spans="4:16" x14ac:dyDescent="0.25">
      <c r="D4183" s="2"/>
      <c r="E4183" s="310"/>
      <c r="G4183" s="2"/>
      <c r="H4183" s="310"/>
      <c r="I4183" s="2"/>
      <c r="O4183" s="2"/>
      <c r="P4183" s="2"/>
    </row>
    <row r="4184" spans="4:16" x14ac:dyDescent="0.25">
      <c r="D4184" s="2"/>
      <c r="E4184" s="310"/>
      <c r="G4184" s="2"/>
      <c r="H4184" s="310"/>
      <c r="I4184" s="2"/>
      <c r="O4184" s="2"/>
      <c r="P4184" s="2"/>
    </row>
    <row r="4185" spans="4:16" x14ac:dyDescent="0.25">
      <c r="D4185" s="2"/>
      <c r="E4185" s="310"/>
      <c r="G4185" s="2"/>
      <c r="H4185" s="310"/>
      <c r="I4185" s="2"/>
      <c r="O4185" s="2"/>
      <c r="P4185" s="2"/>
    </row>
    <row r="4186" spans="4:16" x14ac:dyDescent="0.25">
      <c r="D4186" s="2"/>
      <c r="E4186" s="310"/>
      <c r="G4186" s="2"/>
      <c r="H4186" s="310"/>
      <c r="I4186" s="2"/>
      <c r="O4186" s="2"/>
      <c r="P4186" s="2"/>
    </row>
    <row r="4187" spans="4:16" x14ac:dyDescent="0.25">
      <c r="D4187" s="2"/>
      <c r="E4187" s="310"/>
      <c r="G4187" s="2"/>
      <c r="H4187" s="310"/>
      <c r="I4187" s="2"/>
      <c r="O4187" s="2"/>
      <c r="P4187" s="2"/>
    </row>
    <row r="4188" spans="4:16" x14ac:dyDescent="0.25">
      <c r="D4188" s="2"/>
      <c r="E4188" s="310"/>
      <c r="G4188" s="2"/>
      <c r="H4188" s="310"/>
      <c r="I4188" s="2"/>
      <c r="O4188" s="2"/>
      <c r="P4188" s="2"/>
    </row>
    <row r="4189" spans="4:16" x14ac:dyDescent="0.25">
      <c r="D4189" s="2"/>
      <c r="E4189" s="310"/>
      <c r="G4189" s="2"/>
      <c r="H4189" s="310"/>
      <c r="I4189" s="2"/>
      <c r="O4189" s="2"/>
      <c r="P4189" s="2"/>
    </row>
    <row r="4190" spans="4:16" x14ac:dyDescent="0.25">
      <c r="D4190" s="2"/>
      <c r="E4190" s="310"/>
      <c r="G4190" s="2"/>
      <c r="H4190" s="310"/>
      <c r="I4190" s="2"/>
      <c r="O4190" s="2"/>
      <c r="P4190" s="2"/>
    </row>
    <row r="4191" spans="4:16" x14ac:dyDescent="0.25">
      <c r="D4191" s="2"/>
      <c r="E4191" s="310"/>
      <c r="G4191" s="2"/>
      <c r="H4191" s="310"/>
      <c r="I4191" s="2"/>
      <c r="O4191" s="2"/>
      <c r="P4191" s="2"/>
    </row>
    <row r="4192" spans="4:16" x14ac:dyDescent="0.25">
      <c r="D4192" s="2"/>
      <c r="E4192" s="310"/>
      <c r="G4192" s="2"/>
      <c r="H4192" s="310"/>
      <c r="I4192" s="2"/>
      <c r="O4192" s="2"/>
      <c r="P4192" s="2"/>
    </row>
    <row r="4193" spans="4:16" x14ac:dyDescent="0.25">
      <c r="D4193" s="2"/>
      <c r="E4193" s="310"/>
      <c r="G4193" s="2"/>
      <c r="H4193" s="310"/>
      <c r="I4193" s="2"/>
      <c r="O4193" s="2"/>
      <c r="P4193" s="2"/>
    </row>
    <row r="4194" spans="4:16" x14ac:dyDescent="0.25">
      <c r="D4194" s="2"/>
      <c r="E4194" s="310"/>
      <c r="G4194" s="2"/>
      <c r="H4194" s="310"/>
      <c r="I4194" s="2"/>
      <c r="O4194" s="2"/>
      <c r="P4194" s="2"/>
    </row>
    <row r="4195" spans="4:16" x14ac:dyDescent="0.25">
      <c r="D4195" s="2"/>
      <c r="E4195" s="310"/>
      <c r="G4195" s="2"/>
      <c r="H4195" s="310"/>
      <c r="I4195" s="2"/>
      <c r="O4195" s="2"/>
      <c r="P4195" s="2"/>
    </row>
    <row r="4196" spans="4:16" x14ac:dyDescent="0.25">
      <c r="D4196" s="2"/>
      <c r="E4196" s="310"/>
      <c r="G4196" s="2"/>
      <c r="H4196" s="310"/>
      <c r="I4196" s="2"/>
      <c r="O4196" s="2"/>
      <c r="P4196" s="2"/>
    </row>
    <row r="4197" spans="4:16" x14ac:dyDescent="0.25">
      <c r="D4197" s="2"/>
      <c r="E4197" s="310"/>
      <c r="G4197" s="2"/>
      <c r="H4197" s="310"/>
      <c r="I4197" s="2"/>
      <c r="O4197" s="2"/>
      <c r="P4197" s="2"/>
    </row>
    <row r="4198" spans="4:16" x14ac:dyDescent="0.25">
      <c r="D4198" s="2"/>
      <c r="E4198" s="310"/>
      <c r="G4198" s="2"/>
      <c r="H4198" s="310"/>
      <c r="I4198" s="2"/>
      <c r="O4198" s="2"/>
      <c r="P4198" s="2"/>
    </row>
    <row r="4199" spans="4:16" x14ac:dyDescent="0.25">
      <c r="D4199" s="2"/>
      <c r="E4199" s="310"/>
      <c r="G4199" s="2"/>
      <c r="H4199" s="310"/>
      <c r="I4199" s="2"/>
      <c r="O4199" s="2"/>
      <c r="P4199" s="2"/>
    </row>
    <row r="4200" spans="4:16" x14ac:dyDescent="0.25">
      <c r="D4200" s="2"/>
      <c r="E4200" s="310"/>
      <c r="G4200" s="2"/>
      <c r="H4200" s="310"/>
      <c r="I4200" s="2"/>
      <c r="O4200" s="2"/>
      <c r="P4200" s="2"/>
    </row>
    <row r="4202" spans="4:16" x14ac:dyDescent="0.25">
      <c r="D4202" s="2"/>
      <c r="E4202" s="310"/>
      <c r="G4202" s="2"/>
      <c r="H4202" s="310"/>
      <c r="I4202" s="2"/>
      <c r="O4202" s="2"/>
      <c r="P4202" s="2"/>
    </row>
    <row r="4203" spans="4:16" x14ac:dyDescent="0.25">
      <c r="D4203" s="2"/>
      <c r="E4203" s="310"/>
      <c r="G4203" s="2"/>
      <c r="H4203" s="310"/>
      <c r="I4203" s="2"/>
      <c r="O4203" s="2"/>
      <c r="P4203" s="2"/>
    </row>
    <row r="4205" spans="4:16" x14ac:dyDescent="0.25">
      <c r="D4205" s="2"/>
      <c r="E4205" s="310"/>
      <c r="G4205" s="2"/>
      <c r="H4205" s="310"/>
      <c r="I4205" s="2"/>
      <c r="O4205" s="2"/>
      <c r="P4205" s="2"/>
    </row>
    <row r="4206" spans="4:16" x14ac:dyDescent="0.25">
      <c r="D4206" s="2"/>
      <c r="E4206" s="310"/>
      <c r="G4206" s="2"/>
      <c r="H4206" s="310"/>
      <c r="I4206" s="2"/>
      <c r="O4206" s="2"/>
      <c r="P4206" s="2"/>
    </row>
    <row r="4207" spans="4:16" x14ac:dyDescent="0.25">
      <c r="D4207" s="2"/>
      <c r="E4207" s="310"/>
      <c r="G4207" s="2"/>
      <c r="H4207" s="310"/>
      <c r="I4207" s="2"/>
      <c r="O4207" s="2"/>
      <c r="P4207" s="2"/>
    </row>
    <row r="4208" spans="4:16" x14ac:dyDescent="0.25">
      <c r="D4208" s="2"/>
      <c r="E4208" s="310"/>
      <c r="G4208" s="2"/>
      <c r="H4208" s="310"/>
      <c r="I4208" s="2"/>
      <c r="O4208" s="2"/>
      <c r="P4208" s="2"/>
    </row>
    <row r="4209" spans="4:16" x14ac:dyDescent="0.25">
      <c r="D4209" s="2"/>
      <c r="E4209" s="310"/>
      <c r="G4209" s="2"/>
      <c r="H4209" s="310"/>
      <c r="I4209" s="2"/>
      <c r="O4209" s="2"/>
      <c r="P4209" s="2"/>
    </row>
    <row r="4210" spans="4:16" x14ac:dyDescent="0.25">
      <c r="D4210" s="2"/>
      <c r="E4210" s="310"/>
      <c r="G4210" s="2"/>
      <c r="H4210" s="310"/>
      <c r="I4210" s="2"/>
      <c r="O4210" s="2"/>
      <c r="P4210" s="2"/>
    </row>
    <row r="4211" spans="4:16" x14ac:dyDescent="0.25">
      <c r="D4211" s="2"/>
      <c r="E4211" s="310"/>
      <c r="G4211" s="2"/>
      <c r="H4211" s="310"/>
      <c r="I4211" s="2"/>
      <c r="O4211" s="2"/>
      <c r="P4211" s="2"/>
    </row>
    <row r="4212" spans="4:16" x14ac:dyDescent="0.25">
      <c r="D4212" s="2"/>
      <c r="E4212" s="310"/>
      <c r="G4212" s="2"/>
      <c r="H4212" s="310"/>
      <c r="I4212" s="2"/>
      <c r="O4212" s="2"/>
      <c r="P4212" s="2"/>
    </row>
    <row r="4213" spans="4:16" x14ac:dyDescent="0.25">
      <c r="D4213" s="2"/>
      <c r="E4213" s="310"/>
      <c r="G4213" s="2"/>
      <c r="H4213" s="310"/>
      <c r="I4213" s="2"/>
      <c r="O4213" s="2"/>
      <c r="P4213" s="2"/>
    </row>
    <row r="4214" spans="4:16" x14ac:dyDescent="0.25">
      <c r="D4214" s="2"/>
      <c r="E4214" s="310"/>
      <c r="G4214" s="2"/>
      <c r="H4214" s="310"/>
      <c r="I4214" s="2"/>
      <c r="O4214" s="2"/>
      <c r="P4214" s="2"/>
    </row>
    <row r="4215" spans="4:16" x14ac:dyDescent="0.25">
      <c r="D4215" s="2"/>
      <c r="E4215" s="310"/>
      <c r="G4215" s="2"/>
      <c r="H4215" s="310"/>
      <c r="I4215" s="2"/>
      <c r="O4215" s="2"/>
      <c r="P4215" s="2"/>
    </row>
    <row r="4216" spans="4:16" x14ac:dyDescent="0.25">
      <c r="D4216" s="2"/>
      <c r="E4216" s="310"/>
      <c r="G4216" s="2"/>
      <c r="H4216" s="310"/>
      <c r="I4216" s="2"/>
      <c r="O4216" s="2"/>
      <c r="P4216" s="2"/>
    </row>
    <row r="4217" spans="4:16" x14ac:dyDescent="0.25">
      <c r="D4217" s="2"/>
      <c r="E4217" s="310"/>
      <c r="G4217" s="2"/>
      <c r="H4217" s="310"/>
      <c r="I4217" s="2"/>
      <c r="O4217" s="2"/>
      <c r="P4217" s="2"/>
    </row>
    <row r="4218" spans="4:16" x14ac:dyDescent="0.25">
      <c r="D4218" s="2"/>
      <c r="E4218" s="310"/>
      <c r="G4218" s="2"/>
      <c r="H4218" s="310"/>
      <c r="I4218" s="2"/>
      <c r="O4218" s="2"/>
      <c r="P4218" s="2"/>
    </row>
    <row r="4219" spans="4:16" x14ac:dyDescent="0.25">
      <c r="D4219" s="2"/>
      <c r="E4219" s="310"/>
      <c r="G4219" s="2"/>
      <c r="H4219" s="310"/>
      <c r="I4219" s="2"/>
      <c r="O4219" s="2"/>
      <c r="P4219" s="2"/>
    </row>
    <row r="4220" spans="4:16" x14ac:dyDescent="0.25">
      <c r="D4220" s="2"/>
      <c r="E4220" s="310"/>
      <c r="G4220" s="2"/>
      <c r="H4220" s="310"/>
      <c r="I4220" s="2"/>
      <c r="O4220" s="2"/>
      <c r="P4220" s="2"/>
    </row>
    <row r="4221" spans="4:16" x14ac:dyDescent="0.25">
      <c r="D4221" s="2"/>
      <c r="E4221" s="310"/>
      <c r="G4221" s="2"/>
      <c r="H4221" s="310"/>
      <c r="I4221" s="2"/>
      <c r="O4221" s="2"/>
      <c r="P4221" s="2"/>
    </row>
    <row r="4222" spans="4:16" x14ac:dyDescent="0.25">
      <c r="D4222" s="2"/>
      <c r="E4222" s="310"/>
      <c r="G4222" s="2"/>
      <c r="H4222" s="310"/>
      <c r="I4222" s="2"/>
      <c r="O4222" s="2"/>
      <c r="P4222" s="2"/>
    </row>
    <row r="4223" spans="4:16" x14ac:dyDescent="0.25">
      <c r="D4223" s="2"/>
      <c r="E4223" s="310"/>
      <c r="G4223" s="2"/>
      <c r="H4223" s="310"/>
      <c r="I4223" s="2"/>
      <c r="O4223" s="2"/>
      <c r="P4223" s="2"/>
    </row>
    <row r="4224" spans="4:16" x14ac:dyDescent="0.25">
      <c r="D4224" s="2"/>
      <c r="E4224" s="310"/>
      <c r="G4224" s="2"/>
      <c r="H4224" s="310"/>
      <c r="I4224" s="2"/>
      <c r="O4224" s="2"/>
      <c r="P4224" s="2"/>
    </row>
    <row r="4225" spans="4:16" x14ac:dyDescent="0.25">
      <c r="D4225" s="2"/>
      <c r="E4225" s="310"/>
      <c r="G4225" s="2"/>
      <c r="H4225" s="310"/>
      <c r="I4225" s="2"/>
      <c r="O4225" s="2"/>
      <c r="P4225" s="2"/>
    </row>
    <row r="4226" spans="4:16" x14ac:dyDescent="0.25">
      <c r="D4226" s="2"/>
      <c r="E4226" s="310"/>
      <c r="G4226" s="2"/>
      <c r="H4226" s="310"/>
      <c r="I4226" s="2"/>
      <c r="O4226" s="2"/>
      <c r="P4226" s="2"/>
    </row>
    <row r="4227" spans="4:16" x14ac:dyDescent="0.25">
      <c r="D4227" s="2"/>
      <c r="E4227" s="310"/>
      <c r="G4227" s="2"/>
      <c r="H4227" s="310"/>
      <c r="I4227" s="2"/>
      <c r="O4227" s="2"/>
      <c r="P4227" s="2"/>
    </row>
    <row r="4228" spans="4:16" x14ac:dyDescent="0.25">
      <c r="D4228" s="2"/>
      <c r="E4228" s="310"/>
      <c r="G4228" s="2"/>
      <c r="H4228" s="310"/>
      <c r="I4228" s="2"/>
      <c r="O4228" s="2"/>
      <c r="P4228" s="2"/>
    </row>
    <row r="4229" spans="4:16" x14ac:dyDescent="0.25">
      <c r="D4229" s="2"/>
      <c r="E4229" s="310"/>
      <c r="G4229" s="2"/>
      <c r="H4229" s="310"/>
      <c r="I4229" s="2"/>
      <c r="O4229" s="2"/>
      <c r="P4229" s="2"/>
    </row>
    <row r="4230" spans="4:16" x14ac:dyDescent="0.25">
      <c r="D4230" s="2"/>
      <c r="E4230" s="310"/>
      <c r="G4230" s="2"/>
      <c r="H4230" s="310"/>
      <c r="I4230" s="2"/>
      <c r="O4230" s="2"/>
      <c r="P4230" s="2"/>
    </row>
    <row r="4231" spans="4:16" x14ac:dyDescent="0.25">
      <c r="D4231" s="2"/>
      <c r="E4231" s="310"/>
      <c r="G4231" s="2"/>
      <c r="H4231" s="310"/>
      <c r="I4231" s="2"/>
      <c r="O4231" s="2"/>
      <c r="P4231" s="2"/>
    </row>
    <row r="4232" spans="4:16" x14ac:dyDescent="0.25">
      <c r="D4232" s="2"/>
      <c r="E4232" s="310"/>
      <c r="G4232" s="2"/>
      <c r="H4232" s="310"/>
      <c r="I4232" s="2"/>
      <c r="O4232" s="2"/>
      <c r="P4232" s="2"/>
    </row>
    <row r="4233" spans="4:16" x14ac:dyDescent="0.25">
      <c r="D4233" s="2"/>
      <c r="E4233" s="310"/>
      <c r="G4233" s="2"/>
      <c r="H4233" s="310"/>
      <c r="I4233" s="2"/>
      <c r="O4233" s="2"/>
      <c r="P4233" s="2"/>
    </row>
    <row r="4234" spans="4:16" x14ac:dyDescent="0.25">
      <c r="D4234" s="2"/>
      <c r="E4234" s="310"/>
      <c r="G4234" s="2"/>
      <c r="H4234" s="310"/>
      <c r="I4234" s="2"/>
      <c r="O4234" s="2"/>
      <c r="P4234" s="2"/>
    </row>
    <row r="4235" spans="4:16" x14ac:dyDescent="0.25">
      <c r="D4235" s="2"/>
      <c r="E4235" s="310"/>
      <c r="G4235" s="2"/>
      <c r="H4235" s="310"/>
      <c r="I4235" s="2"/>
      <c r="O4235" s="2"/>
      <c r="P4235" s="2"/>
    </row>
    <row r="4236" spans="4:16" x14ac:dyDescent="0.25">
      <c r="D4236" s="2"/>
      <c r="E4236" s="310"/>
      <c r="G4236" s="2"/>
      <c r="H4236" s="310"/>
      <c r="I4236" s="2"/>
      <c r="O4236" s="2"/>
      <c r="P4236" s="2"/>
    </row>
    <row r="4237" spans="4:16" x14ac:dyDescent="0.25">
      <c r="D4237" s="2"/>
      <c r="E4237" s="310"/>
      <c r="G4237" s="2"/>
      <c r="H4237" s="310"/>
      <c r="I4237" s="2"/>
      <c r="O4237" s="2"/>
      <c r="P4237" s="2"/>
    </row>
    <row r="4238" spans="4:16" x14ac:dyDescent="0.25">
      <c r="D4238" s="2"/>
      <c r="E4238" s="310"/>
      <c r="G4238" s="2"/>
      <c r="H4238" s="310"/>
      <c r="I4238" s="2"/>
      <c r="O4238" s="2"/>
      <c r="P4238" s="2"/>
    </row>
    <row r="4239" spans="4:16" x14ac:dyDescent="0.25">
      <c r="D4239" s="2"/>
      <c r="E4239" s="310"/>
      <c r="G4239" s="2"/>
      <c r="H4239" s="310"/>
      <c r="I4239" s="2"/>
      <c r="O4239" s="2"/>
      <c r="P4239" s="2"/>
    </row>
    <row r="4240" spans="4:16" x14ac:dyDescent="0.25">
      <c r="D4240" s="2"/>
      <c r="E4240" s="310"/>
      <c r="G4240" s="2"/>
      <c r="H4240" s="310"/>
      <c r="I4240" s="2"/>
      <c r="O4240" s="2"/>
      <c r="P4240" s="2"/>
    </row>
    <row r="4241" spans="4:16" x14ac:dyDescent="0.25">
      <c r="D4241" s="2"/>
      <c r="E4241" s="310"/>
      <c r="G4241" s="2"/>
      <c r="H4241" s="310"/>
      <c r="I4241" s="2"/>
      <c r="O4241" s="2"/>
      <c r="P4241" s="2"/>
    </row>
    <row r="4242" spans="4:16" x14ac:dyDescent="0.25">
      <c r="D4242" s="2"/>
      <c r="E4242" s="310"/>
      <c r="G4242" s="2"/>
      <c r="H4242" s="310"/>
      <c r="I4242" s="2"/>
      <c r="O4242" s="2"/>
      <c r="P4242" s="2"/>
    </row>
    <row r="4243" spans="4:16" x14ac:dyDescent="0.25">
      <c r="D4243" s="2"/>
      <c r="E4243" s="310"/>
      <c r="G4243" s="2"/>
      <c r="H4243" s="310"/>
      <c r="I4243" s="2"/>
      <c r="O4243" s="2"/>
      <c r="P4243" s="2"/>
    </row>
    <row r="4244" spans="4:16" x14ac:dyDescent="0.25">
      <c r="D4244" s="2"/>
      <c r="E4244" s="310"/>
      <c r="G4244" s="2"/>
      <c r="H4244" s="310"/>
      <c r="I4244" s="2"/>
      <c r="O4244" s="2"/>
      <c r="P4244" s="2"/>
    </row>
    <row r="4245" spans="4:16" x14ac:dyDescent="0.25">
      <c r="D4245" s="2"/>
      <c r="E4245" s="310"/>
      <c r="G4245" s="2"/>
      <c r="H4245" s="310"/>
      <c r="I4245" s="2"/>
      <c r="O4245" s="2"/>
      <c r="P4245" s="2"/>
    </row>
    <row r="4246" spans="4:16" x14ac:dyDescent="0.25">
      <c r="D4246" s="2"/>
      <c r="E4246" s="310"/>
      <c r="G4246" s="2"/>
      <c r="H4246" s="310"/>
      <c r="I4246" s="2"/>
      <c r="O4246" s="2"/>
      <c r="P4246" s="2"/>
    </row>
    <row r="4247" spans="4:16" x14ac:dyDescent="0.25">
      <c r="D4247" s="2"/>
      <c r="E4247" s="310"/>
      <c r="G4247" s="2"/>
      <c r="H4247" s="310"/>
      <c r="I4247" s="2"/>
      <c r="O4247" s="2"/>
      <c r="P4247" s="2"/>
    </row>
    <row r="4248" spans="4:16" x14ac:dyDescent="0.25">
      <c r="D4248" s="2"/>
      <c r="E4248" s="310"/>
      <c r="G4248" s="2"/>
      <c r="H4248" s="310"/>
      <c r="I4248" s="2"/>
      <c r="O4248" s="2"/>
      <c r="P4248" s="2"/>
    </row>
    <row r="4249" spans="4:16" x14ac:dyDescent="0.25">
      <c r="D4249" s="2"/>
      <c r="E4249" s="310"/>
      <c r="G4249" s="2"/>
      <c r="H4249" s="310"/>
      <c r="I4249" s="2"/>
      <c r="O4249" s="2"/>
      <c r="P4249" s="2"/>
    </row>
    <row r="4250" spans="4:16" x14ac:dyDescent="0.25">
      <c r="D4250" s="2"/>
      <c r="E4250" s="310"/>
      <c r="G4250" s="2"/>
      <c r="H4250" s="310"/>
      <c r="I4250" s="2"/>
      <c r="O4250" s="2"/>
      <c r="P4250" s="2"/>
    </row>
    <row r="4251" spans="4:16" x14ac:dyDescent="0.25">
      <c r="D4251" s="2"/>
      <c r="E4251" s="310"/>
      <c r="G4251" s="2"/>
      <c r="H4251" s="310"/>
      <c r="I4251" s="2"/>
      <c r="O4251" s="2"/>
      <c r="P4251" s="2"/>
    </row>
    <row r="4252" spans="4:16" x14ac:dyDescent="0.25">
      <c r="D4252" s="2"/>
      <c r="E4252" s="310"/>
      <c r="G4252" s="2"/>
      <c r="H4252" s="310"/>
      <c r="I4252" s="2"/>
      <c r="O4252" s="2"/>
      <c r="P4252" s="2"/>
    </row>
    <row r="4253" spans="4:16" x14ac:dyDescent="0.25">
      <c r="D4253" s="2"/>
      <c r="E4253" s="310"/>
      <c r="G4253" s="2"/>
      <c r="H4253" s="310"/>
      <c r="I4253" s="2"/>
      <c r="O4253" s="2"/>
      <c r="P4253" s="2"/>
    </row>
    <row r="4254" spans="4:16" x14ac:dyDescent="0.25">
      <c r="D4254" s="2"/>
      <c r="E4254" s="310"/>
      <c r="G4254" s="2"/>
      <c r="H4254" s="310"/>
      <c r="I4254" s="2"/>
      <c r="O4254" s="2"/>
      <c r="P4254" s="2"/>
    </row>
    <row r="4255" spans="4:16" x14ac:dyDescent="0.25">
      <c r="D4255" s="2"/>
      <c r="E4255" s="310"/>
      <c r="G4255" s="2"/>
      <c r="H4255" s="310"/>
      <c r="I4255" s="2"/>
      <c r="O4255" s="2"/>
      <c r="P4255" s="2"/>
    </row>
    <row r="4256" spans="4:16" x14ac:dyDescent="0.25">
      <c r="D4256" s="2"/>
      <c r="E4256" s="310"/>
      <c r="G4256" s="2"/>
      <c r="H4256" s="310"/>
      <c r="I4256" s="2"/>
      <c r="O4256" s="2"/>
      <c r="P4256" s="2"/>
    </row>
    <row r="4257" spans="4:16" x14ac:dyDescent="0.25">
      <c r="D4257" s="2"/>
      <c r="E4257" s="310"/>
      <c r="G4257" s="2"/>
      <c r="H4257" s="310"/>
      <c r="I4257" s="2"/>
      <c r="O4257" s="2"/>
      <c r="P4257" s="2"/>
    </row>
    <row r="4258" spans="4:16" x14ac:dyDescent="0.25">
      <c r="D4258" s="2"/>
      <c r="E4258" s="310"/>
      <c r="G4258" s="2"/>
      <c r="H4258" s="310"/>
      <c r="I4258" s="2"/>
      <c r="O4258" s="2"/>
      <c r="P4258" s="2"/>
    </row>
    <row r="4259" spans="4:16" x14ac:dyDescent="0.25">
      <c r="D4259" s="2"/>
      <c r="E4259" s="310"/>
      <c r="G4259" s="2"/>
      <c r="H4259" s="310"/>
      <c r="I4259" s="2"/>
      <c r="O4259" s="2"/>
      <c r="P4259" s="2"/>
    </row>
    <row r="4260" spans="4:16" x14ac:dyDescent="0.25">
      <c r="D4260" s="2"/>
      <c r="E4260" s="310"/>
      <c r="G4260" s="2"/>
      <c r="H4260" s="310"/>
      <c r="I4260" s="2"/>
      <c r="O4260" s="2"/>
      <c r="P4260" s="2"/>
    </row>
    <row r="4261" spans="4:16" x14ac:dyDescent="0.25">
      <c r="D4261" s="2"/>
      <c r="E4261" s="310"/>
      <c r="G4261" s="2"/>
      <c r="H4261" s="310"/>
      <c r="I4261" s="2"/>
      <c r="O4261" s="2"/>
      <c r="P4261" s="2"/>
    </row>
    <row r="4262" spans="4:16" x14ac:dyDescent="0.25">
      <c r="D4262" s="2"/>
      <c r="E4262" s="310"/>
      <c r="G4262" s="2"/>
      <c r="H4262" s="310"/>
      <c r="I4262" s="2"/>
      <c r="O4262" s="2"/>
      <c r="P4262" s="2"/>
    </row>
    <row r="4263" spans="4:16" x14ac:dyDescent="0.25">
      <c r="D4263" s="2"/>
      <c r="E4263" s="310"/>
      <c r="G4263" s="2"/>
      <c r="H4263" s="310"/>
      <c r="I4263" s="2"/>
      <c r="O4263" s="2"/>
      <c r="P4263" s="2"/>
    </row>
    <row r="4264" spans="4:16" x14ac:dyDescent="0.25">
      <c r="D4264" s="2"/>
      <c r="E4264" s="310"/>
      <c r="G4264" s="2"/>
      <c r="H4264" s="310"/>
      <c r="I4264" s="2"/>
      <c r="O4264" s="2"/>
      <c r="P4264" s="2"/>
    </row>
    <row r="4265" spans="4:16" x14ac:dyDescent="0.25">
      <c r="D4265" s="2"/>
      <c r="E4265" s="310"/>
      <c r="G4265" s="2"/>
      <c r="H4265" s="310"/>
      <c r="I4265" s="2"/>
      <c r="O4265" s="2"/>
      <c r="P4265" s="2"/>
    </row>
    <row r="4266" spans="4:16" x14ac:dyDescent="0.25">
      <c r="D4266" s="2"/>
      <c r="E4266" s="310"/>
      <c r="G4266" s="2"/>
      <c r="H4266" s="310"/>
      <c r="I4266" s="2"/>
      <c r="O4266" s="2"/>
      <c r="P4266" s="2"/>
    </row>
    <row r="4267" spans="4:16" x14ac:dyDescent="0.25">
      <c r="D4267" s="2"/>
      <c r="E4267" s="310"/>
      <c r="G4267" s="2"/>
      <c r="H4267" s="310"/>
      <c r="I4267" s="2"/>
      <c r="O4267" s="2"/>
      <c r="P4267" s="2"/>
    </row>
    <row r="4268" spans="4:16" x14ac:dyDescent="0.25">
      <c r="D4268" s="2"/>
      <c r="E4268" s="310"/>
      <c r="G4268" s="2"/>
      <c r="H4268" s="310"/>
      <c r="I4268" s="2"/>
      <c r="O4268" s="2"/>
      <c r="P4268" s="2"/>
    </row>
    <row r="4269" spans="4:16" x14ac:dyDescent="0.25">
      <c r="D4269" s="2"/>
      <c r="E4269" s="310"/>
      <c r="G4269" s="2"/>
      <c r="H4269" s="310"/>
      <c r="I4269" s="2"/>
      <c r="O4269" s="2"/>
      <c r="P4269" s="2"/>
    </row>
    <row r="4270" spans="4:16" x14ac:dyDescent="0.25">
      <c r="D4270" s="2"/>
      <c r="E4270" s="310"/>
      <c r="G4270" s="2"/>
      <c r="H4270" s="310"/>
      <c r="I4270" s="2"/>
      <c r="O4270" s="2"/>
      <c r="P4270" s="2"/>
    </row>
    <row r="4271" spans="4:16" x14ac:dyDescent="0.25">
      <c r="D4271" s="2"/>
      <c r="E4271" s="310"/>
      <c r="G4271" s="2"/>
      <c r="H4271" s="310"/>
      <c r="I4271" s="2"/>
      <c r="O4271" s="2"/>
      <c r="P4271" s="2"/>
    </row>
    <row r="4272" spans="4:16" x14ac:dyDescent="0.25">
      <c r="D4272" s="2"/>
      <c r="E4272" s="310"/>
      <c r="G4272" s="2"/>
      <c r="H4272" s="310"/>
      <c r="I4272" s="2"/>
      <c r="O4272" s="2"/>
      <c r="P4272" s="2"/>
    </row>
    <row r="4273" spans="4:16" x14ac:dyDescent="0.25">
      <c r="D4273" s="2"/>
      <c r="E4273" s="310"/>
      <c r="G4273" s="2"/>
      <c r="H4273" s="310"/>
      <c r="I4273" s="2"/>
      <c r="O4273" s="2"/>
      <c r="P4273" s="2"/>
    </row>
    <row r="4274" spans="4:16" x14ac:dyDescent="0.25">
      <c r="D4274" s="2"/>
      <c r="E4274" s="310"/>
      <c r="G4274" s="2"/>
      <c r="H4274" s="310"/>
      <c r="I4274" s="2"/>
      <c r="O4274" s="2"/>
      <c r="P4274" s="2"/>
    </row>
    <row r="4275" spans="4:16" x14ac:dyDescent="0.25">
      <c r="D4275" s="2"/>
      <c r="E4275" s="310"/>
      <c r="G4275" s="2"/>
      <c r="H4275" s="310"/>
      <c r="I4275" s="2"/>
      <c r="O4275" s="2"/>
      <c r="P4275" s="2"/>
    </row>
    <row r="4276" spans="4:16" x14ac:dyDescent="0.25">
      <c r="D4276" s="2"/>
      <c r="E4276" s="310"/>
      <c r="G4276" s="2"/>
      <c r="H4276" s="310"/>
      <c r="I4276" s="2"/>
      <c r="O4276" s="2"/>
      <c r="P4276" s="2"/>
    </row>
    <row r="4277" spans="4:16" x14ac:dyDescent="0.25">
      <c r="D4277" s="2"/>
      <c r="E4277" s="310"/>
      <c r="G4277" s="2"/>
      <c r="H4277" s="310"/>
      <c r="I4277" s="2"/>
      <c r="O4277" s="2"/>
      <c r="P4277" s="2"/>
    </row>
    <row r="4278" spans="4:16" x14ac:dyDescent="0.25">
      <c r="D4278" s="2"/>
      <c r="E4278" s="310"/>
      <c r="G4278" s="2"/>
      <c r="H4278" s="310"/>
      <c r="I4278" s="2"/>
      <c r="O4278" s="2"/>
      <c r="P4278" s="2"/>
    </row>
    <row r="4279" spans="4:16" x14ac:dyDescent="0.25">
      <c r="D4279" s="2"/>
      <c r="E4279" s="310"/>
      <c r="G4279" s="2"/>
      <c r="H4279" s="310"/>
      <c r="I4279" s="2"/>
      <c r="O4279" s="2"/>
      <c r="P4279" s="2"/>
    </row>
    <row r="4280" spans="4:16" x14ac:dyDescent="0.25">
      <c r="D4280" s="2"/>
      <c r="E4280" s="310"/>
      <c r="G4280" s="2"/>
      <c r="H4280" s="310"/>
      <c r="I4280" s="2"/>
      <c r="O4280" s="2"/>
      <c r="P4280" s="2"/>
    </row>
    <row r="4281" spans="4:16" x14ac:dyDescent="0.25">
      <c r="D4281" s="2"/>
      <c r="E4281" s="310"/>
      <c r="G4281" s="2"/>
      <c r="H4281" s="310"/>
      <c r="I4281" s="2"/>
      <c r="O4281" s="2"/>
      <c r="P4281" s="2"/>
    </row>
    <row r="4282" spans="4:16" x14ac:dyDescent="0.25">
      <c r="D4282" s="2"/>
      <c r="E4282" s="310"/>
      <c r="G4282" s="2"/>
      <c r="H4282" s="310"/>
      <c r="I4282" s="2"/>
      <c r="O4282" s="2"/>
      <c r="P4282" s="2"/>
    </row>
    <row r="4283" spans="4:16" x14ac:dyDescent="0.25">
      <c r="D4283" s="2"/>
      <c r="E4283" s="310"/>
      <c r="G4283" s="2"/>
      <c r="H4283" s="310"/>
      <c r="I4283" s="2"/>
      <c r="O4283" s="2"/>
      <c r="P4283" s="2"/>
    </row>
    <row r="4284" spans="4:16" x14ac:dyDescent="0.25">
      <c r="D4284" s="2"/>
      <c r="E4284" s="310"/>
      <c r="G4284" s="2"/>
      <c r="H4284" s="310"/>
      <c r="I4284" s="2"/>
      <c r="O4284" s="2"/>
      <c r="P4284" s="2"/>
    </row>
    <row r="4285" spans="4:16" x14ac:dyDescent="0.25">
      <c r="D4285" s="2"/>
      <c r="E4285" s="310"/>
      <c r="G4285" s="2"/>
      <c r="H4285" s="310"/>
      <c r="I4285" s="2"/>
      <c r="O4285" s="2"/>
      <c r="P4285" s="2"/>
    </row>
    <row r="4286" spans="4:16" x14ac:dyDescent="0.25">
      <c r="D4286" s="2"/>
      <c r="E4286" s="310"/>
      <c r="G4286" s="2"/>
      <c r="H4286" s="310"/>
      <c r="I4286" s="2"/>
      <c r="O4286" s="2"/>
      <c r="P4286" s="2"/>
    </row>
    <row r="4287" spans="4:16" x14ac:dyDescent="0.25">
      <c r="D4287" s="2"/>
      <c r="E4287" s="310"/>
      <c r="G4287" s="2"/>
      <c r="H4287" s="310"/>
      <c r="I4287" s="2"/>
      <c r="O4287" s="2"/>
      <c r="P4287" s="2"/>
    </row>
    <row r="4288" spans="4:16" x14ac:dyDescent="0.25">
      <c r="D4288" s="2"/>
      <c r="E4288" s="310"/>
      <c r="G4288" s="2"/>
      <c r="H4288" s="310"/>
      <c r="I4288" s="2"/>
      <c r="O4288" s="2"/>
      <c r="P4288" s="2"/>
    </row>
    <row r="4289" spans="4:16" x14ac:dyDescent="0.25">
      <c r="D4289" s="2"/>
      <c r="E4289" s="310"/>
      <c r="G4289" s="2"/>
      <c r="H4289" s="310"/>
      <c r="I4289" s="2"/>
      <c r="O4289" s="2"/>
      <c r="P4289" s="2"/>
    </row>
    <row r="4290" spans="4:16" x14ac:dyDescent="0.25">
      <c r="D4290" s="2"/>
      <c r="E4290" s="310"/>
      <c r="G4290" s="2"/>
      <c r="H4290" s="310"/>
      <c r="I4290" s="2"/>
      <c r="O4290" s="2"/>
      <c r="P4290" s="2"/>
    </row>
    <row r="4291" spans="4:16" x14ac:dyDescent="0.25">
      <c r="D4291" s="2"/>
      <c r="E4291" s="310"/>
      <c r="G4291" s="2"/>
      <c r="H4291" s="310"/>
      <c r="I4291" s="2"/>
      <c r="O4291" s="2"/>
      <c r="P4291" s="2"/>
    </row>
    <row r="4292" spans="4:16" x14ac:dyDescent="0.25">
      <c r="D4292" s="2"/>
      <c r="E4292" s="310"/>
      <c r="G4292" s="2"/>
      <c r="H4292" s="310"/>
      <c r="I4292" s="2"/>
      <c r="O4292" s="2"/>
      <c r="P4292" s="2"/>
    </row>
    <row r="4293" spans="4:16" x14ac:dyDescent="0.25">
      <c r="D4293" s="2"/>
      <c r="E4293" s="310"/>
      <c r="G4293" s="2"/>
      <c r="H4293" s="310"/>
      <c r="I4293" s="2"/>
      <c r="O4293" s="2"/>
      <c r="P4293" s="2"/>
    </row>
    <row r="4294" spans="4:16" x14ac:dyDescent="0.25">
      <c r="D4294" s="2"/>
      <c r="E4294" s="310"/>
      <c r="G4294" s="2"/>
      <c r="H4294" s="310"/>
      <c r="I4294" s="2"/>
      <c r="O4294" s="2"/>
      <c r="P4294" s="2"/>
    </row>
    <row r="4295" spans="4:16" x14ac:dyDescent="0.25">
      <c r="D4295" s="2"/>
      <c r="E4295" s="310"/>
      <c r="G4295" s="2"/>
      <c r="H4295" s="310"/>
      <c r="I4295" s="2"/>
      <c r="O4295" s="2"/>
      <c r="P4295" s="2"/>
    </row>
    <row r="4296" spans="4:16" x14ac:dyDescent="0.25">
      <c r="D4296" s="2"/>
      <c r="E4296" s="310"/>
      <c r="G4296" s="2"/>
      <c r="H4296" s="310"/>
      <c r="I4296" s="2"/>
      <c r="O4296" s="2"/>
      <c r="P4296" s="2"/>
    </row>
    <row r="4297" spans="4:16" x14ac:dyDescent="0.25">
      <c r="D4297" s="2"/>
      <c r="E4297" s="310"/>
      <c r="G4297" s="2"/>
      <c r="H4297" s="310"/>
      <c r="I4297" s="2"/>
      <c r="O4297" s="2"/>
      <c r="P4297" s="2"/>
    </row>
    <row r="4298" spans="4:16" x14ac:dyDescent="0.25">
      <c r="D4298" s="2"/>
      <c r="E4298" s="310"/>
      <c r="G4298" s="2"/>
      <c r="H4298" s="310"/>
      <c r="I4298" s="2"/>
      <c r="O4298" s="2"/>
      <c r="P4298" s="2"/>
    </row>
    <row r="4299" spans="4:16" x14ac:dyDescent="0.25">
      <c r="D4299" s="2"/>
      <c r="E4299" s="310"/>
      <c r="G4299" s="2"/>
      <c r="H4299" s="310"/>
      <c r="I4299" s="2"/>
      <c r="O4299" s="2"/>
      <c r="P4299" s="2"/>
    </row>
    <row r="4300" spans="4:16" x14ac:dyDescent="0.25">
      <c r="D4300" s="2"/>
      <c r="E4300" s="310"/>
      <c r="G4300" s="2"/>
      <c r="H4300" s="310"/>
      <c r="I4300" s="2"/>
      <c r="O4300" s="2"/>
      <c r="P4300" s="2"/>
    </row>
    <row r="4301" spans="4:16" x14ac:dyDescent="0.25">
      <c r="D4301" s="2"/>
      <c r="E4301" s="310"/>
      <c r="G4301" s="2"/>
      <c r="H4301" s="310"/>
      <c r="I4301" s="2"/>
      <c r="O4301" s="2"/>
      <c r="P4301" s="2"/>
    </row>
    <row r="4302" spans="4:16" x14ac:dyDescent="0.25">
      <c r="D4302" s="2"/>
      <c r="E4302" s="310"/>
      <c r="G4302" s="2"/>
      <c r="H4302" s="310"/>
      <c r="I4302" s="2"/>
      <c r="O4302" s="2"/>
      <c r="P4302" s="2"/>
    </row>
    <row r="4303" spans="4:16" x14ac:dyDescent="0.25">
      <c r="D4303" s="2"/>
      <c r="E4303" s="310"/>
      <c r="G4303" s="2"/>
      <c r="H4303" s="310"/>
      <c r="I4303" s="2"/>
      <c r="O4303" s="2"/>
      <c r="P4303" s="2"/>
    </row>
    <row r="4304" spans="4:16" x14ac:dyDescent="0.25">
      <c r="D4304" s="2"/>
      <c r="E4304" s="310"/>
      <c r="G4304" s="2"/>
      <c r="H4304" s="310"/>
      <c r="I4304" s="2"/>
      <c r="O4304" s="2"/>
      <c r="P4304" s="2"/>
    </row>
    <row r="4305" spans="4:16" x14ac:dyDescent="0.25">
      <c r="D4305" s="2"/>
      <c r="E4305" s="310"/>
      <c r="G4305" s="2"/>
      <c r="H4305" s="310"/>
      <c r="I4305" s="2"/>
      <c r="O4305" s="2"/>
      <c r="P4305" s="2"/>
    </row>
    <row r="4306" spans="4:16" x14ac:dyDescent="0.25">
      <c r="D4306" s="2"/>
      <c r="E4306" s="310"/>
      <c r="G4306" s="2"/>
      <c r="H4306" s="310"/>
      <c r="I4306" s="2"/>
      <c r="O4306" s="2"/>
      <c r="P4306" s="2"/>
    </row>
    <row r="4307" spans="4:16" x14ac:dyDescent="0.25">
      <c r="D4307" s="2"/>
      <c r="E4307" s="310"/>
      <c r="G4307" s="2"/>
      <c r="H4307" s="310"/>
      <c r="I4307" s="2"/>
      <c r="O4307" s="2"/>
      <c r="P4307" s="2"/>
    </row>
    <row r="4308" spans="4:16" x14ac:dyDescent="0.25">
      <c r="D4308" s="2"/>
      <c r="E4308" s="310"/>
      <c r="G4308" s="2"/>
      <c r="H4308" s="310"/>
      <c r="I4308" s="2"/>
      <c r="O4308" s="2"/>
      <c r="P4308" s="2"/>
    </row>
    <row r="4309" spans="4:16" x14ac:dyDescent="0.25">
      <c r="D4309" s="2"/>
      <c r="E4309" s="310"/>
      <c r="G4309" s="2"/>
      <c r="H4309" s="310"/>
      <c r="I4309" s="2"/>
      <c r="O4309" s="2"/>
      <c r="P4309" s="2"/>
    </row>
    <row r="4310" spans="4:16" x14ac:dyDescent="0.25">
      <c r="D4310" s="2"/>
      <c r="E4310" s="310"/>
      <c r="G4310" s="2"/>
      <c r="H4310" s="310"/>
      <c r="I4310" s="2"/>
      <c r="O4310" s="2"/>
      <c r="P4310" s="2"/>
    </row>
    <row r="4311" spans="4:16" x14ac:dyDescent="0.25">
      <c r="D4311" s="2"/>
      <c r="E4311" s="310"/>
      <c r="G4311" s="2"/>
      <c r="H4311" s="310"/>
      <c r="I4311" s="2"/>
      <c r="O4311" s="2"/>
      <c r="P4311" s="2"/>
    </row>
    <row r="4312" spans="4:16" x14ac:dyDescent="0.25">
      <c r="D4312" s="2"/>
      <c r="E4312" s="310"/>
      <c r="G4312" s="2"/>
      <c r="H4312" s="310"/>
      <c r="I4312" s="2"/>
      <c r="O4312" s="2"/>
      <c r="P4312" s="2"/>
    </row>
    <row r="4313" spans="4:16" x14ac:dyDescent="0.25">
      <c r="D4313" s="2"/>
      <c r="E4313" s="310"/>
      <c r="G4313" s="2"/>
      <c r="H4313" s="310"/>
      <c r="I4313" s="2"/>
      <c r="O4313" s="2"/>
      <c r="P4313" s="2"/>
    </row>
    <row r="4314" spans="4:16" x14ac:dyDescent="0.25">
      <c r="D4314" s="2"/>
      <c r="E4314" s="310"/>
      <c r="G4314" s="2"/>
      <c r="H4314" s="310"/>
      <c r="I4314" s="2"/>
      <c r="O4314" s="2"/>
      <c r="P4314" s="2"/>
    </row>
    <row r="4315" spans="4:16" x14ac:dyDescent="0.25">
      <c r="D4315" s="2"/>
      <c r="E4315" s="310"/>
      <c r="G4315" s="2"/>
      <c r="H4315" s="310"/>
      <c r="I4315" s="2"/>
      <c r="O4315" s="2"/>
      <c r="P4315" s="2"/>
    </row>
    <row r="4316" spans="4:16" x14ac:dyDescent="0.25">
      <c r="D4316" s="2"/>
      <c r="E4316" s="310"/>
      <c r="G4316" s="2"/>
      <c r="H4316" s="310"/>
      <c r="I4316" s="2"/>
      <c r="O4316" s="2"/>
      <c r="P4316" s="2"/>
    </row>
    <row r="4317" spans="4:16" x14ac:dyDescent="0.25">
      <c r="D4317" s="2"/>
      <c r="E4317" s="310"/>
      <c r="G4317" s="2"/>
      <c r="H4317" s="310"/>
      <c r="I4317" s="2"/>
      <c r="O4317" s="2"/>
      <c r="P4317" s="2"/>
    </row>
    <row r="4318" spans="4:16" x14ac:dyDescent="0.25">
      <c r="D4318" s="2"/>
      <c r="E4318" s="310"/>
      <c r="G4318" s="2"/>
      <c r="H4318" s="310"/>
      <c r="I4318" s="2"/>
      <c r="O4318" s="2"/>
      <c r="P4318" s="2"/>
    </row>
    <row r="4319" spans="4:16" x14ac:dyDescent="0.25">
      <c r="D4319" s="2"/>
      <c r="E4319" s="310"/>
      <c r="G4319" s="2"/>
      <c r="H4319" s="310"/>
      <c r="I4319" s="2"/>
      <c r="O4319" s="2"/>
      <c r="P4319" s="2"/>
    </row>
    <row r="4320" spans="4:16" x14ac:dyDescent="0.25">
      <c r="D4320" s="2"/>
      <c r="E4320" s="310"/>
      <c r="G4320" s="2"/>
      <c r="H4320" s="310"/>
      <c r="I4320" s="2"/>
      <c r="O4320" s="2"/>
      <c r="P4320" s="2"/>
    </row>
    <row r="4321" spans="4:16" x14ac:dyDescent="0.25">
      <c r="D4321" s="2"/>
      <c r="E4321" s="310"/>
      <c r="G4321" s="2"/>
      <c r="H4321" s="310"/>
      <c r="I4321" s="2"/>
      <c r="O4321" s="2"/>
      <c r="P4321" s="2"/>
    </row>
    <row r="4322" spans="4:16" x14ac:dyDescent="0.25">
      <c r="D4322" s="2"/>
      <c r="E4322" s="310"/>
      <c r="G4322" s="2"/>
      <c r="H4322" s="310"/>
      <c r="I4322" s="2"/>
      <c r="O4322" s="2"/>
      <c r="P4322" s="2"/>
    </row>
    <row r="4323" spans="4:16" x14ac:dyDescent="0.25">
      <c r="D4323" s="2"/>
      <c r="E4323" s="310"/>
      <c r="G4323" s="2"/>
      <c r="H4323" s="310"/>
      <c r="I4323" s="2"/>
      <c r="O4323" s="2"/>
      <c r="P4323" s="2"/>
    </row>
    <row r="4324" spans="4:16" x14ac:dyDescent="0.25">
      <c r="D4324" s="2"/>
      <c r="E4324" s="310"/>
      <c r="G4324" s="2"/>
      <c r="H4324" s="310"/>
      <c r="I4324" s="2"/>
      <c r="O4324" s="2"/>
      <c r="P4324" s="2"/>
    </row>
    <row r="4325" spans="4:16" x14ac:dyDescent="0.25">
      <c r="D4325" s="2"/>
      <c r="E4325" s="310"/>
      <c r="G4325" s="2"/>
      <c r="H4325" s="310"/>
      <c r="I4325" s="2"/>
      <c r="O4325" s="2"/>
      <c r="P4325" s="2"/>
    </row>
    <row r="4326" spans="4:16" x14ac:dyDescent="0.25">
      <c r="D4326" s="2"/>
      <c r="E4326" s="310"/>
      <c r="G4326" s="2"/>
      <c r="H4326" s="310"/>
      <c r="I4326" s="2"/>
      <c r="O4326" s="2"/>
      <c r="P4326" s="2"/>
    </row>
    <row r="4327" spans="4:16" x14ac:dyDescent="0.25">
      <c r="D4327" s="2"/>
      <c r="E4327" s="310"/>
      <c r="G4327" s="2"/>
      <c r="H4327" s="310"/>
      <c r="I4327" s="2"/>
      <c r="O4327" s="2"/>
      <c r="P4327" s="2"/>
    </row>
    <row r="4328" spans="4:16" x14ac:dyDescent="0.25">
      <c r="D4328" s="2"/>
      <c r="E4328" s="310"/>
      <c r="G4328" s="2"/>
      <c r="H4328" s="310"/>
      <c r="I4328" s="2"/>
      <c r="O4328" s="2"/>
      <c r="P4328" s="2"/>
    </row>
    <row r="4329" spans="4:16" x14ac:dyDescent="0.25">
      <c r="D4329" s="2"/>
      <c r="E4329" s="310"/>
      <c r="G4329" s="2"/>
      <c r="H4329" s="310"/>
      <c r="I4329" s="2"/>
      <c r="O4329" s="2"/>
      <c r="P4329" s="2"/>
    </row>
    <row r="4330" spans="4:16" x14ac:dyDescent="0.25">
      <c r="D4330" s="2"/>
      <c r="E4330" s="310"/>
      <c r="G4330" s="2"/>
      <c r="H4330" s="310"/>
      <c r="I4330" s="2"/>
      <c r="O4330" s="2"/>
      <c r="P4330" s="2"/>
    </row>
    <row r="4331" spans="4:16" x14ac:dyDescent="0.25">
      <c r="D4331" s="2"/>
      <c r="E4331" s="310"/>
      <c r="G4331" s="2"/>
      <c r="H4331" s="310"/>
      <c r="I4331" s="2"/>
      <c r="O4331" s="2"/>
      <c r="P4331" s="2"/>
    </row>
    <row r="4332" spans="4:16" x14ac:dyDescent="0.25">
      <c r="D4332" s="2"/>
      <c r="E4332" s="310"/>
      <c r="G4332" s="2"/>
      <c r="H4332" s="310"/>
      <c r="I4332" s="2"/>
      <c r="O4332" s="2"/>
      <c r="P4332" s="2"/>
    </row>
    <row r="4333" spans="4:16" x14ac:dyDescent="0.25">
      <c r="D4333" s="2"/>
      <c r="E4333" s="310"/>
      <c r="G4333" s="2"/>
      <c r="H4333" s="310"/>
      <c r="I4333" s="2"/>
      <c r="O4333" s="2"/>
      <c r="P4333" s="2"/>
    </row>
    <row r="4334" spans="4:16" x14ac:dyDescent="0.25">
      <c r="D4334" s="2"/>
      <c r="E4334" s="310"/>
      <c r="G4334" s="2"/>
      <c r="H4334" s="310"/>
      <c r="I4334" s="2"/>
      <c r="O4334" s="2"/>
      <c r="P4334" s="2"/>
    </row>
    <row r="4335" spans="4:16" x14ac:dyDescent="0.25">
      <c r="D4335" s="2"/>
      <c r="E4335" s="310"/>
      <c r="G4335" s="2"/>
      <c r="H4335" s="310"/>
      <c r="I4335" s="2"/>
      <c r="O4335" s="2"/>
      <c r="P4335" s="2"/>
    </row>
    <row r="4336" spans="4:16" x14ac:dyDescent="0.25">
      <c r="D4336" s="2"/>
      <c r="E4336" s="310"/>
      <c r="G4336" s="2"/>
      <c r="H4336" s="310"/>
      <c r="I4336" s="2"/>
      <c r="O4336" s="2"/>
      <c r="P4336" s="2"/>
    </row>
    <row r="4337" spans="4:16" x14ac:dyDescent="0.25">
      <c r="D4337" s="2"/>
      <c r="E4337" s="310"/>
      <c r="G4337" s="2"/>
      <c r="H4337" s="310"/>
      <c r="I4337" s="2"/>
      <c r="O4337" s="2"/>
      <c r="P4337" s="2"/>
    </row>
    <row r="4338" spans="4:16" x14ac:dyDescent="0.25">
      <c r="D4338" s="2"/>
      <c r="E4338" s="310"/>
      <c r="G4338" s="2"/>
      <c r="H4338" s="310"/>
      <c r="I4338" s="2"/>
      <c r="O4338" s="2"/>
      <c r="P4338" s="2"/>
    </row>
    <row r="4339" spans="4:16" x14ac:dyDescent="0.25">
      <c r="D4339" s="2"/>
      <c r="E4339" s="310"/>
      <c r="G4339" s="2"/>
      <c r="H4339" s="310"/>
      <c r="I4339" s="2"/>
      <c r="O4339" s="2"/>
      <c r="P4339" s="2"/>
    </row>
    <row r="4340" spans="4:16" x14ac:dyDescent="0.25">
      <c r="D4340" s="2"/>
      <c r="E4340" s="310"/>
      <c r="G4340" s="2"/>
      <c r="H4340" s="310"/>
      <c r="I4340" s="2"/>
      <c r="O4340" s="2"/>
      <c r="P4340" s="2"/>
    </row>
    <row r="4341" spans="4:16" x14ac:dyDescent="0.25">
      <c r="D4341" s="2"/>
      <c r="E4341" s="310"/>
      <c r="G4341" s="2"/>
      <c r="H4341" s="310"/>
      <c r="I4341" s="2"/>
      <c r="O4341" s="2"/>
      <c r="P4341" s="2"/>
    </row>
    <row r="4342" spans="4:16" x14ac:dyDescent="0.25">
      <c r="D4342" s="2"/>
      <c r="E4342" s="310"/>
      <c r="G4342" s="2"/>
      <c r="H4342" s="310"/>
      <c r="I4342" s="2"/>
      <c r="O4342" s="2"/>
      <c r="P4342" s="2"/>
    </row>
    <row r="4343" spans="4:16" x14ac:dyDescent="0.25">
      <c r="D4343" s="2"/>
      <c r="E4343" s="310"/>
      <c r="G4343" s="2"/>
      <c r="H4343" s="310"/>
      <c r="I4343" s="2"/>
      <c r="O4343" s="2"/>
      <c r="P4343" s="2"/>
    </row>
    <row r="4344" spans="4:16" x14ac:dyDescent="0.25">
      <c r="D4344" s="2"/>
      <c r="E4344" s="310"/>
      <c r="G4344" s="2"/>
      <c r="H4344" s="310"/>
      <c r="I4344" s="2"/>
      <c r="O4344" s="2"/>
      <c r="P4344" s="2"/>
    </row>
    <row r="4345" spans="4:16" x14ac:dyDescent="0.25">
      <c r="D4345" s="2"/>
      <c r="E4345" s="310"/>
      <c r="G4345" s="2"/>
      <c r="H4345" s="310"/>
      <c r="I4345" s="2"/>
      <c r="O4345" s="2"/>
      <c r="P4345" s="2"/>
    </row>
    <row r="4346" spans="4:16" x14ac:dyDescent="0.25">
      <c r="D4346" s="2"/>
      <c r="E4346" s="310"/>
      <c r="G4346" s="2"/>
      <c r="H4346" s="310"/>
      <c r="I4346" s="2"/>
      <c r="O4346" s="2"/>
      <c r="P4346" s="2"/>
    </row>
    <row r="4347" spans="4:16" x14ac:dyDescent="0.25">
      <c r="D4347" s="2"/>
      <c r="E4347" s="310"/>
      <c r="G4347" s="2"/>
      <c r="H4347" s="310"/>
      <c r="I4347" s="2"/>
      <c r="O4347" s="2"/>
      <c r="P4347" s="2"/>
    </row>
    <row r="4348" spans="4:16" x14ac:dyDescent="0.25">
      <c r="D4348" s="2"/>
      <c r="E4348" s="310"/>
      <c r="G4348" s="2"/>
      <c r="H4348" s="310"/>
      <c r="I4348" s="2"/>
      <c r="O4348" s="2"/>
      <c r="P4348" s="2"/>
    </row>
    <row r="4349" spans="4:16" x14ac:dyDescent="0.25">
      <c r="D4349" s="2"/>
      <c r="E4349" s="310"/>
      <c r="G4349" s="2"/>
      <c r="H4349" s="310"/>
      <c r="I4349" s="2"/>
      <c r="O4349" s="2"/>
      <c r="P4349" s="2"/>
    </row>
    <row r="4350" spans="4:16" x14ac:dyDescent="0.25">
      <c r="D4350" s="2"/>
      <c r="E4350" s="310"/>
      <c r="G4350" s="2"/>
      <c r="H4350" s="310"/>
      <c r="I4350" s="2"/>
      <c r="O4350" s="2"/>
      <c r="P4350" s="2"/>
    </row>
    <row r="4351" spans="4:16" x14ac:dyDescent="0.25">
      <c r="D4351" s="2"/>
      <c r="E4351" s="310"/>
      <c r="G4351" s="2"/>
      <c r="H4351" s="310"/>
      <c r="I4351" s="2"/>
      <c r="O4351" s="2"/>
      <c r="P4351" s="2"/>
    </row>
    <row r="4352" spans="4:16" x14ac:dyDescent="0.25">
      <c r="D4352" s="2"/>
      <c r="E4352" s="310"/>
      <c r="G4352" s="2"/>
      <c r="H4352" s="310"/>
      <c r="I4352" s="2"/>
      <c r="O4352" s="2"/>
      <c r="P4352" s="2"/>
    </row>
    <row r="4353" spans="4:16" x14ac:dyDescent="0.25">
      <c r="D4353" s="2"/>
      <c r="E4353" s="310"/>
      <c r="G4353" s="2"/>
      <c r="H4353" s="310"/>
      <c r="I4353" s="2"/>
      <c r="O4353" s="2"/>
      <c r="P4353" s="2"/>
    </row>
    <row r="4354" spans="4:16" x14ac:dyDescent="0.25">
      <c r="D4354" s="2"/>
      <c r="E4354" s="310"/>
      <c r="G4354" s="2"/>
      <c r="H4354" s="310"/>
      <c r="I4354" s="2"/>
      <c r="O4354" s="2"/>
      <c r="P4354" s="2"/>
    </row>
    <row r="4355" spans="4:16" x14ac:dyDescent="0.25">
      <c r="D4355" s="2"/>
      <c r="E4355" s="310"/>
      <c r="G4355" s="2"/>
      <c r="H4355" s="310"/>
      <c r="I4355" s="2"/>
      <c r="O4355" s="2"/>
      <c r="P4355" s="2"/>
    </row>
    <row r="4356" spans="4:16" x14ac:dyDescent="0.25">
      <c r="D4356" s="2"/>
      <c r="E4356" s="310"/>
      <c r="G4356" s="2"/>
      <c r="H4356" s="310"/>
      <c r="I4356" s="2"/>
      <c r="O4356" s="2"/>
      <c r="P4356" s="2"/>
    </row>
    <row r="4357" spans="4:16" x14ac:dyDescent="0.25">
      <c r="D4357" s="2"/>
      <c r="E4357" s="310"/>
      <c r="G4357" s="2"/>
      <c r="H4357" s="310"/>
      <c r="I4357" s="2"/>
      <c r="O4357" s="2"/>
      <c r="P4357" s="2"/>
    </row>
    <row r="4358" spans="4:16" x14ac:dyDescent="0.25">
      <c r="D4358" s="2"/>
      <c r="E4358" s="310"/>
      <c r="G4358" s="2"/>
      <c r="H4358" s="310"/>
      <c r="I4358" s="2"/>
      <c r="O4358" s="2"/>
      <c r="P4358" s="2"/>
    </row>
    <row r="4359" spans="4:16" x14ac:dyDescent="0.25">
      <c r="D4359" s="2"/>
      <c r="E4359" s="310"/>
      <c r="G4359" s="2"/>
      <c r="H4359" s="310"/>
      <c r="I4359" s="2"/>
      <c r="O4359" s="2"/>
      <c r="P4359" s="2"/>
    </row>
    <row r="4360" spans="4:16" x14ac:dyDescent="0.25">
      <c r="D4360" s="2"/>
      <c r="E4360" s="310"/>
      <c r="G4360" s="2"/>
      <c r="H4360" s="310"/>
      <c r="I4360" s="2"/>
      <c r="O4360" s="2"/>
      <c r="P4360" s="2"/>
    </row>
    <row r="4361" spans="4:16" x14ac:dyDescent="0.25">
      <c r="D4361" s="2"/>
      <c r="E4361" s="310"/>
      <c r="G4361" s="2"/>
      <c r="H4361" s="310"/>
      <c r="I4361" s="2"/>
      <c r="O4361" s="2"/>
      <c r="P4361" s="2"/>
    </row>
    <row r="4362" spans="4:16" x14ac:dyDescent="0.25">
      <c r="D4362" s="2"/>
      <c r="E4362" s="310"/>
      <c r="G4362" s="2"/>
      <c r="H4362" s="310"/>
      <c r="I4362" s="2"/>
      <c r="O4362" s="2"/>
      <c r="P4362" s="2"/>
    </row>
    <row r="4363" spans="4:16" x14ac:dyDescent="0.25">
      <c r="D4363" s="2"/>
      <c r="E4363" s="310"/>
      <c r="G4363" s="2"/>
      <c r="H4363" s="310"/>
      <c r="I4363" s="2"/>
      <c r="O4363" s="2"/>
      <c r="P4363" s="2"/>
    </row>
    <row r="4364" spans="4:16" x14ac:dyDescent="0.25">
      <c r="D4364" s="2"/>
      <c r="E4364" s="310"/>
      <c r="G4364" s="2"/>
      <c r="H4364" s="310"/>
      <c r="I4364" s="2"/>
      <c r="O4364" s="2"/>
      <c r="P4364" s="2"/>
    </row>
    <row r="4365" spans="4:16" x14ac:dyDescent="0.25">
      <c r="D4365" s="2"/>
      <c r="E4365" s="310"/>
      <c r="G4365" s="2"/>
      <c r="H4365" s="310"/>
      <c r="I4365" s="2"/>
      <c r="O4365" s="2"/>
      <c r="P4365" s="2"/>
    </row>
    <row r="4366" spans="4:16" x14ac:dyDescent="0.25">
      <c r="D4366" s="2"/>
      <c r="E4366" s="310"/>
      <c r="G4366" s="2"/>
      <c r="H4366" s="310"/>
      <c r="I4366" s="2"/>
      <c r="O4366" s="2"/>
      <c r="P4366" s="2"/>
    </row>
    <row r="4367" spans="4:16" x14ac:dyDescent="0.25">
      <c r="D4367" s="2"/>
      <c r="E4367" s="310"/>
      <c r="G4367" s="2"/>
      <c r="H4367" s="310"/>
      <c r="I4367" s="2"/>
      <c r="O4367" s="2"/>
      <c r="P4367" s="2"/>
    </row>
    <row r="4368" spans="4:16" x14ac:dyDescent="0.25">
      <c r="D4368" s="2"/>
      <c r="E4368" s="310"/>
      <c r="G4368" s="2"/>
      <c r="H4368" s="310"/>
      <c r="I4368" s="2"/>
      <c r="O4368" s="2"/>
      <c r="P4368" s="2"/>
    </row>
    <row r="4369" spans="4:16" x14ac:dyDescent="0.25">
      <c r="D4369" s="2"/>
      <c r="E4369" s="310"/>
      <c r="G4369" s="2"/>
      <c r="H4369" s="310"/>
      <c r="I4369" s="2"/>
      <c r="O4369" s="2"/>
      <c r="P4369" s="2"/>
    </row>
    <row r="4370" spans="4:16" x14ac:dyDescent="0.25">
      <c r="D4370" s="2"/>
      <c r="E4370" s="310"/>
      <c r="G4370" s="2"/>
      <c r="H4370" s="310"/>
      <c r="I4370" s="2"/>
      <c r="O4370" s="2"/>
      <c r="P4370" s="2"/>
    </row>
    <row r="4371" spans="4:16" x14ac:dyDescent="0.25">
      <c r="D4371" s="2"/>
      <c r="E4371" s="310"/>
      <c r="G4371" s="2"/>
      <c r="H4371" s="310"/>
      <c r="I4371" s="2"/>
      <c r="O4371" s="2"/>
      <c r="P4371" s="2"/>
    </row>
    <row r="4372" spans="4:16" x14ac:dyDescent="0.25">
      <c r="D4372" s="2"/>
      <c r="E4372" s="310"/>
      <c r="G4372" s="2"/>
      <c r="H4372" s="310"/>
      <c r="I4372" s="2"/>
      <c r="O4372" s="2"/>
      <c r="P4372" s="2"/>
    </row>
    <row r="4373" spans="4:16" x14ac:dyDescent="0.25">
      <c r="D4373" s="2"/>
      <c r="E4373" s="310"/>
      <c r="G4373" s="2"/>
      <c r="H4373" s="310"/>
      <c r="I4373" s="2"/>
      <c r="O4373" s="2"/>
      <c r="P4373" s="2"/>
    </row>
    <row r="4374" spans="4:16" x14ac:dyDescent="0.25">
      <c r="D4374" s="2"/>
      <c r="E4374" s="310"/>
      <c r="G4374" s="2"/>
      <c r="H4374" s="310"/>
      <c r="I4374" s="2"/>
      <c r="O4374" s="2"/>
      <c r="P4374" s="2"/>
    </row>
    <row r="4375" spans="4:16" x14ac:dyDescent="0.25">
      <c r="D4375" s="2"/>
      <c r="E4375" s="310"/>
      <c r="G4375" s="2"/>
      <c r="H4375" s="310"/>
      <c r="I4375" s="2"/>
      <c r="O4375" s="2"/>
      <c r="P4375" s="2"/>
    </row>
    <row r="4376" spans="4:16" x14ac:dyDescent="0.25">
      <c r="D4376" s="2"/>
      <c r="E4376" s="310"/>
      <c r="G4376" s="2"/>
      <c r="H4376" s="310"/>
      <c r="I4376" s="2"/>
      <c r="O4376" s="2"/>
      <c r="P4376" s="2"/>
    </row>
    <row r="4377" spans="4:16" x14ac:dyDescent="0.25">
      <c r="D4377" s="2"/>
      <c r="E4377" s="310"/>
      <c r="G4377" s="2"/>
      <c r="H4377" s="310"/>
      <c r="I4377" s="2"/>
      <c r="O4377" s="2"/>
      <c r="P4377" s="2"/>
    </row>
    <row r="4378" spans="4:16" x14ac:dyDescent="0.25">
      <c r="D4378" s="2"/>
      <c r="E4378" s="310"/>
      <c r="G4378" s="2"/>
      <c r="H4378" s="310"/>
      <c r="I4378" s="2"/>
      <c r="O4378" s="2"/>
      <c r="P4378" s="2"/>
    </row>
    <row r="4379" spans="4:16" x14ac:dyDescent="0.25">
      <c r="D4379" s="2"/>
      <c r="E4379" s="310"/>
      <c r="G4379" s="2"/>
      <c r="H4379" s="310"/>
      <c r="I4379" s="2"/>
      <c r="O4379" s="2"/>
      <c r="P4379" s="2"/>
    </row>
    <row r="4380" spans="4:16" x14ac:dyDescent="0.25">
      <c r="D4380" s="2"/>
      <c r="E4380" s="310"/>
      <c r="G4380" s="2"/>
      <c r="H4380" s="310"/>
      <c r="I4380" s="2"/>
      <c r="O4380" s="2"/>
      <c r="P4380" s="2"/>
    </row>
    <row r="4381" spans="4:16" x14ac:dyDescent="0.25">
      <c r="D4381" s="2"/>
      <c r="E4381" s="310"/>
      <c r="G4381" s="2"/>
      <c r="H4381" s="310"/>
      <c r="I4381" s="2"/>
      <c r="O4381" s="2"/>
      <c r="P4381" s="2"/>
    </row>
    <row r="4382" spans="4:16" x14ac:dyDescent="0.25">
      <c r="D4382" s="2"/>
      <c r="E4382" s="310"/>
      <c r="G4382" s="2"/>
      <c r="H4382" s="310"/>
      <c r="I4382" s="2"/>
      <c r="O4382" s="2"/>
      <c r="P4382" s="2"/>
    </row>
    <row r="4383" spans="4:16" x14ac:dyDescent="0.25">
      <c r="D4383" s="2"/>
      <c r="E4383" s="310"/>
      <c r="G4383" s="2"/>
      <c r="H4383" s="310"/>
      <c r="I4383" s="2"/>
      <c r="O4383" s="2"/>
      <c r="P4383" s="2"/>
    </row>
    <row r="4384" spans="4:16" x14ac:dyDescent="0.25">
      <c r="D4384" s="2"/>
      <c r="E4384" s="310"/>
      <c r="G4384" s="2"/>
      <c r="H4384" s="310"/>
      <c r="I4384" s="2"/>
      <c r="O4384" s="2"/>
      <c r="P4384" s="2"/>
    </row>
    <row r="4385" spans="4:16" x14ac:dyDescent="0.25">
      <c r="D4385" s="2"/>
      <c r="E4385" s="310"/>
      <c r="G4385" s="2"/>
      <c r="H4385" s="310"/>
      <c r="I4385" s="2"/>
      <c r="O4385" s="2"/>
      <c r="P4385" s="2"/>
    </row>
    <row r="4386" spans="4:16" x14ac:dyDescent="0.25">
      <c r="D4386" s="2"/>
      <c r="E4386" s="310"/>
      <c r="G4386" s="2"/>
      <c r="H4386" s="310"/>
      <c r="I4386" s="2"/>
      <c r="O4386" s="2"/>
      <c r="P4386" s="2"/>
    </row>
    <row r="4387" spans="4:16" x14ac:dyDescent="0.25">
      <c r="D4387" s="2"/>
      <c r="E4387" s="310"/>
      <c r="G4387" s="2"/>
      <c r="H4387" s="310"/>
      <c r="I4387" s="2"/>
      <c r="O4387" s="2"/>
      <c r="P4387" s="2"/>
    </row>
    <row r="4388" spans="4:16" x14ac:dyDescent="0.25">
      <c r="D4388" s="2"/>
      <c r="E4388" s="310"/>
      <c r="G4388" s="2"/>
      <c r="H4388" s="310"/>
      <c r="I4388" s="2"/>
      <c r="O4388" s="2"/>
      <c r="P4388" s="2"/>
    </row>
    <row r="4389" spans="4:16" x14ac:dyDescent="0.25">
      <c r="D4389" s="2"/>
      <c r="E4389" s="310"/>
      <c r="G4389" s="2"/>
      <c r="H4389" s="310"/>
      <c r="I4389" s="2"/>
      <c r="O4389" s="2"/>
      <c r="P4389" s="2"/>
    </row>
    <row r="4390" spans="4:16" x14ac:dyDescent="0.25">
      <c r="D4390" s="2"/>
      <c r="E4390" s="310"/>
      <c r="G4390" s="2"/>
      <c r="H4390" s="310"/>
      <c r="I4390" s="2"/>
      <c r="O4390" s="2"/>
      <c r="P4390" s="2"/>
    </row>
    <row r="4391" spans="4:16" x14ac:dyDescent="0.25">
      <c r="D4391" s="2"/>
      <c r="E4391" s="310"/>
      <c r="G4391" s="2"/>
      <c r="H4391" s="310"/>
      <c r="I4391" s="2"/>
      <c r="O4391" s="2"/>
      <c r="P4391" s="2"/>
    </row>
    <row r="4392" spans="4:16" x14ac:dyDescent="0.25">
      <c r="D4392" s="2"/>
      <c r="E4392" s="310"/>
      <c r="G4392" s="2"/>
      <c r="H4392" s="310"/>
      <c r="I4392" s="2"/>
      <c r="O4392" s="2"/>
      <c r="P4392" s="2"/>
    </row>
    <row r="4393" spans="4:16" x14ac:dyDescent="0.25">
      <c r="D4393" s="2"/>
      <c r="E4393" s="310"/>
      <c r="G4393" s="2"/>
      <c r="H4393" s="310"/>
      <c r="I4393" s="2"/>
      <c r="O4393" s="2"/>
      <c r="P4393" s="2"/>
    </row>
    <row r="4394" spans="4:16" x14ac:dyDescent="0.25">
      <c r="D4394" s="2"/>
      <c r="E4394" s="310"/>
      <c r="G4394" s="2"/>
      <c r="H4394" s="310"/>
      <c r="I4394" s="2"/>
      <c r="O4394" s="2"/>
      <c r="P4394" s="2"/>
    </row>
    <row r="4395" spans="4:16" x14ac:dyDescent="0.25">
      <c r="D4395" s="2"/>
      <c r="E4395" s="310"/>
      <c r="G4395" s="2"/>
      <c r="H4395" s="310"/>
      <c r="I4395" s="2"/>
      <c r="O4395" s="2"/>
      <c r="P4395" s="2"/>
    </row>
    <row r="4396" spans="4:16" x14ac:dyDescent="0.25">
      <c r="D4396" s="2"/>
      <c r="E4396" s="310"/>
      <c r="G4396" s="2"/>
      <c r="H4396" s="310"/>
      <c r="I4396" s="2"/>
      <c r="O4396" s="2"/>
      <c r="P4396" s="2"/>
    </row>
    <row r="4397" spans="4:16" x14ac:dyDescent="0.25">
      <c r="D4397" s="2"/>
      <c r="E4397" s="310"/>
      <c r="G4397" s="2"/>
      <c r="H4397" s="310"/>
      <c r="I4397" s="2"/>
      <c r="O4397" s="2"/>
      <c r="P4397" s="2"/>
    </row>
    <row r="4398" spans="4:16" x14ac:dyDescent="0.25">
      <c r="D4398" s="2"/>
      <c r="E4398" s="310"/>
      <c r="G4398" s="2"/>
      <c r="H4398" s="310"/>
      <c r="I4398" s="2"/>
      <c r="O4398" s="2"/>
      <c r="P4398" s="2"/>
    </row>
    <row r="4399" spans="4:16" x14ac:dyDescent="0.25">
      <c r="D4399" s="2"/>
      <c r="E4399" s="310"/>
      <c r="G4399" s="2"/>
      <c r="H4399" s="310"/>
      <c r="I4399" s="2"/>
      <c r="O4399" s="2"/>
      <c r="P4399" s="2"/>
    </row>
    <row r="4400" spans="4:16" x14ac:dyDescent="0.25">
      <c r="D4400" s="2"/>
      <c r="E4400" s="310"/>
      <c r="G4400" s="2"/>
      <c r="H4400" s="310"/>
      <c r="I4400" s="2"/>
      <c r="O4400" s="2"/>
      <c r="P4400" s="2"/>
    </row>
    <row r="4401" spans="4:16" x14ac:dyDescent="0.25">
      <c r="D4401" s="2"/>
      <c r="E4401" s="310"/>
      <c r="G4401" s="2"/>
      <c r="H4401" s="310"/>
      <c r="I4401" s="2"/>
      <c r="O4401" s="2"/>
      <c r="P4401" s="2"/>
    </row>
    <row r="4402" spans="4:16" x14ac:dyDescent="0.25">
      <c r="D4402" s="2"/>
      <c r="E4402" s="310"/>
      <c r="G4402" s="2"/>
      <c r="H4402" s="310"/>
      <c r="I4402" s="2"/>
      <c r="O4402" s="2"/>
      <c r="P4402" s="2"/>
    </row>
    <row r="4403" spans="4:16" x14ac:dyDescent="0.25">
      <c r="D4403" s="2"/>
      <c r="E4403" s="310"/>
      <c r="G4403" s="2"/>
      <c r="H4403" s="310"/>
      <c r="I4403" s="2"/>
      <c r="O4403" s="2"/>
      <c r="P4403" s="2"/>
    </row>
    <row r="4404" spans="4:16" x14ac:dyDescent="0.25">
      <c r="D4404" s="2"/>
      <c r="E4404" s="310"/>
      <c r="G4404" s="2"/>
      <c r="H4404" s="310"/>
      <c r="I4404" s="2"/>
      <c r="O4404" s="2"/>
      <c r="P4404" s="2"/>
    </row>
    <row r="4405" spans="4:16" x14ac:dyDescent="0.25">
      <c r="D4405" s="2"/>
      <c r="E4405" s="310"/>
      <c r="G4405" s="2"/>
      <c r="H4405" s="310"/>
      <c r="I4405" s="2"/>
      <c r="O4405" s="2"/>
      <c r="P4405" s="2"/>
    </row>
    <row r="4406" spans="4:16" x14ac:dyDescent="0.25">
      <c r="D4406" s="2"/>
      <c r="E4406" s="310"/>
      <c r="G4406" s="2"/>
      <c r="H4406" s="310"/>
      <c r="I4406" s="2"/>
      <c r="O4406" s="2"/>
      <c r="P4406" s="2"/>
    </row>
    <row r="4407" spans="4:16" x14ac:dyDescent="0.25">
      <c r="D4407" s="2"/>
      <c r="E4407" s="310"/>
      <c r="G4407" s="2"/>
      <c r="H4407" s="310"/>
      <c r="I4407" s="2"/>
      <c r="O4407" s="2"/>
      <c r="P4407" s="2"/>
    </row>
    <row r="4408" spans="4:16" x14ac:dyDescent="0.25">
      <c r="D4408" s="2"/>
      <c r="E4408" s="310"/>
      <c r="G4408" s="2"/>
      <c r="H4408" s="310"/>
      <c r="I4408" s="2"/>
      <c r="O4408" s="2"/>
      <c r="P4408" s="2"/>
    </row>
    <row r="4409" spans="4:16" x14ac:dyDescent="0.25">
      <c r="D4409" s="2"/>
      <c r="E4409" s="310"/>
      <c r="G4409" s="2"/>
      <c r="H4409" s="310"/>
      <c r="I4409" s="2"/>
      <c r="O4409" s="2"/>
      <c r="P4409" s="2"/>
    </row>
    <row r="4410" spans="4:16" x14ac:dyDescent="0.25">
      <c r="D4410" s="2"/>
      <c r="E4410" s="310"/>
      <c r="G4410" s="2"/>
      <c r="H4410" s="310"/>
      <c r="I4410" s="2"/>
      <c r="O4410" s="2"/>
      <c r="P4410" s="2"/>
    </row>
    <row r="4411" spans="4:16" x14ac:dyDescent="0.25">
      <c r="D4411" s="2"/>
      <c r="E4411" s="310"/>
      <c r="G4411" s="2"/>
      <c r="H4411" s="310"/>
      <c r="I4411" s="2"/>
      <c r="O4411" s="2"/>
      <c r="P4411" s="2"/>
    </row>
    <row r="4412" spans="4:16" x14ac:dyDescent="0.25">
      <c r="D4412" s="2"/>
      <c r="E4412" s="310"/>
      <c r="G4412" s="2"/>
      <c r="H4412" s="310"/>
      <c r="I4412" s="2"/>
      <c r="O4412" s="2"/>
      <c r="P4412" s="2"/>
    </row>
    <row r="4413" spans="4:16" x14ac:dyDescent="0.25">
      <c r="D4413" s="2"/>
      <c r="E4413" s="310"/>
      <c r="G4413" s="2"/>
      <c r="H4413" s="310"/>
      <c r="I4413" s="2"/>
      <c r="O4413" s="2"/>
      <c r="P4413" s="2"/>
    </row>
    <row r="4414" spans="4:16" x14ac:dyDescent="0.25">
      <c r="D4414" s="2"/>
      <c r="E4414" s="310"/>
      <c r="G4414" s="2"/>
      <c r="H4414" s="310"/>
      <c r="I4414" s="2"/>
      <c r="O4414" s="2"/>
      <c r="P4414" s="2"/>
    </row>
    <row r="4415" spans="4:16" x14ac:dyDescent="0.25">
      <c r="D4415" s="2"/>
      <c r="E4415" s="310"/>
      <c r="G4415" s="2"/>
      <c r="H4415" s="310"/>
      <c r="I4415" s="2"/>
      <c r="O4415" s="2"/>
      <c r="P4415" s="2"/>
    </row>
    <row r="4416" spans="4:16" x14ac:dyDescent="0.25">
      <c r="D4416" s="2"/>
      <c r="E4416" s="310"/>
      <c r="G4416" s="2"/>
      <c r="H4416" s="310"/>
      <c r="I4416" s="2"/>
      <c r="O4416" s="2"/>
      <c r="P4416" s="2"/>
    </row>
    <row r="4417" spans="4:16" x14ac:dyDescent="0.25">
      <c r="D4417" s="2"/>
      <c r="E4417" s="310"/>
      <c r="G4417" s="2"/>
      <c r="H4417" s="310"/>
      <c r="I4417" s="2"/>
      <c r="O4417" s="2"/>
      <c r="P4417" s="2"/>
    </row>
    <row r="4418" spans="4:16" x14ac:dyDescent="0.25">
      <c r="D4418" s="2"/>
      <c r="E4418" s="310"/>
      <c r="G4418" s="2"/>
      <c r="H4418" s="310"/>
      <c r="I4418" s="2"/>
      <c r="O4418" s="2"/>
      <c r="P4418" s="2"/>
    </row>
    <row r="4419" spans="4:16" x14ac:dyDescent="0.25">
      <c r="D4419" s="2"/>
      <c r="E4419" s="310"/>
      <c r="G4419" s="2"/>
      <c r="H4419" s="310"/>
      <c r="I4419" s="2"/>
      <c r="O4419" s="2"/>
      <c r="P4419" s="2"/>
    </row>
    <row r="4420" spans="4:16" x14ac:dyDescent="0.25">
      <c r="D4420" s="2"/>
      <c r="E4420" s="310"/>
      <c r="G4420" s="2"/>
      <c r="H4420" s="310"/>
      <c r="I4420" s="2"/>
      <c r="O4420" s="2"/>
      <c r="P4420" s="2"/>
    </row>
    <row r="4421" spans="4:16" x14ac:dyDescent="0.25">
      <c r="D4421" s="2"/>
      <c r="E4421" s="310"/>
      <c r="G4421" s="2"/>
      <c r="H4421" s="310"/>
      <c r="I4421" s="2"/>
      <c r="O4421" s="2"/>
      <c r="P4421" s="2"/>
    </row>
    <row r="4422" spans="4:16" x14ac:dyDescent="0.25">
      <c r="D4422" s="2"/>
      <c r="E4422" s="310"/>
      <c r="G4422" s="2"/>
      <c r="H4422" s="310"/>
      <c r="I4422" s="2"/>
      <c r="O4422" s="2"/>
      <c r="P4422" s="2"/>
    </row>
    <row r="4423" spans="4:16" x14ac:dyDescent="0.25">
      <c r="D4423" s="2"/>
      <c r="E4423" s="310"/>
      <c r="G4423" s="2"/>
      <c r="H4423" s="310"/>
      <c r="I4423" s="2"/>
      <c r="O4423" s="2"/>
      <c r="P4423" s="2"/>
    </row>
    <row r="4424" spans="4:16" x14ac:dyDescent="0.25">
      <c r="D4424" s="2"/>
      <c r="E4424" s="310"/>
      <c r="G4424" s="2"/>
      <c r="H4424" s="310"/>
      <c r="I4424" s="2"/>
      <c r="O4424" s="2"/>
      <c r="P4424" s="2"/>
    </row>
    <row r="4425" spans="4:16" x14ac:dyDescent="0.25">
      <c r="D4425" s="2"/>
      <c r="E4425" s="310"/>
      <c r="G4425" s="2"/>
      <c r="H4425" s="310"/>
      <c r="I4425" s="2"/>
      <c r="O4425" s="2"/>
      <c r="P4425" s="2"/>
    </row>
    <row r="4426" spans="4:16" x14ac:dyDescent="0.25">
      <c r="D4426" s="2"/>
      <c r="E4426" s="310"/>
      <c r="G4426" s="2"/>
      <c r="H4426" s="310"/>
      <c r="I4426" s="2"/>
      <c r="O4426" s="2"/>
      <c r="P4426" s="2"/>
    </row>
    <row r="4427" spans="4:16" x14ac:dyDescent="0.25">
      <c r="D4427" s="2"/>
      <c r="E4427" s="310"/>
      <c r="G4427" s="2"/>
      <c r="H4427" s="310"/>
      <c r="I4427" s="2"/>
      <c r="O4427" s="2"/>
      <c r="P4427" s="2"/>
    </row>
    <row r="4428" spans="4:16" x14ac:dyDescent="0.25">
      <c r="D4428" s="2"/>
      <c r="E4428" s="310"/>
      <c r="G4428" s="2"/>
      <c r="H4428" s="310"/>
      <c r="I4428" s="2"/>
      <c r="O4428" s="2"/>
      <c r="P4428" s="2"/>
    </row>
    <row r="4429" spans="4:16" x14ac:dyDescent="0.25">
      <c r="D4429" s="2"/>
      <c r="E4429" s="310"/>
      <c r="G4429" s="2"/>
      <c r="H4429" s="310"/>
      <c r="I4429" s="2"/>
      <c r="O4429" s="2"/>
      <c r="P4429" s="2"/>
    </row>
    <row r="4430" spans="4:16" x14ac:dyDescent="0.25">
      <c r="D4430" s="2"/>
      <c r="E4430" s="310"/>
      <c r="G4430" s="2"/>
      <c r="H4430" s="310"/>
      <c r="I4430" s="2"/>
      <c r="O4430" s="2"/>
      <c r="P4430" s="2"/>
    </row>
    <row r="4431" spans="4:16" x14ac:dyDescent="0.25">
      <c r="D4431" s="2"/>
      <c r="E4431" s="310"/>
      <c r="G4431" s="2"/>
      <c r="H4431" s="310"/>
      <c r="I4431" s="2"/>
      <c r="O4431" s="2"/>
      <c r="P4431" s="2"/>
    </row>
    <row r="4432" spans="4:16" x14ac:dyDescent="0.25">
      <c r="D4432" s="2"/>
      <c r="E4432" s="310"/>
      <c r="G4432" s="2"/>
      <c r="H4432" s="310"/>
      <c r="I4432" s="2"/>
      <c r="O4432" s="2"/>
      <c r="P4432" s="2"/>
    </row>
    <row r="4433" spans="4:16" x14ac:dyDescent="0.25">
      <c r="D4433" s="2"/>
      <c r="E4433" s="310"/>
      <c r="G4433" s="2"/>
      <c r="H4433" s="310"/>
      <c r="I4433" s="2"/>
      <c r="O4433" s="2"/>
      <c r="P4433" s="2"/>
    </row>
    <row r="4434" spans="4:16" x14ac:dyDescent="0.25">
      <c r="D4434" s="2"/>
      <c r="E4434" s="310"/>
      <c r="G4434" s="2"/>
      <c r="H4434" s="310"/>
      <c r="I4434" s="2"/>
      <c r="O4434" s="2"/>
      <c r="P4434" s="2"/>
    </row>
    <row r="4435" spans="4:16" x14ac:dyDescent="0.25">
      <c r="D4435" s="2"/>
      <c r="E4435" s="310"/>
      <c r="G4435" s="2"/>
      <c r="H4435" s="310"/>
      <c r="I4435" s="2"/>
      <c r="O4435" s="2"/>
      <c r="P4435" s="2"/>
    </row>
    <row r="4436" spans="4:16" x14ac:dyDescent="0.25">
      <c r="D4436" s="2"/>
      <c r="E4436" s="310"/>
      <c r="G4436" s="2"/>
      <c r="H4436" s="310"/>
      <c r="I4436" s="2"/>
      <c r="O4436" s="2"/>
      <c r="P4436" s="2"/>
    </row>
    <row r="4437" spans="4:16" x14ac:dyDescent="0.25">
      <c r="D4437" s="2"/>
      <c r="E4437" s="310"/>
      <c r="G4437" s="2"/>
      <c r="H4437" s="310"/>
      <c r="I4437" s="2"/>
      <c r="O4437" s="2"/>
      <c r="P4437" s="2"/>
    </row>
    <row r="4438" spans="4:16" x14ac:dyDescent="0.25">
      <c r="D4438" s="2"/>
      <c r="E4438" s="310"/>
      <c r="G4438" s="2"/>
      <c r="H4438" s="310"/>
      <c r="I4438" s="2"/>
      <c r="O4438" s="2"/>
      <c r="P4438" s="2"/>
    </row>
    <row r="4439" spans="4:16" x14ac:dyDescent="0.25">
      <c r="D4439" s="2"/>
      <c r="E4439" s="310"/>
      <c r="G4439" s="2"/>
      <c r="H4439" s="310"/>
      <c r="I4439" s="2"/>
      <c r="O4439" s="2"/>
      <c r="P4439" s="2"/>
    </row>
    <row r="4440" spans="4:16" x14ac:dyDescent="0.25">
      <c r="D4440" s="2"/>
      <c r="E4440" s="310"/>
      <c r="G4440" s="2"/>
      <c r="H4440" s="310"/>
      <c r="I4440" s="2"/>
      <c r="O4440" s="2"/>
      <c r="P4440" s="2"/>
    </row>
    <row r="4441" spans="4:16" x14ac:dyDescent="0.25">
      <c r="D4441" s="2"/>
      <c r="E4441" s="310"/>
      <c r="G4441" s="2"/>
      <c r="H4441" s="310"/>
      <c r="I4441" s="2"/>
      <c r="O4441" s="2"/>
      <c r="P4441" s="2"/>
    </row>
    <row r="4442" spans="4:16" x14ac:dyDescent="0.25">
      <c r="D4442" s="2"/>
      <c r="E4442" s="310"/>
      <c r="G4442" s="2"/>
      <c r="H4442" s="310"/>
      <c r="I4442" s="2"/>
      <c r="O4442" s="2"/>
      <c r="P4442" s="2"/>
    </row>
    <row r="4443" spans="4:16" x14ac:dyDescent="0.25">
      <c r="D4443" s="2"/>
      <c r="E4443" s="310"/>
      <c r="G4443" s="2"/>
      <c r="H4443" s="310"/>
      <c r="I4443" s="2"/>
      <c r="O4443" s="2"/>
      <c r="P4443" s="2"/>
    </row>
    <row r="4444" spans="4:16" x14ac:dyDescent="0.25">
      <c r="D4444" s="2"/>
      <c r="E4444" s="310"/>
      <c r="G4444" s="2"/>
      <c r="H4444" s="310"/>
      <c r="I4444" s="2"/>
      <c r="O4444" s="2"/>
      <c r="P4444" s="2"/>
    </row>
    <row r="4445" spans="4:16" x14ac:dyDescent="0.25">
      <c r="D4445" s="2"/>
      <c r="E4445" s="310"/>
      <c r="G4445" s="2"/>
      <c r="H4445" s="310"/>
      <c r="I4445" s="2"/>
      <c r="O4445" s="2"/>
      <c r="P4445" s="2"/>
    </row>
    <row r="4446" spans="4:16" x14ac:dyDescent="0.25">
      <c r="D4446" s="2"/>
      <c r="E4446" s="310"/>
      <c r="G4446" s="2"/>
      <c r="H4446" s="310"/>
      <c r="I4446" s="2"/>
      <c r="O4446" s="2"/>
      <c r="P4446" s="2"/>
    </row>
    <row r="4447" spans="4:16" x14ac:dyDescent="0.25">
      <c r="D4447" s="2"/>
      <c r="E4447" s="310"/>
      <c r="G4447" s="2"/>
      <c r="H4447" s="310"/>
      <c r="I4447" s="2"/>
      <c r="O4447" s="2"/>
      <c r="P4447" s="2"/>
    </row>
    <row r="4448" spans="4:16" x14ac:dyDescent="0.25">
      <c r="D4448" s="2"/>
      <c r="E4448" s="310"/>
      <c r="G4448" s="2"/>
      <c r="H4448" s="310"/>
      <c r="I4448" s="2"/>
      <c r="O4448" s="2"/>
      <c r="P4448" s="2"/>
    </row>
    <row r="4449" spans="4:16" x14ac:dyDescent="0.25">
      <c r="D4449" s="2"/>
      <c r="E4449" s="310"/>
      <c r="G4449" s="2"/>
      <c r="H4449" s="310"/>
      <c r="I4449" s="2"/>
      <c r="O4449" s="2"/>
      <c r="P4449" s="2"/>
    </row>
    <row r="4450" spans="4:16" x14ac:dyDescent="0.25">
      <c r="D4450" s="2"/>
      <c r="E4450" s="310"/>
      <c r="G4450" s="2"/>
      <c r="H4450" s="310"/>
      <c r="I4450" s="2"/>
      <c r="O4450" s="2"/>
      <c r="P4450" s="2"/>
    </row>
    <row r="4451" spans="4:16" x14ac:dyDescent="0.25">
      <c r="D4451" s="2"/>
      <c r="E4451" s="310"/>
      <c r="G4451" s="2"/>
      <c r="H4451" s="310"/>
      <c r="I4451" s="2"/>
      <c r="O4451" s="2"/>
      <c r="P4451" s="2"/>
    </row>
    <row r="4452" spans="4:16" x14ac:dyDescent="0.25">
      <c r="D4452" s="2"/>
      <c r="E4452" s="310"/>
      <c r="G4452" s="2"/>
      <c r="H4452" s="310"/>
      <c r="I4452" s="2"/>
      <c r="O4452" s="2"/>
      <c r="P4452" s="2"/>
    </row>
    <row r="4453" spans="4:16" x14ac:dyDescent="0.25">
      <c r="D4453" s="2"/>
      <c r="E4453" s="310"/>
      <c r="G4453" s="2"/>
      <c r="H4453" s="310"/>
      <c r="I4453" s="2"/>
      <c r="O4453" s="2"/>
      <c r="P4453" s="2"/>
    </row>
    <row r="4454" spans="4:16" x14ac:dyDescent="0.25">
      <c r="D4454" s="2"/>
      <c r="E4454" s="310"/>
      <c r="G4454" s="2"/>
      <c r="H4454" s="310"/>
      <c r="I4454" s="2"/>
      <c r="O4454" s="2"/>
      <c r="P4454" s="2"/>
    </row>
    <row r="4455" spans="4:16" x14ac:dyDescent="0.25">
      <c r="D4455" s="2"/>
      <c r="E4455" s="310"/>
      <c r="G4455" s="2"/>
      <c r="H4455" s="310"/>
      <c r="I4455" s="2"/>
      <c r="O4455" s="2"/>
      <c r="P4455" s="2"/>
    </row>
    <row r="4456" spans="4:16" x14ac:dyDescent="0.25">
      <c r="D4456" s="2"/>
      <c r="E4456" s="310"/>
      <c r="G4456" s="2"/>
      <c r="H4456" s="310"/>
      <c r="I4456" s="2"/>
      <c r="O4456" s="2"/>
      <c r="P4456" s="2"/>
    </row>
    <row r="4457" spans="4:16" x14ac:dyDescent="0.25">
      <c r="D4457" s="2"/>
      <c r="E4457" s="310"/>
      <c r="G4457" s="2"/>
      <c r="H4457" s="310"/>
      <c r="I4457" s="2"/>
      <c r="O4457" s="2"/>
      <c r="P4457" s="2"/>
    </row>
    <row r="4458" spans="4:16" x14ac:dyDescent="0.25">
      <c r="D4458" s="2"/>
      <c r="E4458" s="310"/>
      <c r="G4458" s="2"/>
      <c r="H4458" s="310"/>
      <c r="I4458" s="2"/>
      <c r="O4458" s="2"/>
      <c r="P4458" s="2"/>
    </row>
    <row r="4459" spans="4:16" x14ac:dyDescent="0.25">
      <c r="D4459" s="2"/>
      <c r="E4459" s="310"/>
      <c r="G4459" s="2"/>
      <c r="H4459" s="310"/>
      <c r="I4459" s="2"/>
      <c r="O4459" s="2"/>
      <c r="P4459" s="2"/>
    </row>
    <row r="4460" spans="4:16" x14ac:dyDescent="0.25">
      <c r="D4460" s="2"/>
      <c r="E4460" s="310"/>
      <c r="G4460" s="2"/>
      <c r="H4460" s="310"/>
      <c r="I4460" s="2"/>
      <c r="O4460" s="2"/>
      <c r="P4460" s="2"/>
    </row>
    <row r="4461" spans="4:16" x14ac:dyDescent="0.25">
      <c r="D4461" s="2"/>
      <c r="E4461" s="310"/>
      <c r="G4461" s="2"/>
      <c r="H4461" s="310"/>
      <c r="I4461" s="2"/>
      <c r="O4461" s="2"/>
      <c r="P4461" s="2"/>
    </row>
    <row r="4462" spans="4:16" x14ac:dyDescent="0.25">
      <c r="D4462" s="2"/>
      <c r="E4462" s="310"/>
      <c r="G4462" s="2"/>
      <c r="H4462" s="310"/>
      <c r="I4462" s="2"/>
      <c r="O4462" s="2"/>
      <c r="P4462" s="2"/>
    </row>
    <row r="4463" spans="4:16" x14ac:dyDescent="0.25">
      <c r="D4463" s="2"/>
      <c r="E4463" s="310"/>
      <c r="G4463" s="2"/>
      <c r="H4463" s="310"/>
      <c r="I4463" s="2"/>
      <c r="O4463" s="2"/>
      <c r="P4463" s="2"/>
    </row>
    <row r="4464" spans="4:16" x14ac:dyDescent="0.25">
      <c r="D4464" s="2"/>
      <c r="E4464" s="310"/>
      <c r="G4464" s="2"/>
      <c r="H4464" s="310"/>
      <c r="I4464" s="2"/>
      <c r="O4464" s="2"/>
      <c r="P4464" s="2"/>
    </row>
    <row r="4465" spans="4:16" x14ac:dyDescent="0.25">
      <c r="D4465" s="2"/>
      <c r="E4465" s="310"/>
      <c r="G4465" s="2"/>
      <c r="H4465" s="310"/>
      <c r="I4465" s="2"/>
      <c r="O4465" s="2"/>
      <c r="P4465" s="2"/>
    </row>
    <row r="4466" spans="4:16" x14ac:dyDescent="0.25">
      <c r="D4466" s="2"/>
      <c r="E4466" s="310"/>
      <c r="G4466" s="2"/>
      <c r="H4466" s="310"/>
      <c r="I4466" s="2"/>
      <c r="O4466" s="2"/>
      <c r="P4466" s="2"/>
    </row>
    <row r="4467" spans="4:16" x14ac:dyDescent="0.25">
      <c r="D4467" s="2"/>
      <c r="E4467" s="310"/>
      <c r="G4467" s="2"/>
      <c r="H4467" s="310"/>
      <c r="I4467" s="2"/>
      <c r="O4467" s="2"/>
      <c r="P4467" s="2"/>
    </row>
    <row r="4468" spans="4:16" x14ac:dyDescent="0.25">
      <c r="D4468" s="2"/>
      <c r="E4468" s="310"/>
      <c r="G4468" s="2"/>
      <c r="H4468" s="310"/>
      <c r="I4468" s="2"/>
      <c r="O4468" s="2"/>
      <c r="P4468" s="2"/>
    </row>
    <row r="4469" spans="4:16" x14ac:dyDescent="0.25">
      <c r="D4469" s="2"/>
      <c r="E4469" s="310"/>
      <c r="G4469" s="2"/>
      <c r="H4469" s="310"/>
      <c r="I4469" s="2"/>
      <c r="O4469" s="2"/>
      <c r="P4469" s="2"/>
    </row>
    <row r="4470" spans="4:16" x14ac:dyDescent="0.25">
      <c r="D4470" s="2"/>
      <c r="E4470" s="310"/>
      <c r="G4470" s="2"/>
      <c r="H4470" s="310"/>
      <c r="I4470" s="2"/>
      <c r="O4470" s="2"/>
      <c r="P4470" s="2"/>
    </row>
    <row r="4471" spans="4:16" x14ac:dyDescent="0.25">
      <c r="D4471" s="2"/>
      <c r="E4471" s="310"/>
      <c r="G4471" s="2"/>
      <c r="H4471" s="310"/>
      <c r="I4471" s="2"/>
      <c r="O4471" s="2"/>
      <c r="P4471" s="2"/>
    </row>
    <row r="4472" spans="4:16" x14ac:dyDescent="0.25">
      <c r="D4472" s="2"/>
      <c r="E4472" s="310"/>
      <c r="G4472" s="2"/>
      <c r="H4472" s="310"/>
      <c r="I4472" s="2"/>
      <c r="O4472" s="2"/>
      <c r="P4472" s="2"/>
    </row>
    <row r="4473" spans="4:16" x14ac:dyDescent="0.25">
      <c r="D4473" s="2"/>
      <c r="E4473" s="310"/>
      <c r="G4473" s="2"/>
      <c r="H4473" s="310"/>
      <c r="I4473" s="2"/>
      <c r="O4473" s="2"/>
      <c r="P4473" s="2"/>
    </row>
    <row r="4474" spans="4:16" x14ac:dyDescent="0.25">
      <c r="D4474" s="2"/>
      <c r="E4474" s="310"/>
      <c r="G4474" s="2"/>
      <c r="H4474" s="310"/>
      <c r="I4474" s="2"/>
      <c r="O4474" s="2"/>
      <c r="P4474" s="2"/>
    </row>
    <row r="4475" spans="4:16" x14ac:dyDescent="0.25">
      <c r="D4475" s="2"/>
      <c r="E4475" s="310"/>
      <c r="G4475" s="2"/>
      <c r="H4475" s="310"/>
      <c r="I4475" s="2"/>
      <c r="O4475" s="2"/>
      <c r="P4475" s="2"/>
    </row>
    <row r="4476" spans="4:16" x14ac:dyDescent="0.25">
      <c r="D4476" s="2"/>
      <c r="E4476" s="310"/>
      <c r="G4476" s="2"/>
      <c r="H4476" s="310"/>
      <c r="I4476" s="2"/>
      <c r="O4476" s="2"/>
      <c r="P4476" s="2"/>
    </row>
    <row r="4477" spans="4:16" x14ac:dyDescent="0.25">
      <c r="D4477" s="2"/>
      <c r="E4477" s="310"/>
      <c r="G4477" s="2"/>
      <c r="H4477" s="310"/>
      <c r="I4477" s="2"/>
      <c r="O4477" s="2"/>
      <c r="P4477" s="2"/>
    </row>
    <row r="4478" spans="4:16" x14ac:dyDescent="0.25">
      <c r="D4478" s="2"/>
      <c r="E4478" s="310"/>
      <c r="G4478" s="2"/>
      <c r="H4478" s="310"/>
      <c r="I4478" s="2"/>
      <c r="O4478" s="2"/>
      <c r="P4478" s="2"/>
    </row>
    <row r="4479" spans="4:16" x14ac:dyDescent="0.25">
      <c r="D4479" s="2"/>
      <c r="E4479" s="310"/>
      <c r="G4479" s="2"/>
      <c r="H4479" s="310"/>
      <c r="I4479" s="2"/>
      <c r="O4479" s="2"/>
      <c r="P4479" s="2"/>
    </row>
    <row r="4480" spans="4:16" x14ac:dyDescent="0.25">
      <c r="D4480" s="2"/>
      <c r="E4480" s="310"/>
      <c r="G4480" s="2"/>
      <c r="H4480" s="310"/>
      <c r="I4480" s="2"/>
      <c r="O4480" s="2"/>
      <c r="P4480" s="2"/>
    </row>
    <row r="4481" spans="4:16" x14ac:dyDescent="0.25">
      <c r="D4481" s="2"/>
      <c r="E4481" s="310"/>
      <c r="G4481" s="2"/>
      <c r="H4481" s="310"/>
      <c r="I4481" s="2"/>
      <c r="O4481" s="2"/>
      <c r="P4481" s="2"/>
    </row>
    <row r="4482" spans="4:16" x14ac:dyDescent="0.25">
      <c r="D4482" s="2"/>
      <c r="E4482" s="310"/>
      <c r="G4482" s="2"/>
      <c r="H4482" s="310"/>
      <c r="I4482" s="2"/>
      <c r="O4482" s="2"/>
      <c r="P4482" s="2"/>
    </row>
    <row r="4483" spans="4:16" x14ac:dyDescent="0.25">
      <c r="D4483" s="2"/>
      <c r="E4483" s="310"/>
      <c r="G4483" s="2"/>
      <c r="H4483" s="310"/>
      <c r="I4483" s="2"/>
      <c r="O4483" s="2"/>
      <c r="P4483" s="2"/>
    </row>
    <row r="4484" spans="4:16" x14ac:dyDescent="0.25">
      <c r="D4484" s="2"/>
      <c r="E4484" s="310"/>
      <c r="G4484" s="2"/>
      <c r="H4484" s="310"/>
      <c r="I4484" s="2"/>
      <c r="O4484" s="2"/>
      <c r="P4484" s="2"/>
    </row>
    <row r="4485" spans="4:16" x14ac:dyDescent="0.25">
      <c r="D4485" s="2"/>
      <c r="E4485" s="310"/>
      <c r="G4485" s="2"/>
      <c r="H4485" s="310"/>
      <c r="I4485" s="2"/>
      <c r="O4485" s="2"/>
      <c r="P4485" s="2"/>
    </row>
    <row r="4486" spans="4:16" x14ac:dyDescent="0.25">
      <c r="D4486" s="2"/>
      <c r="E4486" s="310"/>
      <c r="G4486" s="2"/>
      <c r="H4486" s="310"/>
      <c r="I4486" s="2"/>
      <c r="O4486" s="2"/>
      <c r="P4486" s="2"/>
    </row>
    <row r="4487" spans="4:16" x14ac:dyDescent="0.25">
      <c r="D4487" s="2"/>
      <c r="E4487" s="310"/>
      <c r="G4487" s="2"/>
      <c r="H4487" s="310"/>
      <c r="I4487" s="2"/>
      <c r="O4487" s="2"/>
      <c r="P4487" s="2"/>
    </row>
    <row r="4488" spans="4:16" x14ac:dyDescent="0.25">
      <c r="D4488" s="2"/>
      <c r="E4488" s="310"/>
      <c r="G4488" s="2"/>
      <c r="H4488" s="310"/>
      <c r="I4488" s="2"/>
      <c r="O4488" s="2"/>
      <c r="P4488" s="2"/>
    </row>
    <row r="4489" spans="4:16" x14ac:dyDescent="0.25">
      <c r="D4489" s="2"/>
      <c r="E4489" s="310"/>
      <c r="G4489" s="2"/>
      <c r="H4489" s="310"/>
      <c r="I4489" s="2"/>
      <c r="O4489" s="2"/>
      <c r="P4489" s="2"/>
    </row>
    <row r="4490" spans="4:16" x14ac:dyDescent="0.25">
      <c r="D4490" s="2"/>
      <c r="E4490" s="310"/>
      <c r="G4490" s="2"/>
      <c r="H4490" s="310"/>
      <c r="I4490" s="2"/>
      <c r="O4490" s="2"/>
      <c r="P4490" s="2"/>
    </row>
    <row r="4491" spans="4:16" x14ac:dyDescent="0.25">
      <c r="D4491" s="2"/>
      <c r="E4491" s="310"/>
      <c r="G4491" s="2"/>
      <c r="H4491" s="310"/>
      <c r="I4491" s="2"/>
      <c r="O4491" s="2"/>
      <c r="P4491" s="2"/>
    </row>
    <row r="4492" spans="4:16" x14ac:dyDescent="0.25">
      <c r="D4492" s="2"/>
      <c r="E4492" s="310"/>
      <c r="G4492" s="2"/>
      <c r="H4492" s="310"/>
      <c r="I4492" s="2"/>
      <c r="O4492" s="2"/>
      <c r="P4492" s="2"/>
    </row>
    <row r="4493" spans="4:16" x14ac:dyDescent="0.25">
      <c r="D4493" s="2"/>
      <c r="E4493" s="310"/>
      <c r="G4493" s="2"/>
      <c r="H4493" s="310"/>
      <c r="I4493" s="2"/>
      <c r="O4493" s="2"/>
      <c r="P4493" s="2"/>
    </row>
    <row r="4494" spans="4:16" x14ac:dyDescent="0.25">
      <c r="D4494" s="2"/>
      <c r="E4494" s="310"/>
      <c r="G4494" s="2"/>
      <c r="H4494" s="310"/>
      <c r="I4494" s="2"/>
      <c r="O4494" s="2"/>
      <c r="P4494" s="2"/>
    </row>
    <row r="4495" spans="4:16" x14ac:dyDescent="0.25">
      <c r="D4495" s="2"/>
      <c r="E4495" s="310"/>
      <c r="G4495" s="2"/>
      <c r="H4495" s="310"/>
      <c r="I4495" s="2"/>
      <c r="O4495" s="2"/>
      <c r="P4495" s="2"/>
    </row>
    <row r="4496" spans="4:16" x14ac:dyDescent="0.25">
      <c r="D4496" s="2"/>
      <c r="E4496" s="310"/>
      <c r="G4496" s="2"/>
      <c r="H4496" s="310"/>
      <c r="I4496" s="2"/>
      <c r="O4496" s="2"/>
      <c r="P4496" s="2"/>
    </row>
    <row r="4497" spans="4:16" x14ac:dyDescent="0.25">
      <c r="D4497" s="2"/>
      <c r="E4497" s="310"/>
      <c r="G4497" s="2"/>
      <c r="H4497" s="310"/>
      <c r="I4497" s="2"/>
      <c r="O4497" s="2"/>
      <c r="P4497" s="2"/>
    </row>
    <row r="4498" spans="4:16" x14ac:dyDescent="0.25">
      <c r="D4498" s="2"/>
      <c r="E4498" s="310"/>
      <c r="G4498" s="2"/>
      <c r="H4498" s="310"/>
      <c r="I4498" s="2"/>
      <c r="O4498" s="2"/>
      <c r="P4498" s="2"/>
    </row>
    <row r="4499" spans="4:16" x14ac:dyDescent="0.25">
      <c r="D4499" s="2"/>
      <c r="E4499" s="310"/>
      <c r="G4499" s="2"/>
      <c r="H4499" s="310"/>
      <c r="I4499" s="2"/>
      <c r="O4499" s="2"/>
      <c r="P4499" s="2"/>
    </row>
    <row r="4500" spans="4:16" x14ac:dyDescent="0.25">
      <c r="D4500" s="2"/>
      <c r="E4500" s="310"/>
      <c r="G4500" s="2"/>
      <c r="H4500" s="310"/>
      <c r="I4500" s="2"/>
      <c r="O4500" s="2"/>
      <c r="P4500" s="2"/>
    </row>
    <row r="4501" spans="4:16" x14ac:dyDescent="0.25">
      <c r="D4501" s="2"/>
      <c r="E4501" s="310"/>
      <c r="G4501" s="2"/>
      <c r="H4501" s="310"/>
      <c r="I4501" s="2"/>
      <c r="O4501" s="2"/>
      <c r="P4501" s="2"/>
    </row>
    <row r="4502" spans="4:16" x14ac:dyDescent="0.25">
      <c r="D4502" s="2"/>
      <c r="E4502" s="310"/>
      <c r="G4502" s="2"/>
      <c r="H4502" s="310"/>
      <c r="I4502" s="2"/>
      <c r="O4502" s="2"/>
      <c r="P4502" s="2"/>
    </row>
    <row r="4503" spans="4:16" x14ac:dyDescent="0.25">
      <c r="D4503" s="2"/>
      <c r="E4503" s="310"/>
      <c r="G4503" s="2"/>
      <c r="H4503" s="310"/>
      <c r="I4503" s="2"/>
      <c r="O4503" s="2"/>
      <c r="P4503" s="2"/>
    </row>
    <row r="4504" spans="4:16" x14ac:dyDescent="0.25">
      <c r="D4504" s="2"/>
      <c r="E4504" s="310"/>
      <c r="G4504" s="2"/>
      <c r="H4504" s="310"/>
      <c r="I4504" s="2"/>
      <c r="O4504" s="2"/>
      <c r="P4504" s="2"/>
    </row>
    <row r="4505" spans="4:16" x14ac:dyDescent="0.25">
      <c r="D4505" s="2"/>
      <c r="E4505" s="310"/>
      <c r="G4505" s="2"/>
      <c r="H4505" s="310"/>
      <c r="I4505" s="2"/>
      <c r="O4505" s="2"/>
      <c r="P4505" s="2"/>
    </row>
    <row r="4506" spans="4:16" x14ac:dyDescent="0.25">
      <c r="D4506" s="2"/>
      <c r="E4506" s="310"/>
      <c r="G4506" s="2"/>
      <c r="H4506" s="310"/>
      <c r="I4506" s="2"/>
      <c r="O4506" s="2"/>
      <c r="P4506" s="2"/>
    </row>
    <row r="4507" spans="4:16" x14ac:dyDescent="0.25">
      <c r="D4507" s="2"/>
      <c r="E4507" s="310"/>
      <c r="G4507" s="2"/>
      <c r="H4507" s="310"/>
      <c r="I4507" s="2"/>
      <c r="O4507" s="2"/>
      <c r="P4507" s="2"/>
    </row>
    <row r="4508" spans="4:16" x14ac:dyDescent="0.25">
      <c r="D4508" s="2"/>
      <c r="E4508" s="310"/>
      <c r="G4508" s="2"/>
      <c r="H4508" s="310"/>
      <c r="I4508" s="2"/>
      <c r="O4508" s="2"/>
      <c r="P4508" s="2"/>
    </row>
    <row r="4509" spans="4:16" x14ac:dyDescent="0.25">
      <c r="D4509" s="2"/>
      <c r="E4509" s="310"/>
      <c r="G4509" s="2"/>
      <c r="H4509" s="310"/>
      <c r="I4509" s="2"/>
      <c r="O4509" s="2"/>
      <c r="P4509" s="2"/>
    </row>
    <row r="4510" spans="4:16" x14ac:dyDescent="0.25">
      <c r="D4510" s="2"/>
      <c r="E4510" s="310"/>
      <c r="G4510" s="2"/>
      <c r="H4510" s="310"/>
      <c r="I4510" s="2"/>
      <c r="O4510" s="2"/>
      <c r="P4510" s="2"/>
    </row>
    <row r="4511" spans="4:16" x14ac:dyDescent="0.25">
      <c r="D4511" s="2"/>
      <c r="E4511" s="310"/>
      <c r="G4511" s="2"/>
      <c r="H4511" s="310"/>
      <c r="I4511" s="2"/>
      <c r="O4511" s="2"/>
      <c r="P4511" s="2"/>
    </row>
    <row r="4512" spans="4:16" x14ac:dyDescent="0.25">
      <c r="D4512" s="2"/>
      <c r="E4512" s="310"/>
      <c r="G4512" s="2"/>
      <c r="H4512" s="310"/>
      <c r="I4512" s="2"/>
      <c r="O4512" s="2"/>
      <c r="P4512" s="2"/>
    </row>
    <row r="4513" spans="4:16" x14ac:dyDescent="0.25">
      <c r="D4513" s="2"/>
      <c r="E4513" s="310"/>
      <c r="G4513" s="2"/>
      <c r="H4513" s="310"/>
      <c r="I4513" s="2"/>
      <c r="O4513" s="2"/>
      <c r="P4513" s="2"/>
    </row>
    <row r="4514" spans="4:16" x14ac:dyDescent="0.25">
      <c r="D4514" s="2"/>
      <c r="E4514" s="310"/>
      <c r="G4514" s="2"/>
      <c r="H4514" s="310"/>
      <c r="I4514" s="2"/>
      <c r="O4514" s="2"/>
      <c r="P4514" s="2"/>
    </row>
    <row r="4515" spans="4:16" x14ac:dyDescent="0.25">
      <c r="D4515" s="2"/>
      <c r="E4515" s="310"/>
      <c r="G4515" s="2"/>
      <c r="H4515" s="310"/>
      <c r="I4515" s="2"/>
      <c r="O4515" s="2"/>
      <c r="P4515" s="2"/>
    </row>
    <row r="4516" spans="4:16" x14ac:dyDescent="0.25">
      <c r="D4516" s="2"/>
      <c r="E4516" s="310"/>
      <c r="G4516" s="2"/>
      <c r="H4516" s="310"/>
      <c r="I4516" s="2"/>
      <c r="O4516" s="2"/>
      <c r="P4516" s="2"/>
    </row>
    <row r="4518" spans="4:16" x14ac:dyDescent="0.25">
      <c r="D4518" s="2"/>
      <c r="E4518" s="310"/>
      <c r="G4518" s="2"/>
      <c r="H4518" s="310"/>
      <c r="I4518" s="2"/>
      <c r="O4518" s="2"/>
      <c r="P4518" s="2"/>
    </row>
    <row r="4522" spans="4:16" x14ac:dyDescent="0.25">
      <c r="D4522" s="2"/>
      <c r="E4522" s="310"/>
      <c r="G4522" s="2"/>
      <c r="H4522" s="310"/>
      <c r="I4522" s="2"/>
      <c r="O4522" s="2"/>
      <c r="P4522" s="2"/>
    </row>
    <row r="4523" spans="4:16" x14ac:dyDescent="0.25">
      <c r="D4523" s="2"/>
      <c r="E4523" s="310"/>
      <c r="G4523" s="2"/>
      <c r="H4523" s="310"/>
      <c r="I4523" s="2"/>
      <c r="O4523" s="2"/>
      <c r="P4523" s="2"/>
    </row>
    <row r="4524" spans="4:16" x14ac:dyDescent="0.25">
      <c r="D4524" s="2"/>
      <c r="E4524" s="310"/>
      <c r="G4524" s="2"/>
      <c r="H4524" s="310"/>
      <c r="I4524" s="2"/>
      <c r="O4524" s="2"/>
      <c r="P4524" s="2"/>
    </row>
    <row r="4525" spans="4:16" x14ac:dyDescent="0.25">
      <c r="D4525" s="2"/>
      <c r="E4525" s="310"/>
      <c r="G4525" s="2"/>
      <c r="H4525" s="310"/>
      <c r="I4525" s="2"/>
      <c r="O4525" s="2"/>
      <c r="P4525" s="2"/>
    </row>
    <row r="4526" spans="4:16" x14ac:dyDescent="0.25">
      <c r="D4526" s="2"/>
      <c r="E4526" s="310"/>
      <c r="G4526" s="2"/>
      <c r="H4526" s="310"/>
      <c r="I4526" s="2"/>
      <c r="O4526" s="2"/>
      <c r="P4526" s="2"/>
    </row>
    <row r="4527" spans="4:16" x14ac:dyDescent="0.25">
      <c r="D4527" s="2"/>
      <c r="E4527" s="310"/>
      <c r="G4527" s="2"/>
      <c r="H4527" s="310"/>
      <c r="I4527" s="2"/>
      <c r="O4527" s="2"/>
      <c r="P4527" s="2"/>
    </row>
    <row r="4528" spans="4:16" x14ac:dyDescent="0.25">
      <c r="D4528" s="2"/>
      <c r="E4528" s="310"/>
      <c r="G4528" s="2"/>
      <c r="H4528" s="310"/>
      <c r="I4528" s="2"/>
      <c r="O4528" s="2"/>
      <c r="P4528" s="2"/>
    </row>
    <row r="4529" spans="4:16" x14ac:dyDescent="0.25">
      <c r="D4529" s="2"/>
      <c r="E4529" s="310"/>
      <c r="G4529" s="2"/>
      <c r="H4529" s="310"/>
      <c r="I4529" s="2"/>
      <c r="O4529" s="2"/>
      <c r="P4529" s="2"/>
    </row>
    <row r="4530" spans="4:16" x14ac:dyDescent="0.25">
      <c r="D4530" s="2"/>
      <c r="E4530" s="310"/>
      <c r="G4530" s="2"/>
      <c r="H4530" s="310"/>
      <c r="I4530" s="2"/>
      <c r="O4530" s="2"/>
      <c r="P4530" s="2"/>
    </row>
    <row r="4531" spans="4:16" x14ac:dyDescent="0.25">
      <c r="D4531" s="2"/>
      <c r="E4531" s="310"/>
      <c r="G4531" s="2"/>
      <c r="H4531" s="310"/>
      <c r="I4531" s="2"/>
      <c r="O4531" s="2"/>
      <c r="P4531" s="2"/>
    </row>
    <row r="4532" spans="4:16" x14ac:dyDescent="0.25">
      <c r="D4532" s="2"/>
      <c r="E4532" s="310"/>
      <c r="G4532" s="2"/>
      <c r="H4532" s="310"/>
      <c r="I4532" s="2"/>
      <c r="O4532" s="2"/>
      <c r="P4532" s="2"/>
    </row>
    <row r="4533" spans="4:16" x14ac:dyDescent="0.25">
      <c r="D4533" s="2"/>
      <c r="E4533" s="310"/>
      <c r="G4533" s="2"/>
      <c r="H4533" s="310"/>
      <c r="I4533" s="2"/>
      <c r="O4533" s="2"/>
      <c r="P4533" s="2"/>
    </row>
    <row r="4534" spans="4:16" x14ac:dyDescent="0.25">
      <c r="D4534" s="2"/>
      <c r="E4534" s="310"/>
      <c r="G4534" s="2"/>
      <c r="H4534" s="310"/>
      <c r="I4534" s="2"/>
      <c r="O4534" s="2"/>
      <c r="P4534" s="2"/>
    </row>
    <row r="4535" spans="4:16" x14ac:dyDescent="0.25">
      <c r="D4535" s="2"/>
      <c r="E4535" s="310"/>
      <c r="G4535" s="2"/>
      <c r="H4535" s="310"/>
      <c r="I4535" s="2"/>
      <c r="O4535" s="2"/>
      <c r="P4535" s="2"/>
    </row>
    <row r="4536" spans="4:16" x14ac:dyDescent="0.25">
      <c r="D4536" s="2"/>
      <c r="E4536" s="310"/>
      <c r="G4536" s="2"/>
      <c r="H4536" s="310"/>
      <c r="I4536" s="2"/>
      <c r="O4536" s="2"/>
      <c r="P4536" s="2"/>
    </row>
    <row r="4537" spans="4:16" x14ac:dyDescent="0.25">
      <c r="D4537" s="2"/>
      <c r="E4537" s="310"/>
      <c r="G4537" s="2"/>
      <c r="H4537" s="310"/>
      <c r="I4537" s="2"/>
      <c r="O4537" s="2"/>
      <c r="P4537" s="2"/>
    </row>
    <row r="4538" spans="4:16" x14ac:dyDescent="0.25">
      <c r="D4538" s="2"/>
      <c r="E4538" s="310"/>
      <c r="G4538" s="2"/>
      <c r="H4538" s="310"/>
      <c r="I4538" s="2"/>
      <c r="O4538" s="2"/>
      <c r="P4538" s="2"/>
    </row>
    <row r="4539" spans="4:16" x14ac:dyDescent="0.25">
      <c r="D4539" s="2"/>
      <c r="E4539" s="310"/>
      <c r="G4539" s="2"/>
      <c r="H4539" s="310"/>
      <c r="I4539" s="2"/>
      <c r="O4539" s="2"/>
      <c r="P4539" s="2"/>
    </row>
    <row r="4540" spans="4:16" x14ac:dyDescent="0.25">
      <c r="D4540" s="2"/>
      <c r="E4540" s="310"/>
      <c r="G4540" s="2"/>
      <c r="H4540" s="310"/>
      <c r="I4540" s="2"/>
      <c r="O4540" s="2"/>
      <c r="P4540" s="2"/>
    </row>
    <row r="4541" spans="4:16" x14ac:dyDescent="0.25">
      <c r="D4541" s="2"/>
      <c r="E4541" s="310"/>
      <c r="G4541" s="2"/>
      <c r="H4541" s="310"/>
      <c r="I4541" s="2"/>
      <c r="O4541" s="2"/>
      <c r="P4541" s="2"/>
    </row>
    <row r="4542" spans="4:16" x14ac:dyDescent="0.25">
      <c r="D4542" s="2"/>
      <c r="E4542" s="310"/>
      <c r="G4542" s="2"/>
      <c r="H4542" s="310"/>
      <c r="I4542" s="2"/>
      <c r="O4542" s="2"/>
      <c r="P4542" s="2"/>
    </row>
    <row r="4543" spans="4:16" x14ac:dyDescent="0.25">
      <c r="D4543" s="2"/>
      <c r="E4543" s="310"/>
      <c r="G4543" s="2"/>
      <c r="H4543" s="310"/>
      <c r="I4543" s="2"/>
      <c r="O4543" s="2"/>
      <c r="P4543" s="2"/>
    </row>
    <row r="4544" spans="4:16" x14ac:dyDescent="0.25">
      <c r="D4544" s="2"/>
      <c r="E4544" s="310"/>
      <c r="G4544" s="2"/>
      <c r="H4544" s="310"/>
      <c r="I4544" s="2"/>
      <c r="O4544" s="2"/>
      <c r="P4544" s="2"/>
    </row>
    <row r="4545" spans="4:16" x14ac:dyDescent="0.25">
      <c r="D4545" s="2"/>
      <c r="E4545" s="310"/>
      <c r="G4545" s="2"/>
      <c r="H4545" s="310"/>
      <c r="I4545" s="2"/>
      <c r="O4545" s="2"/>
      <c r="P4545" s="2"/>
    </row>
    <row r="4546" spans="4:16" x14ac:dyDescent="0.25">
      <c r="D4546" s="2"/>
      <c r="E4546" s="310"/>
      <c r="G4546" s="2"/>
      <c r="H4546" s="310"/>
      <c r="I4546" s="2"/>
      <c r="O4546" s="2"/>
      <c r="P4546" s="2"/>
    </row>
    <row r="4547" spans="4:16" x14ac:dyDescent="0.25">
      <c r="D4547" s="2"/>
      <c r="E4547" s="310"/>
      <c r="G4547" s="2"/>
      <c r="H4547" s="310"/>
      <c r="I4547" s="2"/>
      <c r="O4547" s="2"/>
      <c r="P4547" s="2"/>
    </row>
    <row r="4548" spans="4:16" x14ac:dyDescent="0.25">
      <c r="D4548" s="2"/>
      <c r="E4548" s="310"/>
      <c r="G4548" s="2"/>
      <c r="H4548" s="310"/>
      <c r="I4548" s="2"/>
      <c r="O4548" s="2"/>
      <c r="P4548" s="2"/>
    </row>
    <row r="4549" spans="4:16" x14ac:dyDescent="0.25">
      <c r="D4549" s="2"/>
      <c r="E4549" s="310"/>
      <c r="G4549" s="2"/>
      <c r="H4549" s="310"/>
      <c r="I4549" s="2"/>
      <c r="O4549" s="2"/>
      <c r="P4549" s="2"/>
    </row>
    <row r="4550" spans="4:16" x14ac:dyDescent="0.25">
      <c r="D4550" s="2"/>
      <c r="E4550" s="310"/>
      <c r="G4550" s="2"/>
      <c r="H4550" s="310"/>
      <c r="I4550" s="2"/>
      <c r="O4550" s="2"/>
      <c r="P4550" s="2"/>
    </row>
    <row r="4551" spans="4:16" x14ac:dyDescent="0.25">
      <c r="D4551" s="2"/>
      <c r="E4551" s="310"/>
      <c r="G4551" s="2"/>
      <c r="H4551" s="310"/>
      <c r="I4551" s="2"/>
      <c r="O4551" s="2"/>
      <c r="P4551" s="2"/>
    </row>
    <row r="4552" spans="4:16" x14ac:dyDescent="0.25">
      <c r="D4552" s="2"/>
      <c r="E4552" s="310"/>
      <c r="G4552" s="2"/>
      <c r="H4552" s="310"/>
      <c r="I4552" s="2"/>
      <c r="O4552" s="2"/>
      <c r="P4552" s="2"/>
    </row>
    <row r="4553" spans="4:16" x14ac:dyDescent="0.25">
      <c r="D4553" s="2"/>
      <c r="E4553" s="310"/>
      <c r="G4553" s="2"/>
      <c r="H4553" s="310"/>
      <c r="I4553" s="2"/>
      <c r="O4553" s="2"/>
      <c r="P4553" s="2"/>
    </row>
    <row r="4554" spans="4:16" x14ac:dyDescent="0.25">
      <c r="D4554" s="2"/>
      <c r="E4554" s="310"/>
      <c r="G4554" s="2"/>
      <c r="H4554" s="310"/>
      <c r="I4554" s="2"/>
      <c r="O4554" s="2"/>
      <c r="P4554" s="2"/>
    </row>
    <row r="4555" spans="4:16" x14ac:dyDescent="0.25">
      <c r="D4555" s="2"/>
      <c r="E4555" s="310"/>
      <c r="G4555" s="2"/>
      <c r="H4555" s="310"/>
      <c r="I4555" s="2"/>
      <c r="O4555" s="2"/>
      <c r="P4555" s="2"/>
    </row>
    <row r="4556" spans="4:16" x14ac:dyDescent="0.25">
      <c r="D4556" s="2"/>
      <c r="E4556" s="310"/>
      <c r="G4556" s="2"/>
      <c r="H4556" s="310"/>
      <c r="I4556" s="2"/>
      <c r="O4556" s="2"/>
      <c r="P4556" s="2"/>
    </row>
    <row r="4557" spans="4:16" x14ac:dyDescent="0.25">
      <c r="D4557" s="2"/>
      <c r="E4557" s="310"/>
      <c r="G4557" s="2"/>
      <c r="H4557" s="310"/>
      <c r="I4557" s="2"/>
      <c r="O4557" s="2"/>
      <c r="P4557" s="2"/>
    </row>
    <row r="4558" spans="4:16" x14ac:dyDescent="0.25">
      <c r="D4558" s="2"/>
      <c r="E4558" s="310"/>
      <c r="G4558" s="2"/>
      <c r="H4558" s="310"/>
      <c r="I4558" s="2"/>
      <c r="O4558" s="2"/>
      <c r="P4558" s="2"/>
    </row>
    <row r="4559" spans="4:16" x14ac:dyDescent="0.25">
      <c r="D4559" s="2"/>
      <c r="E4559" s="310"/>
      <c r="G4559" s="2"/>
      <c r="H4559" s="310"/>
      <c r="I4559" s="2"/>
      <c r="O4559" s="2"/>
      <c r="P4559" s="2"/>
    </row>
    <row r="4560" spans="4:16" x14ac:dyDescent="0.25">
      <c r="D4560" s="2"/>
      <c r="E4560" s="310"/>
      <c r="G4560" s="2"/>
      <c r="H4560" s="310"/>
      <c r="I4560" s="2"/>
      <c r="O4560" s="2"/>
      <c r="P4560" s="2"/>
    </row>
    <row r="4561" spans="4:16" x14ac:dyDescent="0.25">
      <c r="D4561" s="2"/>
      <c r="E4561" s="310"/>
      <c r="G4561" s="2"/>
      <c r="H4561" s="310"/>
      <c r="I4561" s="2"/>
      <c r="O4561" s="2"/>
      <c r="P4561" s="2"/>
    </row>
    <row r="4562" spans="4:16" x14ac:dyDescent="0.25">
      <c r="D4562" s="2"/>
      <c r="E4562" s="310"/>
      <c r="G4562" s="2"/>
      <c r="H4562" s="310"/>
      <c r="I4562" s="2"/>
      <c r="O4562" s="2"/>
      <c r="P4562" s="2"/>
    </row>
    <row r="4563" spans="4:16" x14ac:dyDescent="0.25">
      <c r="D4563" s="2"/>
      <c r="E4563" s="310"/>
      <c r="G4563" s="2"/>
      <c r="H4563" s="310"/>
      <c r="I4563" s="2"/>
      <c r="O4563" s="2"/>
      <c r="P4563" s="2"/>
    </row>
    <row r="4564" spans="4:16" x14ac:dyDescent="0.25">
      <c r="D4564" s="2"/>
      <c r="E4564" s="310"/>
      <c r="G4564" s="2"/>
      <c r="H4564" s="310"/>
      <c r="I4564" s="2"/>
      <c r="O4564" s="2"/>
      <c r="P4564" s="2"/>
    </row>
    <row r="4565" spans="4:16" x14ac:dyDescent="0.25">
      <c r="D4565" s="2"/>
      <c r="E4565" s="310"/>
      <c r="G4565" s="2"/>
      <c r="H4565" s="310"/>
      <c r="I4565" s="2"/>
      <c r="O4565" s="2"/>
      <c r="P4565" s="2"/>
    </row>
    <row r="4566" spans="4:16" x14ac:dyDescent="0.25">
      <c r="D4566" s="2"/>
      <c r="E4566" s="310"/>
      <c r="G4566" s="2"/>
      <c r="H4566" s="310"/>
      <c r="I4566" s="2"/>
      <c r="O4566" s="2"/>
      <c r="P4566" s="2"/>
    </row>
    <row r="4567" spans="4:16" x14ac:dyDescent="0.25">
      <c r="D4567" s="2"/>
      <c r="E4567" s="310"/>
      <c r="G4567" s="2"/>
      <c r="H4567" s="310"/>
      <c r="I4567" s="2"/>
      <c r="O4567" s="2"/>
      <c r="P4567" s="2"/>
    </row>
    <row r="4568" spans="4:16" x14ac:dyDescent="0.25">
      <c r="D4568" s="2"/>
      <c r="E4568" s="310"/>
      <c r="G4568" s="2"/>
      <c r="H4568" s="310"/>
      <c r="I4568" s="2"/>
      <c r="O4568" s="2"/>
      <c r="P4568" s="2"/>
    </row>
    <row r="4569" spans="4:16" x14ac:dyDescent="0.25">
      <c r="D4569" s="2"/>
      <c r="E4569" s="310"/>
      <c r="G4569" s="2"/>
      <c r="H4569" s="310"/>
      <c r="I4569" s="2"/>
      <c r="O4569" s="2"/>
      <c r="P4569" s="2"/>
    </row>
    <row r="4570" spans="4:16" x14ac:dyDescent="0.25">
      <c r="D4570" s="2"/>
      <c r="E4570" s="310"/>
      <c r="G4570" s="2"/>
      <c r="H4570" s="310"/>
      <c r="I4570" s="2"/>
      <c r="O4570" s="2"/>
      <c r="P4570" s="2"/>
    </row>
    <row r="4571" spans="4:16" x14ac:dyDescent="0.25">
      <c r="D4571" s="2"/>
      <c r="E4571" s="310"/>
      <c r="G4571" s="2"/>
      <c r="H4571" s="310"/>
      <c r="I4571" s="2"/>
      <c r="O4571" s="2"/>
      <c r="P4571" s="2"/>
    </row>
    <row r="4572" spans="4:16" x14ac:dyDescent="0.25">
      <c r="D4572" s="2"/>
      <c r="E4572" s="310"/>
      <c r="G4572" s="2"/>
      <c r="H4572" s="310"/>
      <c r="I4572" s="2"/>
      <c r="O4572" s="2"/>
      <c r="P4572" s="2"/>
    </row>
    <row r="4573" spans="4:16" x14ac:dyDescent="0.25">
      <c r="D4573" s="2"/>
      <c r="E4573" s="310"/>
      <c r="G4573" s="2"/>
      <c r="H4573" s="310"/>
      <c r="I4573" s="2"/>
      <c r="O4573" s="2"/>
      <c r="P4573" s="2"/>
    </row>
    <row r="4574" spans="4:16" x14ac:dyDescent="0.25">
      <c r="D4574" s="2"/>
      <c r="E4574" s="310"/>
      <c r="G4574" s="2"/>
      <c r="H4574" s="310"/>
      <c r="I4574" s="2"/>
      <c r="O4574" s="2"/>
      <c r="P4574" s="2"/>
    </row>
    <row r="4575" spans="4:16" x14ac:dyDescent="0.25">
      <c r="D4575" s="2"/>
      <c r="E4575" s="310"/>
      <c r="G4575" s="2"/>
      <c r="H4575" s="310"/>
      <c r="I4575" s="2"/>
      <c r="O4575" s="2"/>
      <c r="P4575" s="2"/>
    </row>
    <row r="4576" spans="4:16" x14ac:dyDescent="0.25">
      <c r="D4576" s="2"/>
      <c r="E4576" s="310"/>
      <c r="G4576" s="2"/>
      <c r="H4576" s="310"/>
      <c r="I4576" s="2"/>
      <c r="O4576" s="2"/>
      <c r="P4576" s="2"/>
    </row>
    <row r="4577" spans="4:16" x14ac:dyDescent="0.25">
      <c r="D4577" s="2"/>
      <c r="E4577" s="310"/>
      <c r="G4577" s="2"/>
      <c r="H4577" s="310"/>
      <c r="I4577" s="2"/>
      <c r="O4577" s="2"/>
      <c r="P4577" s="2"/>
    </row>
    <row r="4578" spans="4:16" x14ac:dyDescent="0.25">
      <c r="D4578" s="2"/>
      <c r="E4578" s="310"/>
      <c r="G4578" s="2"/>
      <c r="H4578" s="310"/>
      <c r="I4578" s="2"/>
      <c r="O4578" s="2"/>
      <c r="P4578" s="2"/>
    </row>
    <row r="4579" spans="4:16" x14ac:dyDescent="0.25">
      <c r="D4579" s="2"/>
      <c r="E4579" s="310"/>
      <c r="G4579" s="2"/>
      <c r="H4579" s="310"/>
      <c r="I4579" s="2"/>
      <c r="O4579" s="2"/>
      <c r="P4579" s="2"/>
    </row>
    <row r="4580" spans="4:16" x14ac:dyDescent="0.25">
      <c r="D4580" s="2"/>
      <c r="E4580" s="310"/>
      <c r="G4580" s="2"/>
      <c r="H4580" s="310"/>
      <c r="I4580" s="2"/>
      <c r="O4580" s="2"/>
      <c r="P4580" s="2"/>
    </row>
    <row r="4581" spans="4:16" x14ac:dyDescent="0.25">
      <c r="D4581" s="2"/>
      <c r="E4581" s="310"/>
      <c r="G4581" s="2"/>
      <c r="H4581" s="310"/>
      <c r="I4581" s="2"/>
      <c r="O4581" s="2"/>
      <c r="P4581" s="2"/>
    </row>
    <row r="4582" spans="4:16" x14ac:dyDescent="0.25">
      <c r="D4582" s="2"/>
      <c r="E4582" s="310"/>
      <c r="G4582" s="2"/>
      <c r="H4582" s="310"/>
      <c r="I4582" s="2"/>
      <c r="O4582" s="2"/>
      <c r="P4582" s="2"/>
    </row>
    <row r="4583" spans="4:16" x14ac:dyDescent="0.25">
      <c r="D4583" s="2"/>
      <c r="E4583" s="310"/>
      <c r="G4583" s="2"/>
      <c r="H4583" s="310"/>
      <c r="I4583" s="2"/>
      <c r="O4583" s="2"/>
      <c r="P4583" s="2"/>
    </row>
    <row r="4584" spans="4:16" x14ac:dyDescent="0.25">
      <c r="D4584" s="2"/>
      <c r="E4584" s="310"/>
      <c r="G4584" s="2"/>
      <c r="H4584" s="310"/>
      <c r="I4584" s="2"/>
      <c r="O4584" s="2"/>
      <c r="P4584" s="2"/>
    </row>
    <row r="4585" spans="4:16" x14ac:dyDescent="0.25">
      <c r="D4585" s="2"/>
      <c r="E4585" s="310"/>
      <c r="G4585" s="2"/>
      <c r="H4585" s="310"/>
      <c r="I4585" s="2"/>
      <c r="O4585" s="2"/>
      <c r="P4585" s="2"/>
    </row>
    <row r="4586" spans="4:16" x14ac:dyDescent="0.25">
      <c r="D4586" s="2"/>
      <c r="E4586" s="310"/>
      <c r="G4586" s="2"/>
      <c r="H4586" s="310"/>
      <c r="I4586" s="2"/>
      <c r="O4586" s="2"/>
      <c r="P4586" s="2"/>
    </row>
    <row r="4587" spans="4:16" x14ac:dyDescent="0.25">
      <c r="D4587" s="2"/>
      <c r="E4587" s="310"/>
      <c r="G4587" s="2"/>
      <c r="H4587" s="310"/>
      <c r="I4587" s="2"/>
      <c r="O4587" s="2"/>
      <c r="P4587" s="2"/>
    </row>
    <row r="4588" spans="4:16" x14ac:dyDescent="0.25">
      <c r="D4588" s="2"/>
      <c r="E4588" s="310"/>
      <c r="G4588" s="2"/>
      <c r="H4588" s="310"/>
      <c r="I4588" s="2"/>
      <c r="O4588" s="2"/>
      <c r="P4588" s="2"/>
    </row>
    <row r="4589" spans="4:16" x14ac:dyDescent="0.25">
      <c r="D4589" s="2"/>
      <c r="E4589" s="310"/>
      <c r="G4589" s="2"/>
      <c r="H4589" s="310"/>
      <c r="I4589" s="2"/>
      <c r="O4589" s="2"/>
      <c r="P4589" s="2"/>
    </row>
    <row r="4590" spans="4:16" x14ac:dyDescent="0.25">
      <c r="D4590" s="2"/>
      <c r="E4590" s="310"/>
      <c r="G4590" s="2"/>
      <c r="H4590" s="310"/>
      <c r="I4590" s="2"/>
      <c r="O4590" s="2"/>
      <c r="P4590" s="2"/>
    </row>
    <row r="4591" spans="4:16" x14ac:dyDescent="0.25">
      <c r="D4591" s="2"/>
      <c r="E4591" s="310"/>
      <c r="G4591" s="2"/>
      <c r="H4591" s="310"/>
      <c r="I4591" s="2"/>
      <c r="O4591" s="2"/>
      <c r="P4591" s="2"/>
    </row>
    <row r="4592" spans="4:16" x14ac:dyDescent="0.25">
      <c r="D4592" s="2"/>
      <c r="E4592" s="310"/>
      <c r="G4592" s="2"/>
      <c r="H4592" s="310"/>
      <c r="I4592" s="2"/>
      <c r="O4592" s="2"/>
      <c r="P4592" s="2"/>
    </row>
    <row r="4593" spans="4:16" x14ac:dyDescent="0.25">
      <c r="D4593" s="2"/>
      <c r="E4593" s="310"/>
      <c r="G4593" s="2"/>
      <c r="H4593" s="310"/>
      <c r="I4593" s="2"/>
      <c r="O4593" s="2"/>
      <c r="P4593" s="2"/>
    </row>
    <row r="4594" spans="4:16" x14ac:dyDescent="0.25">
      <c r="D4594" s="2"/>
      <c r="E4594" s="310"/>
      <c r="G4594" s="2"/>
      <c r="H4594" s="310"/>
      <c r="I4594" s="2"/>
      <c r="O4594" s="2"/>
      <c r="P4594" s="2"/>
    </row>
    <row r="4595" spans="4:16" x14ac:dyDescent="0.25">
      <c r="D4595" s="2"/>
      <c r="E4595" s="310"/>
      <c r="G4595" s="2"/>
      <c r="H4595" s="310"/>
      <c r="I4595" s="2"/>
      <c r="O4595" s="2"/>
      <c r="P4595" s="2"/>
    </row>
    <row r="4596" spans="4:16" x14ac:dyDescent="0.25">
      <c r="D4596" s="2"/>
      <c r="E4596" s="310"/>
      <c r="G4596" s="2"/>
      <c r="H4596" s="310"/>
      <c r="I4596" s="2"/>
      <c r="O4596" s="2"/>
      <c r="P4596" s="2"/>
    </row>
    <row r="4597" spans="4:16" x14ac:dyDescent="0.25">
      <c r="D4597" s="2"/>
      <c r="E4597" s="310"/>
      <c r="G4597" s="2"/>
      <c r="H4597" s="310"/>
      <c r="I4597" s="2"/>
      <c r="O4597" s="2"/>
      <c r="P4597" s="2"/>
    </row>
    <row r="4598" spans="4:16" x14ac:dyDescent="0.25">
      <c r="D4598" s="2"/>
      <c r="E4598" s="310"/>
      <c r="G4598" s="2"/>
      <c r="H4598" s="310"/>
      <c r="I4598" s="2"/>
      <c r="O4598" s="2"/>
      <c r="P4598" s="2"/>
    </row>
    <row r="4599" spans="4:16" x14ac:dyDescent="0.25">
      <c r="D4599" s="2"/>
      <c r="E4599" s="310"/>
      <c r="G4599" s="2"/>
      <c r="H4599" s="310"/>
      <c r="I4599" s="2"/>
      <c r="O4599" s="2"/>
      <c r="P4599" s="2"/>
    </row>
    <row r="4600" spans="4:16" x14ac:dyDescent="0.25">
      <c r="D4600" s="2"/>
      <c r="E4600" s="310"/>
      <c r="G4600" s="2"/>
      <c r="H4600" s="310"/>
      <c r="I4600" s="2"/>
      <c r="O4600" s="2"/>
      <c r="P4600" s="2"/>
    </row>
    <row r="4601" spans="4:16" x14ac:dyDescent="0.25">
      <c r="D4601" s="2"/>
      <c r="E4601" s="310"/>
      <c r="G4601" s="2"/>
      <c r="H4601" s="310"/>
      <c r="I4601" s="2"/>
      <c r="O4601" s="2"/>
      <c r="P4601" s="2"/>
    </row>
    <row r="4602" spans="4:16" x14ac:dyDescent="0.25">
      <c r="D4602" s="2"/>
      <c r="E4602" s="310"/>
      <c r="G4602" s="2"/>
      <c r="H4602" s="310"/>
      <c r="I4602" s="2"/>
      <c r="O4602" s="2"/>
      <c r="P4602" s="2"/>
    </row>
    <row r="4603" spans="4:16" x14ac:dyDescent="0.25">
      <c r="D4603" s="2"/>
      <c r="E4603" s="310"/>
      <c r="G4603" s="2"/>
      <c r="H4603" s="310"/>
      <c r="I4603" s="2"/>
      <c r="O4603" s="2"/>
      <c r="P4603" s="2"/>
    </row>
    <row r="4604" spans="4:16" x14ac:dyDescent="0.25">
      <c r="D4604" s="2"/>
      <c r="E4604" s="310"/>
      <c r="G4604" s="2"/>
      <c r="H4604" s="310"/>
      <c r="I4604" s="2"/>
      <c r="O4604" s="2"/>
      <c r="P4604" s="2"/>
    </row>
    <row r="4605" spans="4:16" x14ac:dyDescent="0.25">
      <c r="D4605" s="2"/>
      <c r="E4605" s="310"/>
      <c r="G4605" s="2"/>
      <c r="H4605" s="310"/>
      <c r="I4605" s="2"/>
      <c r="O4605" s="2"/>
      <c r="P4605" s="2"/>
    </row>
    <row r="4606" spans="4:16" x14ac:dyDescent="0.25">
      <c r="D4606" s="2"/>
      <c r="E4606" s="310"/>
      <c r="G4606" s="2"/>
      <c r="H4606" s="310"/>
      <c r="I4606" s="2"/>
      <c r="O4606" s="2"/>
      <c r="P4606" s="2"/>
    </row>
    <row r="4607" spans="4:16" x14ac:dyDescent="0.25">
      <c r="D4607" s="2"/>
      <c r="E4607" s="310"/>
      <c r="G4607" s="2"/>
      <c r="H4607" s="310"/>
      <c r="I4607" s="2"/>
      <c r="O4607" s="2"/>
      <c r="P4607" s="2"/>
    </row>
    <row r="4608" spans="4:16" x14ac:dyDescent="0.25">
      <c r="D4608" s="2"/>
      <c r="E4608" s="310"/>
      <c r="G4608" s="2"/>
      <c r="H4608" s="310"/>
      <c r="I4608" s="2"/>
      <c r="O4608" s="2"/>
      <c r="P4608" s="2"/>
    </row>
    <row r="4609" spans="4:16" x14ac:dyDescent="0.25">
      <c r="D4609" s="2"/>
      <c r="E4609" s="310"/>
      <c r="G4609" s="2"/>
      <c r="H4609" s="310"/>
      <c r="I4609" s="2"/>
      <c r="O4609" s="2"/>
      <c r="P4609" s="2"/>
    </row>
    <row r="4610" spans="4:16" x14ac:dyDescent="0.25">
      <c r="D4610" s="2"/>
      <c r="E4610" s="310"/>
      <c r="G4610" s="2"/>
      <c r="H4610" s="310"/>
      <c r="I4610" s="2"/>
      <c r="O4610" s="2"/>
      <c r="P4610" s="2"/>
    </row>
    <row r="4611" spans="4:16" x14ac:dyDescent="0.25">
      <c r="D4611" s="2"/>
      <c r="E4611" s="310"/>
      <c r="G4611" s="2"/>
      <c r="H4611" s="310"/>
      <c r="I4611" s="2"/>
      <c r="O4611" s="2"/>
      <c r="P4611" s="2"/>
    </row>
    <row r="4612" spans="4:16" x14ac:dyDescent="0.25">
      <c r="D4612" s="2"/>
      <c r="E4612" s="310"/>
      <c r="G4612" s="2"/>
      <c r="H4612" s="310"/>
      <c r="I4612" s="2"/>
      <c r="O4612" s="2"/>
      <c r="P4612" s="2"/>
    </row>
    <row r="4613" spans="4:16" x14ac:dyDescent="0.25">
      <c r="D4613" s="2"/>
      <c r="E4613" s="310"/>
      <c r="G4613" s="2"/>
      <c r="H4613" s="310"/>
      <c r="I4613" s="2"/>
      <c r="O4613" s="2"/>
      <c r="P4613" s="2"/>
    </row>
    <row r="4614" spans="4:16" x14ac:dyDescent="0.25">
      <c r="D4614" s="2"/>
      <c r="E4614" s="310"/>
      <c r="G4614" s="2"/>
      <c r="H4614" s="310"/>
      <c r="I4614" s="2"/>
      <c r="O4614" s="2"/>
      <c r="P4614" s="2"/>
    </row>
    <row r="4615" spans="4:16" x14ac:dyDescent="0.25">
      <c r="D4615" s="2"/>
      <c r="E4615" s="310"/>
      <c r="G4615" s="2"/>
      <c r="H4615" s="310"/>
      <c r="I4615" s="2"/>
      <c r="O4615" s="2"/>
      <c r="P4615" s="2"/>
    </row>
    <row r="4616" spans="4:16" x14ac:dyDescent="0.25">
      <c r="D4616" s="2"/>
      <c r="E4616" s="310"/>
      <c r="G4616" s="2"/>
      <c r="H4616" s="310"/>
      <c r="I4616" s="2"/>
      <c r="O4616" s="2"/>
      <c r="P4616" s="2"/>
    </row>
    <row r="4617" spans="4:16" x14ac:dyDescent="0.25">
      <c r="D4617" s="2"/>
      <c r="E4617" s="310"/>
      <c r="G4617" s="2"/>
      <c r="H4617" s="310"/>
      <c r="I4617" s="2"/>
      <c r="O4617" s="2"/>
      <c r="P4617" s="2"/>
    </row>
    <row r="4618" spans="4:16" x14ac:dyDescent="0.25">
      <c r="D4618" s="2"/>
      <c r="E4618" s="310"/>
      <c r="G4618" s="2"/>
      <c r="H4618" s="310"/>
      <c r="I4618" s="2"/>
      <c r="O4618" s="2"/>
      <c r="P4618" s="2"/>
    </row>
    <row r="4619" spans="4:16" x14ac:dyDescent="0.25">
      <c r="D4619" s="2"/>
      <c r="E4619" s="310"/>
      <c r="G4619" s="2"/>
      <c r="H4619" s="310"/>
      <c r="I4619" s="2"/>
      <c r="O4619" s="2"/>
      <c r="P4619" s="2"/>
    </row>
    <row r="4620" spans="4:16" x14ac:dyDescent="0.25">
      <c r="D4620" s="2"/>
      <c r="E4620" s="310"/>
      <c r="G4620" s="2"/>
      <c r="H4620" s="310"/>
      <c r="I4620" s="2"/>
      <c r="O4620" s="2"/>
      <c r="P4620" s="2"/>
    </row>
    <row r="4621" spans="4:16" x14ac:dyDescent="0.25">
      <c r="D4621" s="2"/>
      <c r="E4621" s="310"/>
      <c r="G4621" s="2"/>
      <c r="H4621" s="310"/>
      <c r="I4621" s="2"/>
      <c r="O4621" s="2"/>
      <c r="P4621" s="2"/>
    </row>
    <row r="4622" spans="4:16" x14ac:dyDescent="0.25">
      <c r="D4622" s="2"/>
      <c r="E4622" s="310"/>
      <c r="G4622" s="2"/>
      <c r="H4622" s="310"/>
      <c r="I4622" s="2"/>
      <c r="O4622" s="2"/>
      <c r="P4622" s="2"/>
    </row>
    <row r="4623" spans="4:16" x14ac:dyDescent="0.25">
      <c r="D4623" s="2"/>
      <c r="E4623" s="310"/>
      <c r="G4623" s="2"/>
      <c r="H4623" s="310"/>
      <c r="I4623" s="2"/>
      <c r="O4623" s="2"/>
      <c r="P4623" s="2"/>
    </row>
    <row r="4624" spans="4:16" x14ac:dyDescent="0.25">
      <c r="D4624" s="2"/>
      <c r="E4624" s="310"/>
      <c r="G4624" s="2"/>
      <c r="H4624" s="310"/>
      <c r="I4624" s="2"/>
      <c r="O4624" s="2"/>
      <c r="P4624" s="2"/>
    </row>
    <row r="4625" spans="4:16" x14ac:dyDescent="0.25">
      <c r="D4625" s="2"/>
      <c r="E4625" s="310"/>
      <c r="G4625" s="2"/>
      <c r="H4625" s="310"/>
      <c r="I4625" s="2"/>
      <c r="O4625" s="2"/>
      <c r="P4625" s="2"/>
    </row>
    <row r="4626" spans="4:16" x14ac:dyDescent="0.25">
      <c r="D4626" s="2"/>
      <c r="E4626" s="310"/>
      <c r="G4626" s="2"/>
      <c r="H4626" s="310"/>
      <c r="I4626" s="2"/>
      <c r="O4626" s="2"/>
      <c r="P4626" s="2"/>
    </row>
    <row r="4627" spans="4:16" x14ac:dyDescent="0.25">
      <c r="D4627" s="2"/>
      <c r="E4627" s="310"/>
      <c r="G4627" s="2"/>
      <c r="H4627" s="310"/>
      <c r="I4627" s="2"/>
      <c r="O4627" s="2"/>
      <c r="P4627" s="2"/>
    </row>
    <row r="4628" spans="4:16" x14ac:dyDescent="0.25">
      <c r="D4628" s="2"/>
      <c r="E4628" s="310"/>
      <c r="G4628" s="2"/>
      <c r="H4628" s="310"/>
      <c r="I4628" s="2"/>
      <c r="O4628" s="2"/>
      <c r="P4628" s="2"/>
    </row>
    <row r="4629" spans="4:16" x14ac:dyDescent="0.25">
      <c r="D4629" s="2"/>
      <c r="E4629" s="310"/>
      <c r="G4629" s="2"/>
      <c r="H4629" s="310"/>
      <c r="I4629" s="2"/>
      <c r="O4629" s="2"/>
      <c r="P4629" s="2"/>
    </row>
    <row r="4630" spans="4:16" x14ac:dyDescent="0.25">
      <c r="D4630" s="2"/>
      <c r="E4630" s="310"/>
      <c r="G4630" s="2"/>
      <c r="H4630" s="310"/>
      <c r="I4630" s="2"/>
      <c r="O4630" s="2"/>
      <c r="P4630" s="2"/>
    </row>
    <row r="4631" spans="4:16" x14ac:dyDescent="0.25">
      <c r="D4631" s="2"/>
      <c r="E4631" s="310"/>
      <c r="G4631" s="2"/>
      <c r="H4631" s="310"/>
      <c r="I4631" s="2"/>
      <c r="O4631" s="2"/>
      <c r="P4631" s="2"/>
    </row>
    <row r="4632" spans="4:16" x14ac:dyDescent="0.25">
      <c r="D4632" s="2"/>
      <c r="E4632" s="310"/>
      <c r="G4632" s="2"/>
      <c r="H4632" s="310"/>
      <c r="I4632" s="2"/>
      <c r="O4632" s="2"/>
      <c r="P4632" s="2"/>
    </row>
    <row r="4633" spans="4:16" x14ac:dyDescent="0.25">
      <c r="D4633" s="2"/>
      <c r="E4633" s="310"/>
      <c r="G4633" s="2"/>
      <c r="H4633" s="310"/>
      <c r="I4633" s="2"/>
      <c r="O4633" s="2"/>
      <c r="P4633" s="2"/>
    </row>
    <row r="4634" spans="4:16" x14ac:dyDescent="0.25">
      <c r="D4634" s="2"/>
      <c r="E4634" s="310"/>
      <c r="G4634" s="2"/>
      <c r="H4634" s="310"/>
      <c r="I4634" s="2"/>
      <c r="O4634" s="2"/>
      <c r="P4634" s="2"/>
    </row>
    <row r="4635" spans="4:16" x14ac:dyDescent="0.25">
      <c r="D4635" s="2"/>
      <c r="E4635" s="310"/>
      <c r="G4635" s="2"/>
      <c r="H4635" s="310"/>
      <c r="I4635" s="2"/>
      <c r="O4635" s="2"/>
      <c r="P4635" s="2"/>
    </row>
    <row r="4636" spans="4:16" x14ac:dyDescent="0.25">
      <c r="D4636" s="2"/>
      <c r="E4636" s="310"/>
      <c r="G4636" s="2"/>
      <c r="H4636" s="310"/>
      <c r="I4636" s="2"/>
      <c r="O4636" s="2"/>
      <c r="P4636" s="2"/>
    </row>
    <row r="4637" spans="4:16" x14ac:dyDescent="0.25">
      <c r="D4637" s="2"/>
      <c r="E4637" s="310"/>
      <c r="G4637" s="2"/>
      <c r="H4637" s="310"/>
      <c r="I4637" s="2"/>
      <c r="O4637" s="2"/>
      <c r="P4637" s="2"/>
    </row>
    <row r="4638" spans="4:16" x14ac:dyDescent="0.25">
      <c r="D4638" s="2"/>
      <c r="E4638" s="310"/>
      <c r="G4638" s="2"/>
      <c r="H4638" s="310"/>
      <c r="I4638" s="2"/>
      <c r="O4638" s="2"/>
      <c r="P4638" s="2"/>
    </row>
    <row r="4639" spans="4:16" x14ac:dyDescent="0.25">
      <c r="D4639" s="2"/>
      <c r="E4639" s="310"/>
      <c r="G4639" s="2"/>
      <c r="H4639" s="310"/>
      <c r="I4639" s="2"/>
      <c r="O4639" s="2"/>
      <c r="P4639" s="2"/>
    </row>
    <row r="4640" spans="4:16" x14ac:dyDescent="0.25">
      <c r="D4640" s="2"/>
      <c r="E4640" s="310"/>
      <c r="G4640" s="2"/>
      <c r="H4640" s="310"/>
      <c r="I4640" s="2"/>
      <c r="O4640" s="2"/>
      <c r="P4640" s="2"/>
    </row>
    <row r="4641" spans="4:16" x14ac:dyDescent="0.25">
      <c r="D4641" s="2"/>
      <c r="E4641" s="310"/>
      <c r="G4641" s="2"/>
      <c r="H4641" s="310"/>
      <c r="I4641" s="2"/>
      <c r="O4641" s="2"/>
      <c r="P4641" s="2"/>
    </row>
    <row r="4642" spans="4:16" x14ac:dyDescent="0.25">
      <c r="D4642" s="2"/>
      <c r="E4642" s="310"/>
      <c r="G4642" s="2"/>
      <c r="H4642" s="310"/>
      <c r="I4642" s="2"/>
      <c r="O4642" s="2"/>
      <c r="P4642" s="2"/>
    </row>
    <row r="4643" spans="4:16" x14ac:dyDescent="0.25">
      <c r="D4643" s="2"/>
      <c r="E4643" s="310"/>
      <c r="G4643" s="2"/>
      <c r="H4643" s="310"/>
      <c r="I4643" s="2"/>
      <c r="O4643" s="2"/>
      <c r="P4643" s="2"/>
    </row>
    <row r="4644" spans="4:16" x14ac:dyDescent="0.25">
      <c r="D4644" s="2"/>
      <c r="E4644" s="310"/>
      <c r="G4644" s="2"/>
      <c r="H4644" s="310"/>
      <c r="I4644" s="2"/>
      <c r="O4644" s="2"/>
      <c r="P4644" s="2"/>
    </row>
    <row r="4645" spans="4:16" x14ac:dyDescent="0.25">
      <c r="D4645" s="2"/>
      <c r="E4645" s="310"/>
      <c r="G4645" s="2"/>
      <c r="H4645" s="310"/>
      <c r="I4645" s="2"/>
      <c r="O4645" s="2"/>
      <c r="P4645" s="2"/>
    </row>
    <row r="4646" spans="4:16" x14ac:dyDescent="0.25">
      <c r="D4646" s="2"/>
      <c r="E4646" s="310"/>
      <c r="G4646" s="2"/>
      <c r="H4646" s="310"/>
      <c r="I4646" s="2"/>
      <c r="O4646" s="2"/>
      <c r="P4646" s="2"/>
    </row>
    <row r="4647" spans="4:16" x14ac:dyDescent="0.25">
      <c r="D4647" s="2"/>
      <c r="E4647" s="310"/>
      <c r="G4647" s="2"/>
      <c r="H4647" s="310"/>
      <c r="I4647" s="2"/>
      <c r="O4647" s="2"/>
      <c r="P4647" s="2"/>
    </row>
    <row r="4648" spans="4:16" x14ac:dyDescent="0.25">
      <c r="D4648" s="2"/>
      <c r="E4648" s="310"/>
      <c r="G4648" s="2"/>
      <c r="H4648" s="310"/>
      <c r="I4648" s="2"/>
      <c r="O4648" s="2"/>
      <c r="P4648" s="2"/>
    </row>
    <row r="4649" spans="4:16" x14ac:dyDescent="0.25">
      <c r="D4649" s="2"/>
      <c r="E4649" s="310"/>
      <c r="G4649" s="2"/>
      <c r="H4649" s="310"/>
      <c r="I4649" s="2"/>
      <c r="O4649" s="2"/>
      <c r="P4649" s="2"/>
    </row>
    <row r="4650" spans="4:16" x14ac:dyDescent="0.25">
      <c r="D4650" s="2"/>
      <c r="E4650" s="310"/>
      <c r="G4650" s="2"/>
      <c r="H4650" s="310"/>
      <c r="I4650" s="2"/>
      <c r="O4650" s="2"/>
      <c r="P4650" s="2"/>
    </row>
    <row r="4651" spans="4:16" x14ac:dyDescent="0.25">
      <c r="D4651" s="2"/>
      <c r="E4651" s="310"/>
      <c r="G4651" s="2"/>
      <c r="H4651" s="310"/>
      <c r="I4651" s="2"/>
      <c r="O4651" s="2"/>
      <c r="P4651" s="2"/>
    </row>
    <row r="4652" spans="4:16" x14ac:dyDescent="0.25">
      <c r="D4652" s="2"/>
      <c r="E4652" s="310"/>
      <c r="G4652" s="2"/>
      <c r="H4652" s="310"/>
      <c r="I4652" s="2"/>
      <c r="O4652" s="2"/>
      <c r="P4652" s="2"/>
    </row>
    <row r="4653" spans="4:16" x14ac:dyDescent="0.25">
      <c r="D4653" s="2"/>
      <c r="E4653" s="310"/>
      <c r="G4653" s="2"/>
      <c r="H4653" s="310"/>
      <c r="I4653" s="2"/>
      <c r="O4653" s="2"/>
      <c r="P4653" s="2"/>
    </row>
    <row r="4654" spans="4:16" x14ac:dyDescent="0.25">
      <c r="D4654" s="2"/>
      <c r="E4654" s="310"/>
      <c r="G4654" s="2"/>
      <c r="H4654" s="310"/>
      <c r="I4654" s="2"/>
      <c r="O4654" s="2"/>
      <c r="P4654" s="2"/>
    </row>
    <row r="4655" spans="4:16" x14ac:dyDescent="0.25">
      <c r="D4655" s="2"/>
      <c r="E4655" s="310"/>
      <c r="G4655" s="2"/>
      <c r="H4655" s="310"/>
      <c r="I4655" s="2"/>
      <c r="O4655" s="2"/>
      <c r="P4655" s="2"/>
    </row>
    <row r="4656" spans="4:16" x14ac:dyDescent="0.25">
      <c r="D4656" s="2"/>
      <c r="E4656" s="310"/>
      <c r="G4656" s="2"/>
      <c r="H4656" s="310"/>
      <c r="I4656" s="2"/>
      <c r="O4656" s="2"/>
      <c r="P4656" s="2"/>
    </row>
    <row r="4657" spans="4:16" x14ac:dyDescent="0.25">
      <c r="D4657" s="2"/>
      <c r="E4657" s="310"/>
      <c r="G4657" s="2"/>
      <c r="H4657" s="310"/>
      <c r="I4657" s="2"/>
      <c r="O4657" s="2"/>
      <c r="P4657" s="2"/>
    </row>
    <row r="4658" spans="4:16" x14ac:dyDescent="0.25">
      <c r="D4658" s="2"/>
      <c r="E4658" s="310"/>
      <c r="G4658" s="2"/>
      <c r="H4658" s="310"/>
      <c r="I4658" s="2"/>
      <c r="O4658" s="2"/>
      <c r="P4658" s="2"/>
    </row>
    <row r="4659" spans="4:16" x14ac:dyDescent="0.25">
      <c r="D4659" s="2"/>
      <c r="E4659" s="310"/>
      <c r="G4659" s="2"/>
      <c r="H4659" s="310"/>
      <c r="I4659" s="2"/>
      <c r="O4659" s="2"/>
      <c r="P4659" s="2"/>
    </row>
    <row r="4660" spans="4:16" x14ac:dyDescent="0.25">
      <c r="D4660" s="2"/>
      <c r="E4660" s="310"/>
      <c r="G4660" s="2"/>
      <c r="H4660" s="310"/>
      <c r="I4660" s="2"/>
      <c r="O4660" s="2"/>
      <c r="P4660" s="2"/>
    </row>
    <row r="4661" spans="4:16" x14ac:dyDescent="0.25">
      <c r="D4661" s="2"/>
      <c r="E4661" s="310"/>
      <c r="G4661" s="2"/>
      <c r="H4661" s="310"/>
      <c r="I4661" s="2"/>
      <c r="O4661" s="2"/>
      <c r="P4661" s="2"/>
    </row>
    <row r="4662" spans="4:16" x14ac:dyDescent="0.25">
      <c r="D4662" s="2"/>
      <c r="E4662" s="310"/>
      <c r="G4662" s="2"/>
      <c r="H4662" s="310"/>
      <c r="I4662" s="2"/>
      <c r="O4662" s="2"/>
      <c r="P4662" s="2"/>
    </row>
    <row r="4663" spans="4:16" x14ac:dyDescent="0.25">
      <c r="D4663" s="2"/>
      <c r="E4663" s="310"/>
      <c r="G4663" s="2"/>
      <c r="H4663" s="310"/>
      <c r="I4663" s="2"/>
      <c r="O4663" s="2"/>
      <c r="P4663" s="2"/>
    </row>
    <row r="4664" spans="4:16" x14ac:dyDescent="0.25">
      <c r="D4664" s="2"/>
      <c r="E4664" s="310"/>
      <c r="G4664" s="2"/>
      <c r="H4664" s="310"/>
      <c r="I4664" s="2"/>
      <c r="O4664" s="2"/>
      <c r="P4664" s="2"/>
    </row>
    <row r="4665" spans="4:16" x14ac:dyDescent="0.25">
      <c r="D4665" s="2"/>
      <c r="E4665" s="310"/>
      <c r="G4665" s="2"/>
      <c r="H4665" s="310"/>
      <c r="I4665" s="2"/>
      <c r="O4665" s="2"/>
      <c r="P4665" s="2"/>
    </row>
    <row r="4666" spans="4:16" x14ac:dyDescent="0.25">
      <c r="D4666" s="2"/>
      <c r="E4666" s="310"/>
      <c r="G4666" s="2"/>
      <c r="H4666" s="310"/>
      <c r="I4666" s="2"/>
      <c r="O4666" s="2"/>
      <c r="P4666" s="2"/>
    </row>
    <row r="4667" spans="4:16" x14ac:dyDescent="0.25">
      <c r="D4667" s="2"/>
      <c r="E4667" s="310"/>
      <c r="G4667" s="2"/>
      <c r="H4667" s="310"/>
      <c r="I4667" s="2"/>
      <c r="O4667" s="2"/>
      <c r="P4667" s="2"/>
    </row>
    <row r="4668" spans="4:16" x14ac:dyDescent="0.25">
      <c r="D4668" s="2"/>
      <c r="E4668" s="310"/>
      <c r="G4668" s="2"/>
      <c r="H4668" s="310"/>
      <c r="I4668" s="2"/>
      <c r="O4668" s="2"/>
      <c r="P4668" s="2"/>
    </row>
    <row r="4669" spans="4:16" x14ac:dyDescent="0.25">
      <c r="D4669" s="2"/>
      <c r="E4669" s="310"/>
      <c r="G4669" s="2"/>
      <c r="H4669" s="310"/>
      <c r="I4669" s="2"/>
      <c r="O4669" s="2"/>
      <c r="P4669" s="2"/>
    </row>
    <row r="4670" spans="4:16" x14ac:dyDescent="0.25">
      <c r="D4670" s="2"/>
      <c r="E4670" s="310"/>
      <c r="G4670" s="2"/>
      <c r="H4670" s="310"/>
      <c r="I4670" s="2"/>
      <c r="O4670" s="2"/>
      <c r="P4670" s="2"/>
    </row>
    <row r="4671" spans="4:16" x14ac:dyDescent="0.25">
      <c r="D4671" s="2"/>
      <c r="E4671" s="310"/>
      <c r="G4671" s="2"/>
      <c r="H4671" s="310"/>
      <c r="I4671" s="2"/>
      <c r="O4671" s="2"/>
      <c r="P4671" s="2"/>
    </row>
    <row r="4672" spans="4:16" x14ac:dyDescent="0.25">
      <c r="D4672" s="2"/>
      <c r="E4672" s="310"/>
      <c r="G4672" s="2"/>
      <c r="H4672" s="310"/>
      <c r="I4672" s="2"/>
      <c r="O4672" s="2"/>
      <c r="P4672" s="2"/>
    </row>
    <row r="4673" spans="4:16" x14ac:dyDescent="0.25">
      <c r="D4673" s="2"/>
      <c r="E4673" s="310"/>
      <c r="G4673" s="2"/>
      <c r="H4673" s="310"/>
      <c r="I4673" s="2"/>
      <c r="O4673" s="2"/>
      <c r="P4673" s="2"/>
    </row>
    <row r="4674" spans="4:16" x14ac:dyDescent="0.25">
      <c r="D4674" s="2"/>
      <c r="E4674" s="310"/>
      <c r="G4674" s="2"/>
      <c r="H4674" s="310"/>
      <c r="I4674" s="2"/>
      <c r="O4674" s="2"/>
      <c r="P4674" s="2"/>
    </row>
    <row r="4675" spans="4:16" x14ac:dyDescent="0.25">
      <c r="D4675" s="2"/>
      <c r="E4675" s="310"/>
      <c r="G4675" s="2"/>
      <c r="H4675" s="310"/>
      <c r="I4675" s="2"/>
      <c r="O4675" s="2"/>
      <c r="P4675" s="2"/>
    </row>
    <row r="4676" spans="4:16" x14ac:dyDescent="0.25">
      <c r="D4676" s="2"/>
      <c r="E4676" s="310"/>
      <c r="G4676" s="2"/>
      <c r="H4676" s="310"/>
      <c r="I4676" s="2"/>
      <c r="O4676" s="2"/>
      <c r="P4676" s="2"/>
    </row>
    <row r="4677" spans="4:16" x14ac:dyDescent="0.25">
      <c r="D4677" s="2"/>
      <c r="E4677" s="310"/>
      <c r="G4677" s="2"/>
      <c r="H4677" s="310"/>
      <c r="I4677" s="2"/>
      <c r="O4677" s="2"/>
      <c r="P4677" s="2"/>
    </row>
    <row r="4678" spans="4:16" x14ac:dyDescent="0.25">
      <c r="D4678" s="2"/>
      <c r="E4678" s="310"/>
      <c r="G4678" s="2"/>
      <c r="H4678" s="310"/>
      <c r="I4678" s="2"/>
      <c r="O4678" s="2"/>
      <c r="P4678" s="2"/>
    </row>
    <row r="4679" spans="4:16" x14ac:dyDescent="0.25">
      <c r="D4679" s="2"/>
      <c r="E4679" s="310"/>
      <c r="G4679" s="2"/>
      <c r="H4679" s="310"/>
      <c r="I4679" s="2"/>
      <c r="O4679" s="2"/>
      <c r="P4679" s="2"/>
    </row>
    <row r="4680" spans="4:16" x14ac:dyDescent="0.25">
      <c r="D4680" s="2"/>
      <c r="E4680" s="310"/>
      <c r="G4680" s="2"/>
      <c r="H4680" s="310"/>
      <c r="I4680" s="2"/>
      <c r="O4680" s="2"/>
      <c r="P4680" s="2"/>
    </row>
    <row r="4681" spans="4:16" x14ac:dyDescent="0.25">
      <c r="D4681" s="2"/>
      <c r="E4681" s="310"/>
      <c r="G4681" s="2"/>
      <c r="H4681" s="310"/>
      <c r="I4681" s="2"/>
      <c r="O4681" s="2"/>
      <c r="P4681" s="2"/>
    </row>
    <row r="4682" spans="4:16" x14ac:dyDescent="0.25">
      <c r="D4682" s="2"/>
      <c r="E4682" s="310"/>
      <c r="G4682" s="2"/>
      <c r="H4682" s="310"/>
      <c r="I4682" s="2"/>
      <c r="O4682" s="2"/>
      <c r="P4682" s="2"/>
    </row>
    <row r="4683" spans="4:16" x14ac:dyDescent="0.25">
      <c r="D4683" s="2"/>
      <c r="E4683" s="310"/>
      <c r="G4683" s="2"/>
      <c r="H4683" s="310"/>
      <c r="I4683" s="2"/>
      <c r="O4683" s="2"/>
      <c r="P4683" s="2"/>
    </row>
    <row r="4684" spans="4:16" x14ac:dyDescent="0.25">
      <c r="D4684" s="2"/>
      <c r="E4684" s="310"/>
      <c r="G4684" s="2"/>
      <c r="H4684" s="310"/>
      <c r="I4684" s="2"/>
      <c r="O4684" s="2"/>
      <c r="P4684" s="2"/>
    </row>
    <row r="4685" spans="4:16" x14ac:dyDescent="0.25">
      <c r="D4685" s="2"/>
      <c r="E4685" s="310"/>
      <c r="G4685" s="2"/>
      <c r="H4685" s="310"/>
      <c r="I4685" s="2"/>
      <c r="O4685" s="2"/>
      <c r="P4685" s="2"/>
    </row>
    <row r="4686" spans="4:16" x14ac:dyDescent="0.25">
      <c r="D4686" s="2"/>
      <c r="E4686" s="310"/>
      <c r="G4686" s="2"/>
      <c r="H4686" s="310"/>
      <c r="I4686" s="2"/>
      <c r="O4686" s="2"/>
      <c r="P4686" s="2"/>
    </row>
    <row r="4687" spans="4:16" x14ac:dyDescent="0.25">
      <c r="D4687" s="2"/>
      <c r="E4687" s="310"/>
      <c r="G4687" s="2"/>
      <c r="H4687" s="310"/>
      <c r="I4687" s="2"/>
      <c r="O4687" s="2"/>
      <c r="P4687" s="2"/>
    </row>
    <row r="4688" spans="4:16" x14ac:dyDescent="0.25">
      <c r="D4688" s="2"/>
      <c r="E4688" s="310"/>
      <c r="G4688" s="2"/>
      <c r="H4688" s="310"/>
      <c r="I4688" s="2"/>
      <c r="O4688" s="2"/>
      <c r="P4688" s="2"/>
    </row>
    <row r="4689" spans="4:16" x14ac:dyDescent="0.25">
      <c r="D4689" s="2"/>
      <c r="E4689" s="310"/>
      <c r="G4689" s="2"/>
      <c r="H4689" s="310"/>
      <c r="I4689" s="2"/>
      <c r="O4689" s="2"/>
      <c r="P4689" s="2"/>
    </row>
    <row r="4690" spans="4:16" x14ac:dyDescent="0.25">
      <c r="D4690" s="2"/>
      <c r="E4690" s="310"/>
      <c r="G4690" s="2"/>
      <c r="H4690" s="310"/>
      <c r="I4690" s="2"/>
      <c r="O4690" s="2"/>
      <c r="P4690" s="2"/>
    </row>
    <row r="4691" spans="4:16" x14ac:dyDescent="0.25">
      <c r="D4691" s="2"/>
      <c r="E4691" s="310"/>
      <c r="G4691" s="2"/>
      <c r="H4691" s="310"/>
      <c r="I4691" s="2"/>
      <c r="O4691" s="2"/>
      <c r="P4691" s="2"/>
    </row>
    <row r="4692" spans="4:16" x14ac:dyDescent="0.25">
      <c r="D4692" s="2"/>
      <c r="E4692" s="310"/>
      <c r="G4692" s="2"/>
      <c r="H4692" s="310"/>
      <c r="I4692" s="2"/>
      <c r="O4692" s="2"/>
      <c r="P4692" s="2"/>
    </row>
    <row r="4693" spans="4:16" x14ac:dyDescent="0.25">
      <c r="D4693" s="2"/>
      <c r="E4693" s="310"/>
      <c r="G4693" s="2"/>
      <c r="H4693" s="310"/>
      <c r="I4693" s="2"/>
      <c r="O4693" s="2"/>
      <c r="P4693" s="2"/>
    </row>
    <row r="4694" spans="4:16" x14ac:dyDescent="0.25">
      <c r="D4694" s="2"/>
      <c r="E4694" s="310"/>
      <c r="G4694" s="2"/>
      <c r="H4694" s="310"/>
      <c r="I4694" s="2"/>
      <c r="O4694" s="2"/>
      <c r="P4694" s="2"/>
    </row>
    <row r="4695" spans="4:16" x14ac:dyDescent="0.25">
      <c r="D4695" s="2"/>
      <c r="E4695" s="310"/>
      <c r="G4695" s="2"/>
      <c r="H4695" s="310"/>
      <c r="I4695" s="2"/>
      <c r="O4695" s="2"/>
      <c r="P4695" s="2"/>
    </row>
    <row r="4696" spans="4:16" x14ac:dyDescent="0.25">
      <c r="D4696" s="2"/>
      <c r="E4696" s="310"/>
      <c r="G4696" s="2"/>
      <c r="H4696" s="310"/>
      <c r="I4696" s="2"/>
      <c r="O4696" s="2"/>
      <c r="P4696" s="2"/>
    </row>
    <row r="4697" spans="4:16" x14ac:dyDescent="0.25">
      <c r="D4697" s="2"/>
      <c r="E4697" s="310"/>
      <c r="G4697" s="2"/>
      <c r="H4697" s="310"/>
      <c r="I4697" s="2"/>
      <c r="O4697" s="2"/>
      <c r="P4697" s="2"/>
    </row>
    <row r="4698" spans="4:16" x14ac:dyDescent="0.25">
      <c r="D4698" s="2"/>
      <c r="E4698" s="310"/>
      <c r="G4698" s="2"/>
      <c r="H4698" s="310"/>
      <c r="I4698" s="2"/>
      <c r="O4698" s="2"/>
      <c r="P4698" s="2"/>
    </row>
    <row r="4699" spans="4:16" x14ac:dyDescent="0.25">
      <c r="D4699" s="2"/>
      <c r="E4699" s="310"/>
      <c r="G4699" s="2"/>
      <c r="H4699" s="310"/>
      <c r="I4699" s="2"/>
      <c r="O4699" s="2"/>
      <c r="P4699" s="2"/>
    </row>
    <row r="4700" spans="4:16" x14ac:dyDescent="0.25">
      <c r="D4700" s="2"/>
      <c r="E4700" s="310"/>
      <c r="G4700" s="2"/>
      <c r="H4700" s="310"/>
      <c r="I4700" s="2"/>
      <c r="O4700" s="2"/>
      <c r="P4700" s="2"/>
    </row>
    <row r="4701" spans="4:16" x14ac:dyDescent="0.25">
      <c r="D4701" s="2"/>
      <c r="E4701" s="310"/>
      <c r="G4701" s="2"/>
      <c r="H4701" s="310"/>
      <c r="I4701" s="2"/>
      <c r="O4701" s="2"/>
      <c r="P4701" s="2"/>
    </row>
    <row r="4702" spans="4:16" x14ac:dyDescent="0.25">
      <c r="D4702" s="2"/>
      <c r="E4702" s="310"/>
      <c r="G4702" s="2"/>
      <c r="H4702" s="310"/>
      <c r="I4702" s="2"/>
      <c r="O4702" s="2"/>
      <c r="P4702" s="2"/>
    </row>
    <row r="4703" spans="4:16" x14ac:dyDescent="0.25">
      <c r="D4703" s="2"/>
      <c r="E4703" s="310"/>
      <c r="G4703" s="2"/>
      <c r="H4703" s="310"/>
      <c r="I4703" s="2"/>
      <c r="O4703" s="2"/>
      <c r="P4703" s="2"/>
    </row>
    <row r="4704" spans="4:16" x14ac:dyDescent="0.25">
      <c r="D4704" s="2"/>
      <c r="E4704" s="310"/>
      <c r="G4704" s="2"/>
      <c r="H4704" s="310"/>
      <c r="I4704" s="2"/>
      <c r="O4704" s="2"/>
      <c r="P4704" s="2"/>
    </row>
    <row r="4705" spans="4:16" x14ac:dyDescent="0.25">
      <c r="D4705" s="2"/>
      <c r="E4705" s="310"/>
      <c r="G4705" s="2"/>
      <c r="H4705" s="310"/>
      <c r="I4705" s="2"/>
      <c r="O4705" s="2"/>
      <c r="P4705" s="2"/>
    </row>
    <row r="4706" spans="4:16" x14ac:dyDescent="0.25">
      <c r="D4706" s="2"/>
      <c r="E4706" s="310"/>
      <c r="G4706" s="2"/>
      <c r="H4706" s="310"/>
      <c r="I4706" s="2"/>
      <c r="O4706" s="2"/>
      <c r="P4706" s="2"/>
    </row>
    <row r="4707" spans="4:16" x14ac:dyDescent="0.25">
      <c r="D4707" s="2"/>
      <c r="E4707" s="310"/>
      <c r="G4707" s="2"/>
      <c r="H4707" s="310"/>
      <c r="I4707" s="2"/>
      <c r="O4707" s="2"/>
      <c r="P4707" s="2"/>
    </row>
    <row r="4708" spans="4:16" x14ac:dyDescent="0.25">
      <c r="D4708" s="2"/>
      <c r="E4708" s="310"/>
      <c r="G4708" s="2"/>
      <c r="H4708" s="310"/>
      <c r="I4708" s="2"/>
      <c r="O4708" s="2"/>
      <c r="P4708" s="2"/>
    </row>
    <row r="4709" spans="4:16" x14ac:dyDescent="0.25">
      <c r="D4709" s="2"/>
      <c r="E4709" s="310"/>
      <c r="G4709" s="2"/>
      <c r="H4709" s="310"/>
      <c r="I4709" s="2"/>
      <c r="O4709" s="2"/>
      <c r="P4709" s="2"/>
    </row>
    <row r="4710" spans="4:16" x14ac:dyDescent="0.25">
      <c r="D4710" s="2"/>
      <c r="E4710" s="310"/>
      <c r="G4710" s="2"/>
      <c r="H4710" s="310"/>
      <c r="I4710" s="2"/>
      <c r="O4710" s="2"/>
      <c r="P4710" s="2"/>
    </row>
    <row r="4711" spans="4:16" x14ac:dyDescent="0.25">
      <c r="D4711" s="2"/>
      <c r="E4711" s="310"/>
      <c r="G4711" s="2"/>
      <c r="H4711" s="310"/>
      <c r="I4711" s="2"/>
      <c r="O4711" s="2"/>
      <c r="P4711" s="2"/>
    </row>
    <row r="4712" spans="4:16" x14ac:dyDescent="0.25">
      <c r="D4712" s="2"/>
      <c r="E4712" s="310"/>
      <c r="G4712" s="2"/>
      <c r="H4712" s="310"/>
      <c r="I4712" s="2"/>
      <c r="O4712" s="2"/>
      <c r="P4712" s="2"/>
    </row>
    <row r="4713" spans="4:16" x14ac:dyDescent="0.25">
      <c r="D4713" s="2"/>
      <c r="E4713" s="310"/>
      <c r="G4713" s="2"/>
      <c r="H4713" s="310"/>
      <c r="I4713" s="2"/>
      <c r="O4713" s="2"/>
      <c r="P4713" s="2"/>
    </row>
    <row r="4714" spans="4:16" x14ac:dyDescent="0.25">
      <c r="D4714" s="2"/>
      <c r="E4714" s="310"/>
      <c r="G4714" s="2"/>
      <c r="H4714" s="310"/>
      <c r="I4714" s="2"/>
      <c r="O4714" s="2"/>
      <c r="P4714" s="2"/>
    </row>
    <row r="4715" spans="4:16" x14ac:dyDescent="0.25">
      <c r="D4715" s="2"/>
      <c r="E4715" s="310"/>
      <c r="G4715" s="2"/>
      <c r="H4715" s="310"/>
      <c r="I4715" s="2"/>
      <c r="O4715" s="2"/>
      <c r="P4715" s="2"/>
    </row>
    <row r="4716" spans="4:16" x14ac:dyDescent="0.25">
      <c r="D4716" s="2"/>
      <c r="E4716" s="310"/>
      <c r="G4716" s="2"/>
      <c r="H4716" s="310"/>
      <c r="I4716" s="2"/>
      <c r="O4716" s="2"/>
      <c r="P4716" s="2"/>
    </row>
    <row r="4717" spans="4:16" x14ac:dyDescent="0.25">
      <c r="D4717" s="2"/>
      <c r="E4717" s="310"/>
      <c r="G4717" s="2"/>
      <c r="H4717" s="310"/>
      <c r="I4717" s="2"/>
      <c r="O4717" s="2"/>
      <c r="P4717" s="2"/>
    </row>
    <row r="4718" spans="4:16" x14ac:dyDescent="0.25">
      <c r="D4718" s="2"/>
      <c r="E4718" s="310"/>
      <c r="G4718" s="2"/>
      <c r="H4718" s="310"/>
      <c r="I4718" s="2"/>
      <c r="O4718" s="2"/>
      <c r="P4718" s="2"/>
    </row>
    <row r="4719" spans="4:16" x14ac:dyDescent="0.25">
      <c r="D4719" s="2"/>
      <c r="E4719" s="310"/>
      <c r="G4719" s="2"/>
      <c r="H4719" s="310"/>
      <c r="I4719" s="2"/>
      <c r="O4719" s="2"/>
      <c r="P4719" s="2"/>
    </row>
    <row r="4720" spans="4:16" x14ac:dyDescent="0.25">
      <c r="D4720" s="2"/>
      <c r="E4720" s="310"/>
      <c r="G4720" s="2"/>
      <c r="H4720" s="310"/>
      <c r="I4720" s="2"/>
      <c r="O4720" s="2"/>
      <c r="P4720" s="2"/>
    </row>
    <row r="4721" spans="4:16" x14ac:dyDescent="0.25">
      <c r="D4721" s="2"/>
      <c r="E4721" s="310"/>
      <c r="G4721" s="2"/>
      <c r="H4721" s="310"/>
      <c r="I4721" s="2"/>
      <c r="O4721" s="2"/>
      <c r="P4721" s="2"/>
    </row>
    <row r="4722" spans="4:16" x14ac:dyDescent="0.25">
      <c r="D4722" s="2"/>
      <c r="E4722" s="310"/>
      <c r="G4722" s="2"/>
      <c r="H4722" s="310"/>
      <c r="I4722" s="2"/>
      <c r="O4722" s="2"/>
      <c r="P4722" s="2"/>
    </row>
    <row r="4723" spans="4:16" x14ac:dyDescent="0.25">
      <c r="D4723" s="2"/>
      <c r="E4723" s="310"/>
      <c r="G4723" s="2"/>
      <c r="H4723" s="310"/>
      <c r="I4723" s="2"/>
      <c r="O4723" s="2"/>
      <c r="P4723" s="2"/>
    </row>
    <row r="4724" spans="4:16" x14ac:dyDescent="0.25">
      <c r="D4724" s="2"/>
      <c r="E4724" s="310"/>
      <c r="G4724" s="2"/>
      <c r="H4724" s="310"/>
      <c r="I4724" s="2"/>
      <c r="O4724" s="2"/>
      <c r="P4724" s="2"/>
    </row>
    <row r="4725" spans="4:16" x14ac:dyDescent="0.25">
      <c r="D4725" s="2"/>
      <c r="E4725" s="310"/>
      <c r="G4725" s="2"/>
      <c r="H4725" s="310"/>
      <c r="I4725" s="2"/>
      <c r="O4725" s="2"/>
      <c r="P4725" s="2"/>
    </row>
    <row r="4726" spans="4:16" x14ac:dyDescent="0.25">
      <c r="D4726" s="2"/>
      <c r="E4726" s="310"/>
      <c r="G4726" s="2"/>
      <c r="H4726" s="310"/>
      <c r="I4726" s="2"/>
      <c r="O4726" s="2"/>
      <c r="P4726" s="2"/>
    </row>
    <row r="4727" spans="4:16" x14ac:dyDescent="0.25">
      <c r="D4727" s="2"/>
      <c r="E4727" s="310"/>
      <c r="G4727" s="2"/>
      <c r="H4727" s="310"/>
      <c r="I4727" s="2"/>
      <c r="O4727" s="2"/>
      <c r="P4727" s="2"/>
    </row>
    <row r="4728" spans="4:16" x14ac:dyDescent="0.25">
      <c r="D4728" s="2"/>
      <c r="E4728" s="310"/>
      <c r="G4728" s="2"/>
      <c r="H4728" s="310"/>
      <c r="I4728" s="2"/>
      <c r="O4728" s="2"/>
      <c r="P4728" s="2"/>
    </row>
    <row r="4729" spans="4:16" x14ac:dyDescent="0.25">
      <c r="D4729" s="2"/>
      <c r="E4729" s="310"/>
      <c r="G4729" s="2"/>
      <c r="H4729" s="310"/>
      <c r="I4729" s="2"/>
      <c r="O4729" s="2"/>
      <c r="P4729" s="2"/>
    </row>
    <row r="4730" spans="4:16" x14ac:dyDescent="0.25">
      <c r="D4730" s="2"/>
      <c r="E4730" s="310"/>
      <c r="G4730" s="2"/>
      <c r="H4730" s="310"/>
      <c r="I4730" s="2"/>
      <c r="O4730" s="2"/>
      <c r="P4730" s="2"/>
    </row>
    <row r="4731" spans="4:16" x14ac:dyDescent="0.25">
      <c r="D4731" s="2"/>
      <c r="E4731" s="310"/>
      <c r="G4731" s="2"/>
      <c r="H4731" s="310"/>
      <c r="I4731" s="2"/>
      <c r="O4731" s="2"/>
      <c r="P4731" s="2"/>
    </row>
    <row r="4732" spans="4:16" x14ac:dyDescent="0.25">
      <c r="D4732" s="2"/>
      <c r="E4732" s="310"/>
      <c r="G4732" s="2"/>
      <c r="H4732" s="310"/>
      <c r="I4732" s="2"/>
      <c r="O4732" s="2"/>
      <c r="P4732" s="2"/>
    </row>
    <row r="4733" spans="4:16" x14ac:dyDescent="0.25">
      <c r="D4733" s="2"/>
      <c r="E4733" s="310"/>
      <c r="G4733" s="2"/>
      <c r="H4733" s="310"/>
      <c r="I4733" s="2"/>
      <c r="O4733" s="2"/>
      <c r="P4733" s="2"/>
    </row>
    <row r="4734" spans="4:16" x14ac:dyDescent="0.25">
      <c r="D4734" s="2"/>
      <c r="E4734" s="310"/>
      <c r="G4734" s="2"/>
      <c r="H4734" s="310"/>
      <c r="I4734" s="2"/>
      <c r="O4734" s="2"/>
      <c r="P4734" s="2"/>
    </row>
    <row r="4735" spans="4:16" x14ac:dyDescent="0.25">
      <c r="D4735" s="2"/>
      <c r="E4735" s="310"/>
      <c r="G4735" s="2"/>
      <c r="H4735" s="310"/>
      <c r="I4735" s="2"/>
      <c r="O4735" s="2"/>
      <c r="P4735" s="2"/>
    </row>
    <row r="4736" spans="4:16" x14ac:dyDescent="0.25">
      <c r="D4736" s="2"/>
      <c r="E4736" s="310"/>
      <c r="G4736" s="2"/>
      <c r="H4736" s="310"/>
      <c r="I4736" s="2"/>
      <c r="O4736" s="2"/>
      <c r="P4736" s="2"/>
    </row>
    <row r="4737" spans="4:16" x14ac:dyDescent="0.25">
      <c r="D4737" s="2"/>
      <c r="E4737" s="310"/>
      <c r="G4737" s="2"/>
      <c r="H4737" s="310"/>
      <c r="I4737" s="2"/>
      <c r="O4737" s="2"/>
      <c r="P4737" s="2"/>
    </row>
    <row r="4738" spans="4:16" x14ac:dyDescent="0.25">
      <c r="D4738" s="2"/>
      <c r="E4738" s="310"/>
      <c r="G4738" s="2"/>
      <c r="H4738" s="310"/>
      <c r="I4738" s="2"/>
      <c r="O4738" s="2"/>
      <c r="P4738" s="2"/>
    </row>
    <row r="4739" spans="4:16" x14ac:dyDescent="0.25">
      <c r="D4739" s="2"/>
      <c r="E4739" s="310"/>
      <c r="G4739" s="2"/>
      <c r="H4739" s="310"/>
      <c r="I4739" s="2"/>
      <c r="O4739" s="2"/>
      <c r="P4739" s="2"/>
    </row>
    <row r="4740" spans="4:16" x14ac:dyDescent="0.25">
      <c r="D4740" s="2"/>
      <c r="E4740" s="310"/>
      <c r="G4740" s="2"/>
      <c r="H4740" s="310"/>
      <c r="I4740" s="2"/>
      <c r="O4740" s="2"/>
      <c r="P4740" s="2"/>
    </row>
    <row r="4741" spans="4:16" x14ac:dyDescent="0.25">
      <c r="D4741" s="2"/>
      <c r="E4741" s="310"/>
      <c r="G4741" s="2"/>
      <c r="H4741" s="310"/>
      <c r="I4741" s="2"/>
      <c r="O4741" s="2"/>
      <c r="P4741" s="2"/>
    </row>
    <row r="4742" spans="4:16" x14ac:dyDescent="0.25">
      <c r="D4742" s="2"/>
      <c r="E4742" s="310"/>
      <c r="G4742" s="2"/>
      <c r="H4742" s="310"/>
      <c r="I4742" s="2"/>
      <c r="O4742" s="2"/>
      <c r="P4742" s="2"/>
    </row>
    <row r="4743" spans="4:16" x14ac:dyDescent="0.25">
      <c r="D4743" s="2"/>
      <c r="E4743" s="310"/>
      <c r="G4743" s="2"/>
      <c r="H4743" s="310"/>
      <c r="I4743" s="2"/>
      <c r="O4743" s="2"/>
      <c r="P4743" s="2"/>
    </row>
    <row r="4744" spans="4:16" x14ac:dyDescent="0.25">
      <c r="D4744" s="2"/>
      <c r="E4744" s="310"/>
      <c r="G4744" s="2"/>
      <c r="H4744" s="310"/>
      <c r="I4744" s="2"/>
      <c r="O4744" s="2"/>
      <c r="P4744" s="2"/>
    </row>
    <row r="4745" spans="4:16" x14ac:dyDescent="0.25">
      <c r="D4745" s="2"/>
      <c r="E4745" s="310"/>
      <c r="G4745" s="2"/>
      <c r="H4745" s="310"/>
      <c r="I4745" s="2"/>
      <c r="O4745" s="2"/>
      <c r="P4745" s="2"/>
    </row>
    <row r="4746" spans="4:16" x14ac:dyDescent="0.25">
      <c r="D4746" s="2"/>
      <c r="E4746" s="310"/>
      <c r="G4746" s="2"/>
      <c r="H4746" s="310"/>
      <c r="I4746" s="2"/>
      <c r="O4746" s="2"/>
      <c r="P4746" s="2"/>
    </row>
    <row r="4747" spans="4:16" x14ac:dyDescent="0.25">
      <c r="D4747" s="2"/>
      <c r="E4747" s="310"/>
      <c r="G4747" s="2"/>
      <c r="H4747" s="310"/>
      <c r="I4747" s="2"/>
      <c r="O4747" s="2"/>
      <c r="P4747" s="2"/>
    </row>
    <row r="4748" spans="4:16" x14ac:dyDescent="0.25">
      <c r="D4748" s="2"/>
      <c r="E4748" s="310"/>
      <c r="G4748" s="2"/>
      <c r="H4748" s="310"/>
      <c r="I4748" s="2"/>
      <c r="O4748" s="2"/>
      <c r="P4748" s="2"/>
    </row>
    <row r="4749" spans="4:16" x14ac:dyDescent="0.25">
      <c r="D4749" s="2"/>
      <c r="E4749" s="310"/>
      <c r="G4749" s="2"/>
      <c r="H4749" s="310"/>
      <c r="I4749" s="2"/>
      <c r="O4749" s="2"/>
      <c r="P4749" s="2"/>
    </row>
    <row r="4750" spans="4:16" x14ac:dyDescent="0.25">
      <c r="D4750" s="2"/>
      <c r="E4750" s="310"/>
      <c r="G4750" s="2"/>
      <c r="H4750" s="310"/>
      <c r="I4750" s="2"/>
      <c r="O4750" s="2"/>
      <c r="P4750" s="2"/>
    </row>
    <row r="4751" spans="4:16" x14ac:dyDescent="0.25">
      <c r="D4751" s="2"/>
      <c r="E4751" s="310"/>
      <c r="G4751" s="2"/>
      <c r="H4751" s="310"/>
      <c r="I4751" s="2"/>
      <c r="O4751" s="2"/>
      <c r="P4751" s="2"/>
    </row>
    <row r="4752" spans="4:16" x14ac:dyDescent="0.25">
      <c r="D4752" s="2"/>
      <c r="E4752" s="310"/>
      <c r="G4752" s="2"/>
      <c r="H4752" s="310"/>
      <c r="I4752" s="2"/>
      <c r="O4752" s="2"/>
      <c r="P4752" s="2"/>
    </row>
    <row r="4753" spans="4:16" x14ac:dyDescent="0.25">
      <c r="D4753" s="2"/>
      <c r="E4753" s="310"/>
      <c r="G4753" s="2"/>
      <c r="H4753" s="310"/>
      <c r="I4753" s="2"/>
      <c r="O4753" s="2"/>
      <c r="P4753" s="2"/>
    </row>
    <row r="4754" spans="4:16" x14ac:dyDescent="0.25">
      <c r="D4754" s="2"/>
      <c r="E4754" s="310"/>
      <c r="G4754" s="2"/>
      <c r="H4754" s="310"/>
      <c r="I4754" s="2"/>
      <c r="O4754" s="2"/>
      <c r="P4754" s="2"/>
    </row>
    <row r="4755" spans="4:16" x14ac:dyDescent="0.25">
      <c r="D4755" s="2"/>
      <c r="E4755" s="310"/>
      <c r="G4755" s="2"/>
      <c r="H4755" s="310"/>
      <c r="I4755" s="2"/>
      <c r="O4755" s="2"/>
      <c r="P4755" s="2"/>
    </row>
    <row r="4756" spans="4:16" x14ac:dyDescent="0.25">
      <c r="D4756" s="2"/>
      <c r="E4756" s="310"/>
      <c r="G4756" s="2"/>
      <c r="H4756" s="310"/>
      <c r="I4756" s="2"/>
      <c r="O4756" s="2"/>
      <c r="P4756" s="2"/>
    </row>
    <row r="4757" spans="4:16" x14ac:dyDescent="0.25">
      <c r="D4757" s="2"/>
      <c r="E4757" s="310"/>
      <c r="G4757" s="2"/>
      <c r="H4757" s="310"/>
      <c r="I4757" s="2"/>
      <c r="O4757" s="2"/>
      <c r="P4757" s="2"/>
    </row>
    <row r="4758" spans="4:16" x14ac:dyDescent="0.25">
      <c r="D4758" s="2"/>
      <c r="E4758" s="310"/>
      <c r="G4758" s="2"/>
      <c r="H4758" s="310"/>
      <c r="I4758" s="2"/>
      <c r="O4758" s="2"/>
      <c r="P4758" s="2"/>
    </row>
    <row r="4759" spans="4:16" x14ac:dyDescent="0.25">
      <c r="D4759" s="2"/>
      <c r="E4759" s="310"/>
      <c r="G4759" s="2"/>
      <c r="H4759" s="310"/>
      <c r="I4759" s="2"/>
      <c r="O4759" s="2"/>
      <c r="P4759" s="2"/>
    </row>
    <row r="4760" spans="4:16" x14ac:dyDescent="0.25">
      <c r="D4760" s="2"/>
      <c r="E4760" s="310"/>
      <c r="G4760" s="2"/>
      <c r="H4760" s="310"/>
      <c r="I4760" s="2"/>
      <c r="O4760" s="2"/>
      <c r="P4760" s="2"/>
    </row>
    <row r="4761" spans="4:16" x14ac:dyDescent="0.25">
      <c r="D4761" s="2"/>
      <c r="E4761" s="310"/>
      <c r="G4761" s="2"/>
      <c r="H4761" s="310"/>
      <c r="I4761" s="2"/>
      <c r="O4761" s="2"/>
      <c r="P4761" s="2"/>
    </row>
    <row r="4762" spans="4:16" x14ac:dyDescent="0.25">
      <c r="D4762" s="2"/>
      <c r="E4762" s="310"/>
      <c r="G4762" s="2"/>
      <c r="H4762" s="310"/>
      <c r="I4762" s="2"/>
      <c r="O4762" s="2"/>
      <c r="P4762" s="2"/>
    </row>
    <row r="4763" spans="4:16" x14ac:dyDescent="0.25">
      <c r="D4763" s="2"/>
      <c r="E4763" s="310"/>
      <c r="G4763" s="2"/>
      <c r="H4763" s="310"/>
      <c r="I4763" s="2"/>
      <c r="O4763" s="2"/>
      <c r="P4763" s="2"/>
    </row>
    <row r="4764" spans="4:16" x14ac:dyDescent="0.25">
      <c r="D4764" s="2"/>
      <c r="E4764" s="310"/>
      <c r="G4764" s="2"/>
      <c r="H4764" s="310"/>
      <c r="I4764" s="2"/>
      <c r="O4764" s="2"/>
      <c r="P4764" s="2"/>
    </row>
    <row r="4765" spans="4:16" x14ac:dyDescent="0.25">
      <c r="D4765" s="2"/>
      <c r="E4765" s="310"/>
      <c r="G4765" s="2"/>
      <c r="H4765" s="310"/>
      <c r="I4765" s="2"/>
      <c r="O4765" s="2"/>
      <c r="P4765" s="2"/>
    </row>
    <row r="4766" spans="4:16" x14ac:dyDescent="0.25">
      <c r="D4766" s="2"/>
      <c r="E4766" s="310"/>
      <c r="G4766" s="2"/>
      <c r="H4766" s="310"/>
      <c r="I4766" s="2"/>
      <c r="O4766" s="2"/>
      <c r="P4766" s="2"/>
    </row>
    <row r="4767" spans="4:16" x14ac:dyDescent="0.25">
      <c r="D4767" s="2"/>
      <c r="E4767" s="310"/>
      <c r="G4767" s="2"/>
      <c r="H4767" s="310"/>
      <c r="I4767" s="2"/>
      <c r="O4767" s="2"/>
      <c r="P4767" s="2"/>
    </row>
    <row r="4768" spans="4:16" x14ac:dyDescent="0.25">
      <c r="D4768" s="2"/>
      <c r="E4768" s="310"/>
      <c r="G4768" s="2"/>
      <c r="H4768" s="310"/>
      <c r="I4768" s="2"/>
      <c r="O4768" s="2"/>
      <c r="P4768" s="2"/>
    </row>
    <row r="4769" spans="4:16" x14ac:dyDescent="0.25">
      <c r="D4769" s="2"/>
      <c r="E4769" s="310"/>
      <c r="G4769" s="2"/>
      <c r="H4769" s="310"/>
      <c r="I4769" s="2"/>
      <c r="O4769" s="2"/>
      <c r="P4769" s="2"/>
    </row>
    <row r="4770" spans="4:16" x14ac:dyDescent="0.25">
      <c r="D4770" s="2"/>
      <c r="E4770" s="310"/>
      <c r="G4770" s="2"/>
      <c r="H4770" s="310"/>
      <c r="I4770" s="2"/>
      <c r="O4770" s="2"/>
      <c r="P4770" s="2"/>
    </row>
    <row r="4771" spans="4:16" x14ac:dyDescent="0.25">
      <c r="D4771" s="2"/>
      <c r="E4771" s="310"/>
      <c r="G4771" s="2"/>
      <c r="H4771" s="310"/>
      <c r="I4771" s="2"/>
      <c r="O4771" s="2"/>
      <c r="P4771" s="2"/>
    </row>
    <row r="4772" spans="4:16" x14ac:dyDescent="0.25">
      <c r="D4772" s="2"/>
      <c r="E4772" s="310"/>
      <c r="G4772" s="2"/>
      <c r="H4772" s="310"/>
      <c r="I4772" s="2"/>
      <c r="O4772" s="2"/>
      <c r="P4772" s="2"/>
    </row>
    <row r="4773" spans="4:16" x14ac:dyDescent="0.25">
      <c r="D4773" s="2"/>
      <c r="E4773" s="310"/>
      <c r="G4773" s="2"/>
      <c r="H4773" s="310"/>
      <c r="I4773" s="2"/>
      <c r="O4773" s="2"/>
      <c r="P4773" s="2"/>
    </row>
    <row r="4774" spans="4:16" x14ac:dyDescent="0.25">
      <c r="D4774" s="2"/>
      <c r="E4774" s="310"/>
      <c r="G4774" s="2"/>
      <c r="H4774" s="310"/>
      <c r="I4774" s="2"/>
      <c r="O4774" s="2"/>
      <c r="P4774" s="2"/>
    </row>
    <row r="4775" spans="4:16" x14ac:dyDescent="0.25">
      <c r="D4775" s="2"/>
      <c r="E4775" s="310"/>
      <c r="G4775" s="2"/>
      <c r="H4775" s="310"/>
      <c r="I4775" s="2"/>
      <c r="O4775" s="2"/>
      <c r="P4775" s="2"/>
    </row>
    <row r="4776" spans="4:16" x14ac:dyDescent="0.25">
      <c r="D4776" s="2"/>
      <c r="E4776" s="310"/>
      <c r="G4776" s="2"/>
      <c r="H4776" s="310"/>
      <c r="I4776" s="2"/>
      <c r="O4776" s="2"/>
      <c r="P4776" s="2"/>
    </row>
    <row r="4777" spans="4:16" x14ac:dyDescent="0.25">
      <c r="D4777" s="2"/>
      <c r="E4777" s="310"/>
      <c r="G4777" s="2"/>
      <c r="H4777" s="310"/>
      <c r="I4777" s="2"/>
      <c r="O4777" s="2"/>
      <c r="P4777" s="2"/>
    </row>
    <row r="4778" spans="4:16" x14ac:dyDescent="0.25">
      <c r="D4778" s="2"/>
      <c r="E4778" s="310"/>
      <c r="G4778" s="2"/>
      <c r="H4778" s="310"/>
      <c r="I4778" s="2"/>
      <c r="O4778" s="2"/>
      <c r="P4778" s="2"/>
    </row>
    <row r="4779" spans="4:16" x14ac:dyDescent="0.25">
      <c r="D4779" s="2"/>
      <c r="E4779" s="310"/>
      <c r="G4779" s="2"/>
      <c r="H4779" s="310"/>
      <c r="I4779" s="2"/>
      <c r="O4779" s="2"/>
      <c r="P4779" s="2"/>
    </row>
    <row r="4780" spans="4:16" x14ac:dyDescent="0.25">
      <c r="D4780" s="2"/>
      <c r="E4780" s="310"/>
      <c r="G4780" s="2"/>
      <c r="H4780" s="310"/>
      <c r="I4780" s="2"/>
      <c r="O4780" s="2"/>
      <c r="P4780" s="2"/>
    </row>
    <row r="4781" spans="4:16" x14ac:dyDescent="0.25">
      <c r="D4781" s="2"/>
      <c r="E4781" s="310"/>
      <c r="G4781" s="2"/>
      <c r="H4781" s="310"/>
      <c r="I4781" s="2"/>
      <c r="O4781" s="2"/>
      <c r="P4781" s="2"/>
    </row>
    <row r="4782" spans="4:16" x14ac:dyDescent="0.25">
      <c r="D4782" s="2"/>
      <c r="E4782" s="310"/>
      <c r="G4782" s="2"/>
      <c r="H4782" s="310"/>
      <c r="I4782" s="2"/>
      <c r="O4782" s="2"/>
      <c r="P4782" s="2"/>
    </row>
    <row r="4783" spans="4:16" x14ac:dyDescent="0.25">
      <c r="D4783" s="2"/>
      <c r="E4783" s="310"/>
      <c r="G4783" s="2"/>
      <c r="H4783" s="310"/>
      <c r="I4783" s="2"/>
      <c r="O4783" s="2"/>
      <c r="P4783" s="2"/>
    </row>
    <row r="4784" spans="4:16" x14ac:dyDescent="0.25">
      <c r="D4784" s="2"/>
      <c r="E4784" s="310"/>
      <c r="G4784" s="2"/>
      <c r="H4784" s="310"/>
      <c r="I4784" s="2"/>
      <c r="O4784" s="2"/>
      <c r="P4784" s="2"/>
    </row>
    <row r="4785" spans="4:16" x14ac:dyDescent="0.25">
      <c r="D4785" s="2"/>
      <c r="E4785" s="310"/>
      <c r="G4785" s="2"/>
      <c r="H4785" s="310"/>
      <c r="I4785" s="2"/>
      <c r="O4785" s="2"/>
      <c r="P4785" s="2"/>
    </row>
    <row r="4786" spans="4:16" x14ac:dyDescent="0.25">
      <c r="D4786" s="2"/>
      <c r="E4786" s="310"/>
      <c r="G4786" s="2"/>
      <c r="H4786" s="310"/>
      <c r="I4786" s="2"/>
      <c r="O4786" s="2"/>
      <c r="P4786" s="2"/>
    </row>
    <row r="4787" spans="4:16" x14ac:dyDescent="0.25">
      <c r="D4787" s="2"/>
      <c r="E4787" s="310"/>
      <c r="G4787" s="2"/>
      <c r="H4787" s="310"/>
      <c r="I4787" s="2"/>
      <c r="O4787" s="2"/>
      <c r="P4787" s="2"/>
    </row>
    <row r="4788" spans="4:16" x14ac:dyDescent="0.25">
      <c r="D4788" s="2"/>
      <c r="E4788" s="310"/>
      <c r="G4788" s="2"/>
      <c r="H4788" s="310"/>
      <c r="I4788" s="2"/>
      <c r="O4788" s="2"/>
      <c r="P4788" s="2"/>
    </row>
    <row r="4789" spans="4:16" x14ac:dyDescent="0.25">
      <c r="D4789" s="2"/>
      <c r="E4789" s="310"/>
      <c r="G4789" s="2"/>
      <c r="H4789" s="310"/>
      <c r="I4789" s="2"/>
      <c r="O4789" s="2"/>
      <c r="P4789" s="2"/>
    </row>
    <row r="4790" spans="4:16" x14ac:dyDescent="0.25">
      <c r="D4790" s="2"/>
      <c r="E4790" s="310"/>
      <c r="G4790" s="2"/>
      <c r="H4790" s="310"/>
      <c r="I4790" s="2"/>
      <c r="O4790" s="2"/>
      <c r="P4790" s="2"/>
    </row>
    <row r="4791" spans="4:16" x14ac:dyDescent="0.25">
      <c r="D4791" s="2"/>
      <c r="E4791" s="310"/>
      <c r="G4791" s="2"/>
      <c r="H4791" s="310"/>
      <c r="I4791" s="2"/>
      <c r="O4791" s="2"/>
      <c r="P4791" s="2"/>
    </row>
    <row r="4792" spans="4:16" x14ac:dyDescent="0.25">
      <c r="D4792" s="2"/>
      <c r="E4792" s="310"/>
      <c r="G4792" s="2"/>
      <c r="H4792" s="310"/>
      <c r="I4792" s="2"/>
      <c r="O4792" s="2"/>
      <c r="P4792" s="2"/>
    </row>
    <row r="4793" spans="4:16" x14ac:dyDescent="0.25">
      <c r="D4793" s="2"/>
      <c r="E4793" s="310"/>
      <c r="G4793" s="2"/>
      <c r="H4793" s="310"/>
      <c r="I4793" s="2"/>
      <c r="O4793" s="2"/>
      <c r="P4793" s="2"/>
    </row>
    <row r="4794" spans="4:16" x14ac:dyDescent="0.25">
      <c r="D4794" s="2"/>
      <c r="E4794" s="310"/>
      <c r="G4794" s="2"/>
      <c r="H4794" s="310"/>
      <c r="I4794" s="2"/>
      <c r="O4794" s="2"/>
      <c r="P4794" s="2"/>
    </row>
    <row r="4795" spans="4:16" x14ac:dyDescent="0.25">
      <c r="D4795" s="2"/>
      <c r="E4795" s="310"/>
      <c r="G4795" s="2"/>
      <c r="H4795" s="310"/>
      <c r="I4795" s="2"/>
      <c r="O4795" s="2"/>
      <c r="P4795" s="2"/>
    </row>
    <row r="4796" spans="4:16" x14ac:dyDescent="0.25">
      <c r="D4796" s="2"/>
      <c r="E4796" s="310"/>
      <c r="G4796" s="2"/>
      <c r="H4796" s="310"/>
      <c r="I4796" s="2"/>
      <c r="O4796" s="2"/>
      <c r="P4796" s="2"/>
    </row>
    <row r="4797" spans="4:16" x14ac:dyDescent="0.25">
      <c r="D4797" s="2"/>
      <c r="E4797" s="310"/>
      <c r="G4797" s="2"/>
      <c r="H4797" s="310"/>
      <c r="I4797" s="2"/>
      <c r="O4797" s="2"/>
      <c r="P4797" s="2"/>
    </row>
    <row r="4798" spans="4:16" x14ac:dyDescent="0.25">
      <c r="D4798" s="2"/>
      <c r="E4798" s="310"/>
      <c r="G4798" s="2"/>
      <c r="H4798" s="310"/>
      <c r="I4798" s="2"/>
      <c r="O4798" s="2"/>
      <c r="P4798" s="2"/>
    </row>
    <row r="4799" spans="4:16" x14ac:dyDescent="0.25">
      <c r="D4799" s="2"/>
      <c r="E4799" s="310"/>
      <c r="G4799" s="2"/>
      <c r="H4799" s="310"/>
      <c r="I4799" s="2"/>
      <c r="O4799" s="2"/>
      <c r="P4799" s="2"/>
    </row>
    <row r="4800" spans="4:16" x14ac:dyDescent="0.25">
      <c r="D4800" s="2"/>
      <c r="E4800" s="310"/>
      <c r="G4800" s="2"/>
      <c r="H4800" s="310"/>
      <c r="I4800" s="2"/>
      <c r="O4800" s="2"/>
      <c r="P4800" s="2"/>
    </row>
    <row r="4801" spans="4:16" x14ac:dyDescent="0.25">
      <c r="D4801" s="2"/>
      <c r="E4801" s="310"/>
      <c r="G4801" s="2"/>
      <c r="H4801" s="310"/>
      <c r="I4801" s="2"/>
      <c r="O4801" s="2"/>
      <c r="P4801" s="2"/>
    </row>
    <row r="4802" spans="4:16" x14ac:dyDescent="0.25">
      <c r="D4802" s="2"/>
      <c r="E4802" s="310"/>
      <c r="G4802" s="2"/>
      <c r="H4802" s="310"/>
      <c r="I4802" s="2"/>
      <c r="O4802" s="2"/>
      <c r="P4802" s="2"/>
    </row>
    <row r="4803" spans="4:16" x14ac:dyDescent="0.25">
      <c r="D4803" s="2"/>
      <c r="E4803" s="310"/>
      <c r="G4803" s="2"/>
      <c r="H4803" s="310"/>
      <c r="I4803" s="2"/>
      <c r="O4803" s="2"/>
      <c r="P4803" s="2"/>
    </row>
    <row r="4804" spans="4:16" x14ac:dyDescent="0.25">
      <c r="D4804" s="2"/>
      <c r="E4804" s="310"/>
      <c r="G4804" s="2"/>
      <c r="H4804" s="310"/>
      <c r="I4804" s="2"/>
      <c r="O4804" s="2"/>
      <c r="P4804" s="2"/>
    </row>
    <row r="4805" spans="4:16" x14ac:dyDescent="0.25">
      <c r="D4805" s="2"/>
      <c r="E4805" s="310"/>
      <c r="G4805" s="2"/>
      <c r="H4805" s="310"/>
      <c r="I4805" s="2"/>
      <c r="O4805" s="2"/>
      <c r="P4805" s="2"/>
    </row>
    <row r="4806" spans="4:16" x14ac:dyDescent="0.25">
      <c r="D4806" s="2"/>
      <c r="E4806" s="310"/>
      <c r="G4806" s="2"/>
      <c r="H4806" s="310"/>
      <c r="I4806" s="2"/>
      <c r="O4806" s="2"/>
      <c r="P4806" s="2"/>
    </row>
    <row r="4807" spans="4:16" x14ac:dyDescent="0.25">
      <c r="D4807" s="2"/>
      <c r="E4807" s="310"/>
      <c r="G4807" s="2"/>
      <c r="H4807" s="310"/>
      <c r="I4807" s="2"/>
      <c r="O4807" s="2"/>
      <c r="P4807" s="2"/>
    </row>
    <row r="4808" spans="4:16" x14ac:dyDescent="0.25">
      <c r="D4808" s="2"/>
      <c r="E4808" s="310"/>
      <c r="G4808" s="2"/>
      <c r="H4808" s="310"/>
      <c r="I4808" s="2"/>
      <c r="O4808" s="2"/>
      <c r="P4808" s="2"/>
    </row>
    <row r="4809" spans="4:16" x14ac:dyDescent="0.25">
      <c r="D4809" s="2"/>
      <c r="E4809" s="310"/>
      <c r="G4809" s="2"/>
      <c r="H4809" s="310"/>
      <c r="I4809" s="2"/>
      <c r="O4809" s="2"/>
      <c r="P4809" s="2"/>
    </row>
    <row r="4810" spans="4:16" x14ac:dyDescent="0.25">
      <c r="D4810" s="2"/>
      <c r="E4810" s="310"/>
      <c r="G4810" s="2"/>
      <c r="H4810" s="310"/>
      <c r="I4810" s="2"/>
      <c r="O4810" s="2"/>
      <c r="P4810" s="2"/>
    </row>
    <row r="4811" spans="4:16" x14ac:dyDescent="0.25">
      <c r="D4811" s="2"/>
      <c r="E4811" s="310"/>
      <c r="G4811" s="2"/>
      <c r="H4811" s="310"/>
      <c r="I4811" s="2"/>
      <c r="O4811" s="2"/>
      <c r="P4811" s="2"/>
    </row>
    <row r="4812" spans="4:16" x14ac:dyDescent="0.25">
      <c r="D4812" s="2"/>
      <c r="E4812" s="310"/>
      <c r="G4812" s="2"/>
      <c r="H4812" s="310"/>
      <c r="I4812" s="2"/>
      <c r="O4812" s="2"/>
      <c r="P4812" s="2"/>
    </row>
    <row r="4813" spans="4:16" x14ac:dyDescent="0.25">
      <c r="D4813" s="2"/>
      <c r="E4813" s="310"/>
      <c r="G4813" s="2"/>
      <c r="H4813" s="310"/>
      <c r="I4813" s="2"/>
      <c r="O4813" s="2"/>
      <c r="P4813" s="2"/>
    </row>
    <row r="4814" spans="4:16" x14ac:dyDescent="0.25">
      <c r="D4814" s="2"/>
      <c r="E4814" s="310"/>
      <c r="G4814" s="2"/>
      <c r="H4814" s="310"/>
      <c r="I4814" s="2"/>
      <c r="O4814" s="2"/>
      <c r="P4814" s="2"/>
    </row>
    <row r="4815" spans="4:16" x14ac:dyDescent="0.25">
      <c r="D4815" s="2"/>
      <c r="E4815" s="310"/>
      <c r="G4815" s="2"/>
      <c r="H4815" s="310"/>
      <c r="I4815" s="2"/>
      <c r="O4815" s="2"/>
      <c r="P4815" s="2"/>
    </row>
    <row r="4816" spans="4:16" x14ac:dyDescent="0.25">
      <c r="D4816" s="2"/>
      <c r="E4816" s="310"/>
      <c r="G4816" s="2"/>
      <c r="H4816" s="310"/>
      <c r="I4816" s="2"/>
      <c r="O4816" s="2"/>
      <c r="P4816" s="2"/>
    </row>
    <row r="4817" spans="4:16" x14ac:dyDescent="0.25">
      <c r="D4817" s="2"/>
      <c r="E4817" s="310"/>
      <c r="G4817" s="2"/>
      <c r="H4817" s="310"/>
      <c r="I4817" s="2"/>
      <c r="O4817" s="2"/>
      <c r="P4817" s="2"/>
    </row>
    <row r="4818" spans="4:16" x14ac:dyDescent="0.25">
      <c r="D4818" s="2"/>
      <c r="E4818" s="310"/>
      <c r="G4818" s="2"/>
      <c r="H4818" s="310"/>
      <c r="I4818" s="2"/>
      <c r="O4818" s="2"/>
      <c r="P4818" s="2"/>
    </row>
    <row r="4819" spans="4:16" x14ac:dyDescent="0.25">
      <c r="D4819" s="2"/>
      <c r="E4819" s="310"/>
      <c r="G4819" s="2"/>
      <c r="H4819" s="310"/>
      <c r="I4819" s="2"/>
      <c r="O4819" s="2"/>
      <c r="P4819" s="2"/>
    </row>
    <row r="4820" spans="4:16" x14ac:dyDescent="0.25">
      <c r="D4820" s="2"/>
      <c r="E4820" s="310"/>
      <c r="G4820" s="2"/>
      <c r="H4820" s="310"/>
      <c r="I4820" s="2"/>
      <c r="O4820" s="2"/>
      <c r="P4820" s="2"/>
    </row>
    <row r="4821" spans="4:16" x14ac:dyDescent="0.25">
      <c r="D4821" s="2"/>
      <c r="E4821" s="310"/>
      <c r="G4821" s="2"/>
      <c r="H4821" s="310"/>
      <c r="I4821" s="2"/>
      <c r="O4821" s="2"/>
      <c r="P4821" s="2"/>
    </row>
    <row r="4822" spans="4:16" x14ac:dyDescent="0.25">
      <c r="D4822" s="2"/>
      <c r="E4822" s="310"/>
      <c r="G4822" s="2"/>
      <c r="H4822" s="310"/>
      <c r="I4822" s="2"/>
      <c r="O4822" s="2"/>
      <c r="P4822" s="2"/>
    </row>
    <row r="4823" spans="4:16" x14ac:dyDescent="0.25">
      <c r="D4823" s="2"/>
      <c r="E4823" s="310"/>
      <c r="G4823" s="2"/>
      <c r="H4823" s="310"/>
      <c r="I4823" s="2"/>
      <c r="O4823" s="2"/>
      <c r="P4823" s="2"/>
    </row>
    <row r="4824" spans="4:16" x14ac:dyDescent="0.25">
      <c r="D4824" s="2"/>
      <c r="E4824" s="310"/>
      <c r="G4824" s="2"/>
      <c r="H4824" s="310"/>
      <c r="I4824" s="2"/>
      <c r="O4824" s="2"/>
      <c r="P4824" s="2"/>
    </row>
    <row r="4825" spans="4:16" x14ac:dyDescent="0.25">
      <c r="D4825" s="2"/>
      <c r="E4825" s="310"/>
      <c r="G4825" s="2"/>
      <c r="H4825" s="310"/>
      <c r="I4825" s="2"/>
      <c r="O4825" s="2"/>
      <c r="P4825" s="2"/>
    </row>
    <row r="4826" spans="4:16" x14ac:dyDescent="0.25">
      <c r="D4826" s="2"/>
      <c r="E4826" s="310"/>
      <c r="G4826" s="2"/>
      <c r="H4826" s="310"/>
      <c r="I4826" s="2"/>
      <c r="O4826" s="2"/>
      <c r="P4826" s="2"/>
    </row>
    <row r="4827" spans="4:16" x14ac:dyDescent="0.25">
      <c r="D4827" s="2"/>
      <c r="E4827" s="310"/>
      <c r="G4827" s="2"/>
      <c r="H4827" s="310"/>
      <c r="I4827" s="2"/>
      <c r="O4827" s="2"/>
      <c r="P4827" s="2"/>
    </row>
    <row r="4828" spans="4:16" x14ac:dyDescent="0.25">
      <c r="D4828" s="2"/>
      <c r="E4828" s="310"/>
      <c r="G4828" s="2"/>
      <c r="H4828" s="310"/>
      <c r="I4828" s="2"/>
      <c r="O4828" s="2"/>
      <c r="P4828" s="2"/>
    </row>
    <row r="4829" spans="4:16" x14ac:dyDescent="0.25">
      <c r="D4829" s="2"/>
      <c r="E4829" s="310"/>
      <c r="G4829" s="2"/>
      <c r="H4829" s="310"/>
      <c r="I4829" s="2"/>
      <c r="O4829" s="2"/>
      <c r="P4829" s="2"/>
    </row>
    <row r="4830" spans="4:16" x14ac:dyDescent="0.25">
      <c r="D4830" s="2"/>
      <c r="E4830" s="310"/>
      <c r="G4830" s="2"/>
      <c r="H4830" s="310"/>
      <c r="I4830" s="2"/>
      <c r="O4830" s="2"/>
      <c r="P4830" s="2"/>
    </row>
    <row r="4831" spans="4:16" x14ac:dyDescent="0.25">
      <c r="D4831" s="2"/>
      <c r="E4831" s="310"/>
      <c r="G4831" s="2"/>
      <c r="H4831" s="310"/>
      <c r="I4831" s="2"/>
      <c r="O4831" s="2"/>
      <c r="P4831" s="2"/>
    </row>
    <row r="4832" spans="4:16" x14ac:dyDescent="0.25">
      <c r="D4832" s="2"/>
      <c r="E4832" s="310"/>
      <c r="G4832" s="2"/>
      <c r="H4832" s="310"/>
      <c r="I4832" s="2"/>
      <c r="O4832" s="2"/>
      <c r="P4832" s="2"/>
    </row>
    <row r="4834" spans="4:16" x14ac:dyDescent="0.25">
      <c r="D4834" s="2"/>
      <c r="E4834" s="310"/>
      <c r="G4834" s="2"/>
      <c r="H4834" s="310"/>
      <c r="I4834" s="2"/>
      <c r="O4834" s="2"/>
      <c r="P4834" s="2"/>
    </row>
    <row r="4838" spans="4:16" x14ac:dyDescent="0.25">
      <c r="D4838" s="2"/>
      <c r="E4838" s="310"/>
      <c r="G4838" s="2"/>
      <c r="H4838" s="310"/>
      <c r="I4838" s="2"/>
      <c r="O4838" s="2"/>
      <c r="P4838" s="2"/>
    </row>
    <row r="4839" spans="4:16" x14ac:dyDescent="0.25">
      <c r="D4839" s="2"/>
      <c r="E4839" s="310"/>
      <c r="G4839" s="2"/>
      <c r="H4839" s="310"/>
      <c r="I4839" s="2"/>
      <c r="O4839" s="2"/>
      <c r="P4839" s="2"/>
    </row>
    <row r="4840" spans="4:16" x14ac:dyDescent="0.25">
      <c r="D4840" s="2"/>
      <c r="E4840" s="310"/>
      <c r="G4840" s="2"/>
      <c r="H4840" s="310"/>
      <c r="I4840" s="2"/>
      <c r="O4840" s="2"/>
      <c r="P4840" s="2"/>
    </row>
    <row r="4841" spans="4:16" x14ac:dyDescent="0.25">
      <c r="D4841" s="2"/>
      <c r="E4841" s="310"/>
      <c r="G4841" s="2"/>
      <c r="H4841" s="310"/>
      <c r="I4841" s="2"/>
      <c r="O4841" s="2"/>
      <c r="P4841" s="2"/>
    </row>
    <row r="4842" spans="4:16" x14ac:dyDescent="0.25">
      <c r="D4842" s="2"/>
      <c r="E4842" s="310"/>
      <c r="G4842" s="2"/>
      <c r="H4842" s="310"/>
      <c r="I4842" s="2"/>
      <c r="O4842" s="2"/>
      <c r="P4842" s="2"/>
    </row>
    <row r="4843" spans="4:16" x14ac:dyDescent="0.25">
      <c r="D4843" s="2"/>
      <c r="E4843" s="310"/>
      <c r="G4843" s="2"/>
      <c r="H4843" s="310"/>
      <c r="I4843" s="2"/>
      <c r="O4843" s="2"/>
      <c r="P4843" s="2"/>
    </row>
    <row r="4844" spans="4:16" x14ac:dyDescent="0.25">
      <c r="D4844" s="2"/>
      <c r="E4844" s="310"/>
      <c r="G4844" s="2"/>
      <c r="H4844" s="310"/>
      <c r="I4844" s="2"/>
      <c r="O4844" s="2"/>
      <c r="P4844" s="2"/>
    </row>
    <row r="4845" spans="4:16" x14ac:dyDescent="0.25">
      <c r="D4845" s="2"/>
      <c r="E4845" s="310"/>
      <c r="G4845" s="2"/>
      <c r="H4845" s="310"/>
      <c r="I4845" s="2"/>
      <c r="O4845" s="2"/>
      <c r="P4845" s="2"/>
    </row>
    <row r="4846" spans="4:16" x14ac:dyDescent="0.25">
      <c r="D4846" s="2"/>
      <c r="E4846" s="310"/>
      <c r="G4846" s="2"/>
      <c r="H4846" s="310"/>
      <c r="I4846" s="2"/>
      <c r="O4846" s="2"/>
      <c r="P4846" s="2"/>
    </row>
    <row r="4847" spans="4:16" x14ac:dyDescent="0.25">
      <c r="D4847" s="2"/>
      <c r="E4847" s="310"/>
      <c r="G4847" s="2"/>
      <c r="H4847" s="310"/>
      <c r="I4847" s="2"/>
      <c r="O4847" s="2"/>
      <c r="P4847" s="2"/>
    </row>
    <row r="4848" spans="4:16" x14ac:dyDescent="0.25">
      <c r="D4848" s="2"/>
      <c r="E4848" s="310"/>
      <c r="G4848" s="2"/>
      <c r="H4848" s="310"/>
      <c r="I4848" s="2"/>
      <c r="O4848" s="2"/>
      <c r="P4848" s="2"/>
    </row>
    <row r="4849" spans="4:16" x14ac:dyDescent="0.25">
      <c r="D4849" s="2"/>
      <c r="E4849" s="310"/>
      <c r="G4849" s="2"/>
      <c r="H4849" s="310"/>
      <c r="I4849" s="2"/>
      <c r="O4849" s="2"/>
      <c r="P4849" s="2"/>
    </row>
    <row r="4850" spans="4:16" x14ac:dyDescent="0.25">
      <c r="D4850" s="2"/>
      <c r="E4850" s="310"/>
      <c r="G4850" s="2"/>
      <c r="H4850" s="310"/>
      <c r="I4850" s="2"/>
      <c r="O4850" s="2"/>
      <c r="P4850" s="2"/>
    </row>
    <row r="4851" spans="4:16" x14ac:dyDescent="0.25">
      <c r="D4851" s="2"/>
      <c r="E4851" s="310"/>
      <c r="G4851" s="2"/>
      <c r="H4851" s="310"/>
      <c r="I4851" s="2"/>
      <c r="O4851" s="2"/>
      <c r="P4851" s="2"/>
    </row>
    <row r="4852" spans="4:16" x14ac:dyDescent="0.25">
      <c r="D4852" s="2"/>
      <c r="E4852" s="310"/>
      <c r="G4852" s="2"/>
      <c r="H4852" s="310"/>
      <c r="I4852" s="2"/>
      <c r="O4852" s="2"/>
      <c r="P4852" s="2"/>
    </row>
    <row r="4853" spans="4:16" x14ac:dyDescent="0.25">
      <c r="D4853" s="2"/>
      <c r="E4853" s="310"/>
      <c r="G4853" s="2"/>
      <c r="H4853" s="310"/>
      <c r="I4853" s="2"/>
      <c r="O4853" s="2"/>
      <c r="P4853" s="2"/>
    </row>
    <row r="4854" spans="4:16" x14ac:dyDescent="0.25">
      <c r="D4854" s="2"/>
      <c r="E4854" s="310"/>
      <c r="G4854" s="2"/>
      <c r="H4854" s="310"/>
      <c r="I4854" s="2"/>
      <c r="O4854" s="2"/>
      <c r="P4854" s="2"/>
    </row>
    <row r="4855" spans="4:16" x14ac:dyDescent="0.25">
      <c r="D4855" s="2"/>
      <c r="E4855" s="310"/>
      <c r="G4855" s="2"/>
      <c r="H4855" s="310"/>
      <c r="I4855" s="2"/>
      <c r="O4855" s="2"/>
      <c r="P4855" s="2"/>
    </row>
    <row r="4856" spans="4:16" x14ac:dyDescent="0.25">
      <c r="D4856" s="2"/>
      <c r="E4856" s="310"/>
      <c r="G4856" s="2"/>
      <c r="H4856" s="310"/>
      <c r="I4856" s="2"/>
      <c r="O4856" s="2"/>
      <c r="P4856" s="2"/>
    </row>
    <row r="4857" spans="4:16" x14ac:dyDescent="0.25">
      <c r="D4857" s="2"/>
      <c r="E4857" s="310"/>
      <c r="G4857" s="2"/>
      <c r="H4857" s="310"/>
      <c r="I4857" s="2"/>
      <c r="O4857" s="2"/>
      <c r="P4857" s="2"/>
    </row>
    <row r="4858" spans="4:16" x14ac:dyDescent="0.25">
      <c r="D4858" s="2"/>
      <c r="E4858" s="310"/>
      <c r="G4858" s="2"/>
      <c r="H4858" s="310"/>
      <c r="I4858" s="2"/>
      <c r="O4858" s="2"/>
      <c r="P4858" s="2"/>
    </row>
    <row r="4859" spans="4:16" x14ac:dyDescent="0.25">
      <c r="D4859" s="2"/>
      <c r="E4859" s="310"/>
      <c r="G4859" s="2"/>
      <c r="H4859" s="310"/>
      <c r="I4859" s="2"/>
      <c r="O4859" s="2"/>
      <c r="P4859" s="2"/>
    </row>
    <row r="4860" spans="4:16" x14ac:dyDescent="0.25">
      <c r="D4860" s="2"/>
      <c r="E4860" s="310"/>
      <c r="G4860" s="2"/>
      <c r="H4860" s="310"/>
      <c r="I4860" s="2"/>
      <c r="O4860" s="2"/>
      <c r="P4860" s="2"/>
    </row>
    <row r="4861" spans="4:16" x14ac:dyDescent="0.25">
      <c r="D4861" s="2"/>
      <c r="E4861" s="310"/>
      <c r="G4861" s="2"/>
      <c r="H4861" s="310"/>
      <c r="I4861" s="2"/>
      <c r="O4861" s="2"/>
      <c r="P4861" s="2"/>
    </row>
    <row r="4862" spans="4:16" x14ac:dyDescent="0.25">
      <c r="D4862" s="2"/>
      <c r="E4862" s="310"/>
      <c r="G4862" s="2"/>
      <c r="H4862" s="310"/>
      <c r="I4862" s="2"/>
      <c r="O4862" s="2"/>
      <c r="P4862" s="2"/>
    </row>
    <row r="4863" spans="4:16" x14ac:dyDescent="0.25">
      <c r="D4863" s="2"/>
      <c r="E4863" s="310"/>
      <c r="G4863" s="2"/>
      <c r="H4863" s="310"/>
      <c r="I4863" s="2"/>
      <c r="O4863" s="2"/>
      <c r="P4863" s="2"/>
    </row>
    <row r="4864" spans="4:16" x14ac:dyDescent="0.25">
      <c r="D4864" s="2"/>
      <c r="E4864" s="310"/>
      <c r="G4864" s="2"/>
      <c r="H4864" s="310"/>
      <c r="I4864" s="2"/>
      <c r="O4864" s="2"/>
      <c r="P4864" s="2"/>
    </row>
    <row r="4865" spans="4:16" x14ac:dyDescent="0.25">
      <c r="D4865" s="2"/>
      <c r="E4865" s="310"/>
      <c r="G4865" s="2"/>
      <c r="H4865" s="310"/>
      <c r="I4865" s="2"/>
      <c r="O4865" s="2"/>
      <c r="P4865" s="2"/>
    </row>
    <row r="4866" spans="4:16" x14ac:dyDescent="0.25">
      <c r="D4866" s="2"/>
      <c r="E4866" s="310"/>
      <c r="G4866" s="2"/>
      <c r="H4866" s="310"/>
      <c r="I4866" s="2"/>
      <c r="O4866" s="2"/>
      <c r="P4866" s="2"/>
    </row>
    <row r="4867" spans="4:16" x14ac:dyDescent="0.25">
      <c r="D4867" s="2"/>
      <c r="E4867" s="310"/>
      <c r="G4867" s="2"/>
      <c r="H4867" s="310"/>
      <c r="I4867" s="2"/>
      <c r="O4867" s="2"/>
      <c r="P4867" s="2"/>
    </row>
    <row r="4868" spans="4:16" x14ac:dyDescent="0.25">
      <c r="D4868" s="2"/>
      <c r="E4868" s="310"/>
      <c r="G4868" s="2"/>
      <c r="H4868" s="310"/>
      <c r="I4868" s="2"/>
      <c r="O4868" s="2"/>
      <c r="P4868" s="2"/>
    </row>
    <row r="4869" spans="4:16" x14ac:dyDescent="0.25">
      <c r="D4869" s="2"/>
      <c r="E4869" s="310"/>
      <c r="G4869" s="2"/>
      <c r="H4869" s="310"/>
      <c r="I4869" s="2"/>
      <c r="O4869" s="2"/>
      <c r="P4869" s="2"/>
    </row>
    <row r="4870" spans="4:16" x14ac:dyDescent="0.25">
      <c r="D4870" s="2"/>
      <c r="E4870" s="310"/>
      <c r="G4870" s="2"/>
      <c r="H4870" s="310"/>
      <c r="I4870" s="2"/>
      <c r="O4870" s="2"/>
      <c r="P4870" s="2"/>
    </row>
    <row r="4871" spans="4:16" x14ac:dyDescent="0.25">
      <c r="D4871" s="2"/>
      <c r="E4871" s="310"/>
      <c r="G4871" s="2"/>
      <c r="H4871" s="310"/>
      <c r="I4871" s="2"/>
      <c r="O4871" s="2"/>
      <c r="P4871" s="2"/>
    </row>
    <row r="4872" spans="4:16" x14ac:dyDescent="0.25">
      <c r="D4872" s="2"/>
      <c r="E4872" s="310"/>
      <c r="G4872" s="2"/>
      <c r="H4872" s="310"/>
      <c r="I4872" s="2"/>
      <c r="O4872" s="2"/>
      <c r="P4872" s="2"/>
    </row>
    <row r="4873" spans="4:16" x14ac:dyDescent="0.25">
      <c r="D4873" s="2"/>
      <c r="E4873" s="310"/>
      <c r="G4873" s="2"/>
      <c r="H4873" s="310"/>
      <c r="I4873" s="2"/>
      <c r="O4873" s="2"/>
      <c r="P4873" s="2"/>
    </row>
    <row r="4874" spans="4:16" x14ac:dyDescent="0.25">
      <c r="D4874" s="2"/>
      <c r="E4874" s="310"/>
      <c r="G4874" s="2"/>
      <c r="H4874" s="310"/>
      <c r="I4874" s="2"/>
      <c r="O4874" s="2"/>
      <c r="P4874" s="2"/>
    </row>
    <row r="4875" spans="4:16" x14ac:dyDescent="0.25">
      <c r="D4875" s="2"/>
      <c r="E4875" s="310"/>
      <c r="G4875" s="2"/>
      <c r="H4875" s="310"/>
      <c r="I4875" s="2"/>
      <c r="O4875" s="2"/>
      <c r="P4875" s="2"/>
    </row>
    <row r="4876" spans="4:16" x14ac:dyDescent="0.25">
      <c r="D4876" s="2"/>
      <c r="E4876" s="310"/>
      <c r="G4876" s="2"/>
      <c r="H4876" s="310"/>
      <c r="I4876" s="2"/>
      <c r="O4876" s="2"/>
      <c r="P4876" s="2"/>
    </row>
    <row r="4877" spans="4:16" x14ac:dyDescent="0.25">
      <c r="D4877" s="2"/>
      <c r="E4877" s="310"/>
      <c r="G4877" s="2"/>
      <c r="H4877" s="310"/>
      <c r="I4877" s="2"/>
      <c r="O4877" s="2"/>
      <c r="P4877" s="2"/>
    </row>
    <row r="4878" spans="4:16" x14ac:dyDescent="0.25">
      <c r="D4878" s="2"/>
      <c r="E4878" s="310"/>
      <c r="G4878" s="2"/>
      <c r="H4878" s="310"/>
      <c r="I4878" s="2"/>
      <c r="O4878" s="2"/>
      <c r="P4878" s="2"/>
    </row>
    <row r="4879" spans="4:16" x14ac:dyDescent="0.25">
      <c r="D4879" s="2"/>
      <c r="E4879" s="310"/>
      <c r="G4879" s="2"/>
      <c r="H4879" s="310"/>
      <c r="I4879" s="2"/>
      <c r="O4879" s="2"/>
      <c r="P4879" s="2"/>
    </row>
    <row r="4880" spans="4:16" x14ac:dyDescent="0.25">
      <c r="D4880" s="2"/>
      <c r="E4880" s="310"/>
      <c r="G4880" s="2"/>
      <c r="H4880" s="310"/>
      <c r="I4880" s="2"/>
      <c r="O4880" s="2"/>
      <c r="P4880" s="2"/>
    </row>
    <row r="4887" spans="4:16" x14ac:dyDescent="0.25">
      <c r="D4887" s="2"/>
      <c r="E4887" s="310"/>
      <c r="G4887" s="2"/>
      <c r="H4887" s="310"/>
      <c r="I4887" s="2"/>
      <c r="O4887" s="2"/>
      <c r="P4887" s="2"/>
    </row>
    <row r="4888" spans="4:16" x14ac:dyDescent="0.25">
      <c r="D4888" s="2"/>
      <c r="E4888" s="310"/>
      <c r="G4888" s="2"/>
      <c r="H4888" s="310"/>
      <c r="I4888" s="2"/>
      <c r="O4888" s="2"/>
      <c r="P4888" s="2"/>
    </row>
    <row r="4889" spans="4:16" x14ac:dyDescent="0.25">
      <c r="D4889" s="2"/>
      <c r="E4889" s="310"/>
      <c r="G4889" s="2"/>
      <c r="H4889" s="310"/>
      <c r="I4889" s="2"/>
      <c r="O4889" s="2"/>
      <c r="P4889" s="2"/>
    </row>
    <row r="4890" spans="4:16" x14ac:dyDescent="0.25">
      <c r="D4890" s="2"/>
      <c r="E4890" s="310"/>
      <c r="G4890" s="2"/>
      <c r="H4890" s="310"/>
      <c r="I4890" s="2"/>
      <c r="O4890" s="2"/>
      <c r="P4890" s="2"/>
    </row>
    <row r="4891" spans="4:16" x14ac:dyDescent="0.25">
      <c r="D4891" s="2"/>
      <c r="E4891" s="310"/>
      <c r="G4891" s="2"/>
      <c r="H4891" s="310"/>
      <c r="I4891" s="2"/>
      <c r="O4891" s="2"/>
      <c r="P4891" s="2"/>
    </row>
    <row r="4892" spans="4:16" x14ac:dyDescent="0.25">
      <c r="D4892" s="2"/>
      <c r="E4892" s="310"/>
      <c r="G4892" s="2"/>
      <c r="H4892" s="310"/>
      <c r="I4892" s="2"/>
      <c r="O4892" s="2"/>
      <c r="P4892" s="2"/>
    </row>
    <row r="4893" spans="4:16" x14ac:dyDescent="0.25">
      <c r="D4893" s="2"/>
      <c r="E4893" s="310"/>
      <c r="G4893" s="2"/>
      <c r="H4893" s="310"/>
      <c r="I4893" s="2"/>
      <c r="O4893" s="2"/>
      <c r="P4893" s="2"/>
    </row>
    <row r="4894" spans="4:16" x14ac:dyDescent="0.25">
      <c r="D4894" s="2"/>
      <c r="E4894" s="310"/>
      <c r="G4894" s="2"/>
      <c r="H4894" s="310"/>
      <c r="I4894" s="2"/>
      <c r="O4894" s="2"/>
      <c r="P4894" s="2"/>
    </row>
    <row r="4895" spans="4:16" x14ac:dyDescent="0.25">
      <c r="D4895" s="2"/>
      <c r="E4895" s="310"/>
      <c r="G4895" s="2"/>
      <c r="H4895" s="310"/>
      <c r="I4895" s="2"/>
      <c r="O4895" s="2"/>
      <c r="P4895" s="2"/>
    </row>
    <row r="4896" spans="4:16" x14ac:dyDescent="0.25">
      <c r="D4896" s="2"/>
      <c r="E4896" s="310"/>
      <c r="G4896" s="2"/>
      <c r="H4896" s="310"/>
      <c r="I4896" s="2"/>
      <c r="O4896" s="2"/>
      <c r="P4896" s="2"/>
    </row>
    <row r="4897" spans="4:16" x14ac:dyDescent="0.25">
      <c r="D4897" s="2"/>
      <c r="E4897" s="310"/>
      <c r="G4897" s="2"/>
      <c r="H4897" s="310"/>
      <c r="I4897" s="2"/>
      <c r="O4897" s="2"/>
      <c r="P4897" s="2"/>
    </row>
    <row r="4898" spans="4:16" x14ac:dyDescent="0.25">
      <c r="D4898" s="2"/>
      <c r="E4898" s="310"/>
      <c r="G4898" s="2"/>
      <c r="H4898" s="310"/>
      <c r="I4898" s="2"/>
      <c r="O4898" s="2"/>
      <c r="P4898" s="2"/>
    </row>
    <row r="4899" spans="4:16" x14ac:dyDescent="0.25">
      <c r="D4899" s="2"/>
      <c r="E4899" s="310"/>
      <c r="G4899" s="2"/>
      <c r="H4899" s="310"/>
      <c r="I4899" s="2"/>
      <c r="O4899" s="2"/>
      <c r="P4899" s="2"/>
    </row>
    <row r="4900" spans="4:16" x14ac:dyDescent="0.25">
      <c r="D4900" s="2"/>
      <c r="E4900" s="310"/>
      <c r="G4900" s="2"/>
      <c r="H4900" s="310"/>
      <c r="I4900" s="2"/>
      <c r="O4900" s="2"/>
      <c r="P4900" s="2"/>
    </row>
    <row r="4901" spans="4:16" x14ac:dyDescent="0.25">
      <c r="D4901" s="2"/>
      <c r="E4901" s="310"/>
      <c r="G4901" s="2"/>
      <c r="H4901" s="310"/>
      <c r="I4901" s="2"/>
      <c r="O4901" s="2"/>
      <c r="P4901" s="2"/>
    </row>
    <row r="4902" spans="4:16" x14ac:dyDescent="0.25">
      <c r="D4902" s="2"/>
      <c r="E4902" s="310"/>
      <c r="G4902" s="2"/>
      <c r="H4902" s="310"/>
      <c r="I4902" s="2"/>
      <c r="O4902" s="2"/>
      <c r="P4902" s="2"/>
    </row>
    <row r="4903" spans="4:16" x14ac:dyDescent="0.25">
      <c r="D4903" s="2"/>
      <c r="E4903" s="310"/>
      <c r="G4903" s="2"/>
      <c r="H4903" s="310"/>
      <c r="I4903" s="2"/>
      <c r="O4903" s="2"/>
      <c r="P4903" s="2"/>
    </row>
    <row r="4904" spans="4:16" x14ac:dyDescent="0.25">
      <c r="D4904" s="2"/>
      <c r="E4904" s="310"/>
      <c r="G4904" s="2"/>
      <c r="H4904" s="310"/>
      <c r="I4904" s="2"/>
      <c r="O4904" s="2"/>
      <c r="P4904" s="2"/>
    </row>
    <row r="4905" spans="4:16" x14ac:dyDescent="0.25">
      <c r="D4905" s="2"/>
      <c r="E4905" s="310"/>
      <c r="G4905" s="2"/>
      <c r="H4905" s="310"/>
      <c r="I4905" s="2"/>
      <c r="O4905" s="2"/>
      <c r="P4905" s="2"/>
    </row>
    <row r="4906" spans="4:16" x14ac:dyDescent="0.25">
      <c r="D4906" s="2"/>
      <c r="E4906" s="310"/>
      <c r="G4906" s="2"/>
      <c r="H4906" s="310"/>
      <c r="I4906" s="2"/>
      <c r="O4906" s="2"/>
      <c r="P4906" s="2"/>
    </row>
    <row r="4907" spans="4:16" x14ac:dyDescent="0.25">
      <c r="D4907" s="2"/>
      <c r="E4907" s="310"/>
      <c r="G4907" s="2"/>
      <c r="H4907" s="310"/>
      <c r="I4907" s="2"/>
      <c r="O4907" s="2"/>
      <c r="P4907" s="2"/>
    </row>
    <row r="4908" spans="4:16" x14ac:dyDescent="0.25">
      <c r="D4908" s="2"/>
      <c r="E4908" s="310"/>
      <c r="G4908" s="2"/>
      <c r="H4908" s="310"/>
      <c r="I4908" s="2"/>
      <c r="O4908" s="2"/>
      <c r="P4908" s="2"/>
    </row>
    <row r="4909" spans="4:16" x14ac:dyDescent="0.25">
      <c r="D4909" s="2"/>
      <c r="E4909" s="310"/>
      <c r="G4909" s="2"/>
      <c r="H4909" s="310"/>
      <c r="I4909" s="2"/>
      <c r="O4909" s="2"/>
      <c r="P4909" s="2"/>
    </row>
    <row r="4910" spans="4:16" x14ac:dyDescent="0.25">
      <c r="D4910" s="2"/>
      <c r="E4910" s="310"/>
      <c r="G4910" s="2"/>
      <c r="H4910" s="310"/>
      <c r="I4910" s="2"/>
      <c r="O4910" s="2"/>
      <c r="P4910" s="2"/>
    </row>
    <row r="4911" spans="4:16" x14ac:dyDescent="0.25">
      <c r="D4911" s="2"/>
      <c r="E4911" s="310"/>
      <c r="G4911" s="2"/>
      <c r="H4911" s="310"/>
      <c r="I4911" s="2"/>
      <c r="O4911" s="2"/>
      <c r="P4911" s="2"/>
    </row>
    <row r="4912" spans="4:16" x14ac:dyDescent="0.25">
      <c r="D4912" s="2"/>
      <c r="E4912" s="310"/>
      <c r="G4912" s="2"/>
      <c r="H4912" s="310"/>
      <c r="I4912" s="2"/>
      <c r="O4912" s="2"/>
      <c r="P4912" s="2"/>
    </row>
    <row r="4913" spans="4:16" x14ac:dyDescent="0.25">
      <c r="D4913" s="2"/>
      <c r="E4913" s="310"/>
      <c r="G4913" s="2"/>
      <c r="H4913" s="310"/>
      <c r="I4913" s="2"/>
      <c r="O4913" s="2"/>
      <c r="P4913" s="2"/>
    </row>
    <row r="4914" spans="4:16" x14ac:dyDescent="0.25">
      <c r="D4914" s="2"/>
      <c r="E4914" s="310"/>
      <c r="G4914" s="2"/>
      <c r="H4914" s="310"/>
      <c r="I4914" s="2"/>
      <c r="O4914" s="2"/>
      <c r="P4914" s="2"/>
    </row>
    <row r="4915" spans="4:16" x14ac:dyDescent="0.25">
      <c r="D4915" s="2"/>
      <c r="E4915" s="310"/>
      <c r="G4915" s="2"/>
      <c r="H4915" s="310"/>
      <c r="I4915" s="2"/>
      <c r="O4915" s="2"/>
      <c r="P4915" s="2"/>
    </row>
    <row r="4916" spans="4:16" x14ac:dyDescent="0.25">
      <c r="D4916" s="2"/>
      <c r="E4916" s="310"/>
      <c r="G4916" s="2"/>
      <c r="H4916" s="310"/>
      <c r="I4916" s="2"/>
      <c r="O4916" s="2"/>
      <c r="P4916" s="2"/>
    </row>
    <row r="4917" spans="4:16" x14ac:dyDescent="0.25">
      <c r="D4917" s="2"/>
      <c r="E4917" s="310"/>
      <c r="G4917" s="2"/>
      <c r="H4917" s="310"/>
      <c r="I4917" s="2"/>
      <c r="O4917" s="2"/>
      <c r="P4917" s="2"/>
    </row>
    <row r="4918" spans="4:16" x14ac:dyDescent="0.25">
      <c r="D4918" s="2"/>
      <c r="E4918" s="310"/>
      <c r="G4918" s="2"/>
      <c r="H4918" s="310"/>
      <c r="I4918" s="2"/>
      <c r="O4918" s="2"/>
      <c r="P4918" s="2"/>
    </row>
    <row r="4919" spans="4:16" x14ac:dyDescent="0.25">
      <c r="D4919" s="2"/>
      <c r="E4919" s="310"/>
      <c r="G4919" s="2"/>
      <c r="H4919" s="310"/>
      <c r="I4919" s="2"/>
      <c r="O4919" s="2"/>
      <c r="P4919" s="2"/>
    </row>
    <row r="4920" spans="4:16" x14ac:dyDescent="0.25">
      <c r="D4920" s="2"/>
      <c r="E4920" s="310"/>
      <c r="G4920" s="2"/>
      <c r="H4920" s="310"/>
      <c r="I4920" s="2"/>
      <c r="O4920" s="2"/>
      <c r="P4920" s="2"/>
    </row>
    <row r="4921" spans="4:16" x14ac:dyDescent="0.25">
      <c r="D4921" s="2"/>
      <c r="E4921" s="310"/>
      <c r="G4921" s="2"/>
      <c r="H4921" s="310"/>
      <c r="I4921" s="2"/>
      <c r="O4921" s="2"/>
      <c r="P4921" s="2"/>
    </row>
    <row r="4922" spans="4:16" x14ac:dyDescent="0.25">
      <c r="D4922" s="2"/>
      <c r="E4922" s="310"/>
      <c r="G4922" s="2"/>
      <c r="H4922" s="310"/>
      <c r="I4922" s="2"/>
      <c r="O4922" s="2"/>
      <c r="P4922" s="2"/>
    </row>
    <row r="4923" spans="4:16" x14ac:dyDescent="0.25">
      <c r="D4923" s="2"/>
      <c r="E4923" s="310"/>
      <c r="G4923" s="2"/>
      <c r="H4923" s="310"/>
      <c r="I4923" s="2"/>
      <c r="O4923" s="2"/>
      <c r="P4923" s="2"/>
    </row>
    <row r="4924" spans="4:16" x14ac:dyDescent="0.25">
      <c r="D4924" s="2"/>
      <c r="E4924" s="310"/>
      <c r="G4924" s="2"/>
      <c r="H4924" s="310"/>
      <c r="I4924" s="2"/>
      <c r="O4924" s="2"/>
      <c r="P4924" s="2"/>
    </row>
    <row r="4925" spans="4:16" x14ac:dyDescent="0.25">
      <c r="D4925" s="2"/>
      <c r="E4925" s="310"/>
      <c r="G4925" s="2"/>
      <c r="H4925" s="310"/>
      <c r="I4925" s="2"/>
      <c r="O4925" s="2"/>
      <c r="P4925" s="2"/>
    </row>
    <row r="4926" spans="4:16" x14ac:dyDescent="0.25">
      <c r="D4926" s="2"/>
      <c r="E4926" s="310"/>
      <c r="G4926" s="2"/>
      <c r="H4926" s="310"/>
      <c r="I4926" s="2"/>
      <c r="O4926" s="2"/>
      <c r="P4926" s="2"/>
    </row>
    <row r="4927" spans="4:16" x14ac:dyDescent="0.25">
      <c r="D4927" s="2"/>
      <c r="E4927" s="310"/>
      <c r="G4927" s="2"/>
      <c r="H4927" s="310"/>
      <c r="I4927" s="2"/>
      <c r="O4927" s="2"/>
      <c r="P4927" s="2"/>
    </row>
    <row r="4928" spans="4:16" x14ac:dyDescent="0.25">
      <c r="D4928" s="2"/>
      <c r="E4928" s="310"/>
      <c r="G4928" s="2"/>
      <c r="H4928" s="310"/>
      <c r="I4928" s="2"/>
      <c r="O4928" s="2"/>
      <c r="P4928" s="2"/>
    </row>
    <row r="4929" spans="4:16" x14ac:dyDescent="0.25">
      <c r="D4929" s="2"/>
      <c r="E4929" s="310"/>
      <c r="G4929" s="2"/>
      <c r="H4929" s="310"/>
      <c r="I4929" s="2"/>
      <c r="O4929" s="2"/>
      <c r="P4929" s="2"/>
    </row>
    <row r="4930" spans="4:16" x14ac:dyDescent="0.25">
      <c r="D4930" s="2"/>
      <c r="E4930" s="310"/>
      <c r="G4930" s="2"/>
      <c r="H4930" s="310"/>
      <c r="I4930" s="2"/>
      <c r="O4930" s="2"/>
      <c r="P4930" s="2"/>
    </row>
    <row r="4931" spans="4:16" x14ac:dyDescent="0.25">
      <c r="D4931" s="2"/>
      <c r="E4931" s="310"/>
      <c r="G4931" s="2"/>
      <c r="H4931" s="310"/>
      <c r="I4931" s="2"/>
      <c r="O4931" s="2"/>
      <c r="P4931" s="2"/>
    </row>
    <row r="4932" spans="4:16" x14ac:dyDescent="0.25">
      <c r="D4932" s="2"/>
      <c r="E4932" s="310"/>
      <c r="G4932" s="2"/>
      <c r="H4932" s="310"/>
      <c r="I4932" s="2"/>
      <c r="O4932" s="2"/>
      <c r="P4932" s="2"/>
    </row>
    <row r="4933" spans="4:16" x14ac:dyDescent="0.25">
      <c r="D4933" s="2"/>
      <c r="E4933" s="310"/>
      <c r="G4933" s="2"/>
      <c r="H4933" s="310"/>
      <c r="I4933" s="2"/>
      <c r="O4933" s="2"/>
      <c r="P4933" s="2"/>
    </row>
    <row r="4934" spans="4:16" x14ac:dyDescent="0.25">
      <c r="D4934" s="2"/>
      <c r="E4934" s="310"/>
      <c r="G4934" s="2"/>
      <c r="H4934" s="310"/>
      <c r="I4934" s="2"/>
      <c r="O4934" s="2"/>
      <c r="P4934" s="2"/>
    </row>
    <row r="4935" spans="4:16" x14ac:dyDescent="0.25">
      <c r="D4935" s="2"/>
      <c r="E4935" s="310"/>
      <c r="G4935" s="2"/>
      <c r="H4935" s="310"/>
      <c r="I4935" s="2"/>
      <c r="O4935" s="2"/>
      <c r="P4935" s="2"/>
    </row>
    <row r="4936" spans="4:16" x14ac:dyDescent="0.25">
      <c r="D4936" s="2"/>
      <c r="E4936" s="310"/>
      <c r="G4936" s="2"/>
      <c r="H4936" s="310"/>
      <c r="I4936" s="2"/>
      <c r="O4936" s="2"/>
      <c r="P4936" s="2"/>
    </row>
    <row r="4937" spans="4:16" x14ac:dyDescent="0.25">
      <c r="D4937" s="2"/>
      <c r="E4937" s="310"/>
      <c r="G4937" s="2"/>
      <c r="H4937" s="310"/>
      <c r="I4937" s="2"/>
      <c r="O4937" s="2"/>
      <c r="P4937" s="2"/>
    </row>
    <row r="4938" spans="4:16" x14ac:dyDescent="0.25">
      <c r="D4938" s="2"/>
      <c r="E4938" s="310"/>
      <c r="G4938" s="2"/>
      <c r="H4938" s="310"/>
      <c r="I4938" s="2"/>
      <c r="O4938" s="2"/>
      <c r="P4938" s="2"/>
    </row>
    <row r="4939" spans="4:16" x14ac:dyDescent="0.25">
      <c r="D4939" s="2"/>
      <c r="E4939" s="310"/>
      <c r="G4939" s="2"/>
      <c r="H4939" s="310"/>
      <c r="I4939" s="2"/>
      <c r="O4939" s="2"/>
      <c r="P4939" s="2"/>
    </row>
    <row r="4940" spans="4:16" x14ac:dyDescent="0.25">
      <c r="D4940" s="2"/>
      <c r="E4940" s="310"/>
      <c r="G4940" s="2"/>
      <c r="H4940" s="310"/>
      <c r="I4940" s="2"/>
      <c r="O4940" s="2"/>
      <c r="P4940" s="2"/>
    </row>
    <row r="4941" spans="4:16" x14ac:dyDescent="0.25">
      <c r="D4941" s="2"/>
      <c r="E4941" s="310"/>
      <c r="G4941" s="2"/>
      <c r="H4941" s="310"/>
      <c r="I4941" s="2"/>
      <c r="O4941" s="2"/>
      <c r="P4941" s="2"/>
    </row>
    <row r="4942" spans="4:16" x14ac:dyDescent="0.25">
      <c r="D4942" s="2"/>
      <c r="E4942" s="310"/>
      <c r="G4942" s="2"/>
      <c r="H4942" s="310"/>
      <c r="I4942" s="2"/>
      <c r="O4942" s="2"/>
      <c r="P4942" s="2"/>
    </row>
    <row r="4943" spans="4:16" x14ac:dyDescent="0.25">
      <c r="D4943" s="2"/>
      <c r="E4943" s="310"/>
      <c r="G4943" s="2"/>
      <c r="H4943" s="310"/>
      <c r="I4943" s="2"/>
      <c r="O4943" s="2"/>
      <c r="P4943" s="2"/>
    </row>
    <row r="4944" spans="4:16" x14ac:dyDescent="0.25">
      <c r="D4944" s="2"/>
      <c r="E4944" s="310"/>
      <c r="G4944" s="2"/>
      <c r="H4944" s="310"/>
      <c r="I4944" s="2"/>
      <c r="O4944" s="2"/>
      <c r="P4944" s="2"/>
    </row>
    <row r="4945" spans="4:16" x14ac:dyDescent="0.25">
      <c r="D4945" s="2"/>
      <c r="E4945" s="310"/>
      <c r="G4945" s="2"/>
      <c r="H4945" s="310"/>
      <c r="I4945" s="2"/>
      <c r="O4945" s="2"/>
      <c r="P4945" s="2"/>
    </row>
    <row r="4946" spans="4:16" x14ac:dyDescent="0.25">
      <c r="D4946" s="2"/>
      <c r="E4946" s="310"/>
      <c r="G4946" s="2"/>
      <c r="H4946" s="310"/>
      <c r="I4946" s="2"/>
      <c r="O4946" s="2"/>
      <c r="P4946" s="2"/>
    </row>
    <row r="4947" spans="4:16" x14ac:dyDescent="0.25">
      <c r="D4947" s="2"/>
      <c r="E4947" s="310"/>
      <c r="G4947" s="2"/>
      <c r="H4947" s="310"/>
      <c r="I4947" s="2"/>
      <c r="O4947" s="2"/>
      <c r="P4947" s="2"/>
    </row>
    <row r="4948" spans="4:16" x14ac:dyDescent="0.25">
      <c r="D4948" s="2"/>
      <c r="E4948" s="310"/>
      <c r="G4948" s="2"/>
      <c r="H4948" s="310"/>
      <c r="I4948" s="2"/>
      <c r="O4948" s="2"/>
      <c r="P4948" s="2"/>
    </row>
    <row r="4949" spans="4:16" x14ac:dyDescent="0.25">
      <c r="D4949" s="2"/>
      <c r="E4949" s="310"/>
      <c r="G4949" s="2"/>
      <c r="H4949" s="310"/>
      <c r="I4949" s="2"/>
      <c r="O4949" s="2"/>
      <c r="P4949" s="2"/>
    </row>
    <row r="4950" spans="4:16" x14ac:dyDescent="0.25">
      <c r="D4950" s="2"/>
      <c r="E4950" s="310"/>
      <c r="G4950" s="2"/>
      <c r="H4950" s="310"/>
      <c r="I4950" s="2"/>
      <c r="O4950" s="2"/>
      <c r="P4950" s="2"/>
    </row>
    <row r="4951" spans="4:16" x14ac:dyDescent="0.25">
      <c r="D4951" s="2"/>
      <c r="E4951" s="310"/>
      <c r="G4951" s="2"/>
      <c r="H4951" s="310"/>
      <c r="I4951" s="2"/>
      <c r="O4951" s="2"/>
      <c r="P4951" s="2"/>
    </row>
    <row r="4952" spans="4:16" x14ac:dyDescent="0.25">
      <c r="D4952" s="2"/>
      <c r="E4952" s="310"/>
      <c r="G4952" s="2"/>
      <c r="H4952" s="310"/>
      <c r="I4952" s="2"/>
      <c r="O4952" s="2"/>
      <c r="P4952" s="2"/>
    </row>
    <row r="4953" spans="4:16" x14ac:dyDescent="0.25">
      <c r="D4953" s="2"/>
      <c r="E4953" s="310"/>
      <c r="G4953" s="2"/>
      <c r="H4953" s="310"/>
      <c r="I4953" s="2"/>
      <c r="O4953" s="2"/>
      <c r="P4953" s="2"/>
    </row>
    <row r="4954" spans="4:16" x14ac:dyDescent="0.25">
      <c r="D4954" s="2"/>
      <c r="E4954" s="310"/>
      <c r="G4954" s="2"/>
      <c r="H4954" s="310"/>
      <c r="I4954" s="2"/>
      <c r="O4954" s="2"/>
      <c r="P4954" s="2"/>
    </row>
    <row r="4955" spans="4:16" x14ac:dyDescent="0.25">
      <c r="D4955" s="2"/>
      <c r="E4955" s="310"/>
      <c r="G4955" s="2"/>
      <c r="H4955" s="310"/>
      <c r="I4955" s="2"/>
      <c r="O4955" s="2"/>
      <c r="P4955" s="2"/>
    </row>
    <row r="4956" spans="4:16" x14ac:dyDescent="0.25">
      <c r="D4956" s="2"/>
      <c r="E4956" s="310"/>
      <c r="G4956" s="2"/>
      <c r="H4956" s="310"/>
      <c r="I4956" s="2"/>
      <c r="O4956" s="2"/>
      <c r="P4956" s="2"/>
    </row>
    <row r="4957" spans="4:16" x14ac:dyDescent="0.25">
      <c r="D4957" s="2"/>
      <c r="E4957" s="310"/>
      <c r="G4957" s="2"/>
      <c r="H4957" s="310"/>
      <c r="I4957" s="2"/>
      <c r="O4957" s="2"/>
      <c r="P4957" s="2"/>
    </row>
    <row r="4958" spans="4:16" x14ac:dyDescent="0.25">
      <c r="D4958" s="2"/>
      <c r="E4958" s="310"/>
      <c r="G4958" s="2"/>
      <c r="H4958" s="310"/>
      <c r="I4958" s="2"/>
      <c r="O4958" s="2"/>
      <c r="P4958" s="2"/>
    </row>
    <row r="4959" spans="4:16" x14ac:dyDescent="0.25">
      <c r="D4959" s="2"/>
      <c r="E4959" s="310"/>
      <c r="G4959" s="2"/>
      <c r="H4959" s="310"/>
      <c r="I4959" s="2"/>
      <c r="O4959" s="2"/>
      <c r="P4959" s="2"/>
    </row>
    <row r="4960" spans="4:16" x14ac:dyDescent="0.25">
      <c r="D4960" s="2"/>
      <c r="E4960" s="310"/>
      <c r="G4960" s="2"/>
      <c r="H4960" s="310"/>
      <c r="I4960" s="2"/>
      <c r="O4960" s="2"/>
      <c r="P4960" s="2"/>
    </row>
    <row r="4961" spans="4:16" x14ac:dyDescent="0.25">
      <c r="D4961" s="2"/>
      <c r="E4961" s="310"/>
      <c r="G4961" s="2"/>
      <c r="H4961" s="310"/>
      <c r="I4961" s="2"/>
      <c r="O4961" s="2"/>
      <c r="P4961" s="2"/>
    </row>
    <row r="4962" spans="4:16" x14ac:dyDescent="0.25">
      <c r="D4962" s="2"/>
      <c r="E4962" s="310"/>
      <c r="G4962" s="2"/>
      <c r="H4962" s="310"/>
      <c r="I4962" s="2"/>
      <c r="O4962" s="2"/>
      <c r="P4962" s="2"/>
    </row>
    <row r="4963" spans="4:16" x14ac:dyDescent="0.25">
      <c r="D4963" s="2"/>
      <c r="E4963" s="310"/>
      <c r="G4963" s="2"/>
      <c r="H4963" s="310"/>
      <c r="I4963" s="2"/>
      <c r="O4963" s="2"/>
      <c r="P4963" s="2"/>
    </row>
    <row r="4964" spans="4:16" x14ac:dyDescent="0.25">
      <c r="D4964" s="2"/>
      <c r="E4964" s="310"/>
      <c r="G4964" s="2"/>
      <c r="H4964" s="310"/>
      <c r="I4964" s="2"/>
      <c r="O4964" s="2"/>
      <c r="P4964" s="2"/>
    </row>
    <row r="4965" spans="4:16" x14ac:dyDescent="0.25">
      <c r="D4965" s="2"/>
      <c r="E4965" s="310"/>
      <c r="G4965" s="2"/>
      <c r="H4965" s="310"/>
      <c r="I4965" s="2"/>
      <c r="O4965" s="2"/>
      <c r="P4965" s="2"/>
    </row>
    <row r="4966" spans="4:16" x14ac:dyDescent="0.25">
      <c r="D4966" s="2"/>
      <c r="E4966" s="310"/>
      <c r="G4966" s="2"/>
      <c r="H4966" s="310"/>
      <c r="I4966" s="2"/>
      <c r="O4966" s="2"/>
      <c r="P4966" s="2"/>
    </row>
    <row r="4967" spans="4:16" x14ac:dyDescent="0.25">
      <c r="D4967" s="2"/>
      <c r="E4967" s="310"/>
      <c r="G4967" s="2"/>
      <c r="H4967" s="310"/>
      <c r="I4967" s="2"/>
      <c r="O4967" s="2"/>
      <c r="P4967" s="2"/>
    </row>
    <row r="4968" spans="4:16" x14ac:dyDescent="0.25">
      <c r="D4968" s="2"/>
      <c r="E4968" s="310"/>
      <c r="G4968" s="2"/>
      <c r="H4968" s="310"/>
      <c r="I4968" s="2"/>
      <c r="O4968" s="2"/>
      <c r="P4968" s="2"/>
    </row>
    <row r="4969" spans="4:16" x14ac:dyDescent="0.25">
      <c r="D4969" s="2"/>
      <c r="E4969" s="310"/>
      <c r="G4969" s="2"/>
      <c r="H4969" s="310"/>
      <c r="I4969" s="2"/>
      <c r="O4969" s="2"/>
      <c r="P4969" s="2"/>
    </row>
    <row r="4970" spans="4:16" x14ac:dyDescent="0.25">
      <c r="D4970" s="2"/>
      <c r="E4970" s="310"/>
      <c r="G4970" s="2"/>
      <c r="H4970" s="310"/>
      <c r="I4970" s="2"/>
      <c r="O4970" s="2"/>
      <c r="P4970" s="2"/>
    </row>
    <row r="4971" spans="4:16" x14ac:dyDescent="0.25">
      <c r="D4971" s="2"/>
      <c r="E4971" s="310"/>
      <c r="G4971" s="2"/>
      <c r="H4971" s="310"/>
      <c r="I4971" s="2"/>
      <c r="O4971" s="2"/>
      <c r="P4971" s="2"/>
    </row>
    <row r="4972" spans="4:16" x14ac:dyDescent="0.25">
      <c r="D4972" s="2"/>
      <c r="E4972" s="310"/>
      <c r="G4972" s="2"/>
      <c r="H4972" s="310"/>
      <c r="I4972" s="2"/>
      <c r="O4972" s="2"/>
      <c r="P4972" s="2"/>
    </row>
    <row r="4973" spans="4:16" x14ac:dyDescent="0.25">
      <c r="D4973" s="2"/>
      <c r="E4973" s="310"/>
      <c r="G4973" s="2"/>
      <c r="H4973" s="310"/>
      <c r="I4973" s="2"/>
      <c r="O4973" s="2"/>
      <c r="P4973" s="2"/>
    </row>
    <row r="4974" spans="4:16" x14ac:dyDescent="0.25">
      <c r="D4974" s="2"/>
      <c r="E4974" s="310"/>
      <c r="G4974" s="2"/>
      <c r="H4974" s="310"/>
      <c r="I4974" s="2"/>
      <c r="O4974" s="2"/>
      <c r="P4974" s="2"/>
    </row>
    <row r="4975" spans="4:16" x14ac:dyDescent="0.25">
      <c r="D4975" s="2"/>
      <c r="E4975" s="310"/>
      <c r="G4975" s="2"/>
      <c r="H4975" s="310"/>
      <c r="I4975" s="2"/>
      <c r="O4975" s="2"/>
      <c r="P4975" s="2"/>
    </row>
    <row r="4976" spans="4:16" x14ac:dyDescent="0.25">
      <c r="D4976" s="2"/>
      <c r="E4976" s="310"/>
      <c r="G4976" s="2"/>
      <c r="H4976" s="310"/>
      <c r="I4976" s="2"/>
      <c r="O4976" s="2"/>
      <c r="P4976" s="2"/>
    </row>
    <row r="4977" spans="4:16" x14ac:dyDescent="0.25">
      <c r="D4977" s="2"/>
      <c r="E4977" s="310"/>
      <c r="G4977" s="2"/>
      <c r="H4977" s="310"/>
      <c r="I4977" s="2"/>
      <c r="O4977" s="2"/>
      <c r="P4977" s="2"/>
    </row>
    <row r="4978" spans="4:16" x14ac:dyDescent="0.25">
      <c r="D4978" s="2"/>
      <c r="E4978" s="310"/>
      <c r="G4978" s="2"/>
      <c r="H4978" s="310"/>
      <c r="I4978" s="2"/>
      <c r="O4978" s="2"/>
      <c r="P4978" s="2"/>
    </row>
    <row r="4979" spans="4:16" x14ac:dyDescent="0.25">
      <c r="D4979" s="2"/>
      <c r="E4979" s="310"/>
      <c r="G4979" s="2"/>
      <c r="H4979" s="310"/>
      <c r="I4979" s="2"/>
      <c r="O4979" s="2"/>
      <c r="P4979" s="2"/>
    </row>
    <row r="4980" spans="4:16" x14ac:dyDescent="0.25">
      <c r="D4980" s="2"/>
      <c r="E4980" s="310"/>
      <c r="G4980" s="2"/>
      <c r="H4980" s="310"/>
      <c r="I4980" s="2"/>
      <c r="O4980" s="2"/>
      <c r="P4980" s="2"/>
    </row>
    <row r="4981" spans="4:16" x14ac:dyDescent="0.25">
      <c r="D4981" s="2"/>
      <c r="E4981" s="310"/>
      <c r="G4981" s="2"/>
      <c r="H4981" s="310"/>
      <c r="I4981" s="2"/>
      <c r="O4981" s="2"/>
      <c r="P4981" s="2"/>
    </row>
    <row r="4982" spans="4:16" x14ac:dyDescent="0.25">
      <c r="D4982" s="2"/>
      <c r="E4982" s="310"/>
      <c r="G4982" s="2"/>
      <c r="H4982" s="310"/>
      <c r="I4982" s="2"/>
      <c r="O4982" s="2"/>
      <c r="P4982" s="2"/>
    </row>
    <row r="4983" spans="4:16" x14ac:dyDescent="0.25">
      <c r="D4983" s="2"/>
      <c r="E4983" s="310"/>
      <c r="G4983" s="2"/>
      <c r="H4983" s="310"/>
      <c r="I4983" s="2"/>
      <c r="O4983" s="2"/>
      <c r="P4983" s="2"/>
    </row>
    <row r="4984" spans="4:16" x14ac:dyDescent="0.25">
      <c r="D4984" s="2"/>
      <c r="E4984" s="310"/>
      <c r="G4984" s="2"/>
      <c r="H4984" s="310"/>
      <c r="I4984" s="2"/>
      <c r="O4984" s="2"/>
      <c r="P4984" s="2"/>
    </row>
    <row r="4985" spans="4:16" x14ac:dyDescent="0.25">
      <c r="D4985" s="2"/>
      <c r="E4985" s="310"/>
      <c r="G4985" s="2"/>
      <c r="H4985" s="310"/>
      <c r="I4985" s="2"/>
      <c r="O4985" s="2"/>
      <c r="P4985" s="2"/>
    </row>
    <row r="4986" spans="4:16" x14ac:dyDescent="0.25">
      <c r="D4986" s="2"/>
      <c r="E4986" s="310"/>
      <c r="G4986" s="2"/>
      <c r="H4986" s="310"/>
      <c r="I4986" s="2"/>
      <c r="O4986" s="2"/>
      <c r="P4986" s="2"/>
    </row>
    <row r="4987" spans="4:16" x14ac:dyDescent="0.25">
      <c r="D4987" s="2"/>
      <c r="E4987" s="310"/>
      <c r="G4987" s="2"/>
      <c r="H4987" s="310"/>
      <c r="I4987" s="2"/>
      <c r="O4987" s="2"/>
      <c r="P4987" s="2"/>
    </row>
    <row r="4988" spans="4:16" x14ac:dyDescent="0.25">
      <c r="D4988" s="2"/>
      <c r="E4988" s="310"/>
      <c r="G4988" s="2"/>
      <c r="H4988" s="310"/>
      <c r="I4988" s="2"/>
      <c r="O4988" s="2"/>
      <c r="P4988" s="2"/>
    </row>
    <row r="4989" spans="4:16" x14ac:dyDescent="0.25">
      <c r="D4989" s="2"/>
      <c r="E4989" s="310"/>
      <c r="G4989" s="2"/>
      <c r="H4989" s="310"/>
      <c r="I4989" s="2"/>
      <c r="O4989" s="2"/>
      <c r="P4989" s="2"/>
    </row>
    <row r="4990" spans="4:16" x14ac:dyDescent="0.25">
      <c r="D4990" s="2"/>
      <c r="E4990" s="310"/>
      <c r="G4990" s="2"/>
      <c r="H4990" s="310"/>
      <c r="I4990" s="2"/>
      <c r="O4990" s="2"/>
      <c r="P4990" s="2"/>
    </row>
    <row r="4991" spans="4:16" x14ac:dyDescent="0.25">
      <c r="D4991" s="2"/>
      <c r="E4991" s="310"/>
      <c r="G4991" s="2"/>
      <c r="H4991" s="310"/>
      <c r="I4991" s="2"/>
      <c r="O4991" s="2"/>
      <c r="P4991" s="2"/>
    </row>
    <row r="4992" spans="4:16" x14ac:dyDescent="0.25">
      <c r="D4992" s="2"/>
      <c r="E4992" s="310"/>
      <c r="G4992" s="2"/>
      <c r="H4992" s="310"/>
      <c r="I4992" s="2"/>
      <c r="O4992" s="2"/>
      <c r="P4992" s="2"/>
    </row>
    <row r="4993" spans="4:16" x14ac:dyDescent="0.25">
      <c r="D4993" s="2"/>
      <c r="E4993" s="310"/>
      <c r="G4993" s="2"/>
      <c r="H4993" s="310"/>
      <c r="I4993" s="2"/>
      <c r="O4993" s="2"/>
      <c r="P4993" s="2"/>
    </row>
    <row r="4994" spans="4:16" x14ac:dyDescent="0.25">
      <c r="D4994" s="2"/>
      <c r="E4994" s="310"/>
      <c r="G4994" s="2"/>
      <c r="H4994" s="310"/>
      <c r="I4994" s="2"/>
      <c r="O4994" s="2"/>
      <c r="P4994" s="2"/>
    </row>
    <row r="4995" spans="4:16" x14ac:dyDescent="0.25">
      <c r="D4995" s="2"/>
      <c r="E4995" s="310"/>
      <c r="G4995" s="2"/>
      <c r="H4995" s="310"/>
      <c r="I4995" s="2"/>
      <c r="O4995" s="2"/>
      <c r="P4995" s="2"/>
    </row>
    <row r="4996" spans="4:16" x14ac:dyDescent="0.25">
      <c r="D4996" s="2"/>
      <c r="E4996" s="310"/>
      <c r="G4996" s="2"/>
      <c r="H4996" s="310"/>
      <c r="I4996" s="2"/>
      <c r="O4996" s="2"/>
      <c r="P4996" s="2"/>
    </row>
    <row r="4997" spans="4:16" x14ac:dyDescent="0.25">
      <c r="D4997" s="2"/>
      <c r="E4997" s="310"/>
      <c r="G4997" s="2"/>
      <c r="H4997" s="310"/>
      <c r="I4997" s="2"/>
      <c r="O4997" s="2"/>
      <c r="P4997" s="2"/>
    </row>
    <row r="4998" spans="4:16" x14ac:dyDescent="0.25">
      <c r="D4998" s="2"/>
      <c r="E4998" s="310"/>
      <c r="G4998" s="2"/>
      <c r="H4998" s="310"/>
      <c r="I4998" s="2"/>
      <c r="O4998" s="2"/>
      <c r="P4998" s="2"/>
    </row>
    <row r="4999" spans="4:16" x14ac:dyDescent="0.25">
      <c r="D4999" s="2"/>
      <c r="E4999" s="310"/>
      <c r="G4999" s="2"/>
      <c r="H4999" s="310"/>
      <c r="I4999" s="2"/>
      <c r="O4999" s="2"/>
      <c r="P4999" s="2"/>
    </row>
    <row r="5000" spans="4:16" x14ac:dyDescent="0.25">
      <c r="D5000" s="2"/>
      <c r="E5000" s="310"/>
      <c r="G5000" s="2"/>
      <c r="H5000" s="310"/>
      <c r="I5000" s="2"/>
      <c r="O5000" s="2"/>
      <c r="P5000" s="2"/>
    </row>
    <row r="5001" spans="4:16" x14ac:dyDescent="0.25">
      <c r="D5001" s="2"/>
      <c r="E5001" s="310"/>
      <c r="G5001" s="2"/>
      <c r="H5001" s="310"/>
      <c r="I5001" s="2"/>
      <c r="O5001" s="2"/>
      <c r="P5001" s="2"/>
    </row>
    <row r="5002" spans="4:16" x14ac:dyDescent="0.25">
      <c r="D5002" s="2"/>
      <c r="E5002" s="310"/>
      <c r="G5002" s="2"/>
      <c r="H5002" s="310"/>
      <c r="I5002" s="2"/>
      <c r="O5002" s="2"/>
      <c r="P5002" s="2"/>
    </row>
    <row r="5003" spans="4:16" x14ac:dyDescent="0.25">
      <c r="D5003" s="2"/>
      <c r="E5003" s="310"/>
      <c r="G5003" s="2"/>
      <c r="H5003" s="310"/>
      <c r="I5003" s="2"/>
      <c r="O5003" s="2"/>
      <c r="P5003" s="2"/>
    </row>
    <row r="5004" spans="4:16" x14ac:dyDescent="0.25">
      <c r="D5004" s="2"/>
      <c r="E5004" s="310"/>
      <c r="G5004" s="2"/>
      <c r="H5004" s="310"/>
      <c r="I5004" s="2"/>
      <c r="O5004" s="2"/>
      <c r="P5004" s="2"/>
    </row>
    <row r="5005" spans="4:16" x14ac:dyDescent="0.25">
      <c r="D5005" s="2"/>
      <c r="E5005" s="310"/>
      <c r="G5005" s="2"/>
      <c r="H5005" s="310"/>
      <c r="I5005" s="2"/>
      <c r="O5005" s="2"/>
      <c r="P5005" s="2"/>
    </row>
    <row r="5006" spans="4:16" x14ac:dyDescent="0.25">
      <c r="D5006" s="2"/>
      <c r="E5006" s="310"/>
      <c r="G5006" s="2"/>
      <c r="H5006" s="310"/>
      <c r="I5006" s="2"/>
      <c r="O5006" s="2"/>
      <c r="P5006" s="2"/>
    </row>
    <row r="5007" spans="4:16" x14ac:dyDescent="0.25">
      <c r="D5007" s="2"/>
      <c r="E5007" s="310"/>
      <c r="G5007" s="2"/>
      <c r="H5007" s="310"/>
      <c r="I5007" s="2"/>
      <c r="O5007" s="2"/>
      <c r="P5007" s="2"/>
    </row>
    <row r="5008" spans="4:16" x14ac:dyDescent="0.25">
      <c r="D5008" s="2"/>
      <c r="E5008" s="310"/>
      <c r="G5008" s="2"/>
      <c r="H5008" s="310"/>
      <c r="I5008" s="2"/>
      <c r="O5008" s="2"/>
      <c r="P5008" s="2"/>
    </row>
    <row r="5009" spans="4:16" x14ac:dyDescent="0.25">
      <c r="D5009" s="2"/>
      <c r="E5009" s="310"/>
      <c r="G5009" s="2"/>
      <c r="H5009" s="310"/>
      <c r="I5009" s="2"/>
      <c r="O5009" s="2"/>
      <c r="P5009" s="2"/>
    </row>
    <row r="5010" spans="4:16" x14ac:dyDescent="0.25">
      <c r="D5010" s="2"/>
      <c r="E5010" s="310"/>
      <c r="G5010" s="2"/>
      <c r="H5010" s="310"/>
      <c r="I5010" s="2"/>
      <c r="O5010" s="2"/>
      <c r="P5010" s="2"/>
    </row>
    <row r="5011" spans="4:16" x14ac:dyDescent="0.25">
      <c r="D5011" s="2"/>
      <c r="E5011" s="310"/>
      <c r="G5011" s="2"/>
      <c r="H5011" s="310"/>
      <c r="I5011" s="2"/>
      <c r="O5011" s="2"/>
      <c r="P5011" s="2"/>
    </row>
    <row r="5012" spans="4:16" x14ac:dyDescent="0.25">
      <c r="D5012" s="2"/>
      <c r="E5012" s="310"/>
      <c r="G5012" s="2"/>
      <c r="H5012" s="310"/>
      <c r="I5012" s="2"/>
      <c r="O5012" s="2"/>
      <c r="P5012" s="2"/>
    </row>
    <row r="5013" spans="4:16" x14ac:dyDescent="0.25">
      <c r="D5013" s="2"/>
      <c r="E5013" s="310"/>
      <c r="G5013" s="2"/>
      <c r="H5013" s="310"/>
      <c r="I5013" s="2"/>
      <c r="O5013" s="2"/>
      <c r="P5013" s="2"/>
    </row>
    <row r="5014" spans="4:16" x14ac:dyDescent="0.25">
      <c r="D5014" s="2"/>
      <c r="E5014" s="310"/>
      <c r="G5014" s="2"/>
      <c r="H5014" s="310"/>
      <c r="I5014" s="2"/>
      <c r="O5014" s="2"/>
      <c r="P5014" s="2"/>
    </row>
    <row r="5015" spans="4:16" x14ac:dyDescent="0.25">
      <c r="D5015" s="2"/>
      <c r="E5015" s="310"/>
      <c r="G5015" s="2"/>
      <c r="H5015" s="310"/>
      <c r="I5015" s="2"/>
      <c r="O5015" s="2"/>
      <c r="P5015" s="2"/>
    </row>
    <row r="5016" spans="4:16" x14ac:dyDescent="0.25">
      <c r="D5016" s="2"/>
      <c r="E5016" s="310"/>
      <c r="G5016" s="2"/>
      <c r="H5016" s="310"/>
      <c r="I5016" s="2"/>
      <c r="O5016" s="2"/>
      <c r="P5016" s="2"/>
    </row>
    <row r="5017" spans="4:16" x14ac:dyDescent="0.25">
      <c r="D5017" s="2"/>
      <c r="E5017" s="310"/>
      <c r="G5017" s="2"/>
      <c r="H5017" s="310"/>
      <c r="I5017" s="2"/>
      <c r="O5017" s="2"/>
      <c r="P5017" s="2"/>
    </row>
    <row r="5018" spans="4:16" x14ac:dyDescent="0.25">
      <c r="D5018" s="2"/>
      <c r="E5018" s="310"/>
      <c r="G5018" s="2"/>
      <c r="H5018" s="310"/>
      <c r="I5018" s="2"/>
      <c r="O5018" s="2"/>
      <c r="P5018" s="2"/>
    </row>
    <row r="5019" spans="4:16" x14ac:dyDescent="0.25">
      <c r="D5019" s="2"/>
      <c r="E5019" s="310"/>
      <c r="G5019" s="2"/>
      <c r="H5019" s="310"/>
      <c r="I5019" s="2"/>
      <c r="O5019" s="2"/>
      <c r="P5019" s="2"/>
    </row>
    <row r="5020" spans="4:16" x14ac:dyDescent="0.25">
      <c r="D5020" s="2"/>
      <c r="E5020" s="310"/>
      <c r="G5020" s="2"/>
      <c r="H5020" s="310"/>
      <c r="I5020" s="2"/>
      <c r="O5020" s="2"/>
      <c r="P5020" s="2"/>
    </row>
    <row r="5021" spans="4:16" x14ac:dyDescent="0.25">
      <c r="D5021" s="2"/>
      <c r="E5021" s="310"/>
      <c r="G5021" s="2"/>
      <c r="H5021" s="310"/>
      <c r="I5021" s="2"/>
      <c r="O5021" s="2"/>
      <c r="P5021" s="2"/>
    </row>
    <row r="5022" spans="4:16" x14ac:dyDescent="0.25">
      <c r="D5022" s="2"/>
      <c r="E5022" s="310"/>
      <c r="G5022" s="2"/>
      <c r="H5022" s="310"/>
      <c r="I5022" s="2"/>
      <c r="O5022" s="2"/>
      <c r="P5022" s="2"/>
    </row>
    <row r="5023" spans="4:16" x14ac:dyDescent="0.25">
      <c r="D5023" s="2"/>
      <c r="E5023" s="310"/>
      <c r="G5023" s="2"/>
      <c r="H5023" s="310"/>
      <c r="I5023" s="2"/>
      <c r="O5023" s="2"/>
      <c r="P5023" s="2"/>
    </row>
    <row r="5024" spans="4:16" x14ac:dyDescent="0.25">
      <c r="D5024" s="2"/>
      <c r="E5024" s="310"/>
      <c r="G5024" s="2"/>
      <c r="H5024" s="310"/>
      <c r="I5024" s="2"/>
      <c r="O5024" s="2"/>
      <c r="P5024" s="2"/>
    </row>
    <row r="5025" spans="4:16" x14ac:dyDescent="0.25">
      <c r="D5025" s="2"/>
      <c r="E5025" s="310"/>
      <c r="G5025" s="2"/>
      <c r="H5025" s="310"/>
      <c r="I5025" s="2"/>
      <c r="O5025" s="2"/>
      <c r="P5025" s="2"/>
    </row>
    <row r="5026" spans="4:16" x14ac:dyDescent="0.25">
      <c r="D5026" s="2"/>
      <c r="E5026" s="310"/>
      <c r="G5026" s="2"/>
      <c r="H5026" s="310"/>
      <c r="I5026" s="2"/>
      <c r="O5026" s="2"/>
      <c r="P5026" s="2"/>
    </row>
    <row r="5027" spans="4:16" x14ac:dyDescent="0.25">
      <c r="D5027" s="2"/>
      <c r="E5027" s="310"/>
      <c r="G5027" s="2"/>
      <c r="H5027" s="310"/>
      <c r="I5027" s="2"/>
      <c r="O5027" s="2"/>
      <c r="P5027" s="2"/>
    </row>
    <row r="5028" spans="4:16" x14ac:dyDescent="0.25">
      <c r="D5028" s="2"/>
      <c r="E5028" s="310"/>
      <c r="G5028" s="2"/>
      <c r="H5028" s="310"/>
      <c r="I5028" s="2"/>
      <c r="O5028" s="2"/>
      <c r="P5028" s="2"/>
    </row>
    <row r="5029" spans="4:16" x14ac:dyDescent="0.25">
      <c r="D5029" s="2"/>
      <c r="E5029" s="310"/>
      <c r="G5029" s="2"/>
      <c r="H5029" s="310"/>
      <c r="I5029" s="2"/>
      <c r="O5029" s="2"/>
      <c r="P5029" s="2"/>
    </row>
    <row r="5030" spans="4:16" x14ac:dyDescent="0.25">
      <c r="D5030" s="2"/>
      <c r="E5030" s="310"/>
      <c r="G5030" s="2"/>
      <c r="H5030" s="310"/>
      <c r="I5030" s="2"/>
      <c r="O5030" s="2"/>
      <c r="P5030" s="2"/>
    </row>
    <row r="5031" spans="4:16" x14ac:dyDescent="0.25">
      <c r="D5031" s="2"/>
      <c r="E5031" s="310"/>
      <c r="G5031" s="2"/>
      <c r="H5031" s="310"/>
      <c r="I5031" s="2"/>
      <c r="O5031" s="2"/>
      <c r="P5031" s="2"/>
    </row>
    <row r="5032" spans="4:16" x14ac:dyDescent="0.25">
      <c r="D5032" s="2"/>
      <c r="E5032" s="310"/>
      <c r="G5032" s="2"/>
      <c r="H5032" s="310"/>
      <c r="I5032" s="2"/>
      <c r="O5032" s="2"/>
      <c r="P5032" s="2"/>
    </row>
    <row r="5033" spans="4:16" x14ac:dyDescent="0.25">
      <c r="D5033" s="2"/>
      <c r="E5033" s="310"/>
      <c r="G5033" s="2"/>
      <c r="H5033" s="310"/>
      <c r="I5033" s="2"/>
      <c r="O5033" s="2"/>
      <c r="P5033" s="2"/>
    </row>
    <row r="5034" spans="4:16" x14ac:dyDescent="0.25">
      <c r="D5034" s="2"/>
      <c r="E5034" s="310"/>
      <c r="G5034" s="2"/>
      <c r="H5034" s="310"/>
      <c r="I5034" s="2"/>
      <c r="O5034" s="2"/>
      <c r="P5034" s="2"/>
    </row>
    <row r="5035" spans="4:16" x14ac:dyDescent="0.25">
      <c r="D5035" s="2"/>
      <c r="E5035" s="310"/>
      <c r="G5035" s="2"/>
      <c r="H5035" s="310"/>
      <c r="I5035" s="2"/>
      <c r="O5035" s="2"/>
      <c r="P5035" s="2"/>
    </row>
    <row r="5036" spans="4:16" x14ac:dyDescent="0.25">
      <c r="D5036" s="2"/>
      <c r="E5036" s="310"/>
      <c r="G5036" s="2"/>
      <c r="H5036" s="310"/>
      <c r="I5036" s="2"/>
      <c r="O5036" s="2"/>
      <c r="P5036" s="2"/>
    </row>
    <row r="5037" spans="4:16" x14ac:dyDescent="0.25">
      <c r="D5037" s="2"/>
      <c r="E5037" s="310"/>
      <c r="G5037" s="2"/>
      <c r="H5037" s="310"/>
      <c r="I5037" s="2"/>
      <c r="O5037" s="2"/>
      <c r="P5037" s="2"/>
    </row>
    <row r="5038" spans="4:16" x14ac:dyDescent="0.25">
      <c r="D5038" s="2"/>
      <c r="E5038" s="310"/>
      <c r="G5038" s="2"/>
      <c r="H5038" s="310"/>
      <c r="I5038" s="2"/>
      <c r="O5038" s="2"/>
      <c r="P5038" s="2"/>
    </row>
    <row r="5039" spans="4:16" x14ac:dyDescent="0.25">
      <c r="D5039" s="2"/>
      <c r="E5039" s="310"/>
      <c r="G5039" s="2"/>
      <c r="H5039" s="310"/>
      <c r="I5039" s="2"/>
      <c r="O5039" s="2"/>
      <c r="P5039" s="2"/>
    </row>
    <row r="5040" spans="4:16" x14ac:dyDescent="0.25">
      <c r="D5040" s="2"/>
      <c r="E5040" s="310"/>
      <c r="G5040" s="2"/>
      <c r="H5040" s="310"/>
      <c r="I5040" s="2"/>
      <c r="O5040" s="2"/>
      <c r="P5040" s="2"/>
    </row>
    <row r="5041" spans="4:16" x14ac:dyDescent="0.25">
      <c r="D5041" s="2"/>
      <c r="E5041" s="310"/>
      <c r="G5041" s="2"/>
      <c r="H5041" s="310"/>
      <c r="I5041" s="2"/>
      <c r="O5041" s="2"/>
      <c r="P5041" s="2"/>
    </row>
    <row r="5042" spans="4:16" x14ac:dyDescent="0.25">
      <c r="D5042" s="2"/>
      <c r="E5042" s="310"/>
      <c r="G5042" s="2"/>
      <c r="H5042" s="310"/>
      <c r="I5042" s="2"/>
      <c r="O5042" s="2"/>
      <c r="P5042" s="2"/>
    </row>
    <row r="5043" spans="4:16" x14ac:dyDescent="0.25">
      <c r="D5043" s="2"/>
      <c r="E5043" s="310"/>
      <c r="G5043" s="2"/>
      <c r="H5043" s="310"/>
      <c r="I5043" s="2"/>
      <c r="O5043" s="2"/>
      <c r="P5043" s="2"/>
    </row>
    <row r="5044" spans="4:16" x14ac:dyDescent="0.25">
      <c r="D5044" s="2"/>
      <c r="E5044" s="310"/>
      <c r="G5044" s="2"/>
      <c r="H5044" s="310"/>
      <c r="I5044" s="2"/>
      <c r="O5044" s="2"/>
      <c r="P5044" s="2"/>
    </row>
    <row r="5045" spans="4:16" x14ac:dyDescent="0.25">
      <c r="D5045" s="2"/>
      <c r="E5045" s="310"/>
      <c r="G5045" s="2"/>
      <c r="H5045" s="310"/>
      <c r="I5045" s="2"/>
      <c r="O5045" s="2"/>
      <c r="P5045" s="2"/>
    </row>
    <row r="5046" spans="4:16" x14ac:dyDescent="0.25">
      <c r="D5046" s="2"/>
      <c r="E5046" s="310"/>
      <c r="G5046" s="2"/>
      <c r="H5046" s="310"/>
      <c r="I5046" s="2"/>
      <c r="O5046" s="2"/>
      <c r="P5046" s="2"/>
    </row>
    <row r="5047" spans="4:16" x14ac:dyDescent="0.25">
      <c r="D5047" s="2"/>
      <c r="E5047" s="310"/>
      <c r="G5047" s="2"/>
      <c r="H5047" s="310"/>
      <c r="I5047" s="2"/>
      <c r="O5047" s="2"/>
      <c r="P5047" s="2"/>
    </row>
    <row r="5048" spans="4:16" x14ac:dyDescent="0.25">
      <c r="D5048" s="2"/>
      <c r="E5048" s="310"/>
      <c r="G5048" s="2"/>
      <c r="H5048" s="310"/>
      <c r="I5048" s="2"/>
      <c r="O5048" s="2"/>
      <c r="P5048" s="2"/>
    </row>
    <row r="5049" spans="4:16" x14ac:dyDescent="0.25">
      <c r="D5049" s="2"/>
      <c r="E5049" s="310"/>
      <c r="G5049" s="2"/>
      <c r="H5049" s="310"/>
      <c r="I5049" s="2"/>
      <c r="O5049" s="2"/>
      <c r="P5049" s="2"/>
    </row>
    <row r="5050" spans="4:16" x14ac:dyDescent="0.25">
      <c r="D5050" s="2"/>
      <c r="E5050" s="310"/>
      <c r="G5050" s="2"/>
      <c r="H5050" s="310"/>
      <c r="I5050" s="2"/>
      <c r="O5050" s="2"/>
      <c r="P5050" s="2"/>
    </row>
    <row r="5051" spans="4:16" x14ac:dyDescent="0.25">
      <c r="D5051" s="2"/>
      <c r="E5051" s="310"/>
      <c r="G5051" s="2"/>
      <c r="H5051" s="310"/>
      <c r="I5051" s="2"/>
      <c r="O5051" s="2"/>
      <c r="P5051" s="2"/>
    </row>
    <row r="5052" spans="4:16" x14ac:dyDescent="0.25">
      <c r="D5052" s="2"/>
      <c r="E5052" s="310"/>
      <c r="G5052" s="2"/>
      <c r="H5052" s="310"/>
      <c r="I5052" s="2"/>
      <c r="O5052" s="2"/>
      <c r="P5052" s="2"/>
    </row>
    <row r="5053" spans="4:16" x14ac:dyDescent="0.25">
      <c r="D5053" s="2"/>
      <c r="E5053" s="310"/>
      <c r="G5053" s="2"/>
      <c r="H5053" s="310"/>
      <c r="I5053" s="2"/>
      <c r="O5053" s="2"/>
      <c r="P5053" s="2"/>
    </row>
    <row r="5054" spans="4:16" x14ac:dyDescent="0.25">
      <c r="D5054" s="2"/>
      <c r="E5054" s="310"/>
      <c r="G5054" s="2"/>
      <c r="H5054" s="310"/>
      <c r="I5054" s="2"/>
      <c r="O5054" s="2"/>
      <c r="P5054" s="2"/>
    </row>
    <row r="5055" spans="4:16" x14ac:dyDescent="0.25">
      <c r="D5055" s="2"/>
      <c r="E5055" s="310"/>
      <c r="G5055" s="2"/>
      <c r="H5055" s="310"/>
      <c r="I5055" s="2"/>
      <c r="O5055" s="2"/>
      <c r="P5055" s="2"/>
    </row>
    <row r="5056" spans="4:16" x14ac:dyDescent="0.25">
      <c r="D5056" s="2"/>
      <c r="E5056" s="310"/>
      <c r="G5056" s="2"/>
      <c r="H5056" s="310"/>
      <c r="I5056" s="2"/>
      <c r="O5056" s="2"/>
      <c r="P5056" s="2"/>
    </row>
    <row r="5057" spans="4:16" x14ac:dyDescent="0.25">
      <c r="D5057" s="2"/>
      <c r="E5057" s="310"/>
      <c r="G5057" s="2"/>
      <c r="H5057" s="310"/>
      <c r="I5057" s="2"/>
      <c r="O5057" s="2"/>
      <c r="P5057" s="2"/>
    </row>
    <row r="5058" spans="4:16" x14ac:dyDescent="0.25">
      <c r="D5058" s="2"/>
      <c r="E5058" s="310"/>
      <c r="G5058" s="2"/>
      <c r="H5058" s="310"/>
      <c r="I5058" s="2"/>
      <c r="O5058" s="2"/>
      <c r="P5058" s="2"/>
    </row>
    <row r="5059" spans="4:16" x14ac:dyDescent="0.25">
      <c r="D5059" s="2"/>
      <c r="E5059" s="310"/>
      <c r="G5059" s="2"/>
      <c r="H5059" s="310"/>
      <c r="I5059" s="2"/>
      <c r="O5059" s="2"/>
      <c r="P5059" s="2"/>
    </row>
    <row r="5060" spans="4:16" x14ac:dyDescent="0.25">
      <c r="D5060" s="2"/>
      <c r="E5060" s="310"/>
      <c r="G5060" s="2"/>
      <c r="H5060" s="310"/>
      <c r="I5060" s="2"/>
      <c r="O5060" s="2"/>
      <c r="P5060" s="2"/>
    </row>
    <row r="5061" spans="4:16" x14ac:dyDescent="0.25">
      <c r="D5061" s="2"/>
      <c r="E5061" s="310"/>
      <c r="G5061" s="2"/>
      <c r="H5061" s="310"/>
      <c r="I5061" s="2"/>
      <c r="O5061" s="2"/>
      <c r="P5061" s="2"/>
    </row>
    <row r="5062" spans="4:16" x14ac:dyDescent="0.25">
      <c r="D5062" s="2"/>
      <c r="E5062" s="310"/>
      <c r="G5062" s="2"/>
      <c r="H5062" s="310"/>
      <c r="I5062" s="2"/>
      <c r="O5062" s="2"/>
      <c r="P5062" s="2"/>
    </row>
    <row r="5063" spans="4:16" x14ac:dyDescent="0.25">
      <c r="D5063" s="2"/>
      <c r="E5063" s="310"/>
      <c r="G5063" s="2"/>
      <c r="H5063" s="310"/>
      <c r="I5063" s="2"/>
      <c r="O5063" s="2"/>
      <c r="P5063" s="2"/>
    </row>
    <row r="5064" spans="4:16" x14ac:dyDescent="0.25">
      <c r="D5064" s="2"/>
      <c r="E5064" s="310"/>
      <c r="G5064" s="2"/>
      <c r="H5064" s="310"/>
      <c r="I5064" s="2"/>
      <c r="O5064" s="2"/>
      <c r="P5064" s="2"/>
    </row>
    <row r="5065" spans="4:16" x14ac:dyDescent="0.25">
      <c r="D5065" s="2"/>
      <c r="E5065" s="310"/>
      <c r="G5065" s="2"/>
      <c r="H5065" s="310"/>
      <c r="I5065" s="2"/>
      <c r="O5065" s="2"/>
      <c r="P5065" s="2"/>
    </row>
    <row r="5066" spans="4:16" x14ac:dyDescent="0.25">
      <c r="D5066" s="2"/>
      <c r="E5066" s="310"/>
      <c r="G5066" s="2"/>
      <c r="H5066" s="310"/>
      <c r="I5066" s="2"/>
      <c r="O5066" s="2"/>
      <c r="P5066" s="2"/>
    </row>
    <row r="5067" spans="4:16" x14ac:dyDescent="0.25">
      <c r="D5067" s="2"/>
      <c r="E5067" s="310"/>
      <c r="G5067" s="2"/>
      <c r="H5067" s="310"/>
      <c r="I5067" s="2"/>
      <c r="O5067" s="2"/>
      <c r="P5067" s="2"/>
    </row>
    <row r="5068" spans="4:16" x14ac:dyDescent="0.25">
      <c r="D5068" s="2"/>
      <c r="E5068" s="310"/>
      <c r="G5068" s="2"/>
      <c r="H5068" s="310"/>
      <c r="I5068" s="2"/>
      <c r="O5068" s="2"/>
      <c r="P5068" s="2"/>
    </row>
    <row r="5069" spans="4:16" x14ac:dyDescent="0.25">
      <c r="D5069" s="2"/>
      <c r="E5069" s="310"/>
      <c r="G5069" s="2"/>
      <c r="H5069" s="310"/>
      <c r="I5069" s="2"/>
      <c r="O5069" s="2"/>
      <c r="P5069" s="2"/>
    </row>
    <row r="5070" spans="4:16" x14ac:dyDescent="0.25">
      <c r="D5070" s="2"/>
      <c r="E5070" s="310"/>
      <c r="G5070" s="2"/>
      <c r="H5070" s="310"/>
      <c r="I5070" s="2"/>
      <c r="O5070" s="2"/>
      <c r="P5070" s="2"/>
    </row>
    <row r="5071" spans="4:16" x14ac:dyDescent="0.25">
      <c r="D5071" s="2"/>
      <c r="E5071" s="310"/>
      <c r="G5071" s="2"/>
      <c r="H5071" s="310"/>
      <c r="I5071" s="2"/>
      <c r="O5071" s="2"/>
      <c r="P5071" s="2"/>
    </row>
    <row r="5072" spans="4:16" x14ac:dyDescent="0.25">
      <c r="D5072" s="2"/>
      <c r="E5072" s="310"/>
      <c r="G5072" s="2"/>
      <c r="H5072" s="310"/>
      <c r="I5072" s="2"/>
      <c r="O5072" s="2"/>
      <c r="P5072" s="2"/>
    </row>
    <row r="5073" spans="4:16" x14ac:dyDescent="0.25">
      <c r="D5073" s="2"/>
      <c r="E5073" s="310"/>
      <c r="G5073" s="2"/>
      <c r="H5073" s="310"/>
      <c r="I5073" s="2"/>
      <c r="O5073" s="2"/>
      <c r="P5073" s="2"/>
    </row>
    <row r="5074" spans="4:16" x14ac:dyDescent="0.25">
      <c r="D5074" s="2"/>
      <c r="E5074" s="310"/>
      <c r="G5074" s="2"/>
      <c r="H5074" s="310"/>
      <c r="I5074" s="2"/>
      <c r="O5074" s="2"/>
      <c r="P5074" s="2"/>
    </row>
    <row r="5075" spans="4:16" x14ac:dyDescent="0.25">
      <c r="D5075" s="2"/>
      <c r="E5075" s="310"/>
      <c r="G5075" s="2"/>
      <c r="H5075" s="310"/>
      <c r="I5075" s="2"/>
      <c r="O5075" s="2"/>
      <c r="P5075" s="2"/>
    </row>
    <row r="5076" spans="4:16" x14ac:dyDescent="0.25">
      <c r="D5076" s="2"/>
      <c r="E5076" s="310"/>
      <c r="G5076" s="2"/>
      <c r="H5076" s="310"/>
      <c r="I5076" s="2"/>
      <c r="O5076" s="2"/>
      <c r="P5076" s="2"/>
    </row>
    <row r="5077" spans="4:16" x14ac:dyDescent="0.25">
      <c r="D5077" s="2"/>
      <c r="E5077" s="310"/>
      <c r="G5077" s="2"/>
      <c r="H5077" s="310"/>
      <c r="I5077" s="2"/>
      <c r="O5077" s="2"/>
      <c r="P5077" s="2"/>
    </row>
    <row r="5078" spans="4:16" x14ac:dyDescent="0.25">
      <c r="D5078" s="2"/>
      <c r="E5078" s="310"/>
      <c r="G5078" s="2"/>
      <c r="H5078" s="310"/>
      <c r="I5078" s="2"/>
      <c r="O5078" s="2"/>
      <c r="P5078" s="2"/>
    </row>
    <row r="5079" spans="4:16" x14ac:dyDescent="0.25">
      <c r="D5079" s="2"/>
      <c r="E5079" s="310"/>
      <c r="G5079" s="2"/>
      <c r="H5079" s="310"/>
      <c r="I5079" s="2"/>
      <c r="O5079" s="2"/>
      <c r="P5079" s="2"/>
    </row>
    <row r="5080" spans="4:16" x14ac:dyDescent="0.25">
      <c r="D5080" s="2"/>
      <c r="E5080" s="310"/>
      <c r="G5080" s="2"/>
      <c r="H5080" s="310"/>
      <c r="I5080" s="2"/>
      <c r="O5080" s="2"/>
      <c r="P5080" s="2"/>
    </row>
    <row r="5081" spans="4:16" x14ac:dyDescent="0.25">
      <c r="D5081" s="2"/>
      <c r="E5081" s="310"/>
      <c r="G5081" s="2"/>
      <c r="H5081" s="310"/>
      <c r="I5081" s="2"/>
      <c r="O5081" s="2"/>
      <c r="P5081" s="2"/>
    </row>
    <row r="5082" spans="4:16" x14ac:dyDescent="0.25">
      <c r="D5082" s="2"/>
      <c r="E5082" s="310"/>
      <c r="G5082" s="2"/>
      <c r="H5082" s="310"/>
      <c r="I5082" s="2"/>
      <c r="O5082" s="2"/>
      <c r="P5082" s="2"/>
    </row>
    <row r="5083" spans="4:16" x14ac:dyDescent="0.25">
      <c r="D5083" s="2"/>
      <c r="E5083" s="310"/>
      <c r="G5083" s="2"/>
      <c r="H5083" s="310"/>
      <c r="I5083" s="2"/>
      <c r="O5083" s="2"/>
      <c r="P5083" s="2"/>
    </row>
    <row r="5084" spans="4:16" x14ac:dyDescent="0.25">
      <c r="D5084" s="2"/>
      <c r="E5084" s="310"/>
      <c r="G5084" s="2"/>
      <c r="H5084" s="310"/>
      <c r="I5084" s="2"/>
      <c r="O5084" s="2"/>
      <c r="P5084" s="2"/>
    </row>
    <row r="5085" spans="4:16" x14ac:dyDescent="0.25">
      <c r="D5085" s="2"/>
      <c r="E5085" s="310"/>
      <c r="G5085" s="2"/>
      <c r="H5085" s="310"/>
      <c r="I5085" s="2"/>
      <c r="O5085" s="2"/>
      <c r="P5085" s="2"/>
    </row>
    <row r="5086" spans="4:16" x14ac:dyDescent="0.25">
      <c r="D5086" s="2"/>
      <c r="E5086" s="310"/>
      <c r="G5086" s="2"/>
      <c r="H5086" s="310"/>
      <c r="I5086" s="2"/>
      <c r="O5086" s="2"/>
      <c r="P5086" s="2"/>
    </row>
    <row r="5087" spans="4:16" x14ac:dyDescent="0.25">
      <c r="D5087" s="2"/>
      <c r="E5087" s="310"/>
      <c r="G5087" s="2"/>
      <c r="H5087" s="310"/>
      <c r="I5087" s="2"/>
      <c r="O5087" s="2"/>
      <c r="P5087" s="2"/>
    </row>
    <row r="5088" spans="4:16" x14ac:dyDescent="0.25">
      <c r="D5088" s="2"/>
      <c r="E5088" s="310"/>
      <c r="G5088" s="2"/>
      <c r="H5088" s="310"/>
      <c r="I5088" s="2"/>
      <c r="O5088" s="2"/>
      <c r="P5088" s="2"/>
    </row>
    <row r="5089" spans="4:16" x14ac:dyDescent="0.25">
      <c r="D5089" s="2"/>
      <c r="E5089" s="310"/>
      <c r="G5089" s="2"/>
      <c r="H5089" s="310"/>
      <c r="I5089" s="2"/>
      <c r="O5089" s="2"/>
      <c r="P5089" s="2"/>
    </row>
    <row r="5090" spans="4:16" x14ac:dyDescent="0.25">
      <c r="D5090" s="2"/>
      <c r="E5090" s="310"/>
      <c r="G5090" s="2"/>
      <c r="H5090" s="310"/>
      <c r="I5090" s="2"/>
      <c r="O5090" s="2"/>
      <c r="P5090" s="2"/>
    </row>
    <row r="5091" spans="4:16" x14ac:dyDescent="0.25">
      <c r="D5091" s="2"/>
      <c r="E5091" s="310"/>
      <c r="G5091" s="2"/>
      <c r="H5091" s="310"/>
      <c r="I5091" s="2"/>
      <c r="O5091" s="2"/>
      <c r="P5091" s="2"/>
    </row>
    <row r="5092" spans="4:16" x14ac:dyDescent="0.25">
      <c r="D5092" s="2"/>
      <c r="E5092" s="310"/>
      <c r="G5092" s="2"/>
      <c r="H5092" s="310"/>
      <c r="I5092" s="2"/>
      <c r="O5092" s="2"/>
      <c r="P5092" s="2"/>
    </row>
    <row r="5093" spans="4:16" x14ac:dyDescent="0.25">
      <c r="D5093" s="2"/>
      <c r="E5093" s="310"/>
      <c r="G5093" s="2"/>
      <c r="H5093" s="310"/>
      <c r="I5093" s="2"/>
      <c r="O5093" s="2"/>
      <c r="P5093" s="2"/>
    </row>
    <row r="5094" spans="4:16" x14ac:dyDescent="0.25">
      <c r="D5094" s="2"/>
      <c r="E5094" s="310"/>
      <c r="G5094" s="2"/>
      <c r="H5094" s="310"/>
      <c r="I5094" s="2"/>
      <c r="O5094" s="2"/>
      <c r="P5094" s="2"/>
    </row>
    <row r="5095" spans="4:16" x14ac:dyDescent="0.25">
      <c r="D5095" s="2"/>
      <c r="E5095" s="310"/>
      <c r="G5095" s="2"/>
      <c r="H5095" s="310"/>
      <c r="I5095" s="2"/>
      <c r="O5095" s="2"/>
      <c r="P5095" s="2"/>
    </row>
    <row r="5096" spans="4:16" x14ac:dyDescent="0.25">
      <c r="D5096" s="2"/>
      <c r="E5096" s="310"/>
      <c r="G5096" s="2"/>
      <c r="H5096" s="310"/>
      <c r="I5096" s="2"/>
      <c r="O5096" s="2"/>
      <c r="P5096" s="2"/>
    </row>
    <row r="5097" spans="4:16" x14ac:dyDescent="0.25">
      <c r="D5097" s="2"/>
      <c r="E5097" s="310"/>
      <c r="G5097" s="2"/>
      <c r="H5097" s="310"/>
      <c r="I5097" s="2"/>
      <c r="O5097" s="2"/>
      <c r="P5097" s="2"/>
    </row>
    <row r="5098" spans="4:16" x14ac:dyDescent="0.25">
      <c r="D5098" s="2"/>
      <c r="E5098" s="310"/>
      <c r="G5098" s="2"/>
      <c r="H5098" s="310"/>
      <c r="I5098" s="2"/>
      <c r="O5098" s="2"/>
      <c r="P5098" s="2"/>
    </row>
    <row r="5099" spans="4:16" x14ac:dyDescent="0.25">
      <c r="D5099" s="2"/>
      <c r="E5099" s="310"/>
      <c r="G5099" s="2"/>
      <c r="H5099" s="310"/>
      <c r="I5099" s="2"/>
      <c r="O5099" s="2"/>
      <c r="P5099" s="2"/>
    </row>
    <row r="5100" spans="4:16" x14ac:dyDescent="0.25">
      <c r="D5100" s="2"/>
      <c r="E5100" s="310"/>
      <c r="G5100" s="2"/>
      <c r="H5100" s="310"/>
      <c r="I5100" s="2"/>
      <c r="O5100" s="2"/>
      <c r="P5100" s="2"/>
    </row>
    <row r="5101" spans="4:16" x14ac:dyDescent="0.25">
      <c r="D5101" s="2"/>
      <c r="E5101" s="310"/>
      <c r="G5101" s="2"/>
      <c r="H5101" s="310"/>
      <c r="I5101" s="2"/>
      <c r="O5101" s="2"/>
      <c r="P5101" s="2"/>
    </row>
    <row r="5102" spans="4:16" x14ac:dyDescent="0.25">
      <c r="D5102" s="2"/>
      <c r="E5102" s="310"/>
      <c r="G5102" s="2"/>
      <c r="H5102" s="310"/>
      <c r="I5102" s="2"/>
      <c r="O5102" s="2"/>
      <c r="P5102" s="2"/>
    </row>
    <row r="5103" spans="4:16" x14ac:dyDescent="0.25">
      <c r="D5103" s="2"/>
      <c r="E5103" s="310"/>
      <c r="G5103" s="2"/>
      <c r="H5103" s="310"/>
      <c r="I5103" s="2"/>
      <c r="O5103" s="2"/>
      <c r="P5103" s="2"/>
    </row>
    <row r="5104" spans="4:16" x14ac:dyDescent="0.25">
      <c r="D5104" s="2"/>
      <c r="E5104" s="310"/>
      <c r="G5104" s="2"/>
      <c r="H5104" s="310"/>
      <c r="I5104" s="2"/>
      <c r="O5104" s="2"/>
      <c r="P5104" s="2"/>
    </row>
    <row r="5105" spans="4:16" x14ac:dyDescent="0.25">
      <c r="D5105" s="2"/>
      <c r="E5105" s="310"/>
      <c r="G5105" s="2"/>
      <c r="H5105" s="310"/>
      <c r="I5105" s="2"/>
      <c r="O5105" s="2"/>
      <c r="P5105" s="2"/>
    </row>
    <row r="5106" spans="4:16" x14ac:dyDescent="0.25">
      <c r="D5106" s="2"/>
      <c r="E5106" s="310"/>
      <c r="G5106" s="2"/>
      <c r="H5106" s="310"/>
      <c r="I5106" s="2"/>
      <c r="O5106" s="2"/>
      <c r="P5106" s="2"/>
    </row>
    <row r="5107" spans="4:16" x14ac:dyDescent="0.25">
      <c r="D5107" s="2"/>
      <c r="E5107" s="310"/>
      <c r="G5107" s="2"/>
      <c r="H5107" s="310"/>
      <c r="I5107" s="2"/>
      <c r="O5107" s="2"/>
      <c r="P5107" s="2"/>
    </row>
    <row r="5108" spans="4:16" x14ac:dyDescent="0.25">
      <c r="D5108" s="2"/>
      <c r="E5108" s="310"/>
      <c r="G5108" s="2"/>
      <c r="H5108" s="310"/>
      <c r="I5108" s="2"/>
      <c r="O5108" s="2"/>
      <c r="P5108" s="2"/>
    </row>
    <row r="5109" spans="4:16" x14ac:dyDescent="0.25">
      <c r="D5109" s="2"/>
      <c r="E5109" s="310"/>
      <c r="G5109" s="2"/>
      <c r="H5109" s="310"/>
      <c r="I5109" s="2"/>
      <c r="O5109" s="2"/>
      <c r="P5109" s="2"/>
    </row>
    <row r="5110" spans="4:16" x14ac:dyDescent="0.25">
      <c r="D5110" s="2"/>
      <c r="E5110" s="310"/>
      <c r="G5110" s="2"/>
      <c r="H5110" s="310"/>
      <c r="I5110" s="2"/>
      <c r="O5110" s="2"/>
      <c r="P5110" s="2"/>
    </row>
    <row r="5111" spans="4:16" x14ac:dyDescent="0.25">
      <c r="D5111" s="2"/>
      <c r="E5111" s="310"/>
      <c r="G5111" s="2"/>
      <c r="H5111" s="310"/>
      <c r="I5111" s="2"/>
      <c r="O5111" s="2"/>
      <c r="P5111" s="2"/>
    </row>
    <row r="5112" spans="4:16" x14ac:dyDescent="0.25">
      <c r="D5112" s="2"/>
      <c r="E5112" s="310"/>
      <c r="G5112" s="2"/>
      <c r="H5112" s="310"/>
      <c r="I5112" s="2"/>
      <c r="O5112" s="2"/>
      <c r="P5112" s="2"/>
    </row>
    <row r="5113" spans="4:16" x14ac:dyDescent="0.25">
      <c r="D5113" s="2"/>
      <c r="E5113" s="310"/>
      <c r="G5113" s="2"/>
      <c r="H5113" s="310"/>
      <c r="I5113" s="2"/>
      <c r="O5113" s="2"/>
      <c r="P5113" s="2"/>
    </row>
    <row r="5114" spans="4:16" x14ac:dyDescent="0.25">
      <c r="D5114" s="2"/>
      <c r="E5114" s="310"/>
      <c r="G5114" s="2"/>
      <c r="H5114" s="310"/>
      <c r="I5114" s="2"/>
      <c r="O5114" s="2"/>
      <c r="P5114" s="2"/>
    </row>
    <row r="5115" spans="4:16" x14ac:dyDescent="0.25">
      <c r="D5115" s="2"/>
      <c r="E5115" s="310"/>
      <c r="G5115" s="2"/>
      <c r="H5115" s="310"/>
      <c r="I5115" s="2"/>
      <c r="O5115" s="2"/>
      <c r="P5115" s="2"/>
    </row>
    <row r="5116" spans="4:16" x14ac:dyDescent="0.25">
      <c r="D5116" s="2"/>
      <c r="E5116" s="310"/>
      <c r="G5116" s="2"/>
      <c r="H5116" s="310"/>
      <c r="I5116" s="2"/>
      <c r="O5116" s="2"/>
      <c r="P5116" s="2"/>
    </row>
    <row r="5117" spans="4:16" x14ac:dyDescent="0.25">
      <c r="D5117" s="2"/>
      <c r="E5117" s="310"/>
      <c r="G5117" s="2"/>
      <c r="H5117" s="310"/>
      <c r="I5117" s="2"/>
      <c r="O5117" s="2"/>
      <c r="P5117" s="2"/>
    </row>
    <row r="5118" spans="4:16" x14ac:dyDescent="0.25">
      <c r="D5118" s="2"/>
      <c r="E5118" s="310"/>
      <c r="G5118" s="2"/>
      <c r="H5118" s="310"/>
      <c r="I5118" s="2"/>
      <c r="O5118" s="2"/>
      <c r="P5118" s="2"/>
    </row>
    <row r="5119" spans="4:16" x14ac:dyDescent="0.25">
      <c r="D5119" s="2"/>
      <c r="E5119" s="310"/>
      <c r="G5119" s="2"/>
      <c r="H5119" s="310"/>
      <c r="I5119" s="2"/>
      <c r="O5119" s="2"/>
      <c r="P5119" s="2"/>
    </row>
    <row r="5120" spans="4:16" x14ac:dyDescent="0.25">
      <c r="D5120" s="2"/>
      <c r="E5120" s="310"/>
      <c r="G5120" s="2"/>
      <c r="H5120" s="310"/>
      <c r="I5120" s="2"/>
      <c r="O5120" s="2"/>
      <c r="P5120" s="2"/>
    </row>
    <row r="5121" spans="4:16" x14ac:dyDescent="0.25">
      <c r="D5121" s="2"/>
      <c r="E5121" s="310"/>
      <c r="G5121" s="2"/>
      <c r="H5121" s="310"/>
      <c r="I5121" s="2"/>
      <c r="O5121" s="2"/>
      <c r="P5121" s="2"/>
    </row>
    <row r="5122" spans="4:16" x14ac:dyDescent="0.25">
      <c r="D5122" s="2"/>
      <c r="E5122" s="310"/>
      <c r="G5122" s="2"/>
      <c r="H5122" s="310"/>
      <c r="I5122" s="2"/>
      <c r="O5122" s="2"/>
      <c r="P5122" s="2"/>
    </row>
    <row r="5123" spans="4:16" x14ac:dyDescent="0.25">
      <c r="D5123" s="2"/>
      <c r="E5123" s="310"/>
      <c r="G5123" s="2"/>
      <c r="H5123" s="310"/>
      <c r="I5123" s="2"/>
      <c r="O5123" s="2"/>
      <c r="P5123" s="2"/>
    </row>
    <row r="5124" spans="4:16" x14ac:dyDescent="0.25">
      <c r="D5124" s="2"/>
      <c r="E5124" s="310"/>
      <c r="G5124" s="2"/>
      <c r="H5124" s="310"/>
      <c r="I5124" s="2"/>
      <c r="O5124" s="2"/>
      <c r="P5124" s="2"/>
    </row>
    <row r="5125" spans="4:16" x14ac:dyDescent="0.25">
      <c r="D5125" s="2"/>
      <c r="E5125" s="310"/>
      <c r="G5125" s="2"/>
      <c r="H5125" s="310"/>
      <c r="I5125" s="2"/>
      <c r="O5125" s="2"/>
      <c r="P5125" s="2"/>
    </row>
    <row r="5126" spans="4:16" x14ac:dyDescent="0.25">
      <c r="D5126" s="2"/>
      <c r="E5126" s="310"/>
      <c r="G5126" s="2"/>
      <c r="H5126" s="310"/>
      <c r="I5126" s="2"/>
      <c r="O5126" s="2"/>
      <c r="P5126" s="2"/>
    </row>
    <row r="5127" spans="4:16" x14ac:dyDescent="0.25">
      <c r="D5127" s="2"/>
      <c r="E5127" s="310"/>
      <c r="G5127" s="2"/>
      <c r="H5127" s="310"/>
      <c r="I5127" s="2"/>
      <c r="O5127" s="2"/>
      <c r="P5127" s="2"/>
    </row>
    <row r="5128" spans="4:16" x14ac:dyDescent="0.25">
      <c r="D5128" s="2"/>
      <c r="E5128" s="310"/>
      <c r="G5128" s="2"/>
      <c r="H5128" s="310"/>
      <c r="I5128" s="2"/>
      <c r="O5128" s="2"/>
      <c r="P5128" s="2"/>
    </row>
    <row r="5129" spans="4:16" x14ac:dyDescent="0.25">
      <c r="D5129" s="2"/>
      <c r="E5129" s="310"/>
      <c r="G5129" s="2"/>
      <c r="H5129" s="310"/>
      <c r="I5129" s="2"/>
      <c r="O5129" s="2"/>
      <c r="P5129" s="2"/>
    </row>
  </sheetData>
  <mergeCells count="20">
    <mergeCell ref="I7:J7"/>
    <mergeCell ref="K7:L7"/>
    <mergeCell ref="I38:J38"/>
    <mergeCell ref="I39:J39"/>
    <mergeCell ref="A50:Q50"/>
    <mergeCell ref="K8:L8"/>
    <mergeCell ref="L38:M38"/>
    <mergeCell ref="L39:M39"/>
    <mergeCell ref="L34:M34"/>
    <mergeCell ref="F34:I34"/>
    <mergeCell ref="O34:P34"/>
    <mergeCell ref="O38:P38"/>
    <mergeCell ref="O39:P39"/>
    <mergeCell ref="I6:L6"/>
    <mergeCell ref="A1:Q1"/>
    <mergeCell ref="A2:Q2"/>
    <mergeCell ref="A3:Q3"/>
    <mergeCell ref="K5:L5"/>
    <mergeCell ref="A5:D5"/>
    <mergeCell ref="M5:N5"/>
  </mergeCells>
  <pageMargins left="0" right="0" top="0" bottom="0" header="0.118110236220472" footer="0.23622047244094499"/>
  <pageSetup scale="65" orientation="portrait" r:id="rId1"/>
  <rowBreaks count="1" manualBreakCount="1">
    <brk id="39" max="16383" man="1"/>
  </rowBreaks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726"/>
  <sheetViews>
    <sheetView zoomScaleNormal="100" workbookViewId="0">
      <pane xSplit="4" ySplit="9" topLeftCell="E37" activePane="bottomRight" state="frozen"/>
      <selection pane="topRight"/>
      <selection pane="bottomLeft"/>
      <selection pane="bottomRight" activeCell="G46" sqref="G46"/>
    </sheetView>
  </sheetViews>
  <sheetFormatPr defaultRowHeight="12.75" x14ac:dyDescent="0.25"/>
  <cols>
    <col min="1" max="1" width="5.42578125" style="2" customWidth="1"/>
    <col min="2" max="2" width="10.7109375" style="2" hidden="1" customWidth="1"/>
    <col min="3" max="3" width="4.7109375" style="2" customWidth="1"/>
    <col min="4" max="4" width="18.7109375" style="3" customWidth="1"/>
    <col min="5" max="5" width="16.28515625" style="3" customWidth="1"/>
    <col min="6" max="6" width="6" style="2" customWidth="1"/>
    <col min="7" max="7" width="9.28515625" style="2" customWidth="1"/>
    <col min="8" max="8" width="14.140625" style="2" customWidth="1"/>
    <col min="9" max="9" width="8" style="58" customWidth="1"/>
    <col min="10" max="10" width="10.7109375" style="2" customWidth="1"/>
    <col min="11" max="11" width="4.5703125" style="2" customWidth="1"/>
    <col min="12" max="12" width="11.85546875" style="2" customWidth="1"/>
    <col min="13" max="13" width="1.42578125" style="269" hidden="1" customWidth="1"/>
    <col min="14" max="14" width="15.28515625" style="2" customWidth="1"/>
    <col min="15" max="15" width="9.85546875" style="2" customWidth="1"/>
    <col min="16" max="16" width="12.140625" style="280" customWidth="1"/>
    <col min="17" max="17" width="15.7109375" style="4" customWidth="1"/>
    <col min="18" max="18" width="10.42578125" style="2" hidden="1" customWidth="1"/>
    <col min="19" max="16384" width="9.140625" style="2"/>
  </cols>
  <sheetData>
    <row r="1" spans="1:60" s="132" customFormat="1" ht="15" customHeight="1" x14ac:dyDescent="0.25">
      <c r="D1" s="3"/>
      <c r="E1" s="3"/>
      <c r="I1" s="58"/>
      <c r="M1" s="269"/>
      <c r="P1" s="280"/>
      <c r="Q1" s="4"/>
    </row>
    <row r="2" spans="1:60" x14ac:dyDescent="0.25">
      <c r="A2" s="498" t="s">
        <v>0</v>
      </c>
      <c r="B2" s="498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8"/>
      <c r="N2" s="498"/>
      <c r="O2" s="498"/>
      <c r="P2" s="498"/>
      <c r="Q2" s="498"/>
      <c r="R2" s="498"/>
    </row>
    <row r="3" spans="1:60" x14ac:dyDescent="0.25">
      <c r="A3" s="499" t="s">
        <v>138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</row>
    <row r="4" spans="1:60" x14ac:dyDescent="0.25">
      <c r="A4" s="5"/>
      <c r="B4" s="5"/>
      <c r="C4" s="5"/>
      <c r="D4" s="6"/>
      <c r="E4" s="6"/>
      <c r="F4" s="5"/>
      <c r="G4" s="5"/>
      <c r="H4" s="5"/>
      <c r="I4" s="56"/>
      <c r="J4" s="5"/>
      <c r="K4" s="5"/>
      <c r="L4" s="5"/>
      <c r="M4" s="270"/>
      <c r="N4" s="5"/>
      <c r="O4" s="5"/>
      <c r="P4" s="281"/>
      <c r="Q4" s="5"/>
      <c r="R4" s="5"/>
    </row>
    <row r="5" spans="1:60" ht="13.5" thickBot="1" x14ac:dyDescent="0.3">
      <c r="A5" s="508" t="s">
        <v>1</v>
      </c>
      <c r="B5" s="508"/>
      <c r="C5" s="508"/>
      <c r="D5" s="6" t="s">
        <v>195</v>
      </c>
      <c r="E5" s="6"/>
      <c r="F5" s="5"/>
      <c r="G5" s="45"/>
      <c r="H5" s="7"/>
      <c r="I5" s="57"/>
      <c r="J5" s="7"/>
      <c r="K5" s="500" t="s">
        <v>2</v>
      </c>
      <c r="L5" s="500"/>
      <c r="M5" s="271"/>
      <c r="N5" s="311" t="s">
        <v>3</v>
      </c>
      <c r="O5" s="183"/>
      <c r="P5" s="193"/>
      <c r="Q5" s="5"/>
      <c r="R5" s="5"/>
    </row>
    <row r="6" spans="1:60" ht="15" customHeight="1" x14ac:dyDescent="0.25">
      <c r="A6" s="87"/>
      <c r="B6" s="74"/>
      <c r="C6" s="74"/>
      <c r="D6" s="75"/>
      <c r="E6" s="322"/>
      <c r="F6" s="74"/>
      <c r="G6" s="74"/>
      <c r="H6" s="74"/>
      <c r="I6" s="516" t="s">
        <v>4</v>
      </c>
      <c r="J6" s="517"/>
      <c r="K6" s="517"/>
      <c r="L6" s="518"/>
      <c r="M6" s="512" t="s">
        <v>56</v>
      </c>
      <c r="N6" s="73" t="s">
        <v>5</v>
      </c>
      <c r="O6" s="312"/>
      <c r="P6" s="316"/>
      <c r="Q6" s="317" t="s">
        <v>5</v>
      </c>
      <c r="R6" s="101" t="s">
        <v>6</v>
      </c>
    </row>
    <row r="7" spans="1:60" ht="15" customHeight="1" x14ac:dyDescent="0.25">
      <c r="A7" s="88" t="s">
        <v>7</v>
      </c>
      <c r="B7" s="77" t="s">
        <v>8</v>
      </c>
      <c r="C7" s="77" t="s">
        <v>9</v>
      </c>
      <c r="D7" s="78" t="s">
        <v>10</v>
      </c>
      <c r="E7" s="78" t="s">
        <v>136</v>
      </c>
      <c r="F7" s="77" t="s">
        <v>11</v>
      </c>
      <c r="G7" s="77" t="s">
        <v>12</v>
      </c>
      <c r="H7" s="77" t="s">
        <v>12</v>
      </c>
      <c r="I7" s="510" t="s">
        <v>13</v>
      </c>
      <c r="J7" s="511"/>
      <c r="K7" s="504"/>
      <c r="L7" s="505"/>
      <c r="M7" s="513"/>
      <c r="N7" s="76" t="s">
        <v>12</v>
      </c>
      <c r="O7" s="314" t="s">
        <v>81</v>
      </c>
      <c r="P7" s="314" t="s">
        <v>137</v>
      </c>
      <c r="Q7" s="318" t="s">
        <v>134</v>
      </c>
      <c r="R7" s="102" t="s">
        <v>16</v>
      </c>
    </row>
    <row r="8" spans="1:60" x14ac:dyDescent="0.25">
      <c r="A8" s="88" t="s">
        <v>17</v>
      </c>
      <c r="B8" s="77" t="s">
        <v>18</v>
      </c>
      <c r="C8" s="77"/>
      <c r="D8" s="78" t="s">
        <v>19</v>
      </c>
      <c r="E8" s="78" t="s">
        <v>20</v>
      </c>
      <c r="F8" s="77" t="s">
        <v>20</v>
      </c>
      <c r="G8" s="77" t="s">
        <v>21</v>
      </c>
      <c r="H8" s="77" t="s">
        <v>22</v>
      </c>
      <c r="I8" s="85" t="s">
        <v>24</v>
      </c>
      <c r="J8" s="86" t="s">
        <v>25</v>
      </c>
      <c r="K8" s="514" t="s">
        <v>5</v>
      </c>
      <c r="L8" s="515"/>
      <c r="M8" s="134" t="s">
        <v>104</v>
      </c>
      <c r="N8" s="79" t="s">
        <v>26</v>
      </c>
      <c r="O8" s="313"/>
      <c r="P8" s="315" t="s">
        <v>134</v>
      </c>
      <c r="Q8" s="319" t="s">
        <v>27</v>
      </c>
      <c r="R8" s="103" t="s">
        <v>28</v>
      </c>
    </row>
    <row r="9" spans="1:60" ht="13.5" thickBot="1" x14ac:dyDescent="0.3">
      <c r="A9" s="137"/>
      <c r="B9" s="80" t="s">
        <v>19</v>
      </c>
      <c r="C9" s="80"/>
      <c r="D9" s="81"/>
      <c r="E9" s="81"/>
      <c r="F9" s="80"/>
      <c r="G9" s="80" t="s">
        <v>29</v>
      </c>
      <c r="H9" s="80" t="s">
        <v>29</v>
      </c>
      <c r="I9" s="83" t="s">
        <v>23</v>
      </c>
      <c r="J9" s="82" t="s">
        <v>29</v>
      </c>
      <c r="K9" s="82" t="s">
        <v>30</v>
      </c>
      <c r="L9" s="82" t="s">
        <v>29</v>
      </c>
      <c r="M9" s="82"/>
      <c r="N9" s="82" t="s">
        <v>29</v>
      </c>
      <c r="O9" s="215"/>
      <c r="P9" s="299"/>
      <c r="Q9" s="104"/>
      <c r="R9" s="104" t="s">
        <v>31</v>
      </c>
      <c r="S9" s="283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</row>
    <row r="10" spans="1:60" s="383" customFormat="1" ht="23.25" customHeight="1" x14ac:dyDescent="0.25">
      <c r="A10" s="466">
        <v>1</v>
      </c>
      <c r="B10" s="467"/>
      <c r="C10" s="467" t="s">
        <v>32</v>
      </c>
      <c r="D10" s="468" t="s">
        <v>108</v>
      </c>
      <c r="E10" s="465">
        <v>41275</v>
      </c>
      <c r="F10" s="467">
        <v>30</v>
      </c>
      <c r="G10" s="460">
        <v>129220</v>
      </c>
      <c r="H10" s="461">
        <f>SUM(G10*F10)</f>
        <v>3876600</v>
      </c>
      <c r="I10" s="469">
        <v>4200</v>
      </c>
      <c r="J10" s="258">
        <f t="shared" ref="J10:J41" si="0">F10*I10</f>
        <v>126000</v>
      </c>
      <c r="K10" s="463">
        <v>12</v>
      </c>
      <c r="L10" s="463">
        <v>33000</v>
      </c>
      <c r="M10" s="463"/>
      <c r="N10" s="258">
        <f>H10+J10+L10</f>
        <v>4035600</v>
      </c>
      <c r="O10" s="463">
        <v>86942</v>
      </c>
      <c r="P10" s="467"/>
      <c r="Q10" s="338">
        <f t="shared" ref="Q10:Q41" si="1">N10-O10</f>
        <v>3948658</v>
      </c>
      <c r="R10" s="46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</row>
    <row r="11" spans="1:60" s="62" customFormat="1" ht="23.25" customHeight="1" x14ac:dyDescent="0.25">
      <c r="A11" s="257">
        <v>1</v>
      </c>
      <c r="B11" s="258"/>
      <c r="C11" s="457" t="s">
        <v>32</v>
      </c>
      <c r="D11" s="458" t="s">
        <v>157</v>
      </c>
      <c r="E11" s="465" t="s">
        <v>158</v>
      </c>
      <c r="F11" s="457">
        <v>30</v>
      </c>
      <c r="G11" s="460">
        <v>129220</v>
      </c>
      <c r="H11" s="461">
        <f>SUM(G11*F11)</f>
        <v>3876600</v>
      </c>
      <c r="I11" s="462">
        <v>3700</v>
      </c>
      <c r="J11" s="258">
        <f t="shared" si="0"/>
        <v>111000</v>
      </c>
      <c r="K11" s="457">
        <v>1</v>
      </c>
      <c r="L11" s="234">
        <v>2500</v>
      </c>
      <c r="M11" s="258"/>
      <c r="N11" s="258">
        <f>H11+J11+L11</f>
        <v>3990100</v>
      </c>
      <c r="O11" s="258">
        <v>165898</v>
      </c>
      <c r="P11" s="231"/>
      <c r="Q11" s="338">
        <f t="shared" si="1"/>
        <v>3824202</v>
      </c>
      <c r="R11" s="94"/>
    </row>
    <row r="12" spans="1:60" s="1" customFormat="1" ht="23.25" customHeight="1" x14ac:dyDescent="0.25">
      <c r="A12" s="257">
        <v>2</v>
      </c>
      <c r="B12" s="306"/>
      <c r="C12" s="457" t="s">
        <v>32</v>
      </c>
      <c r="D12" s="458" t="s">
        <v>69</v>
      </c>
      <c r="E12" s="459">
        <v>42685</v>
      </c>
      <c r="F12" s="457">
        <v>30</v>
      </c>
      <c r="G12" s="460">
        <v>129220</v>
      </c>
      <c r="H12" s="461">
        <f t="shared" ref="H12:H41" si="2">SUM(G12*F12)</f>
        <v>3876600</v>
      </c>
      <c r="I12" s="462">
        <v>4650</v>
      </c>
      <c r="J12" s="258">
        <f t="shared" si="0"/>
        <v>139500</v>
      </c>
      <c r="K12" s="258">
        <v>8</v>
      </c>
      <c r="L12" s="234">
        <v>21000</v>
      </c>
      <c r="M12" s="306"/>
      <c r="N12" s="90">
        <f t="shared" ref="N12:N34" si="3">H12+J12+L12</f>
        <v>4037100</v>
      </c>
      <c r="O12" s="306">
        <v>87173</v>
      </c>
      <c r="P12" s="306"/>
      <c r="Q12" s="338">
        <f t="shared" si="1"/>
        <v>3949927</v>
      </c>
      <c r="R12" s="94"/>
      <c r="S12" s="11"/>
      <c r="T12" s="42"/>
      <c r="U12" s="48"/>
    </row>
    <row r="13" spans="1:60" s="1" customFormat="1" ht="23.25" customHeight="1" x14ac:dyDescent="0.25">
      <c r="A13" s="257">
        <v>3</v>
      </c>
      <c r="B13" s="52"/>
      <c r="C13" s="68" t="s">
        <v>32</v>
      </c>
      <c r="D13" s="69" t="s">
        <v>68</v>
      </c>
      <c r="E13" s="342">
        <v>42685</v>
      </c>
      <c r="F13" s="196">
        <v>30</v>
      </c>
      <c r="G13" s="412">
        <v>129220</v>
      </c>
      <c r="H13" s="197">
        <f t="shared" si="2"/>
        <v>3876600</v>
      </c>
      <c r="I13" s="70">
        <v>5550</v>
      </c>
      <c r="J13" s="90">
        <f t="shared" si="0"/>
        <v>166500</v>
      </c>
      <c r="K13" s="68">
        <v>8</v>
      </c>
      <c r="L13" s="55">
        <v>21000</v>
      </c>
      <c r="M13" s="258"/>
      <c r="N13" s="90">
        <f t="shared" si="3"/>
        <v>4064100</v>
      </c>
      <c r="O13" s="199">
        <v>89079</v>
      </c>
      <c r="P13" s="258"/>
      <c r="Q13" s="338">
        <f t="shared" si="1"/>
        <v>3975021</v>
      </c>
      <c r="R13" s="94"/>
      <c r="S13" s="11"/>
      <c r="T13" s="42"/>
      <c r="U13" s="48"/>
    </row>
    <row r="14" spans="1:60" s="1" customFormat="1" ht="23.25" customHeight="1" x14ac:dyDescent="0.25">
      <c r="A14" s="257">
        <v>4</v>
      </c>
      <c r="B14" s="52"/>
      <c r="C14" s="68" t="s">
        <v>32</v>
      </c>
      <c r="D14" s="69" t="s">
        <v>70</v>
      </c>
      <c r="E14" s="259" t="s">
        <v>146</v>
      </c>
      <c r="F14" s="196">
        <v>30</v>
      </c>
      <c r="G14" s="412">
        <v>129220</v>
      </c>
      <c r="H14" s="197">
        <f t="shared" si="2"/>
        <v>3876600</v>
      </c>
      <c r="I14" s="70">
        <v>3700</v>
      </c>
      <c r="J14" s="90">
        <f t="shared" si="0"/>
        <v>111000</v>
      </c>
      <c r="K14" s="68">
        <v>8</v>
      </c>
      <c r="L14" s="55">
        <v>21000</v>
      </c>
      <c r="M14" s="258"/>
      <c r="N14" s="90">
        <f t="shared" si="3"/>
        <v>4008600</v>
      </c>
      <c r="O14" s="199">
        <v>154945</v>
      </c>
      <c r="P14" s="258"/>
      <c r="Q14" s="338">
        <f t="shared" si="1"/>
        <v>3853655</v>
      </c>
      <c r="R14" s="94"/>
      <c r="S14" s="11"/>
      <c r="T14" s="42"/>
      <c r="U14" s="48"/>
    </row>
    <row r="15" spans="1:60" s="1" customFormat="1" ht="23.25" customHeight="1" x14ac:dyDescent="0.25">
      <c r="A15" s="257">
        <v>5</v>
      </c>
      <c r="B15" s="64"/>
      <c r="C15" s="71" t="s">
        <v>32</v>
      </c>
      <c r="D15" s="146" t="s">
        <v>74</v>
      </c>
      <c r="E15" s="342">
        <v>42773</v>
      </c>
      <c r="F15" s="196">
        <v>30</v>
      </c>
      <c r="G15" s="412">
        <v>129220</v>
      </c>
      <c r="H15" s="197">
        <f t="shared" si="2"/>
        <v>3876600</v>
      </c>
      <c r="I15" s="72">
        <v>5550</v>
      </c>
      <c r="J15" s="90">
        <f t="shared" si="0"/>
        <v>166500</v>
      </c>
      <c r="K15" s="67">
        <v>7</v>
      </c>
      <c r="L15" s="55">
        <v>18000</v>
      </c>
      <c r="M15" s="199"/>
      <c r="N15" s="90">
        <f t="shared" si="3"/>
        <v>4061100</v>
      </c>
      <c r="O15" s="199">
        <v>90405</v>
      </c>
      <c r="P15" s="258"/>
      <c r="Q15" s="338">
        <f t="shared" si="1"/>
        <v>3970695</v>
      </c>
      <c r="R15" s="94"/>
      <c r="S15" s="11"/>
      <c r="T15" s="42"/>
      <c r="U15" s="48"/>
    </row>
    <row r="16" spans="1:60" s="1" customFormat="1" ht="23.25" customHeight="1" x14ac:dyDescent="0.25">
      <c r="A16" s="257">
        <v>6</v>
      </c>
      <c r="B16" s="53"/>
      <c r="C16" s="71" t="s">
        <v>32</v>
      </c>
      <c r="D16" s="131" t="s">
        <v>75</v>
      </c>
      <c r="E16" s="342">
        <v>42954</v>
      </c>
      <c r="F16" s="196">
        <v>30</v>
      </c>
      <c r="G16" s="412">
        <v>129220</v>
      </c>
      <c r="H16" s="197">
        <f t="shared" si="2"/>
        <v>3876600</v>
      </c>
      <c r="I16" s="72">
        <v>4650</v>
      </c>
      <c r="J16" s="90">
        <f t="shared" si="0"/>
        <v>139500</v>
      </c>
      <c r="K16" s="67">
        <v>7</v>
      </c>
      <c r="L16" s="55">
        <v>18000</v>
      </c>
      <c r="M16" s="199"/>
      <c r="N16" s="90">
        <f t="shared" si="3"/>
        <v>4034100</v>
      </c>
      <c r="O16" s="199">
        <v>89922</v>
      </c>
      <c r="P16" s="258"/>
      <c r="Q16" s="338">
        <f t="shared" si="1"/>
        <v>3944178</v>
      </c>
      <c r="R16" s="94"/>
      <c r="S16" s="11"/>
      <c r="T16" s="42"/>
      <c r="U16" s="48"/>
    </row>
    <row r="17" spans="1:21" s="40" customFormat="1" ht="23.25" customHeight="1" x14ac:dyDescent="0.25">
      <c r="A17" s="257">
        <v>7</v>
      </c>
      <c r="B17" s="52"/>
      <c r="C17" s="67" t="s">
        <v>32</v>
      </c>
      <c r="D17" s="152" t="s">
        <v>83</v>
      </c>
      <c r="E17" s="259" t="s">
        <v>147</v>
      </c>
      <c r="F17" s="196">
        <v>30</v>
      </c>
      <c r="G17" s="412">
        <v>129220</v>
      </c>
      <c r="H17" s="197">
        <f t="shared" si="2"/>
        <v>3876600</v>
      </c>
      <c r="I17" s="150">
        <v>4650</v>
      </c>
      <c r="J17" s="90">
        <f t="shared" si="0"/>
        <v>139500</v>
      </c>
      <c r="K17" s="151">
        <v>9</v>
      </c>
      <c r="L17" s="145">
        <v>24000</v>
      </c>
      <c r="M17" s="199"/>
      <c r="N17" s="90">
        <f t="shared" si="3"/>
        <v>4040100</v>
      </c>
      <c r="O17" s="199">
        <v>87934</v>
      </c>
      <c r="P17" s="258"/>
      <c r="Q17" s="338">
        <f t="shared" si="1"/>
        <v>3952166</v>
      </c>
      <c r="R17" s="153"/>
      <c r="S17" s="43"/>
    </row>
    <row r="18" spans="1:21" s="1" customFormat="1" ht="23.25" customHeight="1" x14ac:dyDescent="0.25">
      <c r="A18" s="257">
        <v>8</v>
      </c>
      <c r="B18" s="53"/>
      <c r="C18" s="67" t="s">
        <v>32</v>
      </c>
      <c r="D18" s="147" t="s">
        <v>85</v>
      </c>
      <c r="E18" s="342">
        <v>42743</v>
      </c>
      <c r="F18" s="196">
        <v>30</v>
      </c>
      <c r="G18" s="412">
        <v>129220</v>
      </c>
      <c r="H18" s="197">
        <f t="shared" si="2"/>
        <v>3876600</v>
      </c>
      <c r="I18" s="144">
        <v>5550</v>
      </c>
      <c r="J18" s="90">
        <f t="shared" si="0"/>
        <v>166500</v>
      </c>
      <c r="K18" s="135">
        <v>7</v>
      </c>
      <c r="L18" s="55">
        <v>18000</v>
      </c>
      <c r="M18" s="199"/>
      <c r="N18" s="90">
        <f t="shared" si="3"/>
        <v>4061100</v>
      </c>
      <c r="O18" s="199">
        <v>90995</v>
      </c>
      <c r="P18" s="231"/>
      <c r="Q18" s="338">
        <f t="shared" si="1"/>
        <v>3970105</v>
      </c>
      <c r="R18" s="184"/>
      <c r="S18" s="11"/>
      <c r="T18" s="42"/>
      <c r="U18" s="48"/>
    </row>
    <row r="19" spans="1:21" s="1" customFormat="1" ht="23.25" customHeight="1" x14ac:dyDescent="0.25">
      <c r="A19" s="257">
        <v>9</v>
      </c>
      <c r="B19" s="204"/>
      <c r="C19" s="67" t="s">
        <v>32</v>
      </c>
      <c r="D19" s="207" t="s">
        <v>89</v>
      </c>
      <c r="E19" s="259" t="s">
        <v>148</v>
      </c>
      <c r="F19" s="196">
        <v>30</v>
      </c>
      <c r="G19" s="412">
        <v>129220</v>
      </c>
      <c r="H19" s="197">
        <f t="shared" si="2"/>
        <v>3876600</v>
      </c>
      <c r="I19" s="208">
        <v>4650</v>
      </c>
      <c r="J19" s="90">
        <f t="shared" si="0"/>
        <v>139500</v>
      </c>
      <c r="K19" s="205">
        <v>5</v>
      </c>
      <c r="L19" s="209">
        <v>12500</v>
      </c>
      <c r="M19" s="199"/>
      <c r="N19" s="90">
        <f t="shared" si="3"/>
        <v>4028600</v>
      </c>
      <c r="O19" s="199">
        <v>144280</v>
      </c>
      <c r="P19" s="268"/>
      <c r="Q19" s="338">
        <f t="shared" si="1"/>
        <v>3884320</v>
      </c>
      <c r="R19" s="184"/>
      <c r="S19" s="11"/>
      <c r="T19" s="42"/>
      <c r="U19" s="48"/>
    </row>
    <row r="20" spans="1:21" s="1" customFormat="1" ht="23.25" customHeight="1" x14ac:dyDescent="0.25">
      <c r="A20" s="257">
        <v>10</v>
      </c>
      <c r="B20" s="263"/>
      <c r="C20" s="67" t="s">
        <v>32</v>
      </c>
      <c r="D20" s="200" t="s">
        <v>100</v>
      </c>
      <c r="E20" s="344" t="s">
        <v>149</v>
      </c>
      <c r="F20" s="196">
        <v>30</v>
      </c>
      <c r="G20" s="412">
        <v>129220</v>
      </c>
      <c r="H20" s="197">
        <f t="shared" si="2"/>
        <v>3876600</v>
      </c>
      <c r="I20" s="206">
        <v>5550</v>
      </c>
      <c r="J20" s="90">
        <f t="shared" si="0"/>
        <v>166500</v>
      </c>
      <c r="K20" s="196">
        <v>4</v>
      </c>
      <c r="L20" s="260">
        <v>10000</v>
      </c>
      <c r="M20" s="199"/>
      <c r="N20" s="90">
        <f t="shared" si="3"/>
        <v>4053100</v>
      </c>
      <c r="O20" s="199">
        <v>89327</v>
      </c>
      <c r="P20" s="268"/>
      <c r="Q20" s="338">
        <f t="shared" si="1"/>
        <v>3963773</v>
      </c>
      <c r="R20" s="184"/>
      <c r="S20" s="11"/>
      <c r="T20" s="42"/>
      <c r="U20" s="48"/>
    </row>
    <row r="21" spans="1:21" s="1" customFormat="1" ht="23.25" customHeight="1" x14ac:dyDescent="0.25">
      <c r="A21" s="257">
        <v>11</v>
      </c>
      <c r="B21" s="204"/>
      <c r="C21" s="67" t="s">
        <v>32</v>
      </c>
      <c r="D21" s="207" t="s">
        <v>102</v>
      </c>
      <c r="E21" s="344">
        <v>44112</v>
      </c>
      <c r="F21" s="196">
        <v>30</v>
      </c>
      <c r="G21" s="412">
        <v>129220</v>
      </c>
      <c r="H21" s="197">
        <f t="shared" si="2"/>
        <v>3876600</v>
      </c>
      <c r="I21" s="206">
        <v>4650</v>
      </c>
      <c r="J21" s="90">
        <f t="shared" si="0"/>
        <v>139500</v>
      </c>
      <c r="K21" s="205">
        <v>4</v>
      </c>
      <c r="L21" s="209">
        <v>10000</v>
      </c>
      <c r="M21" s="204"/>
      <c r="N21" s="90">
        <f t="shared" si="3"/>
        <v>4026100</v>
      </c>
      <c r="O21" s="199">
        <v>86335</v>
      </c>
      <c r="P21" s="268"/>
      <c r="Q21" s="338">
        <f t="shared" si="1"/>
        <v>3939765</v>
      </c>
      <c r="R21" s="184"/>
      <c r="S21" s="11"/>
      <c r="T21" s="42"/>
      <c r="U21" s="48"/>
    </row>
    <row r="22" spans="1:21" s="1" customFormat="1" ht="23.25" customHeight="1" x14ac:dyDescent="0.25">
      <c r="A22" s="257">
        <v>12</v>
      </c>
      <c r="B22" s="263"/>
      <c r="C22" s="67" t="s">
        <v>32</v>
      </c>
      <c r="D22" s="265" t="s">
        <v>106</v>
      </c>
      <c r="E22" s="345" t="s">
        <v>150</v>
      </c>
      <c r="F22" s="196">
        <v>30</v>
      </c>
      <c r="G22" s="412">
        <v>129220</v>
      </c>
      <c r="H22" s="197">
        <f t="shared" si="2"/>
        <v>3876600</v>
      </c>
      <c r="I22" s="266">
        <v>5550</v>
      </c>
      <c r="J22" s="90">
        <f t="shared" si="0"/>
        <v>166500</v>
      </c>
      <c r="K22" s="264">
        <v>4</v>
      </c>
      <c r="L22" s="267">
        <v>10000</v>
      </c>
      <c r="M22" s="263"/>
      <c r="N22" s="90">
        <f t="shared" si="3"/>
        <v>4053100</v>
      </c>
      <c r="O22" s="199">
        <v>86994</v>
      </c>
      <c r="P22" s="305"/>
      <c r="Q22" s="338">
        <f t="shared" si="1"/>
        <v>3966106</v>
      </c>
      <c r="R22" s="184"/>
      <c r="S22" s="11"/>
      <c r="T22" s="42"/>
      <c r="U22" s="48"/>
    </row>
    <row r="23" spans="1:21" s="1" customFormat="1" ht="23.25" customHeight="1" x14ac:dyDescent="0.25">
      <c r="A23" s="257">
        <v>13</v>
      </c>
      <c r="B23" s="263"/>
      <c r="C23" s="67" t="s">
        <v>32</v>
      </c>
      <c r="D23" s="361" t="s">
        <v>109</v>
      </c>
      <c r="E23" s="362">
        <v>44260</v>
      </c>
      <c r="F23" s="363">
        <v>30</v>
      </c>
      <c r="G23" s="412">
        <v>129220</v>
      </c>
      <c r="H23" s="197">
        <f t="shared" si="2"/>
        <v>3876600</v>
      </c>
      <c r="I23" s="364">
        <v>4650</v>
      </c>
      <c r="J23" s="90">
        <f t="shared" si="0"/>
        <v>139500</v>
      </c>
      <c r="K23" s="363">
        <v>3</v>
      </c>
      <c r="L23" s="366">
        <v>7500</v>
      </c>
      <c r="M23" s="365"/>
      <c r="N23" s="90">
        <f t="shared" si="3"/>
        <v>4023600</v>
      </c>
      <c r="O23" s="365">
        <v>145440</v>
      </c>
      <c r="P23" s="367"/>
      <c r="Q23" s="338">
        <f t="shared" si="1"/>
        <v>3878160</v>
      </c>
      <c r="R23" s="184"/>
      <c r="S23" s="11"/>
      <c r="T23" s="42"/>
      <c r="U23" s="48"/>
    </row>
    <row r="24" spans="1:21" s="1" customFormat="1" ht="23.25" customHeight="1" x14ac:dyDescent="0.25">
      <c r="A24" s="257">
        <v>14</v>
      </c>
      <c r="B24" s="263"/>
      <c r="C24" s="67" t="s">
        <v>32</v>
      </c>
      <c r="D24" s="200" t="s">
        <v>114</v>
      </c>
      <c r="E24" s="346">
        <v>44835</v>
      </c>
      <c r="F24" s="196">
        <v>30</v>
      </c>
      <c r="G24" s="412">
        <v>129220</v>
      </c>
      <c r="H24" s="197">
        <f t="shared" si="2"/>
        <v>3876600</v>
      </c>
      <c r="I24" s="206">
        <v>2250</v>
      </c>
      <c r="J24" s="90">
        <f t="shared" si="0"/>
        <v>67500</v>
      </c>
      <c r="K24" s="196">
        <v>3</v>
      </c>
      <c r="L24" s="267">
        <v>7500</v>
      </c>
      <c r="M24" s="199"/>
      <c r="N24" s="90">
        <f t="shared" si="3"/>
        <v>3951600</v>
      </c>
      <c r="O24" s="199">
        <v>123817</v>
      </c>
      <c r="P24" s="268"/>
      <c r="Q24" s="338">
        <f t="shared" si="1"/>
        <v>3827783</v>
      </c>
      <c r="R24" s="288"/>
      <c r="S24" s="11"/>
      <c r="T24" s="42"/>
      <c r="U24" s="48"/>
    </row>
    <row r="25" spans="1:21" s="1" customFormat="1" ht="23.25" customHeight="1" x14ac:dyDescent="0.25">
      <c r="A25" s="257">
        <v>15</v>
      </c>
      <c r="B25" s="301"/>
      <c r="C25" s="67" t="s">
        <v>32</v>
      </c>
      <c r="D25" s="303" t="s">
        <v>125</v>
      </c>
      <c r="E25" s="343" t="s">
        <v>151</v>
      </c>
      <c r="F25" s="196">
        <v>30</v>
      </c>
      <c r="G25" s="412">
        <v>129220</v>
      </c>
      <c r="H25" s="197">
        <f t="shared" si="2"/>
        <v>3876600</v>
      </c>
      <c r="I25" s="304">
        <v>4650</v>
      </c>
      <c r="J25" s="90">
        <f t="shared" si="0"/>
        <v>139500</v>
      </c>
      <c r="K25" s="302">
        <v>2</v>
      </c>
      <c r="L25" s="267">
        <v>5000</v>
      </c>
      <c r="M25" s="301"/>
      <c r="N25" s="90">
        <f t="shared" si="3"/>
        <v>4021100</v>
      </c>
      <c r="O25" s="199">
        <v>88132</v>
      </c>
      <c r="P25" s="305"/>
      <c r="Q25" s="338">
        <f t="shared" si="1"/>
        <v>3932968</v>
      </c>
      <c r="R25" s="300"/>
      <c r="S25" s="11"/>
      <c r="T25" s="42"/>
      <c r="U25" s="48"/>
    </row>
    <row r="26" spans="1:21" s="1" customFormat="1" ht="23.25" customHeight="1" x14ac:dyDescent="0.25">
      <c r="A26" s="257">
        <v>16</v>
      </c>
      <c r="B26" s="301"/>
      <c r="C26" s="67" t="s">
        <v>32</v>
      </c>
      <c r="D26" s="303" t="s">
        <v>88</v>
      </c>
      <c r="E26" s="343">
        <v>44689</v>
      </c>
      <c r="F26" s="196">
        <v>30</v>
      </c>
      <c r="G26" s="412">
        <v>129220</v>
      </c>
      <c r="H26" s="197">
        <f t="shared" si="2"/>
        <v>3876600</v>
      </c>
      <c r="I26" s="399">
        <v>4650</v>
      </c>
      <c r="J26" s="90">
        <f t="shared" si="0"/>
        <v>139500</v>
      </c>
      <c r="K26" s="398">
        <v>2</v>
      </c>
      <c r="L26" s="267">
        <v>5000</v>
      </c>
      <c r="M26" s="301"/>
      <c r="N26" s="90">
        <f t="shared" si="3"/>
        <v>4021100</v>
      </c>
      <c r="O26" s="199">
        <v>89678</v>
      </c>
      <c r="P26" s="305"/>
      <c r="Q26" s="338">
        <f t="shared" si="1"/>
        <v>3931422</v>
      </c>
      <c r="R26" s="300"/>
      <c r="S26" s="11"/>
      <c r="T26" s="42"/>
      <c r="U26" s="48"/>
    </row>
    <row r="27" spans="1:21" s="1" customFormat="1" ht="23.25" customHeight="1" x14ac:dyDescent="0.25">
      <c r="A27" s="257">
        <v>17</v>
      </c>
      <c r="B27" s="365"/>
      <c r="C27" s="67" t="s">
        <v>32</v>
      </c>
      <c r="D27" s="265" t="s">
        <v>115</v>
      </c>
      <c r="E27" s="368">
        <v>44968</v>
      </c>
      <c r="F27" s="196">
        <v>30</v>
      </c>
      <c r="G27" s="412">
        <v>129220</v>
      </c>
      <c r="H27" s="197">
        <f t="shared" si="2"/>
        <v>3876600</v>
      </c>
      <c r="I27" s="287">
        <v>3700</v>
      </c>
      <c r="J27" s="90">
        <f t="shared" si="0"/>
        <v>111000</v>
      </c>
      <c r="K27" s="286">
        <v>1</v>
      </c>
      <c r="L27" s="267">
        <v>2500</v>
      </c>
      <c r="M27" s="66"/>
      <c r="N27" s="90">
        <f t="shared" si="3"/>
        <v>3990100</v>
      </c>
      <c r="O27" s="306">
        <v>154293</v>
      </c>
      <c r="P27" s="360"/>
      <c r="Q27" s="338">
        <f t="shared" si="1"/>
        <v>3835807</v>
      </c>
      <c r="R27" s="300"/>
      <c r="S27" s="11"/>
      <c r="T27" s="42"/>
      <c r="U27" s="48"/>
    </row>
    <row r="28" spans="1:21" s="1" customFormat="1" ht="23.25" customHeight="1" x14ac:dyDescent="0.25">
      <c r="A28" s="257">
        <v>18</v>
      </c>
      <c r="B28" s="365"/>
      <c r="C28" s="67" t="s">
        <v>32</v>
      </c>
      <c r="D28" s="361" t="s">
        <v>159</v>
      </c>
      <c r="E28" s="406">
        <v>45566</v>
      </c>
      <c r="F28" s="196">
        <v>30</v>
      </c>
      <c r="G28" s="412">
        <v>129220</v>
      </c>
      <c r="H28" s="197">
        <f t="shared" si="2"/>
        <v>3876600</v>
      </c>
      <c r="I28" s="399">
        <v>2250</v>
      </c>
      <c r="J28" s="90">
        <f t="shared" si="0"/>
        <v>67500</v>
      </c>
      <c r="K28" s="398">
        <v>1</v>
      </c>
      <c r="L28" s="404">
        <v>2500</v>
      </c>
      <c r="M28" s="400"/>
      <c r="N28" s="90">
        <f t="shared" si="3"/>
        <v>3946600</v>
      </c>
      <c r="O28" s="400">
        <v>125799</v>
      </c>
      <c r="P28" s="401"/>
      <c r="Q28" s="338">
        <f t="shared" si="1"/>
        <v>3820801</v>
      </c>
      <c r="R28" s="300"/>
      <c r="S28" s="11"/>
      <c r="T28" s="42"/>
      <c r="U28" s="48"/>
    </row>
    <row r="29" spans="1:21" s="1" customFormat="1" ht="23.25" customHeight="1" x14ac:dyDescent="0.25">
      <c r="A29" s="257">
        <v>19</v>
      </c>
      <c r="B29" s="397"/>
      <c r="C29" s="67" t="s">
        <v>32</v>
      </c>
      <c r="D29" s="382" t="s">
        <v>160</v>
      </c>
      <c r="E29" s="406">
        <v>45566</v>
      </c>
      <c r="F29" s="196">
        <v>30</v>
      </c>
      <c r="G29" s="412">
        <v>129220</v>
      </c>
      <c r="H29" s="197">
        <f t="shared" si="2"/>
        <v>3876600</v>
      </c>
      <c r="I29" s="399">
        <v>2250</v>
      </c>
      <c r="J29" s="90">
        <f t="shared" si="0"/>
        <v>67500</v>
      </c>
      <c r="K29" s="398">
        <v>1</v>
      </c>
      <c r="L29" s="404">
        <v>2500</v>
      </c>
      <c r="M29" s="400"/>
      <c r="N29" s="90">
        <f t="shared" si="3"/>
        <v>3946600</v>
      </c>
      <c r="O29" s="400">
        <v>124220</v>
      </c>
      <c r="P29" s="401"/>
      <c r="Q29" s="338">
        <f t="shared" si="1"/>
        <v>3822380</v>
      </c>
      <c r="R29" s="402"/>
      <c r="S29" s="11"/>
      <c r="T29" s="42"/>
      <c r="U29" s="48"/>
    </row>
    <row r="30" spans="1:21" s="1" customFormat="1" ht="23.25" customHeight="1" x14ac:dyDescent="0.25">
      <c r="A30" s="257">
        <v>20</v>
      </c>
      <c r="B30" s="397"/>
      <c r="C30" s="67" t="s">
        <v>32</v>
      </c>
      <c r="D30" s="382" t="s">
        <v>178</v>
      </c>
      <c r="E30" s="406">
        <v>45566</v>
      </c>
      <c r="F30" s="196">
        <v>30</v>
      </c>
      <c r="G30" s="412">
        <v>129220</v>
      </c>
      <c r="H30" s="197">
        <f t="shared" si="2"/>
        <v>3876600</v>
      </c>
      <c r="I30" s="399">
        <v>5550</v>
      </c>
      <c r="J30" s="90">
        <f t="shared" si="0"/>
        <v>166500</v>
      </c>
      <c r="K30" s="398">
        <v>1</v>
      </c>
      <c r="L30" s="404">
        <v>2500</v>
      </c>
      <c r="M30" s="400"/>
      <c r="N30" s="90">
        <f t="shared" si="3"/>
        <v>4045600</v>
      </c>
      <c r="O30" s="400">
        <v>80837</v>
      </c>
      <c r="P30" s="401"/>
      <c r="Q30" s="338">
        <f t="shared" si="1"/>
        <v>3964763</v>
      </c>
      <c r="R30" s="402"/>
      <c r="S30" s="11"/>
      <c r="T30" s="42"/>
      <c r="U30" s="48"/>
    </row>
    <row r="31" spans="1:21" s="1" customFormat="1" ht="23.25" customHeight="1" x14ac:dyDescent="0.25">
      <c r="A31" s="257">
        <v>21</v>
      </c>
      <c r="B31" s="397"/>
      <c r="C31" s="67" t="s">
        <v>32</v>
      </c>
      <c r="D31" s="382" t="s">
        <v>110</v>
      </c>
      <c r="E31" s="406">
        <v>45293</v>
      </c>
      <c r="F31" s="196">
        <v>30</v>
      </c>
      <c r="G31" s="412">
        <v>129220</v>
      </c>
      <c r="H31" s="197">
        <f t="shared" si="2"/>
        <v>3876600</v>
      </c>
      <c r="I31" s="399">
        <v>2250</v>
      </c>
      <c r="J31" s="90">
        <f t="shared" si="0"/>
        <v>67500</v>
      </c>
      <c r="K31" s="398">
        <v>1</v>
      </c>
      <c r="L31" s="404">
        <v>2500</v>
      </c>
      <c r="M31" s="400"/>
      <c r="N31" s="90">
        <f t="shared" si="3"/>
        <v>3946600</v>
      </c>
      <c r="O31" s="400">
        <v>125210</v>
      </c>
      <c r="P31" s="401"/>
      <c r="Q31" s="338">
        <f t="shared" si="1"/>
        <v>3821390</v>
      </c>
      <c r="R31" s="402"/>
      <c r="S31" s="11"/>
      <c r="T31" s="42"/>
      <c r="U31" s="48"/>
    </row>
    <row r="32" spans="1:21" s="1" customFormat="1" ht="23.25" customHeight="1" x14ac:dyDescent="0.25">
      <c r="A32" s="257">
        <v>22</v>
      </c>
      <c r="B32" s="397"/>
      <c r="C32" s="67" t="s">
        <v>32</v>
      </c>
      <c r="D32" s="382" t="s">
        <v>111</v>
      </c>
      <c r="E32" s="406">
        <v>45293</v>
      </c>
      <c r="F32" s="196">
        <v>30</v>
      </c>
      <c r="G32" s="412">
        <v>129220</v>
      </c>
      <c r="H32" s="197">
        <f t="shared" si="2"/>
        <v>3876600</v>
      </c>
      <c r="I32" s="399">
        <v>5550</v>
      </c>
      <c r="J32" s="90">
        <f t="shared" si="0"/>
        <v>166500</v>
      </c>
      <c r="K32" s="398">
        <v>1</v>
      </c>
      <c r="L32" s="404">
        <v>2500</v>
      </c>
      <c r="M32" s="400"/>
      <c r="N32" s="90">
        <f t="shared" si="3"/>
        <v>4045600</v>
      </c>
      <c r="O32" s="400">
        <v>295651</v>
      </c>
      <c r="P32" s="401"/>
      <c r="Q32" s="338">
        <f t="shared" si="1"/>
        <v>3749949</v>
      </c>
      <c r="R32" s="402"/>
      <c r="S32" s="11"/>
      <c r="T32" s="42"/>
      <c r="U32" s="48"/>
    </row>
    <row r="33" spans="1:21" s="1" customFormat="1" ht="23.25" customHeight="1" x14ac:dyDescent="0.25">
      <c r="A33" s="257">
        <v>23</v>
      </c>
      <c r="B33" s="365"/>
      <c r="C33" s="67" t="s">
        <v>32</v>
      </c>
      <c r="D33" s="361" t="s">
        <v>179</v>
      </c>
      <c r="E33" s="403" t="s">
        <v>186</v>
      </c>
      <c r="F33" s="196">
        <v>30</v>
      </c>
      <c r="G33" s="412">
        <v>129220</v>
      </c>
      <c r="H33" s="197">
        <f t="shared" si="2"/>
        <v>3876600</v>
      </c>
      <c r="I33" s="399">
        <v>5550</v>
      </c>
      <c r="J33" s="90">
        <f t="shared" si="0"/>
        <v>166500</v>
      </c>
      <c r="K33" s="398">
        <v>1</v>
      </c>
      <c r="L33" s="404">
        <v>2500</v>
      </c>
      <c r="M33" s="400"/>
      <c r="N33" s="90">
        <f t="shared" si="3"/>
        <v>4045600</v>
      </c>
      <c r="O33" s="400">
        <v>90108</v>
      </c>
      <c r="P33" s="401"/>
      <c r="Q33" s="338">
        <f t="shared" si="1"/>
        <v>3955492</v>
      </c>
      <c r="R33" s="300"/>
      <c r="S33" s="11"/>
      <c r="T33" s="42"/>
      <c r="U33" s="48"/>
    </row>
    <row r="34" spans="1:21" s="1" customFormat="1" ht="23.25" customHeight="1" x14ac:dyDescent="0.25">
      <c r="A34" s="257">
        <v>24</v>
      </c>
      <c r="B34" s="397"/>
      <c r="C34" s="67" t="s">
        <v>32</v>
      </c>
      <c r="D34" s="382" t="s">
        <v>180</v>
      </c>
      <c r="E34" s="403" t="s">
        <v>187</v>
      </c>
      <c r="F34" s="196">
        <v>30</v>
      </c>
      <c r="G34" s="412">
        <v>129220</v>
      </c>
      <c r="H34" s="197">
        <f t="shared" si="2"/>
        <v>3876600</v>
      </c>
      <c r="I34" s="399">
        <v>5550</v>
      </c>
      <c r="J34" s="90">
        <f t="shared" si="0"/>
        <v>166500</v>
      </c>
      <c r="K34" s="398">
        <v>3</v>
      </c>
      <c r="L34" s="404">
        <v>7500</v>
      </c>
      <c r="M34" s="400"/>
      <c r="N34" s="90">
        <f t="shared" si="3"/>
        <v>4050600</v>
      </c>
      <c r="O34" s="400">
        <v>85155</v>
      </c>
      <c r="P34" s="401"/>
      <c r="Q34" s="338">
        <f t="shared" si="1"/>
        <v>3965445</v>
      </c>
      <c r="R34" s="402"/>
      <c r="S34" s="11"/>
      <c r="T34" s="42"/>
      <c r="U34" s="48"/>
    </row>
    <row r="35" spans="1:21" s="1" customFormat="1" ht="23.25" customHeight="1" x14ac:dyDescent="0.25">
      <c r="A35" s="257">
        <v>25</v>
      </c>
      <c r="B35" s="397"/>
      <c r="C35" s="67" t="s">
        <v>32</v>
      </c>
      <c r="D35" s="382" t="s">
        <v>181</v>
      </c>
      <c r="E35" s="403">
        <v>45356</v>
      </c>
      <c r="F35" s="196">
        <v>30</v>
      </c>
      <c r="G35" s="412">
        <v>129220</v>
      </c>
      <c r="H35" s="197">
        <f t="shared" si="2"/>
        <v>3876600</v>
      </c>
      <c r="I35" s="399">
        <v>5550</v>
      </c>
      <c r="J35" s="90">
        <f t="shared" si="0"/>
        <v>166500</v>
      </c>
      <c r="K35" s="398"/>
      <c r="L35" s="404"/>
      <c r="M35" s="400"/>
      <c r="N35" s="90">
        <f>(H35+J35+L35)/12*10</f>
        <v>3369250</v>
      </c>
      <c r="O35" s="400">
        <v>83391</v>
      </c>
      <c r="P35" s="401" t="s">
        <v>164</v>
      </c>
      <c r="Q35" s="338">
        <f t="shared" si="1"/>
        <v>3285859</v>
      </c>
      <c r="R35" s="402"/>
      <c r="S35" s="11"/>
      <c r="T35" s="42"/>
      <c r="U35" s="48"/>
    </row>
    <row r="36" spans="1:21" s="1" customFormat="1" ht="23.25" customHeight="1" x14ac:dyDescent="0.25">
      <c r="A36" s="257">
        <v>26</v>
      </c>
      <c r="B36" s="365"/>
      <c r="C36" s="67" t="s">
        <v>32</v>
      </c>
      <c r="D36" s="361" t="s">
        <v>182</v>
      </c>
      <c r="E36" s="403" t="s">
        <v>188</v>
      </c>
      <c r="F36" s="196">
        <v>30</v>
      </c>
      <c r="G36" s="412">
        <v>129220</v>
      </c>
      <c r="H36" s="197">
        <f t="shared" si="2"/>
        <v>3876600</v>
      </c>
      <c r="I36" s="399">
        <v>4650</v>
      </c>
      <c r="J36" s="90">
        <f t="shared" si="0"/>
        <v>139500</v>
      </c>
      <c r="K36" s="398"/>
      <c r="L36" s="404"/>
      <c r="M36" s="400"/>
      <c r="N36" s="90">
        <f>(H36+J36+L36)/12*6</f>
        <v>2008050</v>
      </c>
      <c r="O36" s="400">
        <v>16159</v>
      </c>
      <c r="P36" s="401" t="s">
        <v>193</v>
      </c>
      <c r="Q36" s="338">
        <f t="shared" si="1"/>
        <v>1991891</v>
      </c>
      <c r="R36" s="300"/>
      <c r="S36" s="11"/>
      <c r="T36" s="42"/>
      <c r="U36" s="48"/>
    </row>
    <row r="37" spans="1:21" s="1" customFormat="1" ht="23.25" customHeight="1" x14ac:dyDescent="0.25">
      <c r="A37" s="257">
        <v>27</v>
      </c>
      <c r="B37" s="408"/>
      <c r="C37" s="409" t="s">
        <v>32</v>
      </c>
      <c r="D37" s="410" t="s">
        <v>192</v>
      </c>
      <c r="E37" s="403" t="s">
        <v>189</v>
      </c>
      <c r="F37" s="196">
        <v>30</v>
      </c>
      <c r="G37" s="412">
        <v>129220</v>
      </c>
      <c r="H37" s="197">
        <f t="shared" si="2"/>
        <v>3876600</v>
      </c>
      <c r="I37" s="399">
        <v>5550</v>
      </c>
      <c r="J37" s="90">
        <f t="shared" si="0"/>
        <v>166500</v>
      </c>
      <c r="K37" s="398"/>
      <c r="L37" s="404"/>
      <c r="M37" s="400"/>
      <c r="N37" s="90">
        <f>(H37+J37+L37)/12*4</f>
        <v>1347700</v>
      </c>
      <c r="O37" s="400">
        <v>61798</v>
      </c>
      <c r="P37" s="401" t="s">
        <v>194</v>
      </c>
      <c r="Q37" s="338">
        <f t="shared" si="1"/>
        <v>1285902</v>
      </c>
      <c r="R37" s="411"/>
      <c r="S37" s="11"/>
      <c r="T37" s="42"/>
      <c r="U37" s="48"/>
    </row>
    <row r="38" spans="1:21" s="1" customFormat="1" ht="23.25" customHeight="1" x14ac:dyDescent="0.25">
      <c r="A38" s="257">
        <v>28</v>
      </c>
      <c r="B38" s="397"/>
      <c r="C38" s="67" t="s">
        <v>32</v>
      </c>
      <c r="D38" s="382" t="s">
        <v>74</v>
      </c>
      <c r="E38" s="403" t="s">
        <v>190</v>
      </c>
      <c r="F38" s="196">
        <v>30</v>
      </c>
      <c r="G38" s="412">
        <v>129220</v>
      </c>
      <c r="H38" s="197">
        <f t="shared" si="2"/>
        <v>3876600</v>
      </c>
      <c r="I38" s="399">
        <v>5550</v>
      </c>
      <c r="J38" s="90">
        <f t="shared" si="0"/>
        <v>166500</v>
      </c>
      <c r="K38" s="398"/>
      <c r="L38" s="404"/>
      <c r="M38" s="400"/>
      <c r="N38" s="90">
        <f>(H38+J38+L38)/12*4</f>
        <v>1347700</v>
      </c>
      <c r="O38" s="400">
        <v>0</v>
      </c>
      <c r="P38" s="401" t="s">
        <v>194</v>
      </c>
      <c r="Q38" s="338">
        <f t="shared" si="1"/>
        <v>1347700</v>
      </c>
      <c r="R38" s="402"/>
      <c r="S38" s="11"/>
      <c r="T38" s="42"/>
      <c r="U38" s="48"/>
    </row>
    <row r="39" spans="1:21" s="1" customFormat="1" ht="23.25" customHeight="1" x14ac:dyDescent="0.25">
      <c r="A39" s="257">
        <v>29</v>
      </c>
      <c r="B39" s="397"/>
      <c r="C39" s="67" t="s">
        <v>32</v>
      </c>
      <c r="D39" s="382" t="s">
        <v>183</v>
      </c>
      <c r="E39" s="403" t="s">
        <v>190</v>
      </c>
      <c r="F39" s="196">
        <v>30</v>
      </c>
      <c r="G39" s="412">
        <v>129220</v>
      </c>
      <c r="H39" s="197">
        <f t="shared" si="2"/>
        <v>3876600</v>
      </c>
      <c r="I39" s="399">
        <v>2250</v>
      </c>
      <c r="J39" s="90">
        <f t="shared" si="0"/>
        <v>67500</v>
      </c>
      <c r="K39" s="398"/>
      <c r="L39" s="404"/>
      <c r="M39" s="400"/>
      <c r="N39" s="90">
        <f>(H39+J39+L39)/12*4</f>
        <v>1314700</v>
      </c>
      <c r="O39" s="400">
        <v>13691</v>
      </c>
      <c r="P39" s="401" t="s">
        <v>194</v>
      </c>
      <c r="Q39" s="338">
        <f t="shared" si="1"/>
        <v>1301009</v>
      </c>
      <c r="R39" s="402"/>
      <c r="S39" s="11"/>
      <c r="T39" s="42"/>
      <c r="U39" s="48"/>
    </row>
    <row r="40" spans="1:21" s="1" customFormat="1" ht="23.25" customHeight="1" x14ac:dyDescent="0.25">
      <c r="A40" s="257">
        <v>30</v>
      </c>
      <c r="B40" s="397"/>
      <c r="C40" s="67" t="s">
        <v>32</v>
      </c>
      <c r="D40" s="382" t="s">
        <v>184</v>
      </c>
      <c r="E40" s="403" t="s">
        <v>190</v>
      </c>
      <c r="F40" s="196">
        <v>30</v>
      </c>
      <c r="G40" s="412">
        <v>129220</v>
      </c>
      <c r="H40" s="197">
        <f t="shared" si="2"/>
        <v>3876600</v>
      </c>
      <c r="I40" s="399">
        <v>4650</v>
      </c>
      <c r="J40" s="90">
        <f t="shared" si="0"/>
        <v>139500</v>
      </c>
      <c r="K40" s="398"/>
      <c r="L40" s="404"/>
      <c r="M40" s="400"/>
      <c r="N40" s="90">
        <f>(H40+J40+L40)/12*4</f>
        <v>1338700</v>
      </c>
      <c r="O40" s="400">
        <v>0</v>
      </c>
      <c r="P40" s="401" t="s">
        <v>194</v>
      </c>
      <c r="Q40" s="338">
        <f t="shared" si="1"/>
        <v>1338700</v>
      </c>
      <c r="R40" s="402"/>
      <c r="S40" s="11"/>
      <c r="T40" s="42"/>
      <c r="U40" s="48"/>
    </row>
    <row r="41" spans="1:21" s="1" customFormat="1" ht="23.25" customHeight="1" x14ac:dyDescent="0.25">
      <c r="A41" s="257">
        <v>31</v>
      </c>
      <c r="B41" s="263"/>
      <c r="C41" s="67" t="s">
        <v>32</v>
      </c>
      <c r="D41" s="265" t="s">
        <v>185</v>
      </c>
      <c r="E41" s="407" t="s">
        <v>191</v>
      </c>
      <c r="F41" s="196">
        <v>30</v>
      </c>
      <c r="G41" s="412">
        <v>129220</v>
      </c>
      <c r="H41" s="197">
        <f t="shared" si="2"/>
        <v>3876600</v>
      </c>
      <c r="I41" s="287">
        <v>2250</v>
      </c>
      <c r="J41" s="90">
        <f t="shared" si="0"/>
        <v>67500</v>
      </c>
      <c r="K41" s="286"/>
      <c r="L41" s="285"/>
      <c r="M41" s="66"/>
      <c r="N41" s="90">
        <f>(H41+J41+L41)/12*3</f>
        <v>986025</v>
      </c>
      <c r="O41" s="306">
        <v>45475</v>
      </c>
      <c r="P41" s="405" t="s">
        <v>162</v>
      </c>
      <c r="Q41" s="338">
        <f t="shared" si="1"/>
        <v>940550</v>
      </c>
      <c r="R41" s="300"/>
      <c r="S41" s="11"/>
      <c r="T41" s="42"/>
      <c r="U41" s="48"/>
    </row>
    <row r="42" spans="1:21" s="216" customFormat="1" ht="23.25" customHeight="1" thickBot="1" x14ac:dyDescent="0.3">
      <c r="A42" s="89"/>
      <c r="B42" s="51"/>
      <c r="C42" s="51"/>
      <c r="D42" s="217" t="s">
        <v>48</v>
      </c>
      <c r="E42" s="337"/>
      <c r="F42" s="51">
        <f>SUM(F10:F41)</f>
        <v>960</v>
      </c>
      <c r="G42" s="51"/>
      <c r="H42" s="51">
        <f t="shared" ref="H42:Q42" si="4">SUM(H10:H41)</f>
        <v>124051200</v>
      </c>
      <c r="I42" s="51"/>
      <c r="J42" s="51">
        <f t="shared" si="4"/>
        <v>4257000</v>
      </c>
      <c r="K42" s="51">
        <f t="shared" si="4"/>
        <v>104</v>
      </c>
      <c r="L42" s="51">
        <f t="shared" si="4"/>
        <v>269000</v>
      </c>
      <c r="M42" s="51">
        <f t="shared" si="4"/>
        <v>0</v>
      </c>
      <c r="N42" s="51">
        <f t="shared" si="4"/>
        <v>112239625</v>
      </c>
      <c r="O42" s="51">
        <f t="shared" si="4"/>
        <v>3099083</v>
      </c>
      <c r="P42" s="51">
        <f t="shared" si="4"/>
        <v>0</v>
      </c>
      <c r="Q42" s="369">
        <f t="shared" si="4"/>
        <v>109140542</v>
      </c>
      <c r="R42" s="370">
        <f t="shared" ref="R42" si="5">SUM(R11:R41)</f>
        <v>0</v>
      </c>
    </row>
    <row r="43" spans="1:21" x14ac:dyDescent="0.25">
      <c r="A43" s="272"/>
      <c r="B43" s="221"/>
      <c r="C43" s="221"/>
      <c r="F43" s="220"/>
      <c r="G43" s="220"/>
      <c r="H43" s="220"/>
    </row>
    <row r="44" spans="1:21" x14ac:dyDescent="0.25">
      <c r="A44" s="210"/>
    </row>
    <row r="45" spans="1:21" ht="15" customHeight="1" x14ac:dyDescent="0.25">
      <c r="A45" s="49"/>
      <c r="B45" s="49"/>
      <c r="C45" s="49"/>
      <c r="D45" s="478" t="s">
        <v>49</v>
      </c>
      <c r="E45" s="485"/>
      <c r="F45" s="509" t="s">
        <v>154</v>
      </c>
      <c r="G45" s="509"/>
      <c r="H45" s="509"/>
      <c r="I45" s="509"/>
      <c r="J45" s="485"/>
      <c r="K45" s="474"/>
      <c r="L45" s="508" t="s">
        <v>271</v>
      </c>
      <c r="M45" s="508"/>
      <c r="N45" s="508"/>
      <c r="O45" s="508" t="s">
        <v>272</v>
      </c>
      <c r="P45" s="508"/>
      <c r="Q45" s="508"/>
      <c r="R45" s="16"/>
    </row>
    <row r="46" spans="1:21" ht="14.25" customHeight="1" x14ac:dyDescent="0.25">
      <c r="A46" s="9"/>
      <c r="B46" s="9"/>
      <c r="C46" s="219"/>
      <c r="D46" s="478"/>
      <c r="E46" s="478"/>
      <c r="F46" s="479"/>
      <c r="G46" s="478"/>
      <c r="H46" s="16"/>
      <c r="I46" s="13"/>
      <c r="J46" s="13"/>
      <c r="K46" s="475"/>
      <c r="L46" s="475"/>
      <c r="M46" s="13"/>
      <c r="N46" s="475"/>
      <c r="O46" s="475"/>
      <c r="P46" s="13"/>
      <c r="Q46" s="15"/>
    </row>
    <row r="47" spans="1:21" ht="15" customHeight="1" x14ac:dyDescent="0.25">
      <c r="A47" s="9"/>
      <c r="B47" s="9"/>
      <c r="C47" s="219"/>
      <c r="D47" s="167"/>
      <c r="E47" s="167"/>
      <c r="F47" s="479"/>
      <c r="G47" s="167"/>
      <c r="H47" s="16"/>
      <c r="I47" s="484"/>
      <c r="J47" s="475"/>
      <c r="K47" s="475"/>
      <c r="L47" s="475"/>
      <c r="M47" s="479"/>
      <c r="N47" s="475"/>
      <c r="O47" s="475"/>
      <c r="P47" s="479"/>
      <c r="Q47" s="218"/>
    </row>
    <row r="48" spans="1:21" ht="15" customHeight="1" x14ac:dyDescent="0.25">
      <c r="A48" s="10"/>
      <c r="B48" s="10"/>
      <c r="C48" s="218"/>
      <c r="D48" s="168"/>
      <c r="E48" s="168"/>
      <c r="F48" s="475"/>
      <c r="G48" s="168"/>
      <c r="H48" s="274"/>
      <c r="I48" s="484"/>
      <c r="J48" s="475"/>
      <c r="K48" s="475"/>
      <c r="L48" s="475"/>
      <c r="M48" s="475"/>
      <c r="N48" s="475"/>
      <c r="O48" s="475"/>
      <c r="P48" s="475"/>
      <c r="Q48" s="218"/>
    </row>
    <row r="49" spans="1:18" ht="15" customHeight="1" x14ac:dyDescent="0.25">
      <c r="A49" s="10"/>
      <c r="B49" s="10"/>
      <c r="C49" s="218"/>
      <c r="D49" s="476" t="s">
        <v>177</v>
      </c>
      <c r="E49" s="476"/>
      <c r="F49" s="476" t="s">
        <v>173</v>
      </c>
      <c r="G49" s="486"/>
      <c r="H49" s="486"/>
      <c r="I49" s="506" t="s">
        <v>175</v>
      </c>
      <c r="J49" s="506"/>
      <c r="K49" s="475"/>
      <c r="L49" s="506" t="s">
        <v>176</v>
      </c>
      <c r="M49" s="506"/>
      <c r="N49" s="506"/>
      <c r="O49" s="506" t="s">
        <v>269</v>
      </c>
      <c r="P49" s="506"/>
      <c r="Q49" s="506"/>
      <c r="R49" s="65"/>
    </row>
    <row r="50" spans="1:18" ht="15" customHeight="1" x14ac:dyDescent="0.25">
      <c r="A50" s="218"/>
      <c r="B50" s="218"/>
      <c r="C50" s="218"/>
      <c r="D50" s="477" t="s">
        <v>54</v>
      </c>
      <c r="E50" s="477"/>
      <c r="F50" s="477" t="s">
        <v>174</v>
      </c>
      <c r="G50" s="487"/>
      <c r="H50" s="487"/>
      <c r="I50" s="507" t="s">
        <v>155</v>
      </c>
      <c r="J50" s="507"/>
      <c r="K50" s="475"/>
      <c r="L50" s="507" t="s">
        <v>156</v>
      </c>
      <c r="M50" s="507"/>
      <c r="N50" s="507"/>
      <c r="O50" s="507" t="s">
        <v>270</v>
      </c>
      <c r="P50" s="507"/>
      <c r="Q50" s="507"/>
      <c r="R50" s="65"/>
    </row>
    <row r="51" spans="1:18" x14ac:dyDescent="0.25">
      <c r="A51" s="269"/>
      <c r="G51" s="274"/>
      <c r="H51" s="274"/>
      <c r="I51" s="349"/>
      <c r="J51" s="348"/>
      <c r="K51" s="348"/>
      <c r="L51" s="348"/>
      <c r="M51" s="348"/>
      <c r="R51" s="65"/>
    </row>
    <row r="53" spans="1:18" x14ac:dyDescent="0.25">
      <c r="D53" s="2"/>
      <c r="E53" s="310"/>
      <c r="I53" s="2"/>
      <c r="Q53" s="2"/>
    </row>
    <row r="54" spans="1:18" x14ac:dyDescent="0.25">
      <c r="D54" s="2"/>
      <c r="E54" s="310"/>
      <c r="I54" s="2"/>
      <c r="Q54" s="2"/>
    </row>
    <row r="55" spans="1:18" x14ac:dyDescent="0.25">
      <c r="D55" s="2"/>
      <c r="E55" s="310"/>
      <c r="I55" s="2"/>
      <c r="Q55" s="2"/>
    </row>
    <row r="56" spans="1:18" x14ac:dyDescent="0.25">
      <c r="D56" s="2"/>
      <c r="E56" s="310"/>
      <c r="I56" s="2"/>
      <c r="Q56" s="2"/>
    </row>
    <row r="57" spans="1:18" x14ac:dyDescent="0.25">
      <c r="D57" s="2"/>
      <c r="E57" s="310"/>
      <c r="I57" s="2"/>
      <c r="Q57" s="2"/>
    </row>
    <row r="58" spans="1:18" x14ac:dyDescent="0.25">
      <c r="D58" s="2"/>
      <c r="E58" s="310"/>
      <c r="I58" s="2"/>
      <c r="Q58" s="2"/>
    </row>
    <row r="59" spans="1:18" x14ac:dyDescent="0.25">
      <c r="D59" s="2"/>
      <c r="E59" s="310"/>
      <c r="I59" s="2"/>
      <c r="Q59" s="2"/>
    </row>
    <row r="60" spans="1:18" x14ac:dyDescent="0.25">
      <c r="D60" s="2"/>
      <c r="E60" s="310"/>
      <c r="I60" s="2"/>
      <c r="Q60" s="2"/>
    </row>
    <row r="61" spans="1:18" x14ac:dyDescent="0.25">
      <c r="D61" s="2"/>
      <c r="E61" s="310"/>
      <c r="I61" s="2"/>
      <c r="Q61" s="2"/>
    </row>
    <row r="62" spans="1:18" x14ac:dyDescent="0.25">
      <c r="D62" s="2"/>
      <c r="E62" s="310"/>
      <c r="I62" s="2">
        <f>27+36+4+5</f>
        <v>72</v>
      </c>
      <c r="Q62" s="2"/>
    </row>
    <row r="63" spans="1:18" x14ac:dyDescent="0.25">
      <c r="D63" s="2"/>
      <c r="E63" s="310"/>
      <c r="I63" s="2"/>
      <c r="Q63" s="2"/>
    </row>
    <row r="64" spans="1:18" x14ac:dyDescent="0.25">
      <c r="D64" s="2"/>
      <c r="E64" s="310"/>
      <c r="I64" s="2"/>
      <c r="Q64" s="2"/>
    </row>
    <row r="65" spans="4:17" x14ac:dyDescent="0.25">
      <c r="D65" s="2"/>
      <c r="E65" s="310"/>
      <c r="I65" s="2"/>
      <c r="N65" s="2">
        <f>576745+45145</f>
        <v>621890</v>
      </c>
      <c r="Q65" s="2"/>
    </row>
    <row r="66" spans="4:17" x14ac:dyDescent="0.25">
      <c r="D66" s="2"/>
      <c r="E66" s="310"/>
      <c r="I66" s="2"/>
      <c r="N66" s="2">
        <f>N65+1054892.15</f>
        <v>1676782.15</v>
      </c>
      <c r="Q66" s="2"/>
    </row>
    <row r="67" spans="4:17" x14ac:dyDescent="0.25">
      <c r="D67" s="2"/>
      <c r="E67" s="310"/>
      <c r="I67" s="2"/>
      <c r="Q67" s="2"/>
    </row>
    <row r="68" spans="4:17" x14ac:dyDescent="0.25">
      <c r="D68" s="2"/>
      <c r="E68" s="310"/>
      <c r="I68" s="2"/>
      <c r="Q68" s="2"/>
    </row>
    <row r="69" spans="4:17" x14ac:dyDescent="0.25">
      <c r="D69" s="2"/>
      <c r="E69" s="310"/>
      <c r="I69" s="2"/>
      <c r="Q69" s="2"/>
    </row>
    <row r="70" spans="4:17" x14ac:dyDescent="0.25">
      <c r="D70" s="2"/>
      <c r="E70" s="310"/>
      <c r="I70" s="2"/>
      <c r="Q70" s="2"/>
    </row>
    <row r="71" spans="4:17" x14ac:dyDescent="0.25">
      <c r="D71" s="2"/>
      <c r="E71" s="310"/>
      <c r="I71" s="2"/>
      <c r="Q71" s="2"/>
    </row>
    <row r="72" spans="4:17" x14ac:dyDescent="0.25">
      <c r="D72" s="2"/>
      <c r="E72" s="310"/>
      <c r="I72" s="2"/>
      <c r="Q72" s="2"/>
    </row>
    <row r="73" spans="4:17" x14ac:dyDescent="0.25">
      <c r="D73" s="2"/>
      <c r="E73" s="310"/>
      <c r="I73" s="2"/>
      <c r="Q73" s="2"/>
    </row>
    <row r="74" spans="4:17" x14ac:dyDescent="0.25">
      <c r="D74" s="2"/>
      <c r="E74" s="310"/>
      <c r="I74" s="2"/>
      <c r="Q74" s="2"/>
    </row>
    <row r="75" spans="4:17" x14ac:dyDescent="0.25">
      <c r="D75" s="2"/>
      <c r="E75" s="310"/>
      <c r="I75" s="2"/>
      <c r="Q75" s="2"/>
    </row>
    <row r="76" spans="4:17" x14ac:dyDescent="0.25">
      <c r="D76" s="2"/>
      <c r="E76" s="310"/>
      <c r="I76" s="2"/>
      <c r="Q76" s="2"/>
    </row>
    <row r="77" spans="4:17" x14ac:dyDescent="0.25">
      <c r="D77" s="2"/>
      <c r="E77" s="310"/>
      <c r="I77" s="2"/>
      <c r="Q77" s="2"/>
    </row>
    <row r="78" spans="4:17" x14ac:dyDescent="0.25">
      <c r="D78" s="2"/>
      <c r="E78" s="310"/>
      <c r="I78" s="2"/>
      <c r="Q78" s="2"/>
    </row>
    <row r="79" spans="4:17" x14ac:dyDescent="0.25">
      <c r="D79" s="2"/>
      <c r="E79" s="310"/>
      <c r="I79" s="2"/>
      <c r="Q79" s="2"/>
    </row>
    <row r="80" spans="4:17" x14ac:dyDescent="0.25">
      <c r="D80" s="2"/>
      <c r="E80" s="310"/>
      <c r="I80" s="2"/>
      <c r="Q80" s="2"/>
    </row>
    <row r="81" spans="4:17" x14ac:dyDescent="0.25">
      <c r="D81" s="2"/>
      <c r="E81" s="310"/>
      <c r="I81" s="2"/>
      <c r="Q81" s="2"/>
    </row>
    <row r="82" spans="4:17" x14ac:dyDescent="0.25">
      <c r="D82" s="2"/>
      <c r="E82" s="310"/>
      <c r="I82" s="2"/>
      <c r="Q82" s="2"/>
    </row>
    <row r="83" spans="4:17" x14ac:dyDescent="0.25">
      <c r="D83" s="2"/>
      <c r="E83" s="310"/>
      <c r="I83" s="2"/>
      <c r="Q83" s="2"/>
    </row>
    <row r="84" spans="4:17" x14ac:dyDescent="0.25">
      <c r="D84" s="2"/>
      <c r="E84" s="310"/>
      <c r="I84" s="2"/>
      <c r="Q84" s="2"/>
    </row>
    <row r="85" spans="4:17" x14ac:dyDescent="0.25">
      <c r="D85" s="2"/>
      <c r="E85" s="310"/>
      <c r="I85" s="2"/>
      <c r="Q85" s="2"/>
    </row>
    <row r="86" spans="4:17" x14ac:dyDescent="0.25">
      <c r="D86" s="2"/>
      <c r="E86" s="310"/>
      <c r="I86" s="2"/>
      <c r="Q86" s="2"/>
    </row>
    <row r="87" spans="4:17" x14ac:dyDescent="0.25">
      <c r="D87" s="2"/>
      <c r="E87" s="310"/>
      <c r="I87" s="2"/>
      <c r="Q87" s="2"/>
    </row>
    <row r="88" spans="4:17" x14ac:dyDescent="0.25">
      <c r="D88" s="2"/>
      <c r="E88" s="310"/>
      <c r="I88" s="2"/>
      <c r="Q88" s="2"/>
    </row>
    <row r="89" spans="4:17" x14ac:dyDescent="0.25">
      <c r="D89" s="2"/>
      <c r="E89" s="310"/>
      <c r="I89" s="2"/>
      <c r="Q89" s="2"/>
    </row>
    <row r="90" spans="4:17" x14ac:dyDescent="0.25">
      <c r="D90" s="2"/>
      <c r="E90" s="310"/>
      <c r="I90" s="2"/>
      <c r="Q90" s="2"/>
    </row>
    <row r="91" spans="4:17" x14ac:dyDescent="0.25">
      <c r="D91" s="2"/>
      <c r="E91" s="310"/>
      <c r="I91" s="2"/>
      <c r="Q91" s="2"/>
    </row>
    <row r="92" spans="4:17" x14ac:dyDescent="0.25">
      <c r="D92" s="2"/>
      <c r="E92" s="310"/>
      <c r="I92" s="2"/>
      <c r="Q92" s="2"/>
    </row>
    <row r="93" spans="4:17" x14ac:dyDescent="0.25">
      <c r="D93" s="2"/>
      <c r="E93" s="310"/>
      <c r="I93" s="2"/>
      <c r="Q93" s="2"/>
    </row>
    <row r="94" spans="4:17" x14ac:dyDescent="0.25">
      <c r="D94" s="2"/>
      <c r="E94" s="310"/>
      <c r="I94" s="2"/>
      <c r="Q94" s="2"/>
    </row>
    <row r="95" spans="4:17" x14ac:dyDescent="0.25">
      <c r="D95" s="2"/>
      <c r="E95" s="310"/>
      <c r="I95" s="2"/>
      <c r="Q95" s="2"/>
    </row>
    <row r="96" spans="4:17" x14ac:dyDescent="0.25">
      <c r="D96" s="2"/>
      <c r="E96" s="310"/>
      <c r="I96" s="2"/>
      <c r="Q96" s="2"/>
    </row>
    <row r="97" spans="4:17" x14ac:dyDescent="0.25">
      <c r="D97" s="2"/>
      <c r="E97" s="310"/>
      <c r="I97" s="2"/>
      <c r="Q97" s="2"/>
    </row>
    <row r="98" spans="4:17" x14ac:dyDescent="0.25">
      <c r="D98" s="2"/>
      <c r="E98" s="310"/>
      <c r="I98" s="2"/>
      <c r="Q98" s="2"/>
    </row>
    <row r="99" spans="4:17" x14ac:dyDescent="0.25">
      <c r="D99" s="2"/>
      <c r="E99" s="310"/>
      <c r="I99" s="2"/>
      <c r="Q99" s="2"/>
    </row>
    <row r="100" spans="4:17" x14ac:dyDescent="0.25">
      <c r="D100" s="2"/>
      <c r="E100" s="310"/>
      <c r="I100" s="2"/>
      <c r="Q100" s="2"/>
    </row>
    <row r="101" spans="4:17" x14ac:dyDescent="0.25">
      <c r="D101" s="2"/>
      <c r="E101" s="310"/>
      <c r="I101" s="2"/>
      <c r="Q101" s="2"/>
    </row>
    <row r="102" spans="4:17" x14ac:dyDescent="0.25">
      <c r="D102" s="2"/>
      <c r="E102" s="310"/>
      <c r="I102" s="2"/>
      <c r="Q102" s="2"/>
    </row>
    <row r="103" spans="4:17" x14ac:dyDescent="0.25">
      <c r="D103" s="2"/>
      <c r="E103" s="310"/>
      <c r="I103" s="2"/>
      <c r="Q103" s="2"/>
    </row>
    <row r="104" spans="4:17" x14ac:dyDescent="0.25">
      <c r="D104" s="2"/>
      <c r="E104" s="310"/>
      <c r="I104" s="2"/>
      <c r="Q104" s="2"/>
    </row>
    <row r="105" spans="4:17" x14ac:dyDescent="0.25">
      <c r="D105" s="2"/>
      <c r="E105" s="310"/>
      <c r="I105" s="2"/>
      <c r="Q105" s="2"/>
    </row>
    <row r="106" spans="4:17" x14ac:dyDescent="0.25">
      <c r="D106" s="2"/>
      <c r="E106" s="310"/>
      <c r="I106" s="2"/>
      <c r="Q106" s="2"/>
    </row>
    <row r="107" spans="4:17" x14ac:dyDescent="0.25">
      <c r="D107" s="2"/>
      <c r="E107" s="310"/>
      <c r="I107" s="2"/>
      <c r="Q107" s="2"/>
    </row>
    <row r="108" spans="4:17" x14ac:dyDescent="0.25">
      <c r="D108" s="2"/>
      <c r="E108" s="310"/>
      <c r="I108" s="2"/>
      <c r="Q108" s="2"/>
    </row>
    <row r="109" spans="4:17" x14ac:dyDescent="0.25">
      <c r="D109" s="2"/>
      <c r="E109" s="310"/>
      <c r="I109" s="2"/>
      <c r="Q109" s="2"/>
    </row>
    <row r="110" spans="4:17" x14ac:dyDescent="0.25">
      <c r="D110" s="2"/>
      <c r="E110" s="310"/>
      <c r="I110" s="2"/>
      <c r="Q110" s="2"/>
    </row>
    <row r="111" spans="4:17" x14ac:dyDescent="0.25">
      <c r="D111" s="2"/>
      <c r="E111" s="310"/>
      <c r="I111" s="2"/>
      <c r="Q111" s="2"/>
    </row>
    <row r="112" spans="4:17" x14ac:dyDescent="0.25">
      <c r="D112" s="2"/>
      <c r="E112" s="310"/>
      <c r="I112" s="2"/>
      <c r="Q112" s="2"/>
    </row>
    <row r="113" spans="4:17" x14ac:dyDescent="0.25">
      <c r="D113" s="2"/>
      <c r="E113" s="310"/>
      <c r="I113" s="2"/>
      <c r="Q113" s="2"/>
    </row>
    <row r="114" spans="4:17" x14ac:dyDescent="0.25">
      <c r="D114" s="2"/>
      <c r="E114" s="310"/>
      <c r="I114" s="2"/>
      <c r="Q114" s="2"/>
    </row>
    <row r="115" spans="4:17" x14ac:dyDescent="0.25">
      <c r="D115" s="2"/>
      <c r="E115" s="310"/>
      <c r="I115" s="2"/>
      <c r="Q115" s="2"/>
    </row>
    <row r="116" spans="4:17" x14ac:dyDescent="0.25">
      <c r="D116" s="2"/>
      <c r="E116" s="310"/>
      <c r="I116" s="2"/>
      <c r="Q116" s="2"/>
    </row>
    <row r="117" spans="4:17" x14ac:dyDescent="0.25">
      <c r="D117" s="2"/>
      <c r="E117" s="310"/>
      <c r="I117" s="2"/>
      <c r="Q117" s="2"/>
    </row>
    <row r="118" spans="4:17" x14ac:dyDescent="0.25">
      <c r="D118" s="2"/>
      <c r="E118" s="310"/>
      <c r="I118" s="2"/>
      <c r="Q118" s="2"/>
    </row>
    <row r="119" spans="4:17" x14ac:dyDescent="0.25">
      <c r="D119" s="2"/>
      <c r="E119" s="310"/>
      <c r="I119" s="2"/>
      <c r="Q119" s="2"/>
    </row>
    <row r="120" spans="4:17" x14ac:dyDescent="0.25">
      <c r="D120" s="2"/>
      <c r="E120" s="310"/>
      <c r="I120" s="2"/>
      <c r="Q120" s="2"/>
    </row>
    <row r="121" spans="4:17" x14ac:dyDescent="0.25">
      <c r="D121" s="2"/>
      <c r="E121" s="310"/>
      <c r="I121" s="2"/>
      <c r="Q121" s="2"/>
    </row>
    <row r="122" spans="4:17" x14ac:dyDescent="0.25">
      <c r="D122" s="2"/>
      <c r="E122" s="310"/>
      <c r="I122" s="2"/>
      <c r="Q122" s="2"/>
    </row>
    <row r="123" spans="4:17" x14ac:dyDescent="0.25">
      <c r="D123" s="2"/>
      <c r="E123" s="310"/>
      <c r="I123" s="2"/>
      <c r="Q123" s="2"/>
    </row>
    <row r="124" spans="4:17" x14ac:dyDescent="0.25">
      <c r="D124" s="2"/>
      <c r="E124" s="310"/>
      <c r="I124" s="2"/>
      <c r="Q124" s="2"/>
    </row>
    <row r="125" spans="4:17" x14ac:dyDescent="0.25">
      <c r="D125" s="2"/>
      <c r="E125" s="310"/>
      <c r="I125" s="2"/>
      <c r="Q125" s="2"/>
    </row>
    <row r="126" spans="4:17" x14ac:dyDescent="0.25">
      <c r="D126" s="2"/>
      <c r="E126" s="310"/>
      <c r="I126" s="2"/>
      <c r="Q126" s="2"/>
    </row>
    <row r="127" spans="4:17" x14ac:dyDescent="0.25">
      <c r="D127" s="2"/>
      <c r="E127" s="310"/>
      <c r="I127" s="2"/>
      <c r="Q127" s="2"/>
    </row>
    <row r="128" spans="4:17" x14ac:dyDescent="0.25">
      <c r="D128" s="2"/>
      <c r="E128" s="310"/>
      <c r="I128" s="2"/>
      <c r="Q128" s="2"/>
    </row>
    <row r="129" spans="4:17" x14ac:dyDescent="0.25">
      <c r="D129" s="2"/>
      <c r="E129" s="310"/>
      <c r="I129" s="2"/>
      <c r="Q129" s="2"/>
    </row>
    <row r="130" spans="4:17" x14ac:dyDescent="0.25">
      <c r="D130" s="2"/>
      <c r="E130" s="310"/>
      <c r="I130" s="2"/>
      <c r="Q130" s="2"/>
    </row>
    <row r="131" spans="4:17" x14ac:dyDescent="0.25">
      <c r="D131" s="2"/>
      <c r="E131" s="310"/>
      <c r="I131" s="2"/>
      <c r="Q131" s="2"/>
    </row>
    <row r="132" spans="4:17" x14ac:dyDescent="0.25">
      <c r="D132" s="2"/>
      <c r="E132" s="310"/>
      <c r="I132" s="2"/>
      <c r="Q132" s="2"/>
    </row>
    <row r="133" spans="4:17" x14ac:dyDescent="0.25">
      <c r="D133" s="2"/>
      <c r="E133" s="310"/>
      <c r="I133" s="2"/>
      <c r="Q133" s="2"/>
    </row>
    <row r="134" spans="4:17" x14ac:dyDescent="0.25">
      <c r="D134" s="2"/>
      <c r="E134" s="310"/>
      <c r="I134" s="2"/>
      <c r="Q134" s="2"/>
    </row>
    <row r="135" spans="4:17" x14ac:dyDescent="0.25">
      <c r="D135" s="2"/>
      <c r="E135" s="310"/>
      <c r="I135" s="2"/>
      <c r="Q135" s="2"/>
    </row>
    <row r="136" spans="4:17" x14ac:dyDescent="0.25">
      <c r="D136" s="2"/>
      <c r="E136" s="310"/>
      <c r="I136" s="2"/>
      <c r="Q136" s="2"/>
    </row>
    <row r="137" spans="4:17" x14ac:dyDescent="0.25">
      <c r="D137" s="2"/>
      <c r="E137" s="310"/>
      <c r="I137" s="2"/>
      <c r="Q137" s="2"/>
    </row>
    <row r="138" spans="4:17" x14ac:dyDescent="0.25">
      <c r="D138" s="2"/>
      <c r="E138" s="310"/>
      <c r="I138" s="2"/>
      <c r="Q138" s="2"/>
    </row>
    <row r="139" spans="4:17" x14ac:dyDescent="0.25">
      <c r="D139" s="2"/>
      <c r="E139" s="310"/>
      <c r="I139" s="2"/>
      <c r="Q139" s="2"/>
    </row>
    <row r="140" spans="4:17" x14ac:dyDescent="0.25">
      <c r="D140" s="2"/>
      <c r="E140" s="310"/>
      <c r="I140" s="2"/>
      <c r="Q140" s="2"/>
    </row>
    <row r="141" spans="4:17" x14ac:dyDescent="0.25">
      <c r="D141" s="2"/>
      <c r="E141" s="310"/>
      <c r="I141" s="2"/>
      <c r="Q141" s="2"/>
    </row>
    <row r="142" spans="4:17" x14ac:dyDescent="0.25">
      <c r="D142" s="2"/>
      <c r="E142" s="310"/>
      <c r="I142" s="2"/>
      <c r="Q142" s="2"/>
    </row>
    <row r="143" spans="4:17" x14ac:dyDescent="0.25">
      <c r="D143" s="2"/>
      <c r="E143" s="310"/>
      <c r="I143" s="2"/>
      <c r="Q143" s="2"/>
    </row>
    <row r="144" spans="4:17" x14ac:dyDescent="0.25">
      <c r="D144" s="2"/>
      <c r="E144" s="310"/>
      <c r="I144" s="2"/>
      <c r="Q144" s="2"/>
    </row>
    <row r="145" spans="4:17" x14ac:dyDescent="0.25">
      <c r="D145" s="2"/>
      <c r="E145" s="310"/>
      <c r="I145" s="2"/>
      <c r="Q145" s="2"/>
    </row>
    <row r="146" spans="4:17" x14ac:dyDescent="0.25">
      <c r="D146" s="2"/>
      <c r="E146" s="310"/>
      <c r="I146" s="2"/>
      <c r="Q146" s="2"/>
    </row>
    <row r="147" spans="4:17" x14ac:dyDescent="0.25">
      <c r="D147" s="2"/>
      <c r="E147" s="310"/>
      <c r="I147" s="2"/>
      <c r="Q147" s="2"/>
    </row>
    <row r="148" spans="4:17" x14ac:dyDescent="0.25">
      <c r="D148" s="2"/>
      <c r="E148" s="310"/>
      <c r="I148" s="2"/>
      <c r="Q148" s="2"/>
    </row>
    <row r="149" spans="4:17" x14ac:dyDescent="0.25">
      <c r="D149" s="2"/>
      <c r="E149" s="310"/>
      <c r="I149" s="2"/>
      <c r="Q149" s="2"/>
    </row>
    <row r="150" spans="4:17" x14ac:dyDescent="0.25">
      <c r="D150" s="2"/>
      <c r="E150" s="310"/>
      <c r="I150" s="2"/>
      <c r="Q150" s="2"/>
    </row>
    <row r="151" spans="4:17" x14ac:dyDescent="0.25">
      <c r="D151" s="2"/>
      <c r="E151" s="310"/>
      <c r="I151" s="2"/>
      <c r="Q151" s="2"/>
    </row>
    <row r="152" spans="4:17" x14ac:dyDescent="0.25">
      <c r="D152" s="2"/>
      <c r="E152" s="310"/>
      <c r="I152" s="2"/>
      <c r="Q152" s="2"/>
    </row>
    <row r="153" spans="4:17" x14ac:dyDescent="0.25">
      <c r="D153" s="2"/>
      <c r="E153" s="310"/>
      <c r="I153" s="2"/>
      <c r="Q153" s="2"/>
    </row>
    <row r="154" spans="4:17" x14ac:dyDescent="0.25">
      <c r="D154" s="2"/>
      <c r="E154" s="310"/>
      <c r="I154" s="2"/>
      <c r="Q154" s="2"/>
    </row>
    <row r="155" spans="4:17" x14ac:dyDescent="0.25">
      <c r="D155" s="2"/>
      <c r="E155" s="310"/>
      <c r="I155" s="2"/>
      <c r="Q155" s="2"/>
    </row>
    <row r="156" spans="4:17" x14ac:dyDescent="0.25">
      <c r="D156" s="2"/>
      <c r="E156" s="310"/>
      <c r="I156" s="2"/>
      <c r="Q156" s="2"/>
    </row>
    <row r="157" spans="4:17" x14ac:dyDescent="0.25">
      <c r="D157" s="2"/>
      <c r="E157" s="310"/>
      <c r="I157" s="2"/>
      <c r="Q157" s="2"/>
    </row>
    <row r="158" spans="4:17" x14ac:dyDescent="0.25">
      <c r="D158" s="2"/>
      <c r="E158" s="310"/>
      <c r="I158" s="2"/>
      <c r="Q158" s="2"/>
    </row>
    <row r="159" spans="4:17" x14ac:dyDescent="0.25">
      <c r="D159" s="2"/>
      <c r="E159" s="310"/>
      <c r="I159" s="2"/>
      <c r="Q159" s="2"/>
    </row>
    <row r="160" spans="4:17" x14ac:dyDescent="0.25">
      <c r="D160" s="2"/>
      <c r="E160" s="310"/>
      <c r="I160" s="2"/>
      <c r="Q160" s="2"/>
    </row>
    <row r="161" spans="4:17" x14ac:dyDescent="0.25">
      <c r="D161" s="2"/>
      <c r="E161" s="310"/>
      <c r="I161" s="2"/>
      <c r="Q161" s="2"/>
    </row>
    <row r="162" spans="4:17" x14ac:dyDescent="0.25">
      <c r="D162" s="2"/>
      <c r="E162" s="310"/>
      <c r="I162" s="2"/>
      <c r="Q162" s="2"/>
    </row>
    <row r="163" spans="4:17" x14ac:dyDescent="0.25">
      <c r="D163" s="2"/>
      <c r="E163" s="310"/>
      <c r="I163" s="2"/>
      <c r="Q163" s="2"/>
    </row>
    <row r="164" spans="4:17" x14ac:dyDescent="0.25">
      <c r="D164" s="2"/>
      <c r="E164" s="310"/>
      <c r="I164" s="2"/>
      <c r="Q164" s="2"/>
    </row>
    <row r="165" spans="4:17" x14ac:dyDescent="0.25">
      <c r="D165" s="2"/>
      <c r="E165" s="310"/>
      <c r="I165" s="2"/>
      <c r="Q165" s="2"/>
    </row>
    <row r="166" spans="4:17" x14ac:dyDescent="0.25">
      <c r="D166" s="2"/>
      <c r="E166" s="310"/>
      <c r="I166" s="2"/>
      <c r="Q166" s="2"/>
    </row>
    <row r="167" spans="4:17" x14ac:dyDescent="0.25">
      <c r="D167" s="2"/>
      <c r="E167" s="310"/>
      <c r="I167" s="2"/>
      <c r="Q167" s="2"/>
    </row>
    <row r="168" spans="4:17" x14ac:dyDescent="0.25">
      <c r="D168" s="2"/>
      <c r="E168" s="310"/>
      <c r="I168" s="2"/>
      <c r="Q168" s="2"/>
    </row>
    <row r="169" spans="4:17" x14ac:dyDescent="0.25">
      <c r="D169" s="2"/>
      <c r="E169" s="310"/>
      <c r="I169" s="2"/>
      <c r="Q169" s="2"/>
    </row>
    <row r="170" spans="4:17" x14ac:dyDescent="0.25">
      <c r="D170" s="2"/>
      <c r="E170" s="310"/>
      <c r="I170" s="2"/>
      <c r="Q170" s="2"/>
    </row>
    <row r="171" spans="4:17" x14ac:dyDescent="0.25">
      <c r="D171" s="2"/>
      <c r="E171" s="310"/>
      <c r="I171" s="2"/>
      <c r="Q171" s="2"/>
    </row>
    <row r="172" spans="4:17" x14ac:dyDescent="0.25">
      <c r="D172" s="2"/>
      <c r="E172" s="310"/>
      <c r="I172" s="2"/>
      <c r="Q172" s="2"/>
    </row>
    <row r="173" spans="4:17" x14ac:dyDescent="0.25">
      <c r="D173" s="2"/>
      <c r="E173" s="310"/>
      <c r="I173" s="2"/>
      <c r="Q173" s="2"/>
    </row>
    <row r="174" spans="4:17" x14ac:dyDescent="0.25">
      <c r="D174" s="2"/>
      <c r="E174" s="310"/>
      <c r="I174" s="2"/>
      <c r="Q174" s="2"/>
    </row>
    <row r="175" spans="4:17" x14ac:dyDescent="0.25">
      <c r="D175" s="2"/>
      <c r="E175" s="310"/>
      <c r="I175" s="2"/>
      <c r="Q175" s="2"/>
    </row>
    <row r="176" spans="4:17" x14ac:dyDescent="0.25">
      <c r="D176" s="2"/>
      <c r="E176" s="310"/>
      <c r="I176" s="2"/>
      <c r="Q176" s="2"/>
    </row>
    <row r="177" spans="4:17" x14ac:dyDescent="0.25">
      <c r="D177" s="2"/>
      <c r="E177" s="310"/>
      <c r="I177" s="2"/>
      <c r="Q177" s="2"/>
    </row>
    <row r="178" spans="4:17" x14ac:dyDescent="0.25">
      <c r="D178" s="2"/>
      <c r="E178" s="310"/>
      <c r="I178" s="2"/>
      <c r="Q178" s="2"/>
    </row>
    <row r="179" spans="4:17" x14ac:dyDescent="0.25">
      <c r="D179" s="2"/>
      <c r="E179" s="310"/>
      <c r="I179" s="2"/>
      <c r="Q179" s="2"/>
    </row>
    <row r="180" spans="4:17" x14ac:dyDescent="0.25">
      <c r="D180" s="2"/>
      <c r="E180" s="310"/>
      <c r="I180" s="2"/>
      <c r="Q180" s="2"/>
    </row>
    <row r="181" spans="4:17" x14ac:dyDescent="0.25">
      <c r="D181" s="2"/>
      <c r="E181" s="310"/>
      <c r="I181" s="2"/>
      <c r="Q181" s="2"/>
    </row>
    <row r="182" spans="4:17" x14ac:dyDescent="0.25">
      <c r="D182" s="2"/>
      <c r="E182" s="310"/>
      <c r="I182" s="2"/>
      <c r="Q182" s="2"/>
    </row>
    <row r="183" spans="4:17" x14ac:dyDescent="0.25">
      <c r="D183" s="2"/>
      <c r="E183" s="310"/>
      <c r="I183" s="2"/>
      <c r="Q183" s="2"/>
    </row>
    <row r="184" spans="4:17" x14ac:dyDescent="0.25">
      <c r="D184" s="2"/>
      <c r="E184" s="310"/>
      <c r="I184" s="2"/>
      <c r="Q184" s="2"/>
    </row>
    <row r="185" spans="4:17" x14ac:dyDescent="0.25">
      <c r="D185" s="2"/>
      <c r="E185" s="310"/>
      <c r="I185" s="2"/>
      <c r="Q185" s="2"/>
    </row>
    <row r="186" spans="4:17" x14ac:dyDescent="0.25">
      <c r="D186" s="2"/>
      <c r="E186" s="310"/>
      <c r="I186" s="2"/>
      <c r="Q186" s="2"/>
    </row>
    <row r="187" spans="4:17" x14ac:dyDescent="0.25">
      <c r="D187" s="2"/>
      <c r="E187" s="310"/>
      <c r="I187" s="2"/>
      <c r="Q187" s="2"/>
    </row>
    <row r="188" spans="4:17" x14ac:dyDescent="0.25">
      <c r="D188" s="2"/>
      <c r="E188" s="310"/>
      <c r="I188" s="2"/>
      <c r="Q188" s="2"/>
    </row>
    <row r="189" spans="4:17" x14ac:dyDescent="0.25">
      <c r="D189" s="2"/>
      <c r="E189" s="310"/>
      <c r="I189" s="2"/>
      <c r="Q189" s="2"/>
    </row>
    <row r="190" spans="4:17" x14ac:dyDescent="0.25">
      <c r="D190" s="2"/>
      <c r="E190" s="310"/>
      <c r="I190" s="2"/>
      <c r="Q190" s="2"/>
    </row>
    <row r="191" spans="4:17" x14ac:dyDescent="0.25">
      <c r="D191" s="2"/>
      <c r="E191" s="310"/>
      <c r="I191" s="2"/>
      <c r="Q191" s="2"/>
    </row>
    <row r="192" spans="4:17" x14ac:dyDescent="0.25">
      <c r="D192" s="2"/>
      <c r="E192" s="310"/>
      <c r="I192" s="2"/>
      <c r="Q192" s="2"/>
    </row>
    <row r="193" spans="4:17" x14ac:dyDescent="0.25">
      <c r="D193" s="2"/>
      <c r="E193" s="310"/>
      <c r="I193" s="2"/>
      <c r="Q193" s="2"/>
    </row>
    <row r="194" spans="4:17" x14ac:dyDescent="0.25">
      <c r="D194" s="2"/>
      <c r="E194" s="310"/>
      <c r="I194" s="2"/>
      <c r="Q194" s="2"/>
    </row>
    <row r="195" spans="4:17" x14ac:dyDescent="0.25">
      <c r="D195" s="2"/>
      <c r="E195" s="310"/>
      <c r="I195" s="2"/>
      <c r="Q195" s="2"/>
    </row>
    <row r="196" spans="4:17" x14ac:dyDescent="0.25">
      <c r="D196" s="2"/>
      <c r="E196" s="310"/>
      <c r="I196" s="2"/>
      <c r="Q196" s="2"/>
    </row>
    <row r="197" spans="4:17" x14ac:dyDescent="0.25">
      <c r="D197" s="2"/>
      <c r="E197" s="310"/>
      <c r="I197" s="2"/>
      <c r="Q197" s="2"/>
    </row>
    <row r="198" spans="4:17" x14ac:dyDescent="0.25">
      <c r="D198" s="2"/>
      <c r="E198" s="310"/>
      <c r="I198" s="2"/>
      <c r="Q198" s="2"/>
    </row>
    <row r="199" spans="4:17" x14ac:dyDescent="0.25">
      <c r="D199" s="2"/>
      <c r="E199" s="310"/>
      <c r="I199" s="2"/>
      <c r="Q199" s="2"/>
    </row>
    <row r="200" spans="4:17" x14ac:dyDescent="0.25">
      <c r="D200" s="2"/>
      <c r="E200" s="310"/>
      <c r="I200" s="2"/>
      <c r="Q200" s="2"/>
    </row>
    <row r="201" spans="4:17" x14ac:dyDescent="0.25">
      <c r="D201" s="2"/>
      <c r="E201" s="310"/>
      <c r="I201" s="2"/>
      <c r="Q201" s="2"/>
    </row>
    <row r="202" spans="4:17" x14ac:dyDescent="0.25">
      <c r="D202" s="2"/>
      <c r="E202" s="310"/>
      <c r="I202" s="2"/>
      <c r="Q202" s="2"/>
    </row>
    <row r="203" spans="4:17" x14ac:dyDescent="0.25">
      <c r="D203" s="2"/>
      <c r="E203" s="310"/>
      <c r="I203" s="2"/>
      <c r="Q203" s="2"/>
    </row>
    <row r="204" spans="4:17" x14ac:dyDescent="0.25">
      <c r="D204" s="2"/>
      <c r="E204" s="310"/>
      <c r="I204" s="2"/>
      <c r="Q204" s="2"/>
    </row>
    <row r="205" spans="4:17" x14ac:dyDescent="0.25">
      <c r="D205" s="2"/>
      <c r="E205" s="310"/>
      <c r="I205" s="2"/>
      <c r="Q205" s="2"/>
    </row>
    <row r="209" spans="4:17" x14ac:dyDescent="0.25">
      <c r="D209" s="2"/>
      <c r="E209" s="310"/>
      <c r="I209" s="2"/>
      <c r="Q209" s="2"/>
    </row>
    <row r="210" spans="4:17" x14ac:dyDescent="0.25">
      <c r="D210" s="2"/>
      <c r="E210" s="310"/>
      <c r="I210" s="2"/>
      <c r="Q210" s="2"/>
    </row>
    <row r="212" spans="4:17" x14ac:dyDescent="0.25">
      <c r="D212" s="2"/>
      <c r="E212" s="310"/>
      <c r="I212" s="2"/>
      <c r="Q212" s="2"/>
    </row>
    <row r="213" spans="4:17" x14ac:dyDescent="0.25">
      <c r="D213" s="2"/>
      <c r="E213" s="310"/>
      <c r="I213" s="2"/>
      <c r="Q213" s="2"/>
    </row>
    <row r="214" spans="4:17" x14ac:dyDescent="0.25">
      <c r="D214" s="2"/>
      <c r="E214" s="310"/>
      <c r="I214" s="2"/>
      <c r="Q214" s="2"/>
    </row>
    <row r="215" spans="4:17" x14ac:dyDescent="0.25">
      <c r="D215" s="2"/>
      <c r="E215" s="310"/>
      <c r="I215" s="2"/>
      <c r="Q215" s="2"/>
    </row>
    <row r="216" spans="4:17" x14ac:dyDescent="0.25">
      <c r="D216" s="2"/>
      <c r="E216" s="310"/>
      <c r="I216" s="2"/>
      <c r="Q216" s="2"/>
    </row>
    <row r="217" spans="4:17" x14ac:dyDescent="0.25">
      <c r="D217" s="2"/>
      <c r="E217" s="310"/>
      <c r="I217" s="2"/>
      <c r="Q217" s="2"/>
    </row>
    <row r="218" spans="4:17" x14ac:dyDescent="0.25">
      <c r="D218" s="2"/>
      <c r="E218" s="310"/>
      <c r="I218" s="2"/>
      <c r="Q218" s="2"/>
    </row>
    <row r="219" spans="4:17" x14ac:dyDescent="0.25">
      <c r="D219" s="2"/>
      <c r="E219" s="310"/>
      <c r="I219" s="2"/>
      <c r="Q219" s="2"/>
    </row>
    <row r="220" spans="4:17" x14ac:dyDescent="0.25">
      <c r="D220" s="2"/>
      <c r="E220" s="310"/>
      <c r="I220" s="2"/>
      <c r="Q220" s="2"/>
    </row>
    <row r="221" spans="4:17" x14ac:dyDescent="0.25">
      <c r="D221" s="2"/>
      <c r="E221" s="310"/>
      <c r="I221" s="2"/>
      <c r="Q221" s="2"/>
    </row>
    <row r="222" spans="4:17" x14ac:dyDescent="0.25">
      <c r="D222" s="2"/>
      <c r="E222" s="310"/>
      <c r="I222" s="2"/>
      <c r="Q222" s="2"/>
    </row>
    <row r="223" spans="4:17" x14ac:dyDescent="0.25">
      <c r="D223" s="2"/>
      <c r="E223" s="310"/>
      <c r="I223" s="2"/>
      <c r="Q223" s="2"/>
    </row>
    <row r="224" spans="4:17" x14ac:dyDescent="0.25">
      <c r="D224" s="2"/>
      <c r="E224" s="310"/>
      <c r="I224" s="2"/>
      <c r="Q224" s="2"/>
    </row>
    <row r="225" spans="4:17" x14ac:dyDescent="0.25">
      <c r="D225" s="2"/>
      <c r="E225" s="310"/>
      <c r="I225" s="2"/>
      <c r="Q225" s="2"/>
    </row>
    <row r="226" spans="4:17" x14ac:dyDescent="0.25">
      <c r="D226" s="2"/>
      <c r="E226" s="310"/>
      <c r="I226" s="2"/>
      <c r="Q226" s="2"/>
    </row>
    <row r="227" spans="4:17" x14ac:dyDescent="0.25">
      <c r="D227" s="2"/>
      <c r="E227" s="310"/>
      <c r="I227" s="2"/>
      <c r="Q227" s="2"/>
    </row>
    <row r="228" spans="4:17" x14ac:dyDescent="0.25">
      <c r="D228" s="2"/>
      <c r="E228" s="310"/>
      <c r="I228" s="2"/>
      <c r="Q228" s="2"/>
    </row>
    <row r="229" spans="4:17" x14ac:dyDescent="0.25">
      <c r="D229" s="2"/>
      <c r="E229" s="310"/>
      <c r="I229" s="2"/>
      <c r="Q229" s="2"/>
    </row>
    <row r="230" spans="4:17" x14ac:dyDescent="0.25">
      <c r="D230" s="2"/>
      <c r="E230" s="310"/>
      <c r="I230" s="2"/>
      <c r="Q230" s="2"/>
    </row>
    <row r="231" spans="4:17" x14ac:dyDescent="0.25">
      <c r="D231" s="2"/>
      <c r="E231" s="310"/>
      <c r="I231" s="2"/>
      <c r="Q231" s="2"/>
    </row>
    <row r="232" spans="4:17" x14ac:dyDescent="0.25">
      <c r="D232" s="2"/>
      <c r="E232" s="310"/>
      <c r="I232" s="2"/>
      <c r="Q232" s="2"/>
    </row>
    <row r="233" spans="4:17" x14ac:dyDescent="0.25">
      <c r="D233" s="2"/>
      <c r="E233" s="310"/>
      <c r="I233" s="2"/>
      <c r="Q233" s="2"/>
    </row>
    <row r="234" spans="4:17" x14ac:dyDescent="0.25">
      <c r="D234" s="2"/>
      <c r="E234" s="310"/>
      <c r="I234" s="2"/>
      <c r="Q234" s="2"/>
    </row>
    <row r="235" spans="4:17" x14ac:dyDescent="0.25">
      <c r="D235" s="2"/>
      <c r="E235" s="310"/>
      <c r="I235" s="2"/>
      <c r="Q235" s="2"/>
    </row>
    <row r="236" spans="4:17" x14ac:dyDescent="0.25">
      <c r="D236" s="2"/>
      <c r="E236" s="310"/>
      <c r="I236" s="2"/>
      <c r="Q236" s="2"/>
    </row>
    <row r="237" spans="4:17" x14ac:dyDescent="0.25">
      <c r="D237" s="2"/>
      <c r="E237" s="310"/>
      <c r="I237" s="2"/>
      <c r="Q237" s="2"/>
    </row>
    <row r="238" spans="4:17" x14ac:dyDescent="0.25">
      <c r="D238" s="2"/>
      <c r="E238" s="310"/>
      <c r="I238" s="2"/>
      <c r="Q238" s="2"/>
    </row>
    <row r="239" spans="4:17" x14ac:dyDescent="0.25">
      <c r="D239" s="2"/>
      <c r="E239" s="310"/>
      <c r="I239" s="2"/>
      <c r="Q239" s="2"/>
    </row>
    <row r="240" spans="4:17" x14ac:dyDescent="0.25">
      <c r="D240" s="2"/>
      <c r="E240" s="310"/>
      <c r="I240" s="2"/>
      <c r="Q240" s="2"/>
    </row>
    <row r="241" spans="4:17" x14ac:dyDescent="0.25">
      <c r="D241" s="2"/>
      <c r="E241" s="310"/>
      <c r="I241" s="2"/>
      <c r="Q241" s="2"/>
    </row>
    <row r="242" spans="4:17" x14ac:dyDescent="0.25">
      <c r="D242" s="2"/>
      <c r="E242" s="310"/>
      <c r="I242" s="2"/>
      <c r="Q242" s="2"/>
    </row>
    <row r="243" spans="4:17" x14ac:dyDescent="0.25">
      <c r="D243" s="2"/>
      <c r="E243" s="310"/>
      <c r="I243" s="2"/>
      <c r="Q243" s="2"/>
    </row>
    <row r="244" spans="4:17" x14ac:dyDescent="0.25">
      <c r="D244" s="2"/>
      <c r="E244" s="310"/>
      <c r="I244" s="2"/>
      <c r="Q244" s="2"/>
    </row>
    <row r="245" spans="4:17" x14ac:dyDescent="0.25">
      <c r="D245" s="2"/>
      <c r="E245" s="310"/>
      <c r="I245" s="2"/>
      <c r="Q245" s="2"/>
    </row>
    <row r="246" spans="4:17" x14ac:dyDescent="0.25">
      <c r="D246" s="2"/>
      <c r="E246" s="310"/>
      <c r="I246" s="2"/>
      <c r="Q246" s="2"/>
    </row>
    <row r="247" spans="4:17" x14ac:dyDescent="0.25">
      <c r="D247" s="2"/>
      <c r="E247" s="310"/>
      <c r="I247" s="2"/>
      <c r="Q247" s="2"/>
    </row>
    <row r="248" spans="4:17" x14ac:dyDescent="0.25">
      <c r="D248" s="2"/>
      <c r="E248" s="310"/>
      <c r="I248" s="2"/>
      <c r="Q248" s="2"/>
    </row>
    <row r="249" spans="4:17" x14ac:dyDescent="0.25">
      <c r="D249" s="2"/>
      <c r="E249" s="310"/>
      <c r="I249" s="2"/>
      <c r="Q249" s="2"/>
    </row>
    <row r="250" spans="4:17" x14ac:dyDescent="0.25">
      <c r="D250" s="2"/>
      <c r="E250" s="310"/>
      <c r="I250" s="2"/>
      <c r="Q250" s="2"/>
    </row>
    <row r="251" spans="4:17" x14ac:dyDescent="0.25">
      <c r="D251" s="2"/>
      <c r="E251" s="310"/>
      <c r="I251" s="2"/>
      <c r="Q251" s="2"/>
    </row>
    <row r="252" spans="4:17" x14ac:dyDescent="0.25">
      <c r="D252" s="2"/>
      <c r="E252" s="310"/>
      <c r="I252" s="2"/>
      <c r="Q252" s="2"/>
    </row>
    <row r="253" spans="4:17" x14ac:dyDescent="0.25">
      <c r="D253" s="2"/>
      <c r="E253" s="310"/>
      <c r="I253" s="2"/>
      <c r="Q253" s="2"/>
    </row>
    <row r="254" spans="4:17" x14ac:dyDescent="0.25">
      <c r="D254" s="2"/>
      <c r="E254" s="310"/>
      <c r="I254" s="2"/>
      <c r="Q254" s="2"/>
    </row>
    <row r="255" spans="4:17" x14ac:dyDescent="0.25">
      <c r="D255" s="2"/>
      <c r="E255" s="310"/>
      <c r="I255" s="2"/>
      <c r="Q255" s="2"/>
    </row>
    <row r="256" spans="4:17" x14ac:dyDescent="0.25">
      <c r="D256" s="2"/>
      <c r="E256" s="310"/>
      <c r="I256" s="2"/>
      <c r="Q256" s="2"/>
    </row>
    <row r="257" spans="4:17" x14ac:dyDescent="0.25">
      <c r="D257" s="2"/>
      <c r="E257" s="310"/>
      <c r="I257" s="2"/>
      <c r="Q257" s="2"/>
    </row>
    <row r="258" spans="4:17" x14ac:dyDescent="0.25">
      <c r="D258" s="2"/>
      <c r="E258" s="310"/>
      <c r="I258" s="2"/>
      <c r="Q258" s="2"/>
    </row>
    <row r="259" spans="4:17" x14ac:dyDescent="0.25">
      <c r="D259" s="2"/>
      <c r="E259" s="310"/>
      <c r="I259" s="2"/>
      <c r="Q259" s="2"/>
    </row>
    <row r="260" spans="4:17" x14ac:dyDescent="0.25">
      <c r="D260" s="2"/>
      <c r="E260" s="310"/>
      <c r="I260" s="2"/>
      <c r="Q260" s="2"/>
    </row>
    <row r="261" spans="4:17" x14ac:dyDescent="0.25">
      <c r="D261" s="2"/>
      <c r="E261" s="310"/>
      <c r="I261" s="2"/>
      <c r="Q261" s="2"/>
    </row>
    <row r="262" spans="4:17" x14ac:dyDescent="0.25">
      <c r="D262" s="2"/>
      <c r="E262" s="310"/>
      <c r="I262" s="2"/>
      <c r="Q262" s="2"/>
    </row>
    <row r="263" spans="4:17" x14ac:dyDescent="0.25">
      <c r="D263" s="2"/>
      <c r="E263" s="310"/>
      <c r="I263" s="2"/>
      <c r="Q263" s="2"/>
    </row>
    <row r="264" spans="4:17" x14ac:dyDescent="0.25">
      <c r="D264" s="2"/>
      <c r="E264" s="310"/>
      <c r="I264" s="2"/>
      <c r="Q264" s="2"/>
    </row>
    <row r="265" spans="4:17" x14ac:dyDescent="0.25">
      <c r="D265" s="2"/>
      <c r="E265" s="310"/>
      <c r="I265" s="2"/>
      <c r="Q265" s="2"/>
    </row>
    <row r="266" spans="4:17" x14ac:dyDescent="0.25">
      <c r="D266" s="2"/>
      <c r="E266" s="310"/>
      <c r="I266" s="2"/>
      <c r="Q266" s="2"/>
    </row>
    <row r="267" spans="4:17" x14ac:dyDescent="0.25">
      <c r="D267" s="2"/>
      <c r="E267" s="310"/>
      <c r="I267" s="2"/>
      <c r="Q267" s="2"/>
    </row>
    <row r="268" spans="4:17" x14ac:dyDescent="0.25">
      <c r="D268" s="2"/>
      <c r="E268" s="310"/>
      <c r="I268" s="2"/>
      <c r="Q268" s="2"/>
    </row>
    <row r="269" spans="4:17" x14ac:dyDescent="0.25">
      <c r="D269" s="2"/>
      <c r="E269" s="310"/>
      <c r="I269" s="2"/>
      <c r="Q269" s="2"/>
    </row>
    <row r="270" spans="4:17" x14ac:dyDescent="0.25">
      <c r="D270" s="2"/>
      <c r="E270" s="310"/>
      <c r="I270" s="2"/>
      <c r="Q270" s="2"/>
    </row>
    <row r="271" spans="4:17" x14ac:dyDescent="0.25">
      <c r="D271" s="2"/>
      <c r="E271" s="310"/>
      <c r="I271" s="2"/>
      <c r="Q271" s="2"/>
    </row>
    <row r="272" spans="4:17" x14ac:dyDescent="0.25">
      <c r="D272" s="2"/>
      <c r="E272" s="310"/>
      <c r="I272" s="2"/>
      <c r="Q272" s="2"/>
    </row>
    <row r="273" spans="4:17" x14ac:dyDescent="0.25">
      <c r="D273" s="2"/>
      <c r="E273" s="310"/>
      <c r="I273" s="2"/>
      <c r="Q273" s="2"/>
    </row>
    <row r="274" spans="4:17" x14ac:dyDescent="0.25">
      <c r="D274" s="2"/>
      <c r="E274" s="310"/>
      <c r="I274" s="2"/>
      <c r="Q274" s="2"/>
    </row>
    <row r="275" spans="4:17" x14ac:dyDescent="0.25">
      <c r="D275" s="2"/>
      <c r="E275" s="310"/>
      <c r="I275" s="2"/>
      <c r="Q275" s="2"/>
    </row>
    <row r="276" spans="4:17" x14ac:dyDescent="0.25">
      <c r="D276" s="2"/>
      <c r="E276" s="310"/>
      <c r="I276" s="2"/>
      <c r="Q276" s="2"/>
    </row>
    <row r="277" spans="4:17" x14ac:dyDescent="0.25">
      <c r="D277" s="2"/>
      <c r="E277" s="310"/>
      <c r="I277" s="2"/>
      <c r="Q277" s="2"/>
    </row>
    <row r="278" spans="4:17" x14ac:dyDescent="0.25">
      <c r="D278" s="2"/>
      <c r="E278" s="310"/>
      <c r="I278" s="2"/>
      <c r="Q278" s="2"/>
    </row>
    <row r="279" spans="4:17" x14ac:dyDescent="0.25">
      <c r="D279" s="2"/>
      <c r="E279" s="310"/>
      <c r="I279" s="2"/>
      <c r="Q279" s="2"/>
    </row>
    <row r="280" spans="4:17" x14ac:dyDescent="0.25">
      <c r="D280" s="2"/>
      <c r="E280" s="310"/>
      <c r="I280" s="2"/>
      <c r="Q280" s="2"/>
    </row>
    <row r="281" spans="4:17" x14ac:dyDescent="0.25">
      <c r="D281" s="2"/>
      <c r="E281" s="310"/>
      <c r="I281" s="2"/>
      <c r="Q281" s="2"/>
    </row>
    <row r="282" spans="4:17" x14ac:dyDescent="0.25">
      <c r="D282" s="2"/>
      <c r="E282" s="310"/>
      <c r="I282" s="2"/>
      <c r="Q282" s="2"/>
    </row>
    <row r="283" spans="4:17" x14ac:dyDescent="0.25">
      <c r="D283" s="2"/>
      <c r="E283" s="310"/>
      <c r="I283" s="2"/>
      <c r="Q283" s="2"/>
    </row>
    <row r="284" spans="4:17" x14ac:dyDescent="0.25">
      <c r="D284" s="2"/>
      <c r="E284" s="310"/>
      <c r="I284" s="2"/>
      <c r="Q284" s="2"/>
    </row>
    <row r="285" spans="4:17" x14ac:dyDescent="0.25">
      <c r="D285" s="2"/>
      <c r="E285" s="310"/>
      <c r="I285" s="2"/>
      <c r="Q285" s="2"/>
    </row>
    <row r="286" spans="4:17" x14ac:dyDescent="0.25">
      <c r="D286" s="2"/>
      <c r="E286" s="310"/>
      <c r="I286" s="2"/>
      <c r="Q286" s="2"/>
    </row>
    <row r="287" spans="4:17" x14ac:dyDescent="0.25">
      <c r="D287" s="2"/>
      <c r="E287" s="310"/>
      <c r="I287" s="2"/>
      <c r="Q287" s="2"/>
    </row>
    <row r="288" spans="4:17" x14ac:dyDescent="0.25">
      <c r="D288" s="2"/>
      <c r="E288" s="310"/>
      <c r="I288" s="2"/>
      <c r="Q288" s="2"/>
    </row>
    <row r="289" spans="4:17" x14ac:dyDescent="0.25">
      <c r="D289" s="2"/>
      <c r="E289" s="310"/>
      <c r="I289" s="2"/>
      <c r="Q289" s="2"/>
    </row>
    <row r="290" spans="4:17" x14ac:dyDescent="0.25">
      <c r="D290" s="2"/>
      <c r="E290" s="310"/>
      <c r="I290" s="2"/>
      <c r="Q290" s="2"/>
    </row>
    <row r="291" spans="4:17" x14ac:dyDescent="0.25">
      <c r="D291" s="2"/>
      <c r="E291" s="310"/>
      <c r="I291" s="2"/>
      <c r="Q291" s="2"/>
    </row>
    <row r="292" spans="4:17" x14ac:dyDescent="0.25">
      <c r="D292" s="2"/>
      <c r="E292" s="310"/>
      <c r="I292" s="2"/>
      <c r="Q292" s="2"/>
    </row>
    <row r="293" spans="4:17" x14ac:dyDescent="0.25">
      <c r="D293" s="2"/>
      <c r="E293" s="310"/>
      <c r="I293" s="2"/>
      <c r="Q293" s="2"/>
    </row>
    <row r="294" spans="4:17" x14ac:dyDescent="0.25">
      <c r="D294" s="2"/>
      <c r="E294" s="310"/>
      <c r="I294" s="2"/>
      <c r="Q294" s="2"/>
    </row>
    <row r="295" spans="4:17" x14ac:dyDescent="0.25">
      <c r="D295" s="2"/>
      <c r="E295" s="310"/>
      <c r="I295" s="2"/>
      <c r="Q295" s="2"/>
    </row>
    <row r="296" spans="4:17" x14ac:dyDescent="0.25">
      <c r="D296" s="2"/>
      <c r="E296" s="310"/>
      <c r="I296" s="2"/>
      <c r="Q296" s="2"/>
    </row>
    <row r="297" spans="4:17" x14ac:dyDescent="0.25">
      <c r="D297" s="2"/>
      <c r="E297" s="310"/>
      <c r="I297" s="2"/>
      <c r="Q297" s="2"/>
    </row>
    <row r="298" spans="4:17" x14ac:dyDescent="0.25">
      <c r="D298" s="2"/>
      <c r="E298" s="310"/>
      <c r="I298" s="2"/>
      <c r="Q298" s="2"/>
    </row>
    <row r="299" spans="4:17" x14ac:dyDescent="0.25">
      <c r="D299" s="2"/>
      <c r="E299" s="310"/>
      <c r="I299" s="2"/>
      <c r="Q299" s="2"/>
    </row>
    <row r="300" spans="4:17" x14ac:dyDescent="0.25">
      <c r="D300" s="2"/>
      <c r="E300" s="310"/>
      <c r="I300" s="2"/>
      <c r="Q300" s="2"/>
    </row>
    <row r="301" spans="4:17" x14ac:dyDescent="0.25">
      <c r="D301" s="2"/>
      <c r="E301" s="310"/>
      <c r="I301" s="2"/>
      <c r="Q301" s="2"/>
    </row>
    <row r="302" spans="4:17" x14ac:dyDescent="0.25">
      <c r="D302" s="2"/>
      <c r="E302" s="310"/>
      <c r="I302" s="2"/>
      <c r="Q302" s="2"/>
    </row>
    <row r="303" spans="4:17" x14ac:dyDescent="0.25">
      <c r="D303" s="2"/>
      <c r="E303" s="310"/>
      <c r="I303" s="2"/>
      <c r="Q303" s="2"/>
    </row>
    <row r="304" spans="4:17" x14ac:dyDescent="0.25">
      <c r="D304" s="2"/>
      <c r="E304" s="310"/>
      <c r="I304" s="2"/>
      <c r="Q304" s="2"/>
    </row>
    <row r="305" spans="4:17" x14ac:dyDescent="0.25">
      <c r="D305" s="2"/>
      <c r="E305" s="310"/>
      <c r="I305" s="2"/>
      <c r="Q305" s="2"/>
    </row>
    <row r="306" spans="4:17" x14ac:dyDescent="0.25">
      <c r="D306" s="2"/>
      <c r="E306" s="310"/>
      <c r="I306" s="2"/>
      <c r="Q306" s="2"/>
    </row>
    <row r="307" spans="4:17" x14ac:dyDescent="0.25">
      <c r="D307" s="2"/>
      <c r="E307" s="310"/>
      <c r="I307" s="2"/>
      <c r="Q307" s="2"/>
    </row>
    <row r="308" spans="4:17" x14ac:dyDescent="0.25">
      <c r="D308" s="2"/>
      <c r="E308" s="310"/>
      <c r="I308" s="2"/>
      <c r="Q308" s="2"/>
    </row>
    <row r="309" spans="4:17" x14ac:dyDescent="0.25">
      <c r="D309" s="2"/>
      <c r="E309" s="310"/>
      <c r="I309" s="2"/>
      <c r="Q309" s="2"/>
    </row>
    <row r="310" spans="4:17" x14ac:dyDescent="0.25">
      <c r="D310" s="2"/>
      <c r="E310" s="310"/>
      <c r="I310" s="2"/>
      <c r="Q310" s="2"/>
    </row>
    <row r="311" spans="4:17" x14ac:dyDescent="0.25">
      <c r="D311" s="2"/>
      <c r="E311" s="310"/>
      <c r="I311" s="2"/>
      <c r="Q311" s="2"/>
    </row>
    <row r="312" spans="4:17" x14ac:dyDescent="0.25">
      <c r="D312" s="2"/>
      <c r="E312" s="310"/>
      <c r="I312" s="2"/>
      <c r="Q312" s="2"/>
    </row>
    <row r="313" spans="4:17" x14ac:dyDescent="0.25">
      <c r="D313" s="2"/>
      <c r="E313" s="310"/>
      <c r="I313" s="2"/>
      <c r="Q313" s="2"/>
    </row>
    <row r="314" spans="4:17" x14ac:dyDescent="0.25">
      <c r="D314" s="2"/>
      <c r="E314" s="310"/>
      <c r="I314" s="2"/>
      <c r="Q314" s="2"/>
    </row>
    <row r="315" spans="4:17" x14ac:dyDescent="0.25">
      <c r="D315" s="2"/>
      <c r="E315" s="310"/>
      <c r="I315" s="2"/>
      <c r="Q315" s="2"/>
    </row>
    <row r="316" spans="4:17" x14ac:dyDescent="0.25">
      <c r="D316" s="2"/>
      <c r="E316" s="310"/>
      <c r="I316" s="2"/>
      <c r="Q316" s="2"/>
    </row>
    <row r="317" spans="4:17" x14ac:dyDescent="0.25">
      <c r="D317" s="2"/>
      <c r="E317" s="310"/>
      <c r="I317" s="2"/>
      <c r="Q317" s="2"/>
    </row>
    <row r="318" spans="4:17" x14ac:dyDescent="0.25">
      <c r="D318" s="2"/>
      <c r="E318" s="310"/>
      <c r="I318" s="2"/>
      <c r="Q318" s="2"/>
    </row>
    <row r="319" spans="4:17" x14ac:dyDescent="0.25">
      <c r="D319" s="2"/>
      <c r="E319" s="310"/>
      <c r="I319" s="2"/>
      <c r="Q319" s="2"/>
    </row>
    <row r="320" spans="4:17" x14ac:dyDescent="0.25">
      <c r="D320" s="2"/>
      <c r="E320" s="310"/>
      <c r="I320" s="2"/>
      <c r="Q320" s="2"/>
    </row>
    <row r="321" spans="4:17" x14ac:dyDescent="0.25">
      <c r="D321" s="2"/>
      <c r="E321" s="310"/>
      <c r="I321" s="2"/>
      <c r="Q321" s="2"/>
    </row>
    <row r="322" spans="4:17" x14ac:dyDescent="0.25">
      <c r="D322" s="2"/>
      <c r="E322" s="310"/>
      <c r="I322" s="2"/>
      <c r="Q322" s="2"/>
    </row>
    <row r="323" spans="4:17" x14ac:dyDescent="0.25">
      <c r="D323" s="2"/>
      <c r="E323" s="310"/>
      <c r="I323" s="2"/>
      <c r="Q323" s="2"/>
    </row>
    <row r="324" spans="4:17" x14ac:dyDescent="0.25">
      <c r="D324" s="2"/>
      <c r="E324" s="310"/>
      <c r="I324" s="2"/>
      <c r="Q324" s="2"/>
    </row>
    <row r="325" spans="4:17" x14ac:dyDescent="0.25">
      <c r="D325" s="2"/>
      <c r="E325" s="310"/>
      <c r="I325" s="2"/>
      <c r="Q325" s="2"/>
    </row>
    <row r="326" spans="4:17" x14ac:dyDescent="0.25">
      <c r="D326" s="2"/>
      <c r="E326" s="310"/>
      <c r="I326" s="2"/>
      <c r="Q326" s="2"/>
    </row>
    <row r="327" spans="4:17" x14ac:dyDescent="0.25">
      <c r="D327" s="2"/>
      <c r="E327" s="310"/>
      <c r="I327" s="2"/>
      <c r="Q327" s="2"/>
    </row>
    <row r="328" spans="4:17" x14ac:dyDescent="0.25">
      <c r="D328" s="2"/>
      <c r="E328" s="310"/>
      <c r="I328" s="2"/>
      <c r="Q328" s="2"/>
    </row>
    <row r="329" spans="4:17" x14ac:dyDescent="0.25">
      <c r="D329" s="2"/>
      <c r="E329" s="310"/>
      <c r="I329" s="2"/>
      <c r="Q329" s="2"/>
    </row>
    <row r="330" spans="4:17" x14ac:dyDescent="0.25">
      <c r="D330" s="2"/>
      <c r="E330" s="310"/>
      <c r="I330" s="2"/>
      <c r="Q330" s="2"/>
    </row>
    <row r="331" spans="4:17" x14ac:dyDescent="0.25">
      <c r="D331" s="2"/>
      <c r="E331" s="310"/>
      <c r="I331" s="2"/>
      <c r="Q331" s="2"/>
    </row>
    <row r="332" spans="4:17" x14ac:dyDescent="0.25">
      <c r="D332" s="2"/>
      <c r="E332" s="310"/>
      <c r="I332" s="2"/>
      <c r="Q332" s="2"/>
    </row>
    <row r="333" spans="4:17" x14ac:dyDescent="0.25">
      <c r="D333" s="2"/>
      <c r="E333" s="310"/>
      <c r="I333" s="2"/>
      <c r="Q333" s="2"/>
    </row>
    <row r="334" spans="4:17" x14ac:dyDescent="0.25">
      <c r="D334" s="2"/>
      <c r="E334" s="310"/>
      <c r="I334" s="2"/>
      <c r="Q334" s="2"/>
    </row>
    <row r="335" spans="4:17" x14ac:dyDescent="0.25">
      <c r="D335" s="2"/>
      <c r="E335" s="310"/>
      <c r="I335" s="2"/>
      <c r="Q335" s="2"/>
    </row>
    <row r="336" spans="4:17" x14ac:dyDescent="0.25">
      <c r="D336" s="2"/>
      <c r="E336" s="310"/>
      <c r="I336" s="2"/>
      <c r="Q336" s="2"/>
    </row>
    <row r="337" spans="4:17" x14ac:dyDescent="0.25">
      <c r="D337" s="2"/>
      <c r="E337" s="310"/>
      <c r="I337" s="2"/>
      <c r="Q337" s="2"/>
    </row>
    <row r="338" spans="4:17" x14ac:dyDescent="0.25">
      <c r="D338" s="2"/>
      <c r="E338" s="310"/>
      <c r="I338" s="2"/>
      <c r="Q338" s="2"/>
    </row>
    <row r="339" spans="4:17" x14ac:dyDescent="0.25">
      <c r="D339" s="2"/>
      <c r="E339" s="310"/>
      <c r="I339" s="2"/>
      <c r="Q339" s="2"/>
    </row>
    <row r="340" spans="4:17" x14ac:dyDescent="0.25">
      <c r="D340" s="2"/>
      <c r="E340" s="310"/>
      <c r="I340" s="2"/>
      <c r="Q340" s="2"/>
    </row>
    <row r="341" spans="4:17" x14ac:dyDescent="0.25">
      <c r="D341" s="2"/>
      <c r="E341" s="310"/>
      <c r="I341" s="2"/>
      <c r="Q341" s="2"/>
    </row>
    <row r="342" spans="4:17" x14ac:dyDescent="0.25">
      <c r="D342" s="2"/>
      <c r="E342" s="310"/>
      <c r="I342" s="2"/>
      <c r="Q342" s="2"/>
    </row>
    <row r="343" spans="4:17" x14ac:dyDescent="0.25">
      <c r="D343" s="2"/>
      <c r="E343" s="310"/>
      <c r="I343" s="2"/>
      <c r="Q343" s="2"/>
    </row>
    <row r="344" spans="4:17" x14ac:dyDescent="0.25">
      <c r="D344" s="2"/>
      <c r="E344" s="310"/>
      <c r="I344" s="2"/>
      <c r="Q344" s="2"/>
    </row>
    <row r="345" spans="4:17" x14ac:dyDescent="0.25">
      <c r="D345" s="2"/>
      <c r="E345" s="310"/>
      <c r="I345" s="2"/>
      <c r="Q345" s="2"/>
    </row>
    <row r="346" spans="4:17" x14ac:dyDescent="0.25">
      <c r="D346" s="2"/>
      <c r="E346" s="310"/>
      <c r="I346" s="2"/>
      <c r="Q346" s="2"/>
    </row>
    <row r="347" spans="4:17" x14ac:dyDescent="0.25">
      <c r="D347" s="2"/>
      <c r="E347" s="310"/>
      <c r="I347" s="2"/>
      <c r="Q347" s="2"/>
    </row>
    <row r="348" spans="4:17" x14ac:dyDescent="0.25">
      <c r="D348" s="2"/>
      <c r="E348" s="310"/>
      <c r="I348" s="2"/>
      <c r="Q348" s="2"/>
    </row>
    <row r="349" spans="4:17" x14ac:dyDescent="0.25">
      <c r="D349" s="2"/>
      <c r="E349" s="310"/>
      <c r="I349" s="2"/>
      <c r="Q349" s="2"/>
    </row>
    <row r="350" spans="4:17" x14ac:dyDescent="0.25">
      <c r="D350" s="2"/>
      <c r="E350" s="310"/>
      <c r="I350" s="2"/>
      <c r="Q350" s="2"/>
    </row>
    <row r="351" spans="4:17" x14ac:dyDescent="0.25">
      <c r="D351" s="2"/>
      <c r="E351" s="310"/>
      <c r="I351" s="2"/>
      <c r="Q351" s="2"/>
    </row>
    <row r="352" spans="4:17" x14ac:dyDescent="0.25">
      <c r="D352" s="2"/>
      <c r="E352" s="310"/>
      <c r="I352" s="2"/>
      <c r="Q352" s="2"/>
    </row>
    <row r="353" spans="4:17" x14ac:dyDescent="0.25">
      <c r="D353" s="2"/>
      <c r="E353" s="310"/>
      <c r="I353" s="2"/>
      <c r="Q353" s="2"/>
    </row>
    <row r="354" spans="4:17" x14ac:dyDescent="0.25">
      <c r="D354" s="2"/>
      <c r="E354" s="310"/>
      <c r="I354" s="2"/>
      <c r="Q354" s="2"/>
    </row>
    <row r="355" spans="4:17" x14ac:dyDescent="0.25">
      <c r="D355" s="2"/>
      <c r="E355" s="310"/>
      <c r="I355" s="2"/>
      <c r="Q355" s="2"/>
    </row>
    <row r="356" spans="4:17" x14ac:dyDescent="0.25">
      <c r="D356" s="2"/>
      <c r="E356" s="310"/>
      <c r="I356" s="2"/>
      <c r="Q356" s="2"/>
    </row>
    <row r="357" spans="4:17" x14ac:dyDescent="0.25">
      <c r="D357" s="2"/>
      <c r="E357" s="310"/>
      <c r="I357" s="2"/>
      <c r="Q357" s="2"/>
    </row>
    <row r="358" spans="4:17" x14ac:dyDescent="0.25">
      <c r="D358" s="2"/>
      <c r="E358" s="310"/>
      <c r="I358" s="2"/>
      <c r="Q358" s="2"/>
    </row>
    <row r="359" spans="4:17" x14ac:dyDescent="0.25">
      <c r="D359" s="2"/>
      <c r="E359" s="310"/>
      <c r="I359" s="2"/>
      <c r="Q359" s="2"/>
    </row>
    <row r="360" spans="4:17" x14ac:dyDescent="0.25">
      <c r="D360" s="2"/>
      <c r="E360" s="310"/>
      <c r="I360" s="2"/>
      <c r="Q360" s="2"/>
    </row>
    <row r="361" spans="4:17" x14ac:dyDescent="0.25">
      <c r="D361" s="2"/>
      <c r="E361" s="310"/>
      <c r="I361" s="2"/>
      <c r="Q361" s="2"/>
    </row>
    <row r="362" spans="4:17" x14ac:dyDescent="0.25">
      <c r="D362" s="2"/>
      <c r="E362" s="310"/>
      <c r="I362" s="2"/>
      <c r="Q362" s="2"/>
    </row>
    <row r="363" spans="4:17" x14ac:dyDescent="0.25">
      <c r="D363" s="2"/>
      <c r="E363" s="310"/>
      <c r="I363" s="2"/>
      <c r="Q363" s="2"/>
    </row>
    <row r="364" spans="4:17" x14ac:dyDescent="0.25">
      <c r="D364" s="2"/>
      <c r="E364" s="310"/>
      <c r="I364" s="2"/>
      <c r="Q364" s="2"/>
    </row>
    <row r="365" spans="4:17" x14ac:dyDescent="0.25">
      <c r="D365" s="2"/>
      <c r="E365" s="310"/>
      <c r="I365" s="2"/>
      <c r="Q365" s="2"/>
    </row>
    <row r="366" spans="4:17" x14ac:dyDescent="0.25">
      <c r="D366" s="2"/>
      <c r="E366" s="310"/>
      <c r="I366" s="2"/>
      <c r="Q366" s="2"/>
    </row>
    <row r="367" spans="4:17" x14ac:dyDescent="0.25">
      <c r="D367" s="2"/>
      <c r="E367" s="310"/>
      <c r="I367" s="2"/>
      <c r="Q367" s="2"/>
    </row>
    <row r="368" spans="4:17" x14ac:dyDescent="0.25">
      <c r="D368" s="2"/>
      <c r="E368" s="310"/>
      <c r="I368" s="2"/>
      <c r="Q368" s="2"/>
    </row>
    <row r="369" spans="4:17" x14ac:dyDescent="0.25">
      <c r="D369" s="2"/>
      <c r="E369" s="310"/>
      <c r="I369" s="2"/>
      <c r="Q369" s="2"/>
    </row>
    <row r="370" spans="4:17" x14ac:dyDescent="0.25">
      <c r="D370" s="2"/>
      <c r="E370" s="310"/>
      <c r="I370" s="2"/>
      <c r="Q370" s="2"/>
    </row>
    <row r="371" spans="4:17" x14ac:dyDescent="0.25">
      <c r="D371" s="2"/>
      <c r="E371" s="310"/>
      <c r="I371" s="2"/>
      <c r="Q371" s="2"/>
    </row>
    <row r="372" spans="4:17" x14ac:dyDescent="0.25">
      <c r="D372" s="2"/>
      <c r="E372" s="310"/>
      <c r="I372" s="2"/>
      <c r="Q372" s="2"/>
    </row>
    <row r="373" spans="4:17" x14ac:dyDescent="0.25">
      <c r="D373" s="2"/>
      <c r="E373" s="310"/>
      <c r="I373" s="2"/>
      <c r="Q373" s="2"/>
    </row>
    <row r="374" spans="4:17" x14ac:dyDescent="0.25">
      <c r="D374" s="2"/>
      <c r="E374" s="310"/>
      <c r="I374" s="2"/>
      <c r="Q374" s="2"/>
    </row>
    <row r="375" spans="4:17" x14ac:dyDescent="0.25">
      <c r="D375" s="2"/>
      <c r="E375" s="310"/>
      <c r="I375" s="2"/>
      <c r="Q375" s="2"/>
    </row>
    <row r="376" spans="4:17" x14ac:dyDescent="0.25">
      <c r="D376" s="2"/>
      <c r="E376" s="310"/>
      <c r="I376" s="2"/>
      <c r="Q376" s="2"/>
    </row>
    <row r="377" spans="4:17" x14ac:dyDescent="0.25">
      <c r="D377" s="2"/>
      <c r="E377" s="310"/>
      <c r="I377" s="2"/>
      <c r="Q377" s="2"/>
    </row>
    <row r="378" spans="4:17" x14ac:dyDescent="0.25">
      <c r="D378" s="2"/>
      <c r="E378" s="310"/>
      <c r="I378" s="2"/>
      <c r="Q378" s="2"/>
    </row>
    <row r="379" spans="4:17" x14ac:dyDescent="0.25">
      <c r="D379" s="2"/>
      <c r="E379" s="310"/>
      <c r="I379" s="2"/>
      <c r="Q379" s="2"/>
    </row>
    <row r="380" spans="4:17" x14ac:dyDescent="0.25">
      <c r="D380" s="2"/>
      <c r="E380" s="310"/>
      <c r="I380" s="2"/>
      <c r="Q380" s="2"/>
    </row>
    <row r="381" spans="4:17" x14ac:dyDescent="0.25">
      <c r="D381" s="2"/>
      <c r="E381" s="310"/>
      <c r="I381" s="2"/>
      <c r="Q381" s="2"/>
    </row>
    <row r="382" spans="4:17" x14ac:dyDescent="0.25">
      <c r="D382" s="2"/>
      <c r="E382" s="310"/>
      <c r="I382" s="2"/>
      <c r="Q382" s="2"/>
    </row>
    <row r="383" spans="4:17" x14ac:dyDescent="0.25">
      <c r="D383" s="2"/>
      <c r="E383" s="310"/>
      <c r="I383" s="2"/>
      <c r="Q383" s="2"/>
    </row>
    <row r="384" spans="4:17" x14ac:dyDescent="0.25">
      <c r="D384" s="2"/>
      <c r="E384" s="310"/>
      <c r="I384" s="2"/>
      <c r="Q384" s="2"/>
    </row>
    <row r="385" spans="4:17" x14ac:dyDescent="0.25">
      <c r="D385" s="2"/>
      <c r="E385" s="310"/>
      <c r="I385" s="2"/>
      <c r="Q385" s="2"/>
    </row>
    <row r="389" spans="4:17" x14ac:dyDescent="0.25">
      <c r="D389" s="2"/>
      <c r="E389" s="310"/>
      <c r="I389" s="2"/>
      <c r="Q389" s="2"/>
    </row>
    <row r="390" spans="4:17" x14ac:dyDescent="0.25">
      <c r="D390" s="2"/>
      <c r="E390" s="310"/>
      <c r="I390" s="2"/>
      <c r="Q390" s="2"/>
    </row>
    <row r="404" spans="4:17" x14ac:dyDescent="0.25">
      <c r="D404" s="2"/>
      <c r="E404" s="310"/>
      <c r="I404" s="2"/>
      <c r="M404" s="2"/>
      <c r="P404" s="2"/>
      <c r="Q404" s="2"/>
    </row>
    <row r="405" spans="4:17" x14ac:dyDescent="0.25">
      <c r="D405" s="2"/>
      <c r="E405" s="310"/>
      <c r="I405" s="2"/>
      <c r="M405" s="2"/>
      <c r="P405" s="2"/>
      <c r="Q405" s="2"/>
    </row>
    <row r="406" spans="4:17" x14ac:dyDescent="0.25">
      <c r="D406" s="2"/>
      <c r="E406" s="310"/>
      <c r="I406" s="2"/>
      <c r="M406" s="2"/>
      <c r="P406" s="2"/>
      <c r="Q406" s="2"/>
    </row>
    <row r="407" spans="4:17" x14ac:dyDescent="0.25">
      <c r="D407" s="2"/>
      <c r="E407" s="310"/>
      <c r="I407" s="2"/>
      <c r="M407" s="2"/>
      <c r="P407" s="2"/>
      <c r="Q407" s="2"/>
    </row>
    <row r="408" spans="4:17" x14ac:dyDescent="0.25">
      <c r="D408" s="2"/>
      <c r="E408" s="310"/>
      <c r="I408" s="2"/>
      <c r="M408" s="2"/>
      <c r="P408" s="2"/>
      <c r="Q408" s="2"/>
    </row>
    <row r="409" spans="4:17" x14ac:dyDescent="0.25">
      <c r="D409" s="2"/>
      <c r="E409" s="310"/>
      <c r="I409" s="2"/>
      <c r="M409" s="2"/>
      <c r="P409" s="2"/>
      <c r="Q409" s="2"/>
    </row>
    <row r="410" spans="4:17" x14ac:dyDescent="0.25">
      <c r="D410" s="2"/>
      <c r="E410" s="310"/>
      <c r="I410" s="2"/>
      <c r="M410" s="2"/>
      <c r="P410" s="2"/>
      <c r="Q410" s="2"/>
    </row>
    <row r="411" spans="4:17" x14ac:dyDescent="0.25">
      <c r="D411" s="2"/>
      <c r="E411" s="310"/>
      <c r="I411" s="2"/>
      <c r="M411" s="2"/>
      <c r="P411" s="2"/>
      <c r="Q411" s="2"/>
    </row>
    <row r="412" spans="4:17" x14ac:dyDescent="0.25">
      <c r="D412" s="2"/>
      <c r="E412" s="310"/>
      <c r="I412" s="2"/>
      <c r="M412" s="2"/>
      <c r="P412" s="2"/>
      <c r="Q412" s="2"/>
    </row>
    <row r="413" spans="4:17" x14ac:dyDescent="0.25">
      <c r="D413" s="2"/>
      <c r="E413" s="310"/>
      <c r="I413" s="2"/>
      <c r="M413" s="2"/>
      <c r="P413" s="2"/>
      <c r="Q413" s="2"/>
    </row>
    <row r="414" spans="4:17" x14ac:dyDescent="0.25">
      <c r="D414" s="2"/>
      <c r="E414" s="310"/>
      <c r="I414" s="2"/>
      <c r="M414" s="2"/>
      <c r="P414" s="2"/>
      <c r="Q414" s="2"/>
    </row>
    <row r="415" spans="4:17" x14ac:dyDescent="0.25">
      <c r="D415" s="2"/>
      <c r="E415" s="310"/>
      <c r="I415" s="2"/>
      <c r="M415" s="2"/>
      <c r="P415" s="2"/>
      <c r="Q415" s="2"/>
    </row>
    <row r="416" spans="4:17" x14ac:dyDescent="0.25">
      <c r="D416" s="2"/>
      <c r="E416" s="310"/>
      <c r="I416" s="2"/>
      <c r="M416" s="2"/>
      <c r="P416" s="2"/>
      <c r="Q416" s="2"/>
    </row>
    <row r="417" spans="4:17" x14ac:dyDescent="0.25">
      <c r="D417" s="2"/>
      <c r="E417" s="310"/>
      <c r="I417" s="2"/>
      <c r="M417" s="2"/>
      <c r="P417" s="2"/>
      <c r="Q417" s="2"/>
    </row>
    <row r="418" spans="4:17" x14ac:dyDescent="0.25">
      <c r="D418" s="2"/>
      <c r="E418" s="310"/>
      <c r="I418" s="2"/>
      <c r="M418" s="2"/>
      <c r="P418" s="2"/>
      <c r="Q418" s="2"/>
    </row>
    <row r="419" spans="4:17" x14ac:dyDescent="0.25">
      <c r="D419" s="2"/>
      <c r="E419" s="310"/>
      <c r="I419" s="2"/>
      <c r="M419" s="2"/>
      <c r="P419" s="2"/>
      <c r="Q419" s="2"/>
    </row>
    <row r="420" spans="4:17" x14ac:dyDescent="0.25">
      <c r="D420" s="2"/>
      <c r="E420" s="310"/>
      <c r="I420" s="2"/>
      <c r="M420" s="2"/>
      <c r="P420" s="2"/>
      <c r="Q420" s="2"/>
    </row>
    <row r="421" spans="4:17" x14ac:dyDescent="0.25">
      <c r="D421" s="2"/>
      <c r="E421" s="310"/>
      <c r="I421" s="2"/>
      <c r="M421" s="2"/>
      <c r="P421" s="2"/>
      <c r="Q421" s="2"/>
    </row>
    <row r="422" spans="4:17" x14ac:dyDescent="0.25">
      <c r="D422" s="2"/>
      <c r="E422" s="310"/>
      <c r="I422" s="2"/>
      <c r="M422" s="2"/>
      <c r="P422" s="2"/>
      <c r="Q422" s="2"/>
    </row>
    <row r="423" spans="4:17" x14ac:dyDescent="0.25">
      <c r="D423" s="2"/>
      <c r="E423" s="310"/>
      <c r="I423" s="2"/>
      <c r="M423" s="2"/>
      <c r="P423" s="2"/>
      <c r="Q423" s="2"/>
    </row>
    <row r="424" spans="4:17" x14ac:dyDescent="0.25">
      <c r="D424" s="2"/>
      <c r="E424" s="310"/>
      <c r="I424" s="2"/>
      <c r="M424" s="2"/>
      <c r="P424" s="2"/>
      <c r="Q424" s="2"/>
    </row>
    <row r="425" spans="4:17" x14ac:dyDescent="0.25">
      <c r="D425" s="2"/>
      <c r="E425" s="310"/>
      <c r="I425" s="2"/>
      <c r="M425" s="2"/>
      <c r="P425" s="2"/>
      <c r="Q425" s="2"/>
    </row>
    <row r="426" spans="4:17" x14ac:dyDescent="0.25">
      <c r="D426" s="2"/>
      <c r="E426" s="310"/>
      <c r="I426" s="2"/>
      <c r="M426" s="2"/>
      <c r="P426" s="2"/>
      <c r="Q426" s="2"/>
    </row>
    <row r="427" spans="4:17" x14ac:dyDescent="0.25">
      <c r="D427" s="2"/>
      <c r="E427" s="310"/>
      <c r="I427" s="2"/>
      <c r="M427" s="2"/>
      <c r="P427" s="2"/>
      <c r="Q427" s="2"/>
    </row>
    <row r="428" spans="4:17" x14ac:dyDescent="0.25">
      <c r="D428" s="2"/>
      <c r="E428" s="310"/>
      <c r="I428" s="2"/>
      <c r="M428" s="2"/>
      <c r="P428" s="2"/>
      <c r="Q428" s="2"/>
    </row>
    <row r="429" spans="4:17" x14ac:dyDescent="0.25">
      <c r="D429" s="2"/>
      <c r="E429" s="310"/>
      <c r="I429" s="2"/>
      <c r="M429" s="2"/>
      <c r="P429" s="2"/>
      <c r="Q429" s="2"/>
    </row>
    <row r="430" spans="4:17" x14ac:dyDescent="0.25">
      <c r="D430" s="2"/>
      <c r="E430" s="310"/>
      <c r="I430" s="2"/>
      <c r="M430" s="2"/>
      <c r="P430" s="2"/>
      <c r="Q430" s="2"/>
    </row>
    <row r="431" spans="4:17" x14ac:dyDescent="0.25">
      <c r="D431" s="2"/>
      <c r="E431" s="310"/>
      <c r="I431" s="2"/>
      <c r="M431" s="2"/>
      <c r="P431" s="2"/>
      <c r="Q431" s="2"/>
    </row>
    <row r="432" spans="4:17" x14ac:dyDescent="0.25">
      <c r="D432" s="2"/>
      <c r="E432" s="310"/>
      <c r="I432" s="2"/>
      <c r="M432" s="2"/>
      <c r="P432" s="2"/>
      <c r="Q432" s="2"/>
    </row>
    <row r="433" spans="4:17" x14ac:dyDescent="0.25">
      <c r="D433" s="2"/>
      <c r="E433" s="310"/>
      <c r="I433" s="2"/>
      <c r="M433" s="2"/>
      <c r="P433" s="2"/>
      <c r="Q433" s="2"/>
    </row>
    <row r="434" spans="4:17" x14ac:dyDescent="0.25">
      <c r="D434" s="2"/>
      <c r="E434" s="310"/>
      <c r="I434" s="2"/>
      <c r="M434" s="2"/>
      <c r="P434" s="2"/>
      <c r="Q434" s="2"/>
    </row>
    <row r="435" spans="4:17" x14ac:dyDescent="0.25">
      <c r="D435" s="2"/>
      <c r="E435" s="310"/>
      <c r="I435" s="2"/>
      <c r="M435" s="2"/>
      <c r="P435" s="2"/>
      <c r="Q435" s="2"/>
    </row>
    <row r="439" spans="4:17" x14ac:dyDescent="0.25">
      <c r="D439" s="2"/>
      <c r="E439" s="310"/>
      <c r="I439" s="2"/>
      <c r="M439" s="2"/>
      <c r="P439" s="2"/>
      <c r="Q439" s="2"/>
    </row>
    <row r="440" spans="4:17" x14ac:dyDescent="0.25">
      <c r="D440" s="2"/>
      <c r="E440" s="310"/>
      <c r="I440" s="2"/>
      <c r="M440" s="2"/>
      <c r="P440" s="2"/>
      <c r="Q440" s="2"/>
    </row>
    <row r="442" spans="4:17" x14ac:dyDescent="0.25">
      <c r="D442" s="2"/>
      <c r="E442" s="310"/>
      <c r="I442" s="2"/>
      <c r="M442" s="2"/>
      <c r="P442" s="2"/>
      <c r="Q442" s="2"/>
    </row>
    <row r="443" spans="4:17" x14ac:dyDescent="0.25">
      <c r="D443" s="2"/>
      <c r="E443" s="310"/>
      <c r="I443" s="2"/>
      <c r="M443" s="2"/>
      <c r="P443" s="2"/>
      <c r="Q443" s="2"/>
    </row>
    <row r="444" spans="4:17" x14ac:dyDescent="0.25">
      <c r="D444" s="2"/>
      <c r="E444" s="310"/>
      <c r="I444" s="2"/>
      <c r="M444" s="2"/>
      <c r="P444" s="2"/>
      <c r="Q444" s="2"/>
    </row>
    <row r="445" spans="4:17" x14ac:dyDescent="0.25">
      <c r="D445" s="2"/>
      <c r="E445" s="310"/>
      <c r="I445" s="2"/>
      <c r="M445" s="2"/>
      <c r="P445" s="2"/>
      <c r="Q445" s="2"/>
    </row>
    <row r="446" spans="4:17" x14ac:dyDescent="0.25">
      <c r="D446" s="2"/>
      <c r="E446" s="310"/>
      <c r="I446" s="2"/>
      <c r="M446" s="2"/>
      <c r="P446" s="2"/>
      <c r="Q446" s="2"/>
    </row>
    <row r="447" spans="4:17" x14ac:dyDescent="0.25">
      <c r="D447" s="2"/>
      <c r="E447" s="310"/>
      <c r="I447" s="2"/>
      <c r="M447" s="2"/>
      <c r="P447" s="2"/>
      <c r="Q447" s="2"/>
    </row>
    <row r="448" spans="4:17" x14ac:dyDescent="0.25">
      <c r="D448" s="2"/>
      <c r="E448" s="310"/>
      <c r="I448" s="2"/>
      <c r="M448" s="2"/>
      <c r="P448" s="2"/>
      <c r="Q448" s="2"/>
    </row>
    <row r="449" spans="4:17" x14ac:dyDescent="0.25">
      <c r="D449" s="2"/>
      <c r="E449" s="310"/>
      <c r="I449" s="2"/>
      <c r="M449" s="2"/>
      <c r="P449" s="2"/>
      <c r="Q449" s="2"/>
    </row>
    <row r="450" spans="4:17" x14ac:dyDescent="0.25">
      <c r="D450" s="2"/>
      <c r="E450" s="310"/>
      <c r="I450" s="2"/>
      <c r="M450" s="2"/>
      <c r="P450" s="2"/>
      <c r="Q450" s="2"/>
    </row>
    <row r="451" spans="4:17" x14ac:dyDescent="0.25">
      <c r="D451" s="2"/>
      <c r="E451" s="310"/>
      <c r="I451" s="2"/>
      <c r="M451" s="2"/>
      <c r="P451" s="2"/>
      <c r="Q451" s="2"/>
    </row>
    <row r="452" spans="4:17" x14ac:dyDescent="0.25">
      <c r="D452" s="2"/>
      <c r="E452" s="310"/>
      <c r="I452" s="2"/>
      <c r="M452" s="2"/>
      <c r="P452" s="2"/>
      <c r="Q452" s="2"/>
    </row>
    <row r="453" spans="4:17" x14ac:dyDescent="0.25">
      <c r="D453" s="2"/>
      <c r="E453" s="310"/>
      <c r="I453" s="2"/>
      <c r="M453" s="2"/>
      <c r="P453" s="2"/>
      <c r="Q453" s="2"/>
    </row>
    <row r="454" spans="4:17" x14ac:dyDescent="0.25">
      <c r="D454" s="2"/>
      <c r="E454" s="310"/>
      <c r="I454" s="2"/>
      <c r="M454" s="2"/>
      <c r="P454" s="2"/>
      <c r="Q454" s="2"/>
    </row>
    <row r="455" spans="4:17" x14ac:dyDescent="0.25">
      <c r="D455" s="2"/>
      <c r="E455" s="310"/>
      <c r="I455" s="2"/>
      <c r="M455" s="2"/>
      <c r="P455" s="2"/>
      <c r="Q455" s="2"/>
    </row>
    <row r="456" spans="4:17" x14ac:dyDescent="0.25">
      <c r="D456" s="2"/>
      <c r="E456" s="310"/>
      <c r="I456" s="2"/>
      <c r="M456" s="2"/>
      <c r="P456" s="2"/>
      <c r="Q456" s="2"/>
    </row>
    <row r="457" spans="4:17" x14ac:dyDescent="0.25">
      <c r="D457" s="2"/>
      <c r="E457" s="310"/>
      <c r="I457" s="2"/>
      <c r="M457" s="2"/>
      <c r="P457" s="2"/>
      <c r="Q457" s="2"/>
    </row>
    <row r="458" spans="4:17" x14ac:dyDescent="0.25">
      <c r="D458" s="2"/>
      <c r="E458" s="310"/>
      <c r="I458" s="2"/>
      <c r="M458" s="2"/>
      <c r="P458" s="2"/>
      <c r="Q458" s="2"/>
    </row>
    <row r="459" spans="4:17" x14ac:dyDescent="0.25">
      <c r="D459" s="2"/>
      <c r="E459" s="310"/>
      <c r="I459" s="2"/>
      <c r="M459" s="2"/>
      <c r="P459" s="2"/>
      <c r="Q459" s="2"/>
    </row>
    <row r="460" spans="4:17" x14ac:dyDescent="0.25">
      <c r="D460" s="2"/>
      <c r="E460" s="310"/>
      <c r="I460" s="2"/>
      <c r="M460" s="2"/>
      <c r="P460" s="2"/>
      <c r="Q460" s="2"/>
    </row>
    <row r="461" spans="4:17" x14ac:dyDescent="0.25">
      <c r="D461" s="2"/>
      <c r="E461" s="310"/>
      <c r="I461" s="2"/>
      <c r="M461" s="2"/>
      <c r="P461" s="2"/>
      <c r="Q461" s="2"/>
    </row>
    <row r="462" spans="4:17" x14ac:dyDescent="0.25">
      <c r="D462" s="2"/>
      <c r="E462" s="310"/>
      <c r="I462" s="2"/>
      <c r="M462" s="2"/>
      <c r="P462" s="2"/>
      <c r="Q462" s="2"/>
    </row>
    <row r="463" spans="4:17" x14ac:dyDescent="0.25">
      <c r="D463" s="2"/>
      <c r="E463" s="310"/>
      <c r="I463" s="2"/>
      <c r="M463" s="2"/>
      <c r="P463" s="2"/>
      <c r="Q463" s="2"/>
    </row>
    <row r="464" spans="4:17" x14ac:dyDescent="0.25">
      <c r="D464" s="2"/>
      <c r="E464" s="310"/>
      <c r="I464" s="2"/>
      <c r="M464" s="2"/>
      <c r="P464" s="2"/>
      <c r="Q464" s="2"/>
    </row>
    <row r="465" spans="4:17" x14ac:dyDescent="0.25">
      <c r="D465" s="2"/>
      <c r="E465" s="310"/>
      <c r="I465" s="2"/>
      <c r="M465" s="2"/>
      <c r="P465" s="2"/>
      <c r="Q465" s="2"/>
    </row>
    <row r="466" spans="4:17" x14ac:dyDescent="0.25">
      <c r="D466" s="2"/>
      <c r="E466" s="310"/>
      <c r="I466" s="2"/>
      <c r="M466" s="2"/>
      <c r="P466" s="2"/>
      <c r="Q466" s="2"/>
    </row>
    <row r="467" spans="4:17" x14ac:dyDescent="0.25">
      <c r="D467" s="2"/>
      <c r="E467" s="310"/>
      <c r="I467" s="2"/>
      <c r="M467" s="2"/>
      <c r="P467" s="2"/>
      <c r="Q467" s="2"/>
    </row>
    <row r="468" spans="4:17" x14ac:dyDescent="0.25">
      <c r="D468" s="2"/>
      <c r="E468" s="310"/>
      <c r="I468" s="2"/>
      <c r="M468" s="2"/>
      <c r="P468" s="2"/>
      <c r="Q468" s="2"/>
    </row>
    <row r="469" spans="4:17" x14ac:dyDescent="0.25">
      <c r="D469" s="2"/>
      <c r="E469" s="310"/>
      <c r="I469" s="2"/>
      <c r="M469" s="2"/>
      <c r="P469" s="2"/>
      <c r="Q469" s="2"/>
    </row>
    <row r="470" spans="4:17" x14ac:dyDescent="0.25">
      <c r="D470" s="2"/>
      <c r="E470" s="310"/>
      <c r="I470" s="2"/>
      <c r="M470" s="2"/>
      <c r="P470" s="2"/>
      <c r="Q470" s="2"/>
    </row>
    <row r="471" spans="4:17" x14ac:dyDescent="0.25">
      <c r="D471" s="2"/>
      <c r="E471" s="310"/>
      <c r="I471" s="2"/>
      <c r="M471" s="2"/>
      <c r="P471" s="2"/>
      <c r="Q471" s="2"/>
    </row>
    <row r="472" spans="4:17" x14ac:dyDescent="0.25">
      <c r="D472" s="2"/>
      <c r="E472" s="310"/>
      <c r="I472" s="2"/>
      <c r="M472" s="2"/>
      <c r="P472" s="2"/>
      <c r="Q472" s="2"/>
    </row>
    <row r="473" spans="4:17" x14ac:dyDescent="0.25">
      <c r="D473" s="2"/>
      <c r="E473" s="310"/>
      <c r="I473" s="2"/>
      <c r="M473" s="2"/>
      <c r="P473" s="2"/>
      <c r="Q473" s="2"/>
    </row>
    <row r="474" spans="4:17" x14ac:dyDescent="0.25">
      <c r="D474" s="2"/>
      <c r="E474" s="310"/>
      <c r="I474" s="2"/>
      <c r="M474" s="2"/>
      <c r="P474" s="2"/>
      <c r="Q474" s="2"/>
    </row>
    <row r="475" spans="4:17" x14ac:dyDescent="0.25">
      <c r="D475" s="2"/>
      <c r="E475" s="310"/>
      <c r="I475" s="2"/>
      <c r="M475" s="2"/>
      <c r="P475" s="2"/>
      <c r="Q475" s="2"/>
    </row>
    <row r="476" spans="4:17" x14ac:dyDescent="0.25">
      <c r="D476" s="2"/>
      <c r="E476" s="310"/>
      <c r="I476" s="2"/>
      <c r="M476" s="2"/>
      <c r="P476" s="2"/>
      <c r="Q476" s="2"/>
    </row>
    <row r="477" spans="4:17" x14ac:dyDescent="0.25">
      <c r="D477" s="2"/>
      <c r="E477" s="310"/>
      <c r="I477" s="2"/>
      <c r="M477" s="2"/>
      <c r="P477" s="2"/>
      <c r="Q477" s="2"/>
    </row>
    <row r="478" spans="4:17" x14ac:dyDescent="0.25">
      <c r="D478" s="2"/>
      <c r="E478" s="310"/>
      <c r="I478" s="2"/>
      <c r="M478" s="2"/>
      <c r="P478" s="2"/>
      <c r="Q478" s="2"/>
    </row>
    <row r="479" spans="4:17" x14ac:dyDescent="0.25">
      <c r="D479" s="2"/>
      <c r="E479" s="310"/>
      <c r="I479" s="2"/>
      <c r="M479" s="2"/>
      <c r="P479" s="2"/>
      <c r="Q479" s="2"/>
    </row>
    <row r="480" spans="4:17" x14ac:dyDescent="0.25">
      <c r="D480" s="2"/>
      <c r="E480" s="310"/>
      <c r="I480" s="2"/>
      <c r="M480" s="2"/>
      <c r="P480" s="2"/>
      <c r="Q480" s="2"/>
    </row>
    <row r="481" spans="4:17" x14ac:dyDescent="0.25">
      <c r="D481" s="2"/>
      <c r="E481" s="310"/>
      <c r="I481" s="2"/>
      <c r="M481" s="2"/>
      <c r="P481" s="2"/>
      <c r="Q481" s="2"/>
    </row>
    <row r="482" spans="4:17" x14ac:dyDescent="0.25">
      <c r="D482" s="2"/>
      <c r="E482" s="310"/>
      <c r="I482" s="2"/>
      <c r="M482" s="2"/>
      <c r="P482" s="2"/>
      <c r="Q482" s="2"/>
    </row>
    <row r="483" spans="4:17" x14ac:dyDescent="0.25">
      <c r="D483" s="2"/>
      <c r="E483" s="310"/>
      <c r="I483" s="2"/>
      <c r="M483" s="2"/>
      <c r="P483" s="2"/>
      <c r="Q483" s="2"/>
    </row>
    <row r="484" spans="4:17" x14ac:dyDescent="0.25">
      <c r="D484" s="2"/>
      <c r="E484" s="310"/>
      <c r="I484" s="2"/>
      <c r="M484" s="2"/>
      <c r="P484" s="2"/>
      <c r="Q484" s="2"/>
    </row>
    <row r="485" spans="4:17" x14ac:dyDescent="0.25">
      <c r="D485" s="2"/>
      <c r="E485" s="310"/>
      <c r="I485" s="2"/>
      <c r="M485" s="2"/>
      <c r="P485" s="2"/>
      <c r="Q485" s="2"/>
    </row>
    <row r="486" spans="4:17" x14ac:dyDescent="0.25">
      <c r="D486" s="2"/>
      <c r="E486" s="310"/>
      <c r="I486" s="2"/>
      <c r="M486" s="2"/>
      <c r="P486" s="2"/>
      <c r="Q486" s="2"/>
    </row>
    <row r="487" spans="4:17" x14ac:dyDescent="0.25">
      <c r="D487" s="2"/>
      <c r="E487" s="310"/>
      <c r="I487" s="2"/>
      <c r="M487" s="2"/>
      <c r="P487" s="2"/>
      <c r="Q487" s="2"/>
    </row>
    <row r="488" spans="4:17" x14ac:dyDescent="0.25">
      <c r="D488" s="2"/>
      <c r="E488" s="310"/>
      <c r="I488" s="2"/>
      <c r="M488" s="2"/>
      <c r="P488" s="2"/>
      <c r="Q488" s="2"/>
    </row>
    <row r="489" spans="4:17" x14ac:dyDescent="0.25">
      <c r="D489" s="2"/>
      <c r="E489" s="310"/>
      <c r="I489" s="2"/>
      <c r="M489" s="2"/>
      <c r="P489" s="2"/>
      <c r="Q489" s="2"/>
    </row>
    <row r="490" spans="4:17" x14ac:dyDescent="0.25">
      <c r="D490" s="2"/>
      <c r="E490" s="310"/>
      <c r="I490" s="2"/>
      <c r="M490" s="2"/>
      <c r="P490" s="2"/>
      <c r="Q490" s="2"/>
    </row>
    <row r="491" spans="4:17" x14ac:dyDescent="0.25">
      <c r="D491" s="2"/>
      <c r="E491" s="310"/>
      <c r="I491" s="2"/>
      <c r="M491" s="2"/>
      <c r="P491" s="2"/>
      <c r="Q491" s="2"/>
    </row>
    <row r="492" spans="4:17" x14ac:dyDescent="0.25">
      <c r="D492" s="2"/>
      <c r="E492" s="310"/>
      <c r="I492" s="2"/>
      <c r="M492" s="2"/>
      <c r="P492" s="2"/>
      <c r="Q492" s="2"/>
    </row>
    <row r="493" spans="4:17" x14ac:dyDescent="0.25">
      <c r="D493" s="2"/>
      <c r="E493" s="310"/>
      <c r="I493" s="2"/>
      <c r="M493" s="2"/>
      <c r="P493" s="2"/>
      <c r="Q493" s="2"/>
    </row>
    <row r="494" spans="4:17" x14ac:dyDescent="0.25">
      <c r="D494" s="2"/>
      <c r="E494" s="310"/>
      <c r="I494" s="2"/>
      <c r="M494" s="2"/>
      <c r="P494" s="2"/>
      <c r="Q494" s="2"/>
    </row>
    <row r="495" spans="4:17" x14ac:dyDescent="0.25">
      <c r="D495" s="2"/>
      <c r="E495" s="310"/>
      <c r="I495" s="2"/>
      <c r="M495" s="2"/>
      <c r="P495" s="2"/>
      <c r="Q495" s="2"/>
    </row>
    <row r="496" spans="4:17" x14ac:dyDescent="0.25">
      <c r="D496" s="2"/>
      <c r="E496" s="310"/>
      <c r="I496" s="2"/>
      <c r="M496" s="2"/>
      <c r="P496" s="2"/>
      <c r="Q496" s="2"/>
    </row>
    <row r="497" spans="4:17" x14ac:dyDescent="0.25">
      <c r="D497" s="2"/>
      <c r="E497" s="310"/>
      <c r="I497" s="2"/>
      <c r="M497" s="2"/>
      <c r="P497" s="2"/>
      <c r="Q497" s="2"/>
    </row>
    <row r="498" spans="4:17" x14ac:dyDescent="0.25">
      <c r="D498" s="2"/>
      <c r="E498" s="310"/>
      <c r="I498" s="2"/>
      <c r="M498" s="2"/>
      <c r="P498" s="2"/>
      <c r="Q498" s="2"/>
    </row>
    <row r="499" spans="4:17" x14ac:dyDescent="0.25">
      <c r="D499" s="2"/>
      <c r="E499" s="310"/>
      <c r="I499" s="2"/>
      <c r="M499" s="2"/>
      <c r="P499" s="2"/>
      <c r="Q499" s="2"/>
    </row>
    <row r="500" spans="4:17" x14ac:dyDescent="0.25">
      <c r="D500" s="2"/>
      <c r="E500" s="310"/>
      <c r="I500" s="2"/>
      <c r="M500" s="2"/>
      <c r="P500" s="2"/>
      <c r="Q500" s="2"/>
    </row>
    <row r="501" spans="4:17" x14ac:dyDescent="0.25">
      <c r="D501" s="2"/>
      <c r="E501" s="310"/>
      <c r="I501" s="2"/>
      <c r="M501" s="2"/>
      <c r="P501" s="2"/>
      <c r="Q501" s="2"/>
    </row>
    <row r="502" spans="4:17" x14ac:dyDescent="0.25">
      <c r="D502" s="2"/>
      <c r="E502" s="310"/>
      <c r="I502" s="2"/>
      <c r="M502" s="2"/>
      <c r="P502" s="2"/>
      <c r="Q502" s="2"/>
    </row>
    <row r="503" spans="4:17" x14ac:dyDescent="0.25">
      <c r="D503" s="2"/>
      <c r="E503" s="310"/>
      <c r="I503" s="2"/>
      <c r="M503" s="2"/>
      <c r="P503" s="2"/>
      <c r="Q503" s="2"/>
    </row>
    <row r="504" spans="4:17" x14ac:dyDescent="0.25">
      <c r="D504" s="2"/>
      <c r="E504" s="310"/>
      <c r="I504" s="2"/>
      <c r="M504" s="2"/>
      <c r="P504" s="2"/>
      <c r="Q504" s="2"/>
    </row>
    <row r="505" spans="4:17" x14ac:dyDescent="0.25">
      <c r="D505" s="2"/>
      <c r="E505" s="310"/>
      <c r="I505" s="2"/>
      <c r="M505" s="2"/>
      <c r="P505" s="2"/>
      <c r="Q505" s="2"/>
    </row>
    <row r="506" spans="4:17" x14ac:dyDescent="0.25">
      <c r="D506" s="2"/>
      <c r="E506" s="310"/>
      <c r="I506" s="2"/>
      <c r="M506" s="2"/>
      <c r="P506" s="2"/>
      <c r="Q506" s="2"/>
    </row>
    <row r="507" spans="4:17" x14ac:dyDescent="0.25">
      <c r="D507" s="2"/>
      <c r="E507" s="310"/>
      <c r="I507" s="2"/>
      <c r="M507" s="2"/>
      <c r="P507" s="2"/>
      <c r="Q507" s="2"/>
    </row>
    <row r="508" spans="4:17" x14ac:dyDescent="0.25">
      <c r="D508" s="2"/>
      <c r="E508" s="310"/>
      <c r="I508" s="2"/>
      <c r="M508" s="2"/>
      <c r="P508" s="2"/>
      <c r="Q508" s="2"/>
    </row>
    <row r="509" spans="4:17" x14ac:dyDescent="0.25">
      <c r="D509" s="2"/>
      <c r="E509" s="310"/>
      <c r="I509" s="2"/>
      <c r="M509" s="2"/>
      <c r="P509" s="2"/>
      <c r="Q509" s="2"/>
    </row>
    <row r="510" spans="4:17" x14ac:dyDescent="0.25">
      <c r="D510" s="2"/>
      <c r="E510" s="310"/>
      <c r="I510" s="2"/>
      <c r="M510" s="2"/>
      <c r="P510" s="2"/>
      <c r="Q510" s="2"/>
    </row>
    <row r="511" spans="4:17" x14ac:dyDescent="0.25">
      <c r="D511" s="2"/>
      <c r="E511" s="310"/>
      <c r="I511" s="2"/>
      <c r="M511" s="2"/>
      <c r="P511" s="2"/>
      <c r="Q511" s="2"/>
    </row>
    <row r="512" spans="4:17" x14ac:dyDescent="0.25">
      <c r="D512" s="2"/>
      <c r="E512" s="310"/>
      <c r="I512" s="2"/>
      <c r="M512" s="2"/>
      <c r="P512" s="2"/>
      <c r="Q512" s="2"/>
    </row>
    <row r="513" spans="4:17" x14ac:dyDescent="0.25">
      <c r="D513" s="2"/>
      <c r="E513" s="310"/>
      <c r="I513" s="2"/>
      <c r="M513" s="2"/>
      <c r="P513" s="2"/>
      <c r="Q513" s="2"/>
    </row>
    <row r="514" spans="4:17" x14ac:dyDescent="0.25">
      <c r="D514" s="2"/>
      <c r="E514" s="310"/>
      <c r="I514" s="2"/>
      <c r="M514" s="2"/>
      <c r="P514" s="2"/>
      <c r="Q514" s="2"/>
    </row>
    <row r="515" spans="4:17" x14ac:dyDescent="0.25">
      <c r="D515" s="2"/>
      <c r="E515" s="310"/>
      <c r="I515" s="2"/>
      <c r="M515" s="2"/>
      <c r="P515" s="2"/>
      <c r="Q515" s="2"/>
    </row>
    <row r="516" spans="4:17" x14ac:dyDescent="0.25">
      <c r="D516" s="2"/>
      <c r="E516" s="310"/>
      <c r="I516" s="2"/>
      <c r="M516" s="2"/>
      <c r="P516" s="2"/>
      <c r="Q516" s="2"/>
    </row>
    <row r="517" spans="4:17" x14ac:dyDescent="0.25">
      <c r="D517" s="2"/>
      <c r="E517" s="310"/>
      <c r="I517" s="2"/>
      <c r="M517" s="2"/>
      <c r="P517" s="2"/>
      <c r="Q517" s="2"/>
    </row>
    <row r="518" spans="4:17" x14ac:dyDescent="0.25">
      <c r="D518" s="2"/>
      <c r="E518" s="310"/>
      <c r="I518" s="2"/>
      <c r="M518" s="2"/>
      <c r="P518" s="2"/>
      <c r="Q518" s="2"/>
    </row>
    <row r="519" spans="4:17" x14ac:dyDescent="0.25">
      <c r="D519" s="2"/>
      <c r="E519" s="310"/>
      <c r="I519" s="2"/>
      <c r="M519" s="2"/>
      <c r="P519" s="2"/>
      <c r="Q519" s="2"/>
    </row>
    <row r="520" spans="4:17" x14ac:dyDescent="0.25">
      <c r="D520" s="2"/>
      <c r="E520" s="310"/>
      <c r="I520" s="2"/>
      <c r="M520" s="2"/>
      <c r="P520" s="2"/>
      <c r="Q520" s="2"/>
    </row>
    <row r="521" spans="4:17" x14ac:dyDescent="0.25">
      <c r="D521" s="2"/>
      <c r="E521" s="310"/>
      <c r="I521" s="2"/>
      <c r="M521" s="2"/>
      <c r="P521" s="2"/>
      <c r="Q521" s="2"/>
    </row>
    <row r="522" spans="4:17" x14ac:dyDescent="0.25">
      <c r="D522" s="2"/>
      <c r="E522" s="310"/>
      <c r="I522" s="2"/>
      <c r="M522" s="2"/>
      <c r="P522" s="2"/>
      <c r="Q522" s="2"/>
    </row>
    <row r="523" spans="4:17" x14ac:dyDescent="0.25">
      <c r="D523" s="2"/>
      <c r="E523" s="310"/>
      <c r="I523" s="2"/>
      <c r="M523" s="2"/>
      <c r="P523" s="2"/>
      <c r="Q523" s="2"/>
    </row>
    <row r="524" spans="4:17" x14ac:dyDescent="0.25">
      <c r="D524" s="2"/>
      <c r="E524" s="310"/>
      <c r="I524" s="2"/>
      <c r="M524" s="2"/>
      <c r="P524" s="2"/>
      <c r="Q524" s="2"/>
    </row>
    <row r="525" spans="4:17" x14ac:dyDescent="0.25">
      <c r="D525" s="2"/>
      <c r="E525" s="310"/>
      <c r="I525" s="2"/>
      <c r="M525" s="2"/>
      <c r="P525" s="2"/>
      <c r="Q525" s="2"/>
    </row>
    <row r="526" spans="4:17" x14ac:dyDescent="0.25">
      <c r="D526" s="2"/>
      <c r="E526" s="310"/>
      <c r="I526" s="2"/>
      <c r="M526" s="2"/>
      <c r="P526" s="2"/>
      <c r="Q526" s="2"/>
    </row>
    <row r="527" spans="4:17" x14ac:dyDescent="0.25">
      <c r="D527" s="2"/>
      <c r="E527" s="310"/>
      <c r="I527" s="2"/>
      <c r="M527" s="2"/>
      <c r="P527" s="2"/>
      <c r="Q527" s="2"/>
    </row>
    <row r="528" spans="4:17" x14ac:dyDescent="0.25">
      <c r="D528" s="2"/>
      <c r="E528" s="310"/>
      <c r="I528" s="2"/>
      <c r="M528" s="2"/>
      <c r="P528" s="2"/>
      <c r="Q528" s="2"/>
    </row>
    <row r="529" spans="4:17" x14ac:dyDescent="0.25">
      <c r="D529" s="2"/>
      <c r="E529" s="310"/>
      <c r="I529" s="2"/>
      <c r="M529" s="2"/>
      <c r="P529" s="2"/>
      <c r="Q529" s="2"/>
    </row>
    <row r="530" spans="4:17" x14ac:dyDescent="0.25">
      <c r="D530" s="2"/>
      <c r="E530" s="310"/>
      <c r="I530" s="2"/>
      <c r="M530" s="2"/>
      <c r="P530" s="2"/>
      <c r="Q530" s="2"/>
    </row>
    <row r="531" spans="4:17" x14ac:dyDescent="0.25">
      <c r="D531" s="2"/>
      <c r="E531" s="310"/>
      <c r="I531" s="2"/>
      <c r="M531" s="2"/>
      <c r="P531" s="2"/>
      <c r="Q531" s="2"/>
    </row>
    <row r="532" spans="4:17" x14ac:dyDescent="0.25">
      <c r="D532" s="2"/>
      <c r="E532" s="310"/>
      <c r="I532" s="2"/>
      <c r="M532" s="2"/>
      <c r="P532" s="2"/>
      <c r="Q532" s="2"/>
    </row>
    <row r="533" spans="4:17" x14ac:dyDescent="0.25">
      <c r="D533" s="2"/>
      <c r="E533" s="310"/>
      <c r="I533" s="2"/>
      <c r="M533" s="2"/>
      <c r="P533" s="2"/>
      <c r="Q533" s="2"/>
    </row>
    <row r="534" spans="4:17" x14ac:dyDescent="0.25">
      <c r="D534" s="2"/>
      <c r="E534" s="310"/>
      <c r="I534" s="2"/>
      <c r="M534" s="2"/>
      <c r="P534" s="2"/>
      <c r="Q534" s="2"/>
    </row>
    <row r="535" spans="4:17" x14ac:dyDescent="0.25">
      <c r="D535" s="2"/>
      <c r="E535" s="310"/>
      <c r="I535" s="2"/>
      <c r="M535" s="2"/>
      <c r="P535" s="2"/>
      <c r="Q535" s="2"/>
    </row>
    <row r="536" spans="4:17" x14ac:dyDescent="0.25">
      <c r="D536" s="2"/>
      <c r="E536" s="310"/>
      <c r="I536" s="2"/>
      <c r="M536" s="2"/>
      <c r="P536" s="2"/>
      <c r="Q536" s="2"/>
    </row>
    <row r="537" spans="4:17" x14ac:dyDescent="0.25">
      <c r="D537" s="2"/>
      <c r="E537" s="310"/>
      <c r="I537" s="2"/>
      <c r="M537" s="2"/>
      <c r="P537" s="2"/>
      <c r="Q537" s="2"/>
    </row>
    <row r="538" spans="4:17" x14ac:dyDescent="0.25">
      <c r="D538" s="2"/>
      <c r="E538" s="310"/>
      <c r="I538" s="2"/>
      <c r="M538" s="2"/>
      <c r="P538" s="2"/>
      <c r="Q538" s="2"/>
    </row>
    <row r="539" spans="4:17" x14ac:dyDescent="0.25">
      <c r="D539" s="2"/>
      <c r="E539" s="310"/>
      <c r="I539" s="2"/>
      <c r="M539" s="2"/>
      <c r="P539" s="2"/>
      <c r="Q539" s="2"/>
    </row>
    <row r="540" spans="4:17" x14ac:dyDescent="0.25">
      <c r="D540" s="2"/>
      <c r="E540" s="310"/>
      <c r="I540" s="2"/>
      <c r="M540" s="2"/>
      <c r="P540" s="2"/>
      <c r="Q540" s="2"/>
    </row>
    <row r="541" spans="4:17" x14ac:dyDescent="0.25">
      <c r="D541" s="2"/>
      <c r="E541" s="310"/>
      <c r="I541" s="2"/>
      <c r="M541" s="2"/>
      <c r="P541" s="2"/>
      <c r="Q541" s="2"/>
    </row>
    <row r="542" spans="4:17" x14ac:dyDescent="0.25">
      <c r="D542" s="2"/>
      <c r="E542" s="310"/>
      <c r="I542" s="2"/>
      <c r="M542" s="2"/>
      <c r="P542" s="2"/>
      <c r="Q542" s="2"/>
    </row>
    <row r="543" spans="4:17" x14ac:dyDescent="0.25">
      <c r="D543" s="2"/>
      <c r="E543" s="310"/>
      <c r="I543" s="2"/>
      <c r="M543" s="2"/>
      <c r="P543" s="2"/>
      <c r="Q543" s="2"/>
    </row>
    <row r="544" spans="4:17" x14ac:dyDescent="0.25">
      <c r="D544" s="2"/>
      <c r="E544" s="310"/>
      <c r="I544" s="2"/>
      <c r="M544" s="2"/>
      <c r="P544" s="2"/>
      <c r="Q544" s="2"/>
    </row>
    <row r="545" spans="4:17" x14ac:dyDescent="0.25">
      <c r="D545" s="2"/>
      <c r="E545" s="310"/>
      <c r="I545" s="2"/>
      <c r="M545" s="2"/>
      <c r="P545" s="2"/>
      <c r="Q545" s="2"/>
    </row>
    <row r="546" spans="4:17" x14ac:dyDescent="0.25">
      <c r="D546" s="2"/>
      <c r="E546" s="310"/>
      <c r="I546" s="2"/>
      <c r="M546" s="2"/>
      <c r="P546" s="2"/>
      <c r="Q546" s="2"/>
    </row>
    <row r="547" spans="4:17" x14ac:dyDescent="0.25">
      <c r="D547" s="2"/>
      <c r="E547" s="310"/>
      <c r="I547" s="2"/>
      <c r="M547" s="2"/>
      <c r="P547" s="2"/>
      <c r="Q547" s="2"/>
    </row>
    <row r="548" spans="4:17" x14ac:dyDescent="0.25">
      <c r="D548" s="2"/>
      <c r="E548" s="310"/>
      <c r="I548" s="2"/>
      <c r="M548" s="2"/>
      <c r="P548" s="2"/>
      <c r="Q548" s="2"/>
    </row>
    <row r="549" spans="4:17" x14ac:dyDescent="0.25">
      <c r="D549" s="2"/>
      <c r="E549" s="310"/>
      <c r="I549" s="2"/>
      <c r="M549" s="2"/>
      <c r="P549" s="2"/>
      <c r="Q549" s="2"/>
    </row>
    <row r="550" spans="4:17" x14ac:dyDescent="0.25">
      <c r="D550" s="2"/>
      <c r="E550" s="310"/>
      <c r="I550" s="2"/>
      <c r="M550" s="2"/>
      <c r="P550" s="2"/>
      <c r="Q550" s="2"/>
    </row>
    <row r="551" spans="4:17" x14ac:dyDescent="0.25">
      <c r="D551" s="2"/>
      <c r="E551" s="310"/>
      <c r="I551" s="2"/>
      <c r="M551" s="2"/>
      <c r="P551" s="2"/>
      <c r="Q551" s="2"/>
    </row>
    <row r="552" spans="4:17" x14ac:dyDescent="0.25">
      <c r="D552" s="2"/>
      <c r="E552" s="310"/>
      <c r="I552" s="2"/>
      <c r="M552" s="2"/>
      <c r="P552" s="2"/>
      <c r="Q552" s="2"/>
    </row>
    <row r="553" spans="4:17" x14ac:dyDescent="0.25">
      <c r="D553" s="2"/>
      <c r="E553" s="310"/>
      <c r="I553" s="2"/>
      <c r="M553" s="2"/>
      <c r="P553" s="2"/>
      <c r="Q553" s="2"/>
    </row>
    <row r="554" spans="4:17" x14ac:dyDescent="0.25">
      <c r="D554" s="2"/>
      <c r="E554" s="310"/>
      <c r="I554" s="2"/>
      <c r="M554" s="2"/>
      <c r="P554" s="2"/>
      <c r="Q554" s="2"/>
    </row>
    <row r="555" spans="4:17" x14ac:dyDescent="0.25">
      <c r="D555" s="2"/>
      <c r="E555" s="310"/>
      <c r="I555" s="2"/>
      <c r="M555" s="2"/>
      <c r="P555" s="2"/>
      <c r="Q555" s="2"/>
    </row>
    <row r="556" spans="4:17" x14ac:dyDescent="0.25">
      <c r="D556" s="2"/>
      <c r="E556" s="310"/>
      <c r="I556" s="2"/>
      <c r="M556" s="2"/>
      <c r="P556" s="2"/>
      <c r="Q556" s="2"/>
    </row>
    <row r="557" spans="4:17" x14ac:dyDescent="0.25">
      <c r="D557" s="2"/>
      <c r="E557" s="310"/>
      <c r="I557" s="2"/>
      <c r="M557" s="2"/>
      <c r="P557" s="2"/>
      <c r="Q557" s="2"/>
    </row>
    <row r="558" spans="4:17" x14ac:dyDescent="0.25">
      <c r="D558" s="2"/>
      <c r="E558" s="310"/>
      <c r="I558" s="2"/>
      <c r="M558" s="2"/>
      <c r="P558" s="2"/>
      <c r="Q558" s="2"/>
    </row>
    <row r="559" spans="4:17" x14ac:dyDescent="0.25">
      <c r="D559" s="2"/>
      <c r="E559" s="310"/>
      <c r="I559" s="2"/>
      <c r="M559" s="2"/>
      <c r="P559" s="2"/>
      <c r="Q559" s="2"/>
    </row>
    <row r="560" spans="4:17" x14ac:dyDescent="0.25">
      <c r="D560" s="2"/>
      <c r="E560" s="310"/>
      <c r="I560" s="2"/>
      <c r="M560" s="2"/>
      <c r="P560" s="2"/>
      <c r="Q560" s="2"/>
    </row>
    <row r="561" spans="4:17" x14ac:dyDescent="0.25">
      <c r="D561" s="2"/>
      <c r="E561" s="310"/>
      <c r="I561" s="2"/>
      <c r="M561" s="2"/>
      <c r="P561" s="2"/>
      <c r="Q561" s="2"/>
    </row>
    <row r="562" spans="4:17" x14ac:dyDescent="0.25">
      <c r="D562" s="2"/>
      <c r="E562" s="310"/>
      <c r="I562" s="2"/>
      <c r="M562" s="2"/>
      <c r="P562" s="2"/>
      <c r="Q562" s="2"/>
    </row>
    <row r="563" spans="4:17" x14ac:dyDescent="0.25">
      <c r="D563" s="2"/>
      <c r="E563" s="310"/>
      <c r="I563" s="2"/>
      <c r="M563" s="2"/>
      <c r="P563" s="2"/>
      <c r="Q563" s="2"/>
    </row>
    <row r="564" spans="4:17" x14ac:dyDescent="0.25">
      <c r="D564" s="2"/>
      <c r="E564" s="310"/>
      <c r="I564" s="2"/>
      <c r="M564" s="2"/>
      <c r="P564" s="2"/>
      <c r="Q564" s="2"/>
    </row>
    <row r="565" spans="4:17" x14ac:dyDescent="0.25">
      <c r="D565" s="2"/>
      <c r="E565" s="310"/>
      <c r="I565" s="2"/>
      <c r="M565" s="2"/>
      <c r="P565" s="2"/>
      <c r="Q565" s="2"/>
    </row>
    <row r="566" spans="4:17" x14ac:dyDescent="0.25">
      <c r="D566" s="2"/>
      <c r="E566" s="310"/>
      <c r="I566" s="2"/>
      <c r="M566" s="2"/>
      <c r="P566" s="2"/>
      <c r="Q566" s="2"/>
    </row>
    <row r="567" spans="4:17" x14ac:dyDescent="0.25">
      <c r="D567" s="2"/>
      <c r="E567" s="310"/>
      <c r="I567" s="2"/>
      <c r="M567" s="2"/>
      <c r="P567" s="2"/>
      <c r="Q567" s="2"/>
    </row>
    <row r="568" spans="4:17" x14ac:dyDescent="0.25">
      <c r="D568" s="2"/>
      <c r="E568" s="310"/>
      <c r="I568" s="2"/>
      <c r="M568" s="2"/>
      <c r="P568" s="2"/>
      <c r="Q568" s="2"/>
    </row>
    <row r="569" spans="4:17" x14ac:dyDescent="0.25">
      <c r="D569" s="2"/>
      <c r="E569" s="310"/>
      <c r="I569" s="2"/>
      <c r="M569" s="2"/>
      <c r="P569" s="2"/>
      <c r="Q569" s="2"/>
    </row>
    <row r="570" spans="4:17" x14ac:dyDescent="0.25">
      <c r="D570" s="2"/>
      <c r="E570" s="310"/>
      <c r="I570" s="2"/>
      <c r="M570" s="2"/>
      <c r="P570" s="2"/>
      <c r="Q570" s="2"/>
    </row>
    <row r="571" spans="4:17" x14ac:dyDescent="0.25">
      <c r="D571" s="2"/>
      <c r="E571" s="310"/>
      <c r="I571" s="2"/>
      <c r="M571" s="2"/>
      <c r="P571" s="2"/>
      <c r="Q571" s="2"/>
    </row>
    <row r="572" spans="4:17" x14ac:dyDescent="0.25">
      <c r="D572" s="2"/>
      <c r="E572" s="310"/>
      <c r="I572" s="2"/>
      <c r="M572" s="2"/>
      <c r="P572" s="2"/>
      <c r="Q572" s="2"/>
    </row>
    <row r="573" spans="4:17" x14ac:dyDescent="0.25">
      <c r="D573" s="2"/>
      <c r="E573" s="310"/>
      <c r="I573" s="2"/>
      <c r="M573" s="2"/>
      <c r="P573" s="2"/>
      <c r="Q573" s="2"/>
    </row>
    <row r="574" spans="4:17" x14ac:dyDescent="0.25">
      <c r="D574" s="2"/>
      <c r="E574" s="310"/>
      <c r="I574" s="2"/>
      <c r="M574" s="2"/>
      <c r="P574" s="2"/>
      <c r="Q574" s="2"/>
    </row>
    <row r="575" spans="4:17" x14ac:dyDescent="0.25">
      <c r="D575" s="2"/>
      <c r="E575" s="310"/>
      <c r="I575" s="2"/>
      <c r="M575" s="2"/>
      <c r="P575" s="2"/>
      <c r="Q575" s="2"/>
    </row>
    <row r="576" spans="4:17" x14ac:dyDescent="0.25">
      <c r="D576" s="2"/>
      <c r="E576" s="310"/>
      <c r="I576" s="2"/>
      <c r="M576" s="2"/>
      <c r="P576" s="2"/>
      <c r="Q576" s="2"/>
    </row>
    <row r="577" spans="4:17" x14ac:dyDescent="0.25">
      <c r="D577" s="2"/>
      <c r="E577" s="310"/>
      <c r="I577" s="2"/>
      <c r="M577" s="2"/>
      <c r="P577" s="2"/>
      <c r="Q577" s="2"/>
    </row>
    <row r="578" spans="4:17" x14ac:dyDescent="0.25">
      <c r="D578" s="2"/>
      <c r="E578" s="310"/>
      <c r="I578" s="2"/>
      <c r="M578" s="2"/>
      <c r="P578" s="2"/>
      <c r="Q578" s="2"/>
    </row>
    <row r="579" spans="4:17" x14ac:dyDescent="0.25">
      <c r="D579" s="2"/>
      <c r="E579" s="310"/>
      <c r="I579" s="2"/>
      <c r="M579" s="2"/>
      <c r="P579" s="2"/>
      <c r="Q579" s="2"/>
    </row>
    <row r="580" spans="4:17" x14ac:dyDescent="0.25">
      <c r="D580" s="2"/>
      <c r="E580" s="310"/>
      <c r="I580" s="2"/>
      <c r="M580" s="2"/>
      <c r="P580" s="2"/>
      <c r="Q580" s="2"/>
    </row>
    <row r="581" spans="4:17" x14ac:dyDescent="0.25">
      <c r="D581" s="2"/>
      <c r="E581" s="310"/>
      <c r="I581" s="2"/>
      <c r="M581" s="2"/>
      <c r="P581" s="2"/>
      <c r="Q581" s="2"/>
    </row>
    <row r="582" spans="4:17" x14ac:dyDescent="0.25">
      <c r="D582" s="2"/>
      <c r="E582" s="310"/>
      <c r="I582" s="2"/>
      <c r="M582" s="2"/>
      <c r="P582" s="2"/>
      <c r="Q582" s="2"/>
    </row>
    <row r="583" spans="4:17" x14ac:dyDescent="0.25">
      <c r="D583" s="2"/>
      <c r="E583" s="310"/>
      <c r="I583" s="2"/>
      <c r="M583" s="2"/>
      <c r="P583" s="2"/>
      <c r="Q583" s="2"/>
    </row>
    <row r="584" spans="4:17" x14ac:dyDescent="0.25">
      <c r="D584" s="2"/>
      <c r="E584" s="310"/>
      <c r="I584" s="2"/>
      <c r="M584" s="2"/>
      <c r="P584" s="2"/>
      <c r="Q584" s="2"/>
    </row>
    <row r="585" spans="4:17" x14ac:dyDescent="0.25">
      <c r="D585" s="2"/>
      <c r="E585" s="310"/>
      <c r="I585" s="2"/>
      <c r="M585" s="2"/>
      <c r="P585" s="2"/>
      <c r="Q585" s="2"/>
    </row>
    <row r="586" spans="4:17" x14ac:dyDescent="0.25">
      <c r="D586" s="2"/>
      <c r="E586" s="310"/>
      <c r="I586" s="2"/>
      <c r="M586" s="2"/>
      <c r="P586" s="2"/>
      <c r="Q586" s="2"/>
    </row>
    <row r="587" spans="4:17" x14ac:dyDescent="0.25">
      <c r="D587" s="2"/>
      <c r="E587" s="310"/>
      <c r="I587" s="2"/>
      <c r="M587" s="2"/>
      <c r="P587" s="2"/>
      <c r="Q587" s="2"/>
    </row>
    <row r="588" spans="4:17" x14ac:dyDescent="0.25">
      <c r="D588" s="2"/>
      <c r="E588" s="310"/>
      <c r="I588" s="2"/>
      <c r="M588" s="2"/>
      <c r="P588" s="2"/>
      <c r="Q588" s="2"/>
    </row>
    <row r="589" spans="4:17" x14ac:dyDescent="0.25">
      <c r="D589" s="2"/>
      <c r="E589" s="310"/>
      <c r="I589" s="2"/>
      <c r="M589" s="2"/>
      <c r="P589" s="2"/>
      <c r="Q589" s="2"/>
    </row>
    <row r="590" spans="4:17" x14ac:dyDescent="0.25">
      <c r="D590" s="2"/>
      <c r="E590" s="310"/>
      <c r="I590" s="2"/>
      <c r="M590" s="2"/>
      <c r="P590" s="2"/>
      <c r="Q590" s="2"/>
    </row>
    <row r="591" spans="4:17" x14ac:dyDescent="0.25">
      <c r="D591" s="2"/>
      <c r="E591" s="310"/>
      <c r="I591" s="2"/>
      <c r="M591" s="2"/>
      <c r="P591" s="2"/>
      <c r="Q591" s="2"/>
    </row>
    <row r="592" spans="4:17" x14ac:dyDescent="0.25">
      <c r="D592" s="2"/>
      <c r="E592" s="310"/>
      <c r="I592" s="2"/>
      <c r="M592" s="2"/>
      <c r="P592" s="2"/>
      <c r="Q592" s="2"/>
    </row>
    <row r="593" spans="4:17" x14ac:dyDescent="0.25">
      <c r="D593" s="2"/>
      <c r="E593" s="310"/>
      <c r="I593" s="2"/>
      <c r="M593" s="2"/>
      <c r="P593" s="2"/>
      <c r="Q593" s="2"/>
    </row>
    <row r="594" spans="4:17" x14ac:dyDescent="0.25">
      <c r="D594" s="2"/>
      <c r="E594" s="310"/>
      <c r="I594" s="2"/>
      <c r="M594" s="2"/>
      <c r="P594" s="2"/>
      <c r="Q594" s="2"/>
    </row>
    <row r="595" spans="4:17" x14ac:dyDescent="0.25">
      <c r="D595" s="2"/>
      <c r="E595" s="310"/>
      <c r="I595" s="2"/>
      <c r="M595" s="2"/>
      <c r="P595" s="2"/>
      <c r="Q595" s="2"/>
    </row>
    <row r="596" spans="4:17" x14ac:dyDescent="0.25">
      <c r="D596" s="2"/>
      <c r="E596" s="310"/>
      <c r="I596" s="2"/>
      <c r="M596" s="2"/>
      <c r="P596" s="2"/>
      <c r="Q596" s="2"/>
    </row>
    <row r="597" spans="4:17" x14ac:dyDescent="0.25">
      <c r="D597" s="2"/>
      <c r="E597" s="310"/>
      <c r="I597" s="2"/>
      <c r="M597" s="2"/>
      <c r="P597" s="2"/>
      <c r="Q597" s="2"/>
    </row>
    <row r="598" spans="4:17" x14ac:dyDescent="0.25">
      <c r="D598" s="2"/>
      <c r="E598" s="310"/>
      <c r="I598" s="2"/>
      <c r="M598" s="2"/>
      <c r="P598" s="2"/>
      <c r="Q598" s="2"/>
    </row>
    <row r="599" spans="4:17" x14ac:dyDescent="0.25">
      <c r="D599" s="2"/>
      <c r="E599" s="310"/>
      <c r="I599" s="2"/>
      <c r="M599" s="2"/>
      <c r="P599" s="2"/>
      <c r="Q599" s="2"/>
    </row>
    <row r="600" spans="4:17" x14ac:dyDescent="0.25">
      <c r="D600" s="2"/>
      <c r="E600" s="310"/>
      <c r="I600" s="2"/>
      <c r="M600" s="2"/>
      <c r="P600" s="2"/>
      <c r="Q600" s="2"/>
    </row>
    <row r="601" spans="4:17" x14ac:dyDescent="0.25">
      <c r="D601" s="2"/>
      <c r="E601" s="310"/>
      <c r="I601" s="2"/>
      <c r="M601" s="2"/>
      <c r="P601" s="2"/>
      <c r="Q601" s="2"/>
    </row>
    <row r="602" spans="4:17" x14ac:dyDescent="0.25">
      <c r="D602" s="2"/>
      <c r="E602" s="310"/>
      <c r="I602" s="2"/>
      <c r="M602" s="2"/>
      <c r="P602" s="2"/>
      <c r="Q602" s="2"/>
    </row>
    <row r="603" spans="4:17" x14ac:dyDescent="0.25">
      <c r="D603" s="2"/>
      <c r="E603" s="310"/>
      <c r="I603" s="2"/>
      <c r="M603" s="2"/>
      <c r="P603" s="2"/>
      <c r="Q603" s="2"/>
    </row>
    <row r="604" spans="4:17" x14ac:dyDescent="0.25">
      <c r="D604" s="2"/>
      <c r="E604" s="310"/>
      <c r="I604" s="2"/>
      <c r="M604" s="2"/>
      <c r="P604" s="2"/>
      <c r="Q604" s="2"/>
    </row>
    <row r="605" spans="4:17" x14ac:dyDescent="0.25">
      <c r="D605" s="2"/>
      <c r="E605" s="310"/>
      <c r="I605" s="2"/>
      <c r="M605" s="2"/>
      <c r="P605" s="2"/>
      <c r="Q605" s="2"/>
    </row>
    <row r="606" spans="4:17" x14ac:dyDescent="0.25">
      <c r="D606" s="2"/>
      <c r="E606" s="310"/>
      <c r="I606" s="2"/>
      <c r="M606" s="2"/>
      <c r="P606" s="2"/>
      <c r="Q606" s="2"/>
    </row>
    <row r="607" spans="4:17" x14ac:dyDescent="0.25">
      <c r="D607" s="2"/>
      <c r="E607" s="310"/>
      <c r="I607" s="2"/>
      <c r="M607" s="2"/>
      <c r="P607" s="2"/>
      <c r="Q607" s="2"/>
    </row>
    <row r="608" spans="4:17" x14ac:dyDescent="0.25">
      <c r="D608" s="2"/>
      <c r="E608" s="310"/>
      <c r="I608" s="2"/>
      <c r="M608" s="2"/>
      <c r="P608" s="2"/>
      <c r="Q608" s="2"/>
    </row>
    <row r="609" spans="4:17" x14ac:dyDescent="0.25">
      <c r="D609" s="2"/>
      <c r="E609" s="310"/>
      <c r="I609" s="2"/>
      <c r="M609" s="2"/>
      <c r="P609" s="2"/>
      <c r="Q609" s="2"/>
    </row>
    <row r="610" spans="4:17" x14ac:dyDescent="0.25">
      <c r="D610" s="2"/>
      <c r="E610" s="310"/>
      <c r="I610" s="2"/>
      <c r="M610" s="2"/>
      <c r="P610" s="2"/>
      <c r="Q610" s="2"/>
    </row>
    <row r="611" spans="4:17" x14ac:dyDescent="0.25">
      <c r="D611" s="2"/>
      <c r="E611" s="310"/>
      <c r="I611" s="2"/>
      <c r="M611" s="2"/>
      <c r="P611" s="2"/>
      <c r="Q611" s="2"/>
    </row>
    <row r="612" spans="4:17" x14ac:dyDescent="0.25">
      <c r="D612" s="2"/>
      <c r="E612" s="310"/>
      <c r="I612" s="2"/>
      <c r="M612" s="2"/>
      <c r="P612" s="2"/>
      <c r="Q612" s="2"/>
    </row>
    <row r="613" spans="4:17" x14ac:dyDescent="0.25">
      <c r="D613" s="2"/>
      <c r="E613" s="310"/>
      <c r="I613" s="2"/>
      <c r="M613" s="2"/>
      <c r="P613" s="2"/>
      <c r="Q613" s="2"/>
    </row>
    <row r="614" spans="4:17" x14ac:dyDescent="0.25">
      <c r="D614" s="2"/>
      <c r="E614" s="310"/>
      <c r="I614" s="2"/>
      <c r="M614" s="2"/>
      <c r="P614" s="2"/>
      <c r="Q614" s="2"/>
    </row>
    <row r="615" spans="4:17" x14ac:dyDescent="0.25">
      <c r="D615" s="2"/>
      <c r="E615" s="310"/>
      <c r="I615" s="2"/>
      <c r="M615" s="2"/>
      <c r="P615" s="2"/>
      <c r="Q615" s="2"/>
    </row>
    <row r="619" spans="4:17" x14ac:dyDescent="0.25">
      <c r="D619" s="2"/>
      <c r="E619" s="310"/>
      <c r="I619" s="2"/>
      <c r="M619" s="2"/>
      <c r="P619" s="2"/>
      <c r="Q619" s="2"/>
    </row>
    <row r="620" spans="4:17" x14ac:dyDescent="0.25">
      <c r="D620" s="2"/>
      <c r="E620" s="310"/>
      <c r="I620" s="2"/>
      <c r="M620" s="2"/>
      <c r="P620" s="2"/>
      <c r="Q620" s="2"/>
    </row>
    <row r="626" spans="4:17" x14ac:dyDescent="0.25">
      <c r="D626" s="2"/>
      <c r="E626" s="310"/>
      <c r="I626" s="2"/>
      <c r="M626" s="2"/>
      <c r="P626" s="2"/>
      <c r="Q626" s="2"/>
    </row>
    <row r="627" spans="4:17" x14ac:dyDescent="0.25">
      <c r="D627" s="2"/>
      <c r="E627" s="310"/>
      <c r="I627" s="2"/>
      <c r="M627" s="2"/>
      <c r="P627" s="2"/>
      <c r="Q627" s="2"/>
    </row>
    <row r="629" spans="4:17" x14ac:dyDescent="0.25">
      <c r="D629" s="2"/>
      <c r="E629" s="310"/>
      <c r="I629" s="2"/>
      <c r="M629" s="2"/>
      <c r="P629" s="2"/>
      <c r="Q629" s="2"/>
    </row>
    <row r="630" spans="4:17" x14ac:dyDescent="0.25">
      <c r="D630" s="2"/>
      <c r="E630" s="310"/>
      <c r="I630" s="2"/>
      <c r="M630" s="2"/>
      <c r="P630" s="2"/>
      <c r="Q630" s="2"/>
    </row>
    <row r="631" spans="4:17" x14ac:dyDescent="0.25">
      <c r="D631" s="2"/>
      <c r="E631" s="310"/>
      <c r="I631" s="2"/>
      <c r="M631" s="2"/>
      <c r="P631" s="2"/>
      <c r="Q631" s="2"/>
    </row>
    <row r="632" spans="4:17" x14ac:dyDescent="0.25">
      <c r="D632" s="2"/>
      <c r="E632" s="310"/>
      <c r="I632" s="2"/>
      <c r="M632" s="2"/>
      <c r="P632" s="2"/>
      <c r="Q632" s="2"/>
    </row>
    <row r="633" spans="4:17" x14ac:dyDescent="0.25">
      <c r="D633" s="2"/>
      <c r="E633" s="310"/>
      <c r="I633" s="2"/>
      <c r="M633" s="2"/>
      <c r="P633" s="2"/>
      <c r="Q633" s="2"/>
    </row>
    <row r="634" spans="4:17" x14ac:dyDescent="0.25">
      <c r="D634" s="2"/>
      <c r="E634" s="310"/>
      <c r="I634" s="2"/>
      <c r="M634" s="2"/>
      <c r="P634" s="2"/>
      <c r="Q634" s="2"/>
    </row>
    <row r="635" spans="4:17" x14ac:dyDescent="0.25">
      <c r="D635" s="2"/>
      <c r="E635" s="310"/>
      <c r="I635" s="2"/>
      <c r="M635" s="2"/>
      <c r="P635" s="2"/>
      <c r="Q635" s="2"/>
    </row>
    <row r="636" spans="4:17" x14ac:dyDescent="0.25">
      <c r="D636" s="2"/>
      <c r="E636" s="310"/>
      <c r="I636" s="2"/>
      <c r="M636" s="2"/>
      <c r="P636" s="2"/>
      <c r="Q636" s="2"/>
    </row>
    <row r="637" spans="4:17" x14ac:dyDescent="0.25">
      <c r="D637" s="2"/>
      <c r="E637" s="310"/>
      <c r="I637" s="2"/>
      <c r="M637" s="2"/>
      <c r="P637" s="2"/>
      <c r="Q637" s="2"/>
    </row>
    <row r="638" spans="4:17" x14ac:dyDescent="0.25">
      <c r="D638" s="2"/>
      <c r="E638" s="310"/>
      <c r="I638" s="2"/>
      <c r="M638" s="2"/>
      <c r="P638" s="2"/>
      <c r="Q638" s="2"/>
    </row>
    <row r="639" spans="4:17" x14ac:dyDescent="0.25">
      <c r="D639" s="2"/>
      <c r="E639" s="310"/>
      <c r="I639" s="2"/>
      <c r="M639" s="2"/>
      <c r="P639" s="2"/>
      <c r="Q639" s="2"/>
    </row>
    <row r="640" spans="4:17" x14ac:dyDescent="0.25">
      <c r="D640" s="2"/>
      <c r="E640" s="310"/>
      <c r="I640" s="2"/>
      <c r="M640" s="2"/>
      <c r="P640" s="2"/>
      <c r="Q640" s="2"/>
    </row>
    <row r="641" spans="4:17" x14ac:dyDescent="0.25">
      <c r="D641" s="2"/>
      <c r="E641" s="310"/>
      <c r="I641" s="2"/>
      <c r="M641" s="2"/>
      <c r="P641" s="2"/>
      <c r="Q641" s="2"/>
    </row>
    <row r="642" spans="4:17" x14ac:dyDescent="0.25">
      <c r="D642" s="2"/>
      <c r="E642" s="310"/>
      <c r="I642" s="2"/>
      <c r="M642" s="2"/>
      <c r="P642" s="2"/>
      <c r="Q642" s="2"/>
    </row>
    <row r="643" spans="4:17" x14ac:dyDescent="0.25">
      <c r="D643" s="2"/>
      <c r="E643" s="310"/>
      <c r="I643" s="2"/>
      <c r="M643" s="2"/>
      <c r="P643" s="2"/>
      <c r="Q643" s="2"/>
    </row>
    <row r="644" spans="4:17" x14ac:dyDescent="0.25">
      <c r="D644" s="2"/>
      <c r="E644" s="310"/>
      <c r="I644" s="2"/>
      <c r="M644" s="2"/>
      <c r="P644" s="2"/>
      <c r="Q644" s="2"/>
    </row>
    <row r="645" spans="4:17" x14ac:dyDescent="0.25">
      <c r="D645" s="2"/>
      <c r="E645" s="310"/>
      <c r="I645" s="2"/>
      <c r="M645" s="2"/>
      <c r="P645" s="2"/>
      <c r="Q645" s="2"/>
    </row>
    <row r="646" spans="4:17" x14ac:dyDescent="0.25">
      <c r="D646" s="2"/>
      <c r="E646" s="310"/>
      <c r="I646" s="2"/>
      <c r="M646" s="2"/>
      <c r="P646" s="2"/>
      <c r="Q646" s="2"/>
    </row>
    <row r="647" spans="4:17" x14ac:dyDescent="0.25">
      <c r="D647" s="2"/>
      <c r="E647" s="310"/>
      <c r="I647" s="2"/>
      <c r="M647" s="2"/>
      <c r="P647" s="2"/>
      <c r="Q647" s="2"/>
    </row>
    <row r="648" spans="4:17" x14ac:dyDescent="0.25">
      <c r="D648" s="2"/>
      <c r="E648" s="310"/>
      <c r="I648" s="2"/>
      <c r="M648" s="2"/>
      <c r="P648" s="2"/>
      <c r="Q648" s="2"/>
    </row>
    <row r="649" spans="4:17" x14ac:dyDescent="0.25">
      <c r="D649" s="2"/>
      <c r="E649" s="310"/>
      <c r="I649" s="2"/>
      <c r="M649" s="2"/>
      <c r="P649" s="2"/>
      <c r="Q649" s="2"/>
    </row>
    <row r="650" spans="4:17" x14ac:dyDescent="0.25">
      <c r="D650" s="2"/>
      <c r="E650" s="310"/>
      <c r="I650" s="2"/>
      <c r="M650" s="2"/>
      <c r="P650" s="2"/>
      <c r="Q650" s="2"/>
    </row>
    <row r="651" spans="4:17" x14ac:dyDescent="0.25">
      <c r="D651" s="2"/>
      <c r="E651" s="310"/>
      <c r="I651" s="2"/>
      <c r="M651" s="2"/>
      <c r="P651" s="2"/>
      <c r="Q651" s="2"/>
    </row>
    <row r="652" spans="4:17" x14ac:dyDescent="0.25">
      <c r="D652" s="2"/>
      <c r="E652" s="310"/>
      <c r="I652" s="2"/>
      <c r="M652" s="2"/>
      <c r="P652" s="2"/>
      <c r="Q652" s="2"/>
    </row>
    <row r="653" spans="4:17" x14ac:dyDescent="0.25">
      <c r="D653" s="2"/>
      <c r="E653" s="310"/>
      <c r="I653" s="2"/>
      <c r="M653" s="2"/>
      <c r="P653" s="2"/>
      <c r="Q653" s="2"/>
    </row>
    <row r="654" spans="4:17" x14ac:dyDescent="0.25">
      <c r="D654" s="2"/>
      <c r="E654" s="310"/>
      <c r="I654" s="2"/>
      <c r="M654" s="2"/>
      <c r="P654" s="2"/>
      <c r="Q654" s="2"/>
    </row>
    <row r="655" spans="4:17" x14ac:dyDescent="0.25">
      <c r="D655" s="2"/>
      <c r="E655" s="310"/>
      <c r="I655" s="2"/>
      <c r="M655" s="2"/>
      <c r="P655" s="2"/>
      <c r="Q655" s="2"/>
    </row>
    <row r="656" spans="4:17" x14ac:dyDescent="0.25">
      <c r="D656" s="2"/>
      <c r="E656" s="310"/>
      <c r="I656" s="2"/>
      <c r="M656" s="2"/>
      <c r="P656" s="2"/>
      <c r="Q656" s="2"/>
    </row>
    <row r="657" spans="4:17" x14ac:dyDescent="0.25">
      <c r="D657" s="2"/>
      <c r="E657" s="310"/>
      <c r="I657" s="2"/>
      <c r="M657" s="2"/>
      <c r="P657" s="2"/>
      <c r="Q657" s="2"/>
    </row>
    <row r="658" spans="4:17" x14ac:dyDescent="0.25">
      <c r="D658" s="2"/>
      <c r="E658" s="310"/>
      <c r="I658" s="2"/>
      <c r="M658" s="2"/>
      <c r="P658" s="2"/>
      <c r="Q658" s="2"/>
    </row>
    <row r="659" spans="4:17" x14ac:dyDescent="0.25">
      <c r="D659" s="2"/>
      <c r="E659" s="310"/>
      <c r="I659" s="2"/>
      <c r="M659" s="2"/>
      <c r="P659" s="2"/>
      <c r="Q659" s="2"/>
    </row>
    <row r="660" spans="4:17" x14ac:dyDescent="0.25">
      <c r="D660" s="2"/>
      <c r="E660" s="310"/>
      <c r="I660" s="2"/>
      <c r="M660" s="2"/>
      <c r="P660" s="2"/>
      <c r="Q660" s="2"/>
    </row>
    <row r="661" spans="4:17" x14ac:dyDescent="0.25">
      <c r="D661" s="2"/>
      <c r="E661" s="310"/>
      <c r="I661" s="2"/>
      <c r="M661" s="2"/>
      <c r="P661" s="2"/>
      <c r="Q661" s="2"/>
    </row>
    <row r="664" spans="4:17" x14ac:dyDescent="0.25">
      <c r="D664" s="2"/>
      <c r="E664" s="310"/>
      <c r="I664" s="2"/>
      <c r="M664" s="2"/>
      <c r="P664" s="2"/>
      <c r="Q664" s="2"/>
    </row>
    <row r="665" spans="4:17" x14ac:dyDescent="0.25">
      <c r="D665" s="2"/>
      <c r="E665" s="310"/>
      <c r="I665" s="2"/>
      <c r="M665" s="2"/>
      <c r="P665" s="2"/>
      <c r="Q665" s="2"/>
    </row>
    <row r="666" spans="4:17" x14ac:dyDescent="0.25">
      <c r="D666" s="2"/>
      <c r="E666" s="310"/>
      <c r="I666" s="2"/>
      <c r="M666" s="2"/>
      <c r="P666" s="2"/>
      <c r="Q666" s="2"/>
    </row>
    <row r="667" spans="4:17" x14ac:dyDescent="0.25">
      <c r="D667" s="2"/>
      <c r="E667" s="310"/>
      <c r="I667" s="2"/>
      <c r="M667" s="2"/>
      <c r="P667" s="2"/>
      <c r="Q667" s="2"/>
    </row>
    <row r="668" spans="4:17" x14ac:dyDescent="0.25">
      <c r="D668" s="2"/>
      <c r="E668" s="310"/>
      <c r="I668" s="2"/>
      <c r="M668" s="2"/>
      <c r="P668" s="2"/>
      <c r="Q668" s="2"/>
    </row>
    <row r="669" spans="4:17" x14ac:dyDescent="0.25">
      <c r="D669" s="2"/>
      <c r="E669" s="310"/>
      <c r="I669" s="2"/>
      <c r="M669" s="2"/>
      <c r="P669" s="2"/>
      <c r="Q669" s="2"/>
    </row>
    <row r="670" spans="4:17" x14ac:dyDescent="0.25">
      <c r="D670" s="2"/>
      <c r="E670" s="310"/>
      <c r="I670" s="2"/>
      <c r="M670" s="2"/>
      <c r="P670" s="2"/>
      <c r="Q670" s="2"/>
    </row>
    <row r="671" spans="4:17" x14ac:dyDescent="0.25">
      <c r="D671" s="2"/>
      <c r="E671" s="310"/>
      <c r="I671" s="2"/>
      <c r="M671" s="2"/>
      <c r="P671" s="2"/>
      <c r="Q671" s="2"/>
    </row>
    <row r="672" spans="4:17" x14ac:dyDescent="0.25">
      <c r="D672" s="2"/>
      <c r="E672" s="310"/>
      <c r="I672" s="2"/>
      <c r="M672" s="2"/>
      <c r="P672" s="2"/>
      <c r="Q672" s="2"/>
    </row>
    <row r="673" spans="4:17" x14ac:dyDescent="0.25">
      <c r="D673" s="2"/>
      <c r="E673" s="310"/>
      <c r="I673" s="2"/>
      <c r="M673" s="2"/>
      <c r="P673" s="2"/>
      <c r="Q673" s="2"/>
    </row>
    <row r="674" spans="4:17" x14ac:dyDescent="0.25">
      <c r="D674" s="2"/>
      <c r="E674" s="310"/>
      <c r="I674" s="2"/>
      <c r="M674" s="2"/>
      <c r="P674" s="2"/>
      <c r="Q674" s="2"/>
    </row>
    <row r="675" spans="4:17" x14ac:dyDescent="0.25">
      <c r="D675" s="2"/>
      <c r="E675" s="310"/>
      <c r="I675" s="2"/>
      <c r="M675" s="2"/>
      <c r="P675" s="2"/>
      <c r="Q675" s="2"/>
    </row>
    <row r="676" spans="4:17" x14ac:dyDescent="0.25">
      <c r="D676" s="2"/>
      <c r="E676" s="310"/>
      <c r="I676" s="2"/>
      <c r="M676" s="2"/>
      <c r="P676" s="2"/>
      <c r="Q676" s="2"/>
    </row>
    <row r="677" spans="4:17" x14ac:dyDescent="0.25">
      <c r="D677" s="2"/>
      <c r="E677" s="310"/>
      <c r="I677" s="2"/>
      <c r="M677" s="2"/>
      <c r="P677" s="2"/>
      <c r="Q677" s="2"/>
    </row>
    <row r="678" spans="4:17" x14ac:dyDescent="0.25">
      <c r="D678" s="2"/>
      <c r="E678" s="310"/>
      <c r="I678" s="2"/>
      <c r="M678" s="2"/>
      <c r="P678" s="2"/>
      <c r="Q678" s="2"/>
    </row>
    <row r="679" spans="4:17" x14ac:dyDescent="0.25">
      <c r="D679" s="2"/>
      <c r="E679" s="310"/>
      <c r="I679" s="2"/>
      <c r="M679" s="2"/>
      <c r="P679" s="2"/>
      <c r="Q679" s="2"/>
    </row>
    <row r="680" spans="4:17" x14ac:dyDescent="0.25">
      <c r="D680" s="2"/>
      <c r="E680" s="310"/>
      <c r="I680" s="2"/>
      <c r="M680" s="2"/>
      <c r="P680" s="2"/>
      <c r="Q680" s="2"/>
    </row>
    <row r="681" spans="4:17" x14ac:dyDescent="0.25">
      <c r="D681" s="2"/>
      <c r="E681" s="310"/>
      <c r="I681" s="2"/>
      <c r="M681" s="2"/>
      <c r="P681" s="2"/>
      <c r="Q681" s="2"/>
    </row>
    <row r="682" spans="4:17" x14ac:dyDescent="0.25">
      <c r="D682" s="2"/>
      <c r="E682" s="310"/>
      <c r="I682" s="2"/>
      <c r="M682" s="2"/>
      <c r="P682" s="2"/>
      <c r="Q682" s="2"/>
    </row>
    <row r="683" spans="4:17" x14ac:dyDescent="0.25">
      <c r="D683" s="2"/>
      <c r="E683" s="310"/>
      <c r="I683" s="2"/>
      <c r="M683" s="2"/>
      <c r="P683" s="2"/>
      <c r="Q683" s="2"/>
    </row>
    <row r="684" spans="4:17" x14ac:dyDescent="0.25">
      <c r="D684" s="2"/>
      <c r="E684" s="310"/>
      <c r="I684" s="2"/>
      <c r="M684" s="2"/>
      <c r="P684" s="2"/>
      <c r="Q684" s="2"/>
    </row>
    <row r="685" spans="4:17" x14ac:dyDescent="0.25">
      <c r="D685" s="2"/>
      <c r="E685" s="310"/>
      <c r="I685" s="2"/>
      <c r="M685" s="2"/>
      <c r="P685" s="2"/>
      <c r="Q685" s="2"/>
    </row>
    <row r="686" spans="4:17" x14ac:dyDescent="0.25">
      <c r="D686" s="2"/>
      <c r="E686" s="310"/>
      <c r="I686" s="2"/>
      <c r="M686" s="2"/>
      <c r="P686" s="2"/>
      <c r="Q686" s="2"/>
    </row>
    <row r="687" spans="4:17" x14ac:dyDescent="0.25">
      <c r="D687" s="2"/>
      <c r="E687" s="310"/>
      <c r="I687" s="2"/>
      <c r="M687" s="2"/>
      <c r="P687" s="2"/>
      <c r="Q687" s="2"/>
    </row>
    <row r="688" spans="4:17" x14ac:dyDescent="0.25">
      <c r="D688" s="2"/>
      <c r="E688" s="310"/>
      <c r="I688" s="2"/>
      <c r="M688" s="2"/>
      <c r="P688" s="2"/>
      <c r="Q688" s="2"/>
    </row>
    <row r="689" spans="4:17" x14ac:dyDescent="0.25">
      <c r="D689" s="2"/>
      <c r="E689" s="310"/>
      <c r="I689" s="2"/>
      <c r="M689" s="2"/>
      <c r="P689" s="2"/>
      <c r="Q689" s="2"/>
    </row>
    <row r="690" spans="4:17" x14ac:dyDescent="0.25">
      <c r="D690" s="2"/>
      <c r="E690" s="310"/>
      <c r="I690" s="2"/>
      <c r="M690" s="2"/>
      <c r="P690" s="2"/>
      <c r="Q690" s="2"/>
    </row>
    <row r="691" spans="4:17" x14ac:dyDescent="0.25">
      <c r="D691" s="2"/>
      <c r="E691" s="310"/>
      <c r="I691" s="2"/>
      <c r="M691" s="2"/>
      <c r="P691" s="2"/>
      <c r="Q691" s="2"/>
    </row>
    <row r="692" spans="4:17" x14ac:dyDescent="0.25">
      <c r="D692" s="2"/>
      <c r="E692" s="310"/>
      <c r="I692" s="2"/>
      <c r="M692" s="2"/>
      <c r="P692" s="2"/>
      <c r="Q692" s="2"/>
    </row>
    <row r="693" spans="4:17" x14ac:dyDescent="0.25">
      <c r="D693" s="2"/>
      <c r="E693" s="310"/>
      <c r="I693" s="2"/>
      <c r="M693" s="2"/>
      <c r="P693" s="2"/>
      <c r="Q693" s="2"/>
    </row>
    <row r="694" spans="4:17" x14ac:dyDescent="0.25">
      <c r="D694" s="2"/>
      <c r="E694" s="310"/>
      <c r="I694" s="2"/>
      <c r="M694" s="2"/>
      <c r="P694" s="2"/>
      <c r="Q694" s="2"/>
    </row>
    <row r="695" spans="4:17" x14ac:dyDescent="0.25">
      <c r="D695" s="2"/>
      <c r="E695" s="310"/>
      <c r="I695" s="2"/>
      <c r="M695" s="2"/>
      <c r="P695" s="2"/>
      <c r="Q695" s="2"/>
    </row>
    <row r="696" spans="4:17" x14ac:dyDescent="0.25">
      <c r="D696" s="2"/>
      <c r="E696" s="310"/>
      <c r="I696" s="2"/>
      <c r="M696" s="2"/>
      <c r="P696" s="2"/>
      <c r="Q696" s="2"/>
    </row>
    <row r="697" spans="4:17" x14ac:dyDescent="0.25">
      <c r="D697" s="2"/>
      <c r="E697" s="310"/>
      <c r="I697" s="2"/>
      <c r="M697" s="2"/>
      <c r="P697" s="2"/>
      <c r="Q697" s="2"/>
    </row>
    <row r="698" spans="4:17" x14ac:dyDescent="0.25">
      <c r="D698" s="2"/>
      <c r="E698" s="310"/>
      <c r="I698" s="2"/>
      <c r="M698" s="2"/>
      <c r="P698" s="2"/>
      <c r="Q698" s="2"/>
    </row>
    <row r="699" spans="4:17" x14ac:dyDescent="0.25">
      <c r="D699" s="2"/>
      <c r="E699" s="310"/>
      <c r="I699" s="2"/>
      <c r="M699" s="2"/>
      <c r="P699" s="2"/>
      <c r="Q699" s="2"/>
    </row>
    <row r="700" spans="4:17" x14ac:dyDescent="0.25">
      <c r="D700" s="2"/>
      <c r="E700" s="310"/>
      <c r="I700" s="2"/>
      <c r="M700" s="2"/>
      <c r="P700" s="2"/>
      <c r="Q700" s="2"/>
    </row>
    <row r="701" spans="4:17" x14ac:dyDescent="0.25">
      <c r="D701" s="2"/>
      <c r="E701" s="310"/>
      <c r="I701" s="2"/>
      <c r="M701" s="2"/>
      <c r="P701" s="2"/>
      <c r="Q701" s="2"/>
    </row>
    <row r="702" spans="4:17" x14ac:dyDescent="0.25">
      <c r="D702" s="2"/>
      <c r="E702" s="310"/>
      <c r="I702" s="2"/>
      <c r="M702" s="2"/>
      <c r="P702" s="2"/>
      <c r="Q702" s="2"/>
    </row>
    <row r="703" spans="4:17" x14ac:dyDescent="0.25">
      <c r="D703" s="2"/>
      <c r="E703" s="310"/>
      <c r="I703" s="2"/>
      <c r="M703" s="2"/>
      <c r="P703" s="2"/>
      <c r="Q703" s="2"/>
    </row>
    <row r="704" spans="4:17" x14ac:dyDescent="0.25">
      <c r="D704" s="2"/>
      <c r="E704" s="310"/>
      <c r="I704" s="2"/>
      <c r="M704" s="2"/>
      <c r="P704" s="2"/>
      <c r="Q704" s="2"/>
    </row>
    <row r="705" spans="4:17" x14ac:dyDescent="0.25">
      <c r="D705" s="2"/>
      <c r="E705" s="310"/>
      <c r="I705" s="2"/>
      <c r="M705" s="2"/>
      <c r="P705" s="2"/>
      <c r="Q705" s="2"/>
    </row>
    <row r="706" spans="4:17" x14ac:dyDescent="0.25">
      <c r="D706" s="2"/>
      <c r="E706" s="310"/>
      <c r="I706" s="2"/>
      <c r="M706" s="2"/>
      <c r="P706" s="2"/>
      <c r="Q706" s="2"/>
    </row>
    <row r="707" spans="4:17" x14ac:dyDescent="0.25">
      <c r="D707" s="2"/>
      <c r="E707" s="310"/>
      <c r="I707" s="2"/>
      <c r="M707" s="2"/>
      <c r="P707" s="2"/>
      <c r="Q707" s="2"/>
    </row>
    <row r="708" spans="4:17" x14ac:dyDescent="0.25">
      <c r="D708" s="2"/>
      <c r="E708" s="310"/>
      <c r="I708" s="2"/>
      <c r="M708" s="2"/>
      <c r="P708" s="2"/>
      <c r="Q708" s="2"/>
    </row>
    <row r="709" spans="4:17" x14ac:dyDescent="0.25">
      <c r="D709" s="2"/>
      <c r="E709" s="310"/>
      <c r="I709" s="2"/>
      <c r="M709" s="2"/>
      <c r="P709" s="2"/>
      <c r="Q709" s="2"/>
    </row>
    <row r="710" spans="4:17" x14ac:dyDescent="0.25">
      <c r="D710" s="2"/>
      <c r="E710" s="310"/>
      <c r="I710" s="2"/>
      <c r="M710" s="2"/>
      <c r="P710" s="2"/>
      <c r="Q710" s="2"/>
    </row>
    <row r="711" spans="4:17" x14ac:dyDescent="0.25">
      <c r="D711" s="2"/>
      <c r="E711" s="310"/>
      <c r="I711" s="2"/>
      <c r="M711" s="2"/>
      <c r="P711" s="2"/>
      <c r="Q711" s="2"/>
    </row>
    <row r="712" spans="4:17" x14ac:dyDescent="0.25">
      <c r="D712" s="2"/>
      <c r="E712" s="310"/>
      <c r="I712" s="2"/>
      <c r="M712" s="2"/>
      <c r="P712" s="2"/>
      <c r="Q712" s="2"/>
    </row>
    <row r="713" spans="4:17" x14ac:dyDescent="0.25">
      <c r="D713" s="2"/>
      <c r="E713" s="310"/>
      <c r="I713" s="2"/>
      <c r="M713" s="2"/>
      <c r="P713" s="2"/>
      <c r="Q713" s="2"/>
    </row>
    <row r="714" spans="4:17" x14ac:dyDescent="0.25">
      <c r="D714" s="2"/>
      <c r="E714" s="310"/>
      <c r="I714" s="2"/>
      <c r="M714" s="2"/>
      <c r="P714" s="2"/>
      <c r="Q714" s="2"/>
    </row>
    <row r="715" spans="4:17" x14ac:dyDescent="0.25">
      <c r="D715" s="2"/>
      <c r="E715" s="310"/>
      <c r="I715" s="2"/>
      <c r="M715" s="2"/>
      <c r="P715" s="2"/>
      <c r="Q715" s="2"/>
    </row>
    <row r="716" spans="4:17" x14ac:dyDescent="0.25">
      <c r="D716" s="2"/>
      <c r="E716" s="310"/>
      <c r="I716" s="2"/>
      <c r="M716" s="2"/>
      <c r="P716" s="2"/>
      <c r="Q716" s="2"/>
    </row>
    <row r="717" spans="4:17" x14ac:dyDescent="0.25">
      <c r="D717" s="2"/>
      <c r="E717" s="310"/>
      <c r="I717" s="2"/>
      <c r="M717" s="2"/>
      <c r="P717" s="2"/>
      <c r="Q717" s="2"/>
    </row>
    <row r="718" spans="4:17" x14ac:dyDescent="0.25">
      <c r="D718" s="2"/>
      <c r="E718" s="310"/>
      <c r="I718" s="2"/>
      <c r="M718" s="2"/>
      <c r="P718" s="2"/>
      <c r="Q718" s="2"/>
    </row>
    <row r="719" spans="4:17" x14ac:dyDescent="0.25">
      <c r="D719" s="2"/>
      <c r="E719" s="310"/>
      <c r="I719" s="2"/>
      <c r="M719" s="2"/>
      <c r="P719" s="2"/>
      <c r="Q719" s="2"/>
    </row>
    <row r="720" spans="4:17" x14ac:dyDescent="0.25">
      <c r="D720" s="2"/>
      <c r="E720" s="310"/>
      <c r="I720" s="2"/>
      <c r="M720" s="2"/>
      <c r="P720" s="2"/>
      <c r="Q720" s="2"/>
    </row>
    <row r="721" spans="4:17" x14ac:dyDescent="0.25">
      <c r="D721" s="2"/>
      <c r="E721" s="310"/>
      <c r="I721" s="2"/>
      <c r="M721" s="2"/>
      <c r="P721" s="2"/>
      <c r="Q721" s="2"/>
    </row>
    <row r="722" spans="4:17" x14ac:dyDescent="0.25">
      <c r="D722" s="2"/>
      <c r="E722" s="310"/>
      <c r="I722" s="2"/>
      <c r="M722" s="2"/>
      <c r="P722" s="2"/>
      <c r="Q722" s="2"/>
    </row>
    <row r="723" spans="4:17" x14ac:dyDescent="0.25">
      <c r="D723" s="2"/>
      <c r="E723" s="310"/>
      <c r="I723" s="2"/>
      <c r="M723" s="2"/>
      <c r="P723" s="2"/>
      <c r="Q723" s="2"/>
    </row>
    <row r="724" spans="4:17" x14ac:dyDescent="0.25">
      <c r="D724" s="2"/>
      <c r="E724" s="310"/>
      <c r="I724" s="2"/>
      <c r="M724" s="2"/>
      <c r="P724" s="2"/>
      <c r="Q724" s="2"/>
    </row>
    <row r="725" spans="4:17" x14ac:dyDescent="0.25">
      <c r="D725" s="2"/>
      <c r="E725" s="310"/>
      <c r="I725" s="2"/>
      <c r="M725" s="2"/>
      <c r="P725" s="2"/>
      <c r="Q725" s="2"/>
    </row>
    <row r="726" spans="4:17" x14ac:dyDescent="0.25">
      <c r="D726" s="2"/>
      <c r="E726" s="310"/>
      <c r="I726" s="2"/>
      <c r="M726" s="2"/>
      <c r="P726" s="2"/>
      <c r="Q726" s="2"/>
    </row>
    <row r="727" spans="4:17" x14ac:dyDescent="0.25">
      <c r="D727" s="2"/>
      <c r="E727" s="310"/>
      <c r="I727" s="2"/>
      <c r="M727" s="2"/>
      <c r="P727" s="2"/>
      <c r="Q727" s="2"/>
    </row>
    <row r="728" spans="4:17" x14ac:dyDescent="0.25">
      <c r="D728" s="2"/>
      <c r="E728" s="310"/>
      <c r="I728" s="2"/>
      <c r="M728" s="2"/>
      <c r="P728" s="2"/>
      <c r="Q728" s="2"/>
    </row>
    <row r="729" spans="4:17" x14ac:dyDescent="0.25">
      <c r="D729" s="2"/>
      <c r="E729" s="310"/>
      <c r="I729" s="2"/>
      <c r="M729" s="2"/>
      <c r="P729" s="2"/>
      <c r="Q729" s="2"/>
    </row>
    <row r="730" spans="4:17" x14ac:dyDescent="0.25">
      <c r="D730" s="2"/>
      <c r="E730" s="310"/>
      <c r="I730" s="2"/>
      <c r="M730" s="2"/>
      <c r="P730" s="2"/>
      <c r="Q730" s="2"/>
    </row>
    <row r="731" spans="4:17" x14ac:dyDescent="0.25">
      <c r="D731" s="2"/>
      <c r="E731" s="310"/>
      <c r="I731" s="2"/>
      <c r="M731" s="2"/>
      <c r="P731" s="2"/>
      <c r="Q731" s="2"/>
    </row>
    <row r="732" spans="4:17" x14ac:dyDescent="0.25">
      <c r="D732" s="2"/>
      <c r="E732" s="310"/>
      <c r="I732" s="2"/>
      <c r="M732" s="2"/>
      <c r="P732" s="2"/>
      <c r="Q732" s="2"/>
    </row>
    <row r="733" spans="4:17" x14ac:dyDescent="0.25">
      <c r="D733" s="2"/>
      <c r="E733" s="310"/>
      <c r="I733" s="2"/>
      <c r="M733" s="2"/>
      <c r="P733" s="2"/>
      <c r="Q733" s="2"/>
    </row>
    <row r="734" spans="4:17" x14ac:dyDescent="0.25">
      <c r="D734" s="2"/>
      <c r="E734" s="310"/>
      <c r="I734" s="2"/>
      <c r="M734" s="2"/>
      <c r="P734" s="2"/>
      <c r="Q734" s="2"/>
    </row>
    <row r="735" spans="4:17" x14ac:dyDescent="0.25">
      <c r="D735" s="2"/>
      <c r="E735" s="310"/>
      <c r="I735" s="2"/>
      <c r="M735" s="2"/>
      <c r="P735" s="2"/>
      <c r="Q735" s="2"/>
    </row>
    <row r="736" spans="4:17" x14ac:dyDescent="0.25">
      <c r="D736" s="2"/>
      <c r="E736" s="310"/>
      <c r="I736" s="2"/>
      <c r="M736" s="2"/>
      <c r="P736" s="2"/>
      <c r="Q736" s="2"/>
    </row>
    <row r="737" spans="4:17" x14ac:dyDescent="0.25">
      <c r="D737" s="2"/>
      <c r="E737" s="310"/>
      <c r="I737" s="2"/>
      <c r="M737" s="2"/>
      <c r="P737" s="2"/>
      <c r="Q737" s="2"/>
    </row>
    <row r="738" spans="4:17" x14ac:dyDescent="0.25">
      <c r="D738" s="2"/>
      <c r="E738" s="310"/>
      <c r="I738" s="2"/>
      <c r="M738" s="2"/>
      <c r="P738" s="2"/>
      <c r="Q738" s="2"/>
    </row>
    <row r="739" spans="4:17" x14ac:dyDescent="0.25">
      <c r="D739" s="2"/>
      <c r="E739" s="310"/>
      <c r="I739" s="2"/>
      <c r="M739" s="2"/>
      <c r="P739" s="2"/>
      <c r="Q739" s="2"/>
    </row>
    <row r="740" spans="4:17" x14ac:dyDescent="0.25">
      <c r="D740" s="2"/>
      <c r="E740" s="310"/>
      <c r="I740" s="2"/>
      <c r="M740" s="2"/>
      <c r="P740" s="2"/>
      <c r="Q740" s="2"/>
    </row>
    <row r="741" spans="4:17" x14ac:dyDescent="0.25">
      <c r="D741" s="2"/>
      <c r="E741" s="310"/>
      <c r="I741" s="2"/>
      <c r="M741" s="2"/>
      <c r="P741" s="2"/>
      <c r="Q741" s="2"/>
    </row>
    <row r="742" spans="4:17" x14ac:dyDescent="0.25">
      <c r="D742" s="2"/>
      <c r="E742" s="310"/>
      <c r="I742" s="2"/>
      <c r="M742" s="2"/>
      <c r="P742" s="2"/>
      <c r="Q742" s="2"/>
    </row>
    <row r="743" spans="4:17" x14ac:dyDescent="0.25">
      <c r="D743" s="2"/>
      <c r="E743" s="310"/>
      <c r="I743" s="2"/>
      <c r="M743" s="2"/>
      <c r="P743" s="2"/>
      <c r="Q743" s="2"/>
    </row>
    <row r="744" spans="4:17" x14ac:dyDescent="0.25">
      <c r="D744" s="2"/>
      <c r="E744" s="310"/>
      <c r="I744" s="2"/>
      <c r="M744" s="2"/>
      <c r="P744" s="2"/>
      <c r="Q744" s="2"/>
    </row>
    <row r="745" spans="4:17" x14ac:dyDescent="0.25">
      <c r="D745" s="2"/>
      <c r="E745" s="310"/>
      <c r="I745" s="2"/>
      <c r="M745" s="2"/>
      <c r="P745" s="2"/>
      <c r="Q745" s="2"/>
    </row>
    <row r="746" spans="4:17" x14ac:dyDescent="0.25">
      <c r="D746" s="2"/>
      <c r="E746" s="310"/>
      <c r="I746" s="2"/>
      <c r="M746" s="2"/>
      <c r="P746" s="2"/>
      <c r="Q746" s="2"/>
    </row>
    <row r="747" spans="4:17" x14ac:dyDescent="0.25">
      <c r="D747" s="2"/>
      <c r="E747" s="310"/>
      <c r="I747" s="2"/>
      <c r="M747" s="2"/>
      <c r="P747" s="2"/>
      <c r="Q747" s="2"/>
    </row>
    <row r="748" spans="4:17" x14ac:dyDescent="0.25">
      <c r="D748" s="2"/>
      <c r="E748" s="310"/>
      <c r="I748" s="2"/>
      <c r="M748" s="2"/>
      <c r="P748" s="2"/>
      <c r="Q748" s="2"/>
    </row>
    <row r="749" spans="4:17" x14ac:dyDescent="0.25">
      <c r="D749" s="2"/>
      <c r="E749" s="310"/>
      <c r="I749" s="2"/>
      <c r="M749" s="2"/>
      <c r="P749" s="2"/>
      <c r="Q749" s="2"/>
    </row>
    <row r="750" spans="4:17" x14ac:dyDescent="0.25">
      <c r="D750" s="2"/>
      <c r="E750" s="310"/>
      <c r="I750" s="2"/>
      <c r="M750" s="2"/>
      <c r="P750" s="2"/>
      <c r="Q750" s="2"/>
    </row>
    <row r="751" spans="4:17" x14ac:dyDescent="0.25">
      <c r="D751" s="2"/>
      <c r="E751" s="310"/>
      <c r="I751" s="2"/>
      <c r="M751" s="2"/>
      <c r="P751" s="2"/>
      <c r="Q751" s="2"/>
    </row>
    <row r="752" spans="4:17" x14ac:dyDescent="0.25">
      <c r="D752" s="2"/>
      <c r="E752" s="310"/>
      <c r="I752" s="2"/>
      <c r="M752" s="2"/>
      <c r="P752" s="2"/>
      <c r="Q752" s="2"/>
    </row>
    <row r="753" spans="4:17" x14ac:dyDescent="0.25">
      <c r="D753" s="2"/>
      <c r="E753" s="310"/>
      <c r="I753" s="2"/>
      <c r="M753" s="2"/>
      <c r="P753" s="2"/>
      <c r="Q753" s="2"/>
    </row>
    <row r="754" spans="4:17" x14ac:dyDescent="0.25">
      <c r="D754" s="2"/>
      <c r="E754" s="310"/>
      <c r="I754" s="2"/>
      <c r="M754" s="2"/>
      <c r="P754" s="2"/>
      <c r="Q754" s="2"/>
    </row>
    <row r="755" spans="4:17" x14ac:dyDescent="0.25">
      <c r="D755" s="2"/>
      <c r="E755" s="310"/>
      <c r="I755" s="2"/>
      <c r="M755" s="2"/>
      <c r="P755" s="2"/>
      <c r="Q755" s="2"/>
    </row>
    <row r="756" spans="4:17" x14ac:dyDescent="0.25">
      <c r="D756" s="2"/>
      <c r="E756" s="310"/>
      <c r="I756" s="2"/>
      <c r="M756" s="2"/>
      <c r="P756" s="2"/>
      <c r="Q756" s="2"/>
    </row>
    <row r="757" spans="4:17" x14ac:dyDescent="0.25">
      <c r="D757" s="2"/>
      <c r="E757" s="310"/>
      <c r="I757" s="2"/>
      <c r="M757" s="2"/>
      <c r="P757" s="2"/>
      <c r="Q757" s="2"/>
    </row>
    <row r="758" spans="4:17" x14ac:dyDescent="0.25">
      <c r="D758" s="2"/>
      <c r="E758" s="310"/>
      <c r="I758" s="2"/>
      <c r="M758" s="2"/>
      <c r="P758" s="2"/>
      <c r="Q758" s="2"/>
    </row>
    <row r="759" spans="4:17" x14ac:dyDescent="0.25">
      <c r="D759" s="2"/>
      <c r="E759" s="310"/>
      <c r="I759" s="2"/>
      <c r="M759" s="2"/>
      <c r="P759" s="2"/>
      <c r="Q759" s="2"/>
    </row>
    <row r="760" spans="4:17" x14ac:dyDescent="0.25">
      <c r="D760" s="2"/>
      <c r="E760" s="310"/>
      <c r="I760" s="2"/>
      <c r="M760" s="2"/>
      <c r="P760" s="2"/>
      <c r="Q760" s="2"/>
    </row>
    <row r="761" spans="4:17" x14ac:dyDescent="0.25">
      <c r="D761" s="2"/>
      <c r="E761" s="310"/>
      <c r="I761" s="2"/>
      <c r="M761" s="2"/>
      <c r="P761" s="2"/>
      <c r="Q761" s="2"/>
    </row>
    <row r="762" spans="4:17" x14ac:dyDescent="0.25">
      <c r="D762" s="2"/>
      <c r="E762" s="310"/>
      <c r="I762" s="2"/>
      <c r="M762" s="2"/>
      <c r="P762" s="2"/>
      <c r="Q762" s="2"/>
    </row>
    <row r="763" spans="4:17" x14ac:dyDescent="0.25">
      <c r="D763" s="2"/>
      <c r="E763" s="310"/>
      <c r="I763" s="2"/>
      <c r="M763" s="2"/>
      <c r="P763" s="2"/>
      <c r="Q763" s="2"/>
    </row>
    <row r="764" spans="4:17" x14ac:dyDescent="0.25">
      <c r="D764" s="2"/>
      <c r="E764" s="310"/>
      <c r="I764" s="2"/>
      <c r="M764" s="2"/>
      <c r="P764" s="2"/>
      <c r="Q764" s="2"/>
    </row>
    <row r="765" spans="4:17" x14ac:dyDescent="0.25">
      <c r="D765" s="2"/>
      <c r="E765" s="310"/>
      <c r="I765" s="2"/>
      <c r="M765" s="2"/>
      <c r="P765" s="2"/>
      <c r="Q765" s="2"/>
    </row>
    <row r="766" spans="4:17" x14ac:dyDescent="0.25">
      <c r="D766" s="2"/>
      <c r="E766" s="310"/>
      <c r="I766" s="2"/>
      <c r="M766" s="2"/>
      <c r="P766" s="2"/>
      <c r="Q766" s="2"/>
    </row>
    <row r="767" spans="4:17" x14ac:dyDescent="0.25">
      <c r="D767" s="2"/>
      <c r="E767" s="310"/>
      <c r="I767" s="2"/>
      <c r="M767" s="2"/>
      <c r="P767" s="2"/>
      <c r="Q767" s="2"/>
    </row>
    <row r="768" spans="4:17" x14ac:dyDescent="0.25">
      <c r="D768" s="2"/>
      <c r="E768" s="310"/>
      <c r="I768" s="2"/>
      <c r="M768" s="2"/>
      <c r="P768" s="2"/>
      <c r="Q768" s="2"/>
    </row>
    <row r="769" spans="4:17" x14ac:dyDescent="0.25">
      <c r="D769" s="2"/>
      <c r="E769" s="310"/>
      <c r="I769" s="2"/>
      <c r="M769" s="2"/>
      <c r="P769" s="2"/>
      <c r="Q769" s="2"/>
    </row>
    <row r="770" spans="4:17" x14ac:dyDescent="0.25">
      <c r="D770" s="2"/>
      <c r="E770" s="310"/>
      <c r="I770" s="2"/>
      <c r="M770" s="2"/>
      <c r="P770" s="2"/>
      <c r="Q770" s="2"/>
    </row>
    <row r="771" spans="4:17" x14ac:dyDescent="0.25">
      <c r="D771" s="2"/>
      <c r="E771" s="310"/>
      <c r="I771" s="2"/>
      <c r="M771" s="2"/>
      <c r="P771" s="2"/>
      <c r="Q771" s="2"/>
    </row>
    <row r="772" spans="4:17" x14ac:dyDescent="0.25">
      <c r="D772" s="2"/>
      <c r="E772" s="310"/>
      <c r="I772" s="2"/>
      <c r="M772" s="2"/>
      <c r="P772" s="2"/>
      <c r="Q772" s="2"/>
    </row>
    <row r="773" spans="4:17" x14ac:dyDescent="0.25">
      <c r="D773" s="2"/>
      <c r="E773" s="310"/>
      <c r="I773" s="2"/>
      <c r="M773" s="2"/>
      <c r="P773" s="2"/>
      <c r="Q773" s="2"/>
    </row>
    <row r="774" spans="4:17" x14ac:dyDescent="0.25">
      <c r="D774" s="2"/>
      <c r="E774" s="310"/>
      <c r="I774" s="2"/>
      <c r="M774" s="2"/>
      <c r="P774" s="2"/>
      <c r="Q774" s="2"/>
    </row>
    <row r="775" spans="4:17" x14ac:dyDescent="0.25">
      <c r="D775" s="2"/>
      <c r="E775" s="310"/>
      <c r="I775" s="2"/>
      <c r="M775" s="2"/>
      <c r="P775" s="2"/>
      <c r="Q775" s="2"/>
    </row>
    <row r="776" spans="4:17" x14ac:dyDescent="0.25">
      <c r="D776" s="2"/>
      <c r="E776" s="310"/>
      <c r="I776" s="2"/>
      <c r="M776" s="2"/>
      <c r="P776" s="2"/>
      <c r="Q776" s="2"/>
    </row>
    <row r="777" spans="4:17" x14ac:dyDescent="0.25">
      <c r="D777" s="2"/>
      <c r="E777" s="310"/>
      <c r="I777" s="2"/>
      <c r="M777" s="2"/>
      <c r="P777" s="2"/>
      <c r="Q777" s="2"/>
    </row>
    <row r="778" spans="4:17" x14ac:dyDescent="0.25">
      <c r="D778" s="2"/>
      <c r="E778" s="310"/>
      <c r="I778" s="2"/>
      <c r="M778" s="2"/>
      <c r="P778" s="2"/>
      <c r="Q778" s="2"/>
    </row>
    <row r="779" spans="4:17" x14ac:dyDescent="0.25">
      <c r="D779" s="2"/>
      <c r="E779" s="310"/>
      <c r="I779" s="2"/>
      <c r="M779" s="2"/>
      <c r="P779" s="2"/>
      <c r="Q779" s="2"/>
    </row>
    <row r="780" spans="4:17" x14ac:dyDescent="0.25">
      <c r="D780" s="2"/>
      <c r="E780" s="310"/>
      <c r="I780" s="2"/>
      <c r="M780" s="2"/>
      <c r="P780" s="2"/>
      <c r="Q780" s="2"/>
    </row>
    <row r="781" spans="4:17" x14ac:dyDescent="0.25">
      <c r="D781" s="2"/>
      <c r="E781" s="310"/>
      <c r="I781" s="2"/>
      <c r="M781" s="2"/>
      <c r="P781" s="2"/>
      <c r="Q781" s="2"/>
    </row>
    <row r="782" spans="4:17" x14ac:dyDescent="0.25">
      <c r="D782" s="2"/>
      <c r="E782" s="310"/>
      <c r="I782" s="2"/>
      <c r="M782" s="2"/>
      <c r="P782" s="2"/>
      <c r="Q782" s="2"/>
    </row>
    <row r="783" spans="4:17" x14ac:dyDescent="0.25">
      <c r="D783" s="2"/>
      <c r="E783" s="310"/>
      <c r="I783" s="2"/>
      <c r="M783" s="2"/>
      <c r="P783" s="2"/>
      <c r="Q783" s="2"/>
    </row>
    <row r="784" spans="4:17" x14ac:dyDescent="0.25">
      <c r="D784" s="2"/>
      <c r="E784" s="310"/>
      <c r="I784" s="2"/>
      <c r="M784" s="2"/>
      <c r="P784" s="2"/>
      <c r="Q784" s="2"/>
    </row>
    <row r="785" spans="4:17" x14ac:dyDescent="0.25">
      <c r="D785" s="2"/>
      <c r="E785" s="310"/>
      <c r="I785" s="2"/>
      <c r="M785" s="2"/>
      <c r="P785" s="2"/>
      <c r="Q785" s="2"/>
    </row>
    <row r="786" spans="4:17" x14ac:dyDescent="0.25">
      <c r="D786" s="2"/>
      <c r="E786" s="310"/>
      <c r="I786" s="2"/>
      <c r="M786" s="2"/>
      <c r="P786" s="2"/>
      <c r="Q786" s="2"/>
    </row>
    <row r="787" spans="4:17" x14ac:dyDescent="0.25">
      <c r="D787" s="2"/>
      <c r="E787" s="310"/>
      <c r="I787" s="2"/>
      <c r="M787" s="2"/>
      <c r="P787" s="2"/>
      <c r="Q787" s="2"/>
    </row>
    <row r="788" spans="4:17" x14ac:dyDescent="0.25">
      <c r="D788" s="2"/>
      <c r="E788" s="310"/>
      <c r="I788" s="2"/>
      <c r="M788" s="2"/>
      <c r="P788" s="2"/>
      <c r="Q788" s="2"/>
    </row>
    <row r="789" spans="4:17" x14ac:dyDescent="0.25">
      <c r="D789" s="2"/>
      <c r="E789" s="310"/>
      <c r="I789" s="2"/>
      <c r="M789" s="2"/>
      <c r="P789" s="2"/>
      <c r="Q789" s="2"/>
    </row>
    <row r="790" spans="4:17" x14ac:dyDescent="0.25">
      <c r="D790" s="2"/>
      <c r="E790" s="310"/>
      <c r="I790" s="2"/>
      <c r="M790" s="2"/>
      <c r="P790" s="2"/>
      <c r="Q790" s="2"/>
    </row>
    <row r="791" spans="4:17" x14ac:dyDescent="0.25">
      <c r="D791" s="2"/>
      <c r="E791" s="310"/>
      <c r="I791" s="2"/>
      <c r="M791" s="2"/>
      <c r="P791" s="2"/>
      <c r="Q791" s="2"/>
    </row>
    <row r="792" spans="4:17" x14ac:dyDescent="0.25">
      <c r="D792" s="2"/>
      <c r="E792" s="310"/>
      <c r="I792" s="2"/>
      <c r="M792" s="2"/>
      <c r="P792" s="2"/>
      <c r="Q792" s="2"/>
    </row>
    <row r="793" spans="4:17" x14ac:dyDescent="0.25">
      <c r="D793" s="2"/>
      <c r="E793" s="310"/>
      <c r="I793" s="2"/>
      <c r="M793" s="2"/>
      <c r="P793" s="2"/>
      <c r="Q793" s="2"/>
    </row>
    <row r="794" spans="4:17" x14ac:dyDescent="0.25">
      <c r="D794" s="2"/>
      <c r="E794" s="310"/>
      <c r="I794" s="2"/>
      <c r="M794" s="2"/>
      <c r="P794" s="2"/>
      <c r="Q794" s="2"/>
    </row>
    <row r="795" spans="4:17" x14ac:dyDescent="0.25">
      <c r="D795" s="2"/>
      <c r="E795" s="310"/>
      <c r="I795" s="2"/>
      <c r="M795" s="2"/>
      <c r="P795" s="2"/>
      <c r="Q795" s="2"/>
    </row>
    <row r="796" spans="4:17" x14ac:dyDescent="0.25">
      <c r="D796" s="2"/>
      <c r="E796" s="310"/>
      <c r="I796" s="2"/>
      <c r="M796" s="2"/>
      <c r="P796" s="2"/>
      <c r="Q796" s="2"/>
    </row>
    <row r="797" spans="4:17" x14ac:dyDescent="0.25">
      <c r="D797" s="2"/>
      <c r="E797" s="310"/>
      <c r="I797" s="2"/>
      <c r="M797" s="2"/>
      <c r="P797" s="2"/>
      <c r="Q797" s="2"/>
    </row>
    <row r="798" spans="4:17" x14ac:dyDescent="0.25">
      <c r="D798" s="2"/>
      <c r="E798" s="310"/>
      <c r="I798" s="2"/>
      <c r="M798" s="2"/>
      <c r="P798" s="2"/>
      <c r="Q798" s="2"/>
    </row>
    <row r="799" spans="4:17" x14ac:dyDescent="0.25">
      <c r="D799" s="2"/>
      <c r="E799" s="310"/>
      <c r="I799" s="2"/>
      <c r="M799" s="2"/>
      <c r="P799" s="2"/>
      <c r="Q799" s="2"/>
    </row>
    <row r="800" spans="4:17" x14ac:dyDescent="0.25">
      <c r="D800" s="2"/>
      <c r="E800" s="310"/>
      <c r="I800" s="2"/>
      <c r="M800" s="2"/>
      <c r="P800" s="2"/>
      <c r="Q800" s="2"/>
    </row>
    <row r="801" spans="4:17" x14ac:dyDescent="0.25">
      <c r="D801" s="2"/>
      <c r="E801" s="310"/>
      <c r="I801" s="2"/>
      <c r="M801" s="2"/>
      <c r="P801" s="2"/>
      <c r="Q801" s="2"/>
    </row>
    <row r="802" spans="4:17" x14ac:dyDescent="0.25">
      <c r="D802" s="2"/>
      <c r="E802" s="310"/>
      <c r="I802" s="2"/>
      <c r="M802" s="2"/>
      <c r="P802" s="2"/>
      <c r="Q802" s="2"/>
    </row>
    <row r="803" spans="4:17" x14ac:dyDescent="0.25">
      <c r="D803" s="2"/>
      <c r="E803" s="310"/>
      <c r="I803" s="2"/>
      <c r="M803" s="2"/>
      <c r="P803" s="2"/>
      <c r="Q803" s="2"/>
    </row>
    <row r="804" spans="4:17" x14ac:dyDescent="0.25">
      <c r="D804" s="2"/>
      <c r="E804" s="310"/>
      <c r="I804" s="2"/>
      <c r="M804" s="2"/>
      <c r="P804" s="2"/>
      <c r="Q804" s="2"/>
    </row>
    <row r="805" spans="4:17" x14ac:dyDescent="0.25">
      <c r="D805" s="2"/>
      <c r="E805" s="310"/>
      <c r="I805" s="2"/>
      <c r="M805" s="2"/>
      <c r="P805" s="2"/>
      <c r="Q805" s="2"/>
    </row>
    <row r="806" spans="4:17" x14ac:dyDescent="0.25">
      <c r="D806" s="2"/>
      <c r="E806" s="310"/>
      <c r="I806" s="2"/>
      <c r="M806" s="2"/>
      <c r="P806" s="2"/>
      <c r="Q806" s="2"/>
    </row>
    <row r="807" spans="4:17" x14ac:dyDescent="0.25">
      <c r="D807" s="2"/>
      <c r="E807" s="310"/>
      <c r="I807" s="2"/>
      <c r="M807" s="2"/>
      <c r="P807" s="2"/>
      <c r="Q807" s="2"/>
    </row>
    <row r="808" spans="4:17" x14ac:dyDescent="0.25">
      <c r="D808" s="2"/>
      <c r="E808" s="310"/>
      <c r="I808" s="2"/>
      <c r="M808" s="2"/>
      <c r="P808" s="2"/>
      <c r="Q808" s="2"/>
    </row>
    <row r="809" spans="4:17" x14ac:dyDescent="0.25">
      <c r="D809" s="2"/>
      <c r="E809" s="310"/>
      <c r="I809" s="2"/>
      <c r="M809" s="2"/>
      <c r="P809" s="2"/>
      <c r="Q809" s="2"/>
    </row>
    <row r="810" spans="4:17" x14ac:dyDescent="0.25">
      <c r="D810" s="2"/>
      <c r="E810" s="310"/>
      <c r="I810" s="2"/>
      <c r="M810" s="2"/>
      <c r="P810" s="2"/>
      <c r="Q810" s="2"/>
    </row>
    <row r="811" spans="4:17" x14ac:dyDescent="0.25">
      <c r="D811" s="2"/>
      <c r="E811" s="310"/>
      <c r="I811" s="2"/>
      <c r="M811" s="2"/>
      <c r="P811" s="2"/>
      <c r="Q811" s="2"/>
    </row>
    <row r="812" spans="4:17" x14ac:dyDescent="0.25">
      <c r="D812" s="2"/>
      <c r="E812" s="310"/>
      <c r="I812" s="2"/>
      <c r="M812" s="2"/>
      <c r="P812" s="2"/>
      <c r="Q812" s="2"/>
    </row>
    <row r="813" spans="4:17" x14ac:dyDescent="0.25">
      <c r="D813" s="2"/>
      <c r="E813" s="310"/>
      <c r="I813" s="2"/>
      <c r="M813" s="2"/>
      <c r="P813" s="2"/>
      <c r="Q813" s="2"/>
    </row>
    <row r="814" spans="4:17" x14ac:dyDescent="0.25">
      <c r="D814" s="2"/>
      <c r="E814" s="310"/>
      <c r="I814" s="2"/>
      <c r="M814" s="2"/>
      <c r="P814" s="2"/>
      <c r="Q814" s="2"/>
    </row>
    <row r="815" spans="4:17" x14ac:dyDescent="0.25">
      <c r="D815" s="2"/>
      <c r="E815" s="310"/>
      <c r="I815" s="2"/>
      <c r="M815" s="2"/>
      <c r="P815" s="2"/>
      <c r="Q815" s="2"/>
    </row>
    <row r="816" spans="4:17" x14ac:dyDescent="0.25">
      <c r="D816" s="2"/>
      <c r="E816" s="310"/>
      <c r="I816" s="2"/>
      <c r="M816" s="2"/>
      <c r="P816" s="2"/>
      <c r="Q816" s="2"/>
    </row>
    <row r="817" spans="4:17" x14ac:dyDescent="0.25">
      <c r="D817" s="2"/>
      <c r="E817" s="310"/>
      <c r="I817" s="2"/>
      <c r="M817" s="2"/>
      <c r="P817" s="2"/>
      <c r="Q817" s="2"/>
    </row>
    <row r="818" spans="4:17" x14ac:dyDescent="0.25">
      <c r="D818" s="2"/>
      <c r="E818" s="310"/>
      <c r="I818" s="2"/>
      <c r="M818" s="2"/>
      <c r="P818" s="2"/>
      <c r="Q818" s="2"/>
    </row>
    <row r="819" spans="4:17" x14ac:dyDescent="0.25">
      <c r="D819" s="2"/>
      <c r="E819" s="310"/>
      <c r="I819" s="2"/>
      <c r="M819" s="2"/>
      <c r="P819" s="2"/>
      <c r="Q819" s="2"/>
    </row>
    <row r="820" spans="4:17" x14ac:dyDescent="0.25">
      <c r="D820" s="2"/>
      <c r="E820" s="310"/>
      <c r="I820" s="2"/>
      <c r="M820" s="2"/>
      <c r="P820" s="2"/>
      <c r="Q820" s="2"/>
    </row>
    <row r="821" spans="4:17" x14ac:dyDescent="0.25">
      <c r="D821" s="2"/>
      <c r="E821" s="310"/>
      <c r="I821" s="2"/>
      <c r="M821" s="2"/>
      <c r="P821" s="2"/>
      <c r="Q821" s="2"/>
    </row>
    <row r="822" spans="4:17" x14ac:dyDescent="0.25">
      <c r="D822" s="2"/>
      <c r="E822" s="310"/>
      <c r="I822" s="2"/>
      <c r="M822" s="2"/>
      <c r="P822" s="2"/>
      <c r="Q822" s="2"/>
    </row>
    <row r="823" spans="4:17" x14ac:dyDescent="0.25">
      <c r="D823" s="2"/>
      <c r="E823" s="310"/>
      <c r="I823" s="2"/>
      <c r="M823" s="2"/>
      <c r="P823" s="2"/>
      <c r="Q823" s="2"/>
    </row>
    <row r="824" spans="4:17" x14ac:dyDescent="0.25">
      <c r="D824" s="2"/>
      <c r="E824" s="310"/>
      <c r="I824" s="2"/>
      <c r="M824" s="2"/>
      <c r="P824" s="2"/>
      <c r="Q824" s="2"/>
    </row>
    <row r="825" spans="4:17" x14ac:dyDescent="0.25">
      <c r="D825" s="2"/>
      <c r="E825" s="310"/>
      <c r="I825" s="2"/>
      <c r="M825" s="2"/>
      <c r="P825" s="2"/>
      <c r="Q825" s="2"/>
    </row>
    <row r="826" spans="4:17" x14ac:dyDescent="0.25">
      <c r="D826" s="2"/>
      <c r="E826" s="310"/>
      <c r="I826" s="2"/>
      <c r="M826" s="2"/>
      <c r="P826" s="2"/>
      <c r="Q826" s="2"/>
    </row>
    <row r="827" spans="4:17" x14ac:dyDescent="0.25">
      <c r="D827" s="2"/>
      <c r="E827" s="310"/>
      <c r="I827" s="2"/>
      <c r="M827" s="2"/>
      <c r="P827" s="2"/>
      <c r="Q827" s="2"/>
    </row>
    <row r="828" spans="4:17" x14ac:dyDescent="0.25">
      <c r="D828" s="2"/>
      <c r="E828" s="310"/>
      <c r="I828" s="2"/>
      <c r="M828" s="2"/>
      <c r="P828" s="2"/>
      <c r="Q828" s="2"/>
    </row>
    <row r="829" spans="4:17" x14ac:dyDescent="0.25">
      <c r="D829" s="2"/>
      <c r="E829" s="310"/>
      <c r="I829" s="2"/>
      <c r="M829" s="2"/>
      <c r="P829" s="2"/>
      <c r="Q829" s="2"/>
    </row>
    <row r="830" spans="4:17" x14ac:dyDescent="0.25">
      <c r="D830" s="2"/>
      <c r="E830" s="310"/>
      <c r="I830" s="2"/>
      <c r="M830" s="2"/>
      <c r="P830" s="2"/>
      <c r="Q830" s="2"/>
    </row>
    <row r="831" spans="4:17" x14ac:dyDescent="0.25">
      <c r="D831" s="2"/>
      <c r="E831" s="310"/>
      <c r="I831" s="2"/>
      <c r="M831" s="2"/>
      <c r="P831" s="2"/>
      <c r="Q831" s="2"/>
    </row>
    <row r="832" spans="4:17" x14ac:dyDescent="0.25">
      <c r="D832" s="2"/>
      <c r="E832" s="310"/>
      <c r="I832" s="2"/>
      <c r="M832" s="2"/>
      <c r="P832" s="2"/>
      <c r="Q832" s="2"/>
    </row>
    <row r="833" spans="4:17" x14ac:dyDescent="0.25">
      <c r="D833" s="2"/>
      <c r="E833" s="310"/>
      <c r="I833" s="2"/>
      <c r="M833" s="2"/>
      <c r="P833" s="2"/>
      <c r="Q833" s="2"/>
    </row>
    <row r="834" spans="4:17" x14ac:dyDescent="0.25">
      <c r="D834" s="2"/>
      <c r="E834" s="310"/>
      <c r="I834" s="2"/>
      <c r="M834" s="2"/>
      <c r="P834" s="2"/>
      <c r="Q834" s="2"/>
    </row>
    <row r="835" spans="4:17" x14ac:dyDescent="0.25">
      <c r="D835" s="2"/>
      <c r="E835" s="310"/>
      <c r="I835" s="2"/>
      <c r="M835" s="2"/>
      <c r="P835" s="2"/>
      <c r="Q835" s="2"/>
    </row>
    <row r="836" spans="4:17" x14ac:dyDescent="0.25">
      <c r="D836" s="2"/>
      <c r="E836" s="310"/>
      <c r="I836" s="2"/>
      <c r="M836" s="2"/>
      <c r="P836" s="2"/>
      <c r="Q836" s="2"/>
    </row>
    <row r="837" spans="4:17" x14ac:dyDescent="0.25">
      <c r="D837" s="2"/>
      <c r="E837" s="310"/>
      <c r="I837" s="2"/>
      <c r="M837" s="2"/>
      <c r="P837" s="2"/>
      <c r="Q837" s="2"/>
    </row>
    <row r="838" spans="4:17" x14ac:dyDescent="0.25">
      <c r="D838" s="2"/>
      <c r="E838" s="310"/>
      <c r="I838" s="2"/>
      <c r="M838" s="2"/>
      <c r="P838" s="2"/>
      <c r="Q838" s="2"/>
    </row>
    <row r="839" spans="4:17" x14ac:dyDescent="0.25">
      <c r="D839" s="2"/>
      <c r="E839" s="310"/>
      <c r="I839" s="2"/>
      <c r="M839" s="2"/>
      <c r="P839" s="2"/>
      <c r="Q839" s="2"/>
    </row>
    <row r="840" spans="4:17" x14ac:dyDescent="0.25">
      <c r="D840" s="2"/>
      <c r="E840" s="310"/>
      <c r="I840" s="2"/>
      <c r="M840" s="2"/>
      <c r="P840" s="2"/>
      <c r="Q840" s="2"/>
    </row>
    <row r="844" spans="4:17" x14ac:dyDescent="0.25">
      <c r="D844" s="2"/>
      <c r="E844" s="310"/>
      <c r="I844" s="2"/>
      <c r="M844" s="2"/>
      <c r="P844" s="2"/>
      <c r="Q844" s="2"/>
    </row>
    <row r="845" spans="4:17" x14ac:dyDescent="0.25">
      <c r="D845" s="2"/>
      <c r="E845" s="310"/>
      <c r="I845" s="2"/>
      <c r="M845" s="2"/>
      <c r="P845" s="2"/>
      <c r="Q845" s="2"/>
    </row>
    <row r="852" spans="4:17" x14ac:dyDescent="0.25">
      <c r="D852" s="2"/>
      <c r="E852" s="310"/>
      <c r="I852" s="2"/>
      <c r="M852" s="2"/>
      <c r="P852" s="2"/>
      <c r="Q852" s="2"/>
    </row>
    <row r="856" spans="4:17" x14ac:dyDescent="0.25">
      <c r="D856" s="2"/>
      <c r="E856" s="310"/>
      <c r="I856" s="2"/>
      <c r="M856" s="2"/>
      <c r="P856" s="2"/>
      <c r="Q856" s="2"/>
    </row>
    <row r="857" spans="4:17" x14ac:dyDescent="0.25">
      <c r="D857" s="2"/>
      <c r="E857" s="310"/>
      <c r="I857" s="2"/>
      <c r="M857" s="2"/>
      <c r="P857" s="2"/>
      <c r="Q857" s="2"/>
    </row>
    <row r="871" spans="4:17" x14ac:dyDescent="0.25">
      <c r="D871" s="2"/>
      <c r="E871" s="310"/>
      <c r="I871" s="2"/>
      <c r="M871" s="2"/>
      <c r="P871" s="2"/>
      <c r="Q871" s="2"/>
    </row>
    <row r="872" spans="4:17" x14ac:dyDescent="0.25">
      <c r="D872" s="2"/>
      <c r="E872" s="310"/>
      <c r="I872" s="2"/>
      <c r="M872" s="2"/>
      <c r="P872" s="2"/>
      <c r="Q872" s="2"/>
    </row>
    <row r="873" spans="4:17" x14ac:dyDescent="0.25">
      <c r="D873" s="2"/>
      <c r="E873" s="310"/>
      <c r="I873" s="2"/>
      <c r="M873" s="2"/>
      <c r="P873" s="2"/>
      <c r="Q873" s="2"/>
    </row>
    <row r="874" spans="4:17" x14ac:dyDescent="0.25">
      <c r="D874" s="2"/>
      <c r="E874" s="310"/>
      <c r="I874" s="2"/>
      <c r="M874" s="2"/>
      <c r="P874" s="2"/>
      <c r="Q874" s="2"/>
    </row>
    <row r="875" spans="4:17" x14ac:dyDescent="0.25">
      <c r="D875" s="2"/>
      <c r="E875" s="310"/>
      <c r="I875" s="2"/>
      <c r="M875" s="2"/>
      <c r="P875" s="2"/>
      <c r="Q875" s="2"/>
    </row>
    <row r="876" spans="4:17" x14ac:dyDescent="0.25">
      <c r="D876" s="2"/>
      <c r="E876" s="310"/>
      <c r="I876" s="2"/>
      <c r="M876" s="2"/>
      <c r="P876" s="2"/>
      <c r="Q876" s="2"/>
    </row>
    <row r="877" spans="4:17" x14ac:dyDescent="0.25">
      <c r="D877" s="2"/>
      <c r="E877" s="310"/>
      <c r="I877" s="2"/>
      <c r="M877" s="2"/>
      <c r="P877" s="2"/>
      <c r="Q877" s="2"/>
    </row>
    <row r="878" spans="4:17" x14ac:dyDescent="0.25">
      <c r="D878" s="2"/>
      <c r="E878" s="310"/>
      <c r="I878" s="2"/>
      <c r="M878" s="2"/>
      <c r="P878" s="2"/>
      <c r="Q878" s="2"/>
    </row>
    <row r="879" spans="4:17" x14ac:dyDescent="0.25">
      <c r="D879" s="2"/>
      <c r="E879" s="310"/>
      <c r="I879" s="2"/>
      <c r="M879" s="2"/>
      <c r="P879" s="2"/>
      <c r="Q879" s="2"/>
    </row>
    <row r="880" spans="4:17" x14ac:dyDescent="0.25">
      <c r="D880" s="2"/>
      <c r="E880" s="310"/>
      <c r="I880" s="2"/>
      <c r="M880" s="2"/>
      <c r="P880" s="2"/>
      <c r="Q880" s="2"/>
    </row>
    <row r="881" spans="4:17" x14ac:dyDescent="0.25">
      <c r="D881" s="2"/>
      <c r="E881" s="310"/>
      <c r="I881" s="2"/>
      <c r="M881" s="2"/>
      <c r="P881" s="2"/>
      <c r="Q881" s="2"/>
    </row>
    <row r="882" spans="4:17" x14ac:dyDescent="0.25">
      <c r="D882" s="2"/>
      <c r="E882" s="310"/>
      <c r="I882" s="2"/>
      <c r="M882" s="2"/>
      <c r="P882" s="2"/>
      <c r="Q882" s="2"/>
    </row>
    <row r="883" spans="4:17" x14ac:dyDescent="0.25">
      <c r="D883" s="2"/>
      <c r="E883" s="310"/>
      <c r="I883" s="2"/>
      <c r="M883" s="2"/>
      <c r="P883" s="2"/>
      <c r="Q883" s="2"/>
    </row>
    <row r="884" spans="4:17" x14ac:dyDescent="0.25">
      <c r="D884" s="2"/>
      <c r="E884" s="310"/>
      <c r="I884" s="2"/>
      <c r="M884" s="2"/>
      <c r="P884" s="2"/>
      <c r="Q884" s="2"/>
    </row>
    <row r="885" spans="4:17" x14ac:dyDescent="0.25">
      <c r="D885" s="2"/>
      <c r="E885" s="310"/>
      <c r="I885" s="2"/>
      <c r="M885" s="2"/>
      <c r="P885" s="2"/>
      <c r="Q885" s="2"/>
    </row>
    <row r="886" spans="4:17" x14ac:dyDescent="0.25">
      <c r="D886" s="2"/>
      <c r="E886" s="310"/>
      <c r="I886" s="2"/>
      <c r="M886" s="2"/>
      <c r="P886" s="2"/>
      <c r="Q886" s="2"/>
    </row>
    <row r="887" spans="4:17" x14ac:dyDescent="0.25">
      <c r="D887" s="2"/>
      <c r="E887" s="310"/>
      <c r="I887" s="2"/>
      <c r="M887" s="2"/>
      <c r="P887" s="2"/>
      <c r="Q887" s="2"/>
    </row>
    <row r="888" spans="4:17" x14ac:dyDescent="0.25">
      <c r="D888" s="2"/>
      <c r="E888" s="310"/>
      <c r="I888" s="2"/>
      <c r="M888" s="2"/>
      <c r="P888" s="2"/>
      <c r="Q888" s="2"/>
    </row>
    <row r="889" spans="4:17" x14ac:dyDescent="0.25">
      <c r="D889" s="2"/>
      <c r="E889" s="310"/>
      <c r="I889" s="2"/>
      <c r="M889" s="2"/>
      <c r="P889" s="2"/>
      <c r="Q889" s="2"/>
    </row>
    <row r="890" spans="4:17" x14ac:dyDescent="0.25">
      <c r="D890" s="2"/>
      <c r="E890" s="310"/>
      <c r="I890" s="2"/>
      <c r="M890" s="2"/>
      <c r="P890" s="2"/>
      <c r="Q890" s="2"/>
    </row>
    <row r="891" spans="4:17" x14ac:dyDescent="0.25">
      <c r="D891" s="2"/>
      <c r="E891" s="310"/>
      <c r="I891" s="2"/>
      <c r="M891" s="2"/>
      <c r="P891" s="2"/>
      <c r="Q891" s="2"/>
    </row>
    <row r="892" spans="4:17" x14ac:dyDescent="0.25">
      <c r="D892" s="2"/>
      <c r="E892" s="310"/>
      <c r="I892" s="2"/>
      <c r="M892" s="2"/>
      <c r="P892" s="2"/>
      <c r="Q892" s="2"/>
    </row>
    <row r="893" spans="4:17" x14ac:dyDescent="0.25">
      <c r="D893" s="2"/>
      <c r="E893" s="310"/>
      <c r="I893" s="2"/>
      <c r="M893" s="2"/>
      <c r="P893" s="2"/>
      <c r="Q893" s="2"/>
    </row>
    <row r="894" spans="4:17" x14ac:dyDescent="0.25">
      <c r="D894" s="2"/>
      <c r="E894" s="310"/>
      <c r="I894" s="2"/>
      <c r="M894" s="2"/>
      <c r="P894" s="2"/>
      <c r="Q894" s="2"/>
    </row>
    <row r="895" spans="4:17" x14ac:dyDescent="0.25">
      <c r="D895" s="2"/>
      <c r="E895" s="310"/>
      <c r="I895" s="2"/>
      <c r="M895" s="2"/>
      <c r="P895" s="2"/>
      <c r="Q895" s="2"/>
    </row>
    <row r="896" spans="4:17" x14ac:dyDescent="0.25">
      <c r="D896" s="2"/>
      <c r="E896" s="310"/>
      <c r="I896" s="2"/>
      <c r="M896" s="2"/>
      <c r="P896" s="2"/>
      <c r="Q896" s="2"/>
    </row>
    <row r="897" spans="4:17" x14ac:dyDescent="0.25">
      <c r="D897" s="2"/>
      <c r="E897" s="310"/>
      <c r="I897" s="2"/>
      <c r="M897" s="2"/>
      <c r="P897" s="2"/>
      <c r="Q897" s="2"/>
    </row>
    <row r="898" spans="4:17" x14ac:dyDescent="0.25">
      <c r="D898" s="2"/>
      <c r="E898" s="310"/>
      <c r="I898" s="2"/>
      <c r="M898" s="2"/>
      <c r="P898" s="2"/>
      <c r="Q898" s="2"/>
    </row>
    <row r="899" spans="4:17" x14ac:dyDescent="0.25">
      <c r="D899" s="2"/>
      <c r="E899" s="310"/>
      <c r="I899" s="2"/>
      <c r="M899" s="2"/>
      <c r="P899" s="2"/>
      <c r="Q899" s="2"/>
    </row>
    <row r="900" spans="4:17" x14ac:dyDescent="0.25">
      <c r="D900" s="2"/>
      <c r="E900" s="310"/>
      <c r="I900" s="2"/>
      <c r="M900" s="2"/>
      <c r="P900" s="2"/>
      <c r="Q900" s="2"/>
    </row>
    <row r="901" spans="4:17" x14ac:dyDescent="0.25">
      <c r="D901" s="2"/>
      <c r="E901" s="310"/>
      <c r="I901" s="2"/>
      <c r="M901" s="2"/>
      <c r="P901" s="2"/>
      <c r="Q901" s="2"/>
    </row>
    <row r="902" spans="4:17" x14ac:dyDescent="0.25">
      <c r="D902" s="2"/>
      <c r="E902" s="310"/>
      <c r="I902" s="2"/>
      <c r="M902" s="2"/>
      <c r="P902" s="2"/>
      <c r="Q902" s="2"/>
    </row>
    <row r="906" spans="4:17" x14ac:dyDescent="0.25">
      <c r="D906" s="2"/>
      <c r="E906" s="310"/>
      <c r="I906" s="2"/>
      <c r="M906" s="2"/>
      <c r="P906" s="2"/>
      <c r="Q906" s="2"/>
    </row>
    <row r="907" spans="4:17" x14ac:dyDescent="0.25">
      <c r="D907" s="2"/>
      <c r="E907" s="310"/>
      <c r="I907" s="2"/>
      <c r="M907" s="2"/>
      <c r="P907" s="2"/>
      <c r="Q907" s="2"/>
    </row>
    <row r="909" spans="4:17" x14ac:dyDescent="0.25">
      <c r="D909" s="2"/>
      <c r="E909" s="310"/>
      <c r="I909" s="2"/>
      <c r="M909" s="2"/>
      <c r="P909" s="2"/>
      <c r="Q909" s="2"/>
    </row>
    <row r="910" spans="4:17" x14ac:dyDescent="0.25">
      <c r="D910" s="2"/>
      <c r="E910" s="310"/>
      <c r="I910" s="2"/>
      <c r="M910" s="2"/>
      <c r="P910" s="2"/>
      <c r="Q910" s="2"/>
    </row>
    <row r="911" spans="4:17" x14ac:dyDescent="0.25">
      <c r="D911" s="2"/>
      <c r="E911" s="310"/>
      <c r="I911" s="2"/>
      <c r="M911" s="2"/>
      <c r="P911" s="2"/>
      <c r="Q911" s="2"/>
    </row>
    <row r="912" spans="4:17" x14ac:dyDescent="0.25">
      <c r="D912" s="2"/>
      <c r="E912" s="310"/>
      <c r="I912" s="2"/>
      <c r="M912" s="2"/>
      <c r="P912" s="2"/>
      <c r="Q912" s="2"/>
    </row>
    <row r="913" spans="4:17" x14ac:dyDescent="0.25">
      <c r="D913" s="2"/>
      <c r="E913" s="310"/>
      <c r="I913" s="2"/>
      <c r="M913" s="2"/>
      <c r="P913" s="2"/>
      <c r="Q913" s="2"/>
    </row>
    <row r="914" spans="4:17" x14ac:dyDescent="0.25">
      <c r="D914" s="2"/>
      <c r="E914" s="310"/>
      <c r="I914" s="2"/>
      <c r="M914" s="2"/>
      <c r="P914" s="2"/>
      <c r="Q914" s="2"/>
    </row>
    <row r="915" spans="4:17" x14ac:dyDescent="0.25">
      <c r="D915" s="2"/>
      <c r="E915" s="310"/>
      <c r="I915" s="2"/>
      <c r="M915" s="2"/>
      <c r="P915" s="2"/>
      <c r="Q915" s="2"/>
    </row>
    <row r="916" spans="4:17" x14ac:dyDescent="0.25">
      <c r="D916" s="2"/>
      <c r="E916" s="310"/>
      <c r="I916" s="2"/>
      <c r="M916" s="2"/>
      <c r="P916" s="2"/>
      <c r="Q916" s="2"/>
    </row>
    <row r="917" spans="4:17" x14ac:dyDescent="0.25">
      <c r="D917" s="2"/>
      <c r="E917" s="310"/>
      <c r="I917" s="2"/>
      <c r="M917" s="2"/>
      <c r="P917" s="2"/>
      <c r="Q917" s="2"/>
    </row>
    <row r="918" spans="4:17" x14ac:dyDescent="0.25">
      <c r="D918" s="2"/>
      <c r="E918" s="310"/>
      <c r="I918" s="2"/>
      <c r="M918" s="2"/>
      <c r="P918" s="2"/>
      <c r="Q918" s="2"/>
    </row>
    <row r="919" spans="4:17" x14ac:dyDescent="0.25">
      <c r="D919" s="2"/>
      <c r="E919" s="310"/>
      <c r="I919" s="2"/>
      <c r="M919" s="2"/>
      <c r="P919" s="2"/>
      <c r="Q919" s="2"/>
    </row>
    <row r="920" spans="4:17" x14ac:dyDescent="0.25">
      <c r="D920" s="2"/>
      <c r="E920" s="310"/>
      <c r="I920" s="2"/>
      <c r="M920" s="2"/>
      <c r="P920" s="2"/>
      <c r="Q920" s="2"/>
    </row>
    <row r="921" spans="4:17" x14ac:dyDescent="0.25">
      <c r="D921" s="2"/>
      <c r="E921" s="310"/>
      <c r="I921" s="2"/>
      <c r="M921" s="2"/>
      <c r="P921" s="2"/>
      <c r="Q921" s="2"/>
    </row>
    <row r="922" spans="4:17" x14ac:dyDescent="0.25">
      <c r="D922" s="2"/>
      <c r="E922" s="310"/>
      <c r="I922" s="2"/>
      <c r="M922" s="2"/>
      <c r="P922" s="2"/>
      <c r="Q922" s="2"/>
    </row>
    <row r="923" spans="4:17" x14ac:dyDescent="0.25">
      <c r="D923" s="2"/>
      <c r="E923" s="310"/>
      <c r="I923" s="2"/>
      <c r="M923" s="2"/>
      <c r="P923" s="2"/>
      <c r="Q923" s="2"/>
    </row>
    <row r="924" spans="4:17" x14ac:dyDescent="0.25">
      <c r="D924" s="2"/>
      <c r="E924" s="310"/>
      <c r="I924" s="2"/>
      <c r="M924" s="2"/>
      <c r="P924" s="2"/>
      <c r="Q924" s="2"/>
    </row>
    <row r="925" spans="4:17" x14ac:dyDescent="0.25">
      <c r="D925" s="2"/>
      <c r="E925" s="310"/>
      <c r="I925" s="2"/>
      <c r="M925" s="2"/>
      <c r="P925" s="2"/>
      <c r="Q925" s="2"/>
    </row>
    <row r="926" spans="4:17" x14ac:dyDescent="0.25">
      <c r="D926" s="2"/>
      <c r="E926" s="310"/>
      <c r="I926" s="2"/>
      <c r="M926" s="2"/>
      <c r="P926" s="2"/>
      <c r="Q926" s="2"/>
    </row>
    <row r="927" spans="4:17" x14ac:dyDescent="0.25">
      <c r="D927" s="2"/>
      <c r="E927" s="310"/>
      <c r="I927" s="2"/>
      <c r="M927" s="2"/>
      <c r="P927" s="2"/>
      <c r="Q927" s="2"/>
    </row>
    <row r="928" spans="4:17" x14ac:dyDescent="0.25">
      <c r="D928" s="2"/>
      <c r="E928" s="310"/>
      <c r="I928" s="2"/>
      <c r="M928" s="2"/>
      <c r="P928" s="2"/>
      <c r="Q928" s="2"/>
    </row>
    <row r="929" spans="4:17" x14ac:dyDescent="0.25">
      <c r="D929" s="2"/>
      <c r="E929" s="310"/>
      <c r="I929" s="2"/>
      <c r="M929" s="2"/>
      <c r="P929" s="2"/>
      <c r="Q929" s="2"/>
    </row>
    <row r="930" spans="4:17" x14ac:dyDescent="0.25">
      <c r="D930" s="2"/>
      <c r="E930" s="310"/>
      <c r="I930" s="2"/>
      <c r="M930" s="2"/>
      <c r="P930" s="2"/>
      <c r="Q930" s="2"/>
    </row>
    <row r="931" spans="4:17" x14ac:dyDescent="0.25">
      <c r="D931" s="2"/>
      <c r="E931" s="310"/>
      <c r="I931" s="2"/>
      <c r="M931" s="2"/>
      <c r="P931" s="2"/>
      <c r="Q931" s="2"/>
    </row>
    <row r="932" spans="4:17" x14ac:dyDescent="0.25">
      <c r="D932" s="2"/>
      <c r="E932" s="310"/>
      <c r="I932" s="2"/>
      <c r="M932" s="2"/>
      <c r="P932" s="2"/>
      <c r="Q932" s="2"/>
    </row>
    <row r="933" spans="4:17" x14ac:dyDescent="0.25">
      <c r="D933" s="2"/>
      <c r="E933" s="310"/>
      <c r="I933" s="2"/>
      <c r="M933" s="2"/>
      <c r="P933" s="2"/>
      <c r="Q933" s="2"/>
    </row>
    <row r="934" spans="4:17" x14ac:dyDescent="0.25">
      <c r="D934" s="2"/>
      <c r="E934" s="310"/>
      <c r="I934" s="2"/>
      <c r="M934" s="2"/>
      <c r="P934" s="2"/>
      <c r="Q934" s="2"/>
    </row>
    <row r="935" spans="4:17" x14ac:dyDescent="0.25">
      <c r="D935" s="2"/>
      <c r="E935" s="310"/>
      <c r="I935" s="2"/>
      <c r="M935" s="2"/>
      <c r="P935" s="2"/>
      <c r="Q935" s="2"/>
    </row>
    <row r="936" spans="4:17" x14ac:dyDescent="0.25">
      <c r="D936" s="2"/>
      <c r="E936" s="310"/>
      <c r="I936" s="2"/>
      <c r="M936" s="2"/>
      <c r="P936" s="2"/>
      <c r="Q936" s="2"/>
    </row>
    <row r="937" spans="4:17" x14ac:dyDescent="0.25">
      <c r="D937" s="2"/>
      <c r="E937" s="310"/>
      <c r="I937" s="2"/>
      <c r="M937" s="2"/>
      <c r="P937" s="2"/>
      <c r="Q937" s="2"/>
    </row>
    <row r="938" spans="4:17" x14ac:dyDescent="0.25">
      <c r="D938" s="2"/>
      <c r="E938" s="310"/>
      <c r="I938" s="2"/>
      <c r="M938" s="2"/>
      <c r="P938" s="2"/>
      <c r="Q938" s="2"/>
    </row>
    <row r="939" spans="4:17" x14ac:dyDescent="0.25">
      <c r="D939" s="2"/>
      <c r="E939" s="310"/>
      <c r="I939" s="2"/>
      <c r="M939" s="2"/>
      <c r="P939" s="2"/>
      <c r="Q939" s="2"/>
    </row>
    <row r="940" spans="4:17" x14ac:dyDescent="0.25">
      <c r="D940" s="2"/>
      <c r="E940" s="310"/>
      <c r="I940" s="2"/>
      <c r="M940" s="2"/>
      <c r="P940" s="2"/>
      <c r="Q940" s="2"/>
    </row>
    <row r="941" spans="4:17" x14ac:dyDescent="0.25">
      <c r="D941" s="2"/>
      <c r="E941" s="310"/>
      <c r="I941" s="2"/>
      <c r="M941" s="2"/>
      <c r="P941" s="2"/>
      <c r="Q941" s="2"/>
    </row>
    <row r="942" spans="4:17" x14ac:dyDescent="0.25">
      <c r="D942" s="2"/>
      <c r="E942" s="310"/>
      <c r="I942" s="2"/>
      <c r="M942" s="2"/>
      <c r="P942" s="2"/>
      <c r="Q942" s="2"/>
    </row>
    <row r="943" spans="4:17" x14ac:dyDescent="0.25">
      <c r="D943" s="2"/>
      <c r="E943" s="310"/>
      <c r="I943" s="2"/>
      <c r="M943" s="2"/>
      <c r="P943" s="2"/>
      <c r="Q943" s="2"/>
    </row>
    <row r="944" spans="4:17" x14ac:dyDescent="0.25">
      <c r="D944" s="2"/>
      <c r="E944" s="310"/>
      <c r="I944" s="2"/>
      <c r="M944" s="2"/>
      <c r="P944" s="2"/>
      <c r="Q944" s="2"/>
    </row>
    <row r="945" spans="4:17" x14ac:dyDescent="0.25">
      <c r="D945" s="2"/>
      <c r="E945" s="310"/>
      <c r="I945" s="2"/>
      <c r="M945" s="2"/>
      <c r="P945" s="2"/>
      <c r="Q945" s="2"/>
    </row>
    <row r="946" spans="4:17" x14ac:dyDescent="0.25">
      <c r="D946" s="2"/>
      <c r="E946" s="310"/>
      <c r="I946" s="2"/>
      <c r="M946" s="2"/>
      <c r="P946" s="2"/>
      <c r="Q946" s="2"/>
    </row>
    <row r="947" spans="4:17" x14ac:dyDescent="0.25">
      <c r="D947" s="2"/>
      <c r="E947" s="310"/>
      <c r="I947" s="2"/>
      <c r="M947" s="2"/>
      <c r="P947" s="2"/>
      <c r="Q947" s="2"/>
    </row>
    <row r="948" spans="4:17" x14ac:dyDescent="0.25">
      <c r="D948" s="2"/>
      <c r="E948" s="310"/>
      <c r="I948" s="2"/>
      <c r="M948" s="2"/>
      <c r="P948" s="2"/>
      <c r="Q948" s="2"/>
    </row>
    <row r="949" spans="4:17" x14ac:dyDescent="0.25">
      <c r="D949" s="2"/>
      <c r="E949" s="310"/>
      <c r="I949" s="2"/>
      <c r="M949" s="2"/>
      <c r="P949" s="2"/>
      <c r="Q949" s="2"/>
    </row>
    <row r="950" spans="4:17" x14ac:dyDescent="0.25">
      <c r="D950" s="2"/>
      <c r="E950" s="310"/>
      <c r="I950" s="2"/>
      <c r="M950" s="2"/>
      <c r="P950" s="2"/>
      <c r="Q950" s="2"/>
    </row>
    <row r="951" spans="4:17" x14ac:dyDescent="0.25">
      <c r="D951" s="2"/>
      <c r="E951" s="310"/>
      <c r="I951" s="2"/>
      <c r="M951" s="2"/>
      <c r="P951" s="2"/>
      <c r="Q951" s="2"/>
    </row>
    <row r="952" spans="4:17" x14ac:dyDescent="0.25">
      <c r="D952" s="2"/>
      <c r="E952" s="310"/>
      <c r="I952" s="2"/>
      <c r="M952" s="2"/>
      <c r="P952" s="2"/>
      <c r="Q952" s="2"/>
    </row>
    <row r="953" spans="4:17" x14ac:dyDescent="0.25">
      <c r="D953" s="2"/>
      <c r="E953" s="310"/>
      <c r="I953" s="2"/>
      <c r="M953" s="2"/>
      <c r="P953" s="2"/>
      <c r="Q953" s="2"/>
    </row>
    <row r="954" spans="4:17" x14ac:dyDescent="0.25">
      <c r="D954" s="2"/>
      <c r="E954" s="310"/>
      <c r="I954" s="2"/>
      <c r="M954" s="2"/>
      <c r="P954" s="2"/>
      <c r="Q954" s="2"/>
    </row>
    <row r="955" spans="4:17" x14ac:dyDescent="0.25">
      <c r="D955" s="2"/>
      <c r="E955" s="310"/>
      <c r="I955" s="2"/>
      <c r="M955" s="2"/>
      <c r="P955" s="2"/>
      <c r="Q955" s="2"/>
    </row>
    <row r="956" spans="4:17" x14ac:dyDescent="0.25">
      <c r="D956" s="2"/>
      <c r="E956" s="310"/>
      <c r="I956" s="2"/>
      <c r="M956" s="2"/>
      <c r="P956" s="2"/>
      <c r="Q956" s="2"/>
    </row>
    <row r="957" spans="4:17" x14ac:dyDescent="0.25">
      <c r="D957" s="2"/>
      <c r="E957" s="310"/>
      <c r="I957" s="2"/>
      <c r="M957" s="2"/>
      <c r="P957" s="2"/>
      <c r="Q957" s="2"/>
    </row>
    <row r="958" spans="4:17" x14ac:dyDescent="0.25">
      <c r="D958" s="2"/>
      <c r="E958" s="310"/>
      <c r="I958" s="2"/>
      <c r="M958" s="2"/>
      <c r="P958" s="2"/>
      <c r="Q958" s="2"/>
    </row>
    <row r="959" spans="4:17" x14ac:dyDescent="0.25">
      <c r="D959" s="2"/>
      <c r="E959" s="310"/>
      <c r="I959" s="2"/>
      <c r="M959" s="2"/>
      <c r="P959" s="2"/>
      <c r="Q959" s="2"/>
    </row>
    <row r="960" spans="4:17" x14ac:dyDescent="0.25">
      <c r="D960" s="2"/>
      <c r="E960" s="310"/>
      <c r="I960" s="2"/>
      <c r="M960" s="2"/>
      <c r="P960" s="2"/>
      <c r="Q960" s="2"/>
    </row>
    <row r="961" spans="4:17" x14ac:dyDescent="0.25">
      <c r="D961" s="2"/>
      <c r="E961" s="310"/>
      <c r="I961" s="2"/>
      <c r="M961" s="2"/>
      <c r="P961" s="2"/>
      <c r="Q961" s="2"/>
    </row>
    <row r="962" spans="4:17" x14ac:dyDescent="0.25">
      <c r="D962" s="2"/>
      <c r="E962" s="310"/>
      <c r="I962" s="2"/>
      <c r="M962" s="2"/>
      <c r="P962" s="2"/>
      <c r="Q962" s="2"/>
    </row>
    <row r="963" spans="4:17" x14ac:dyDescent="0.25">
      <c r="D963" s="2"/>
      <c r="E963" s="310"/>
      <c r="I963" s="2"/>
      <c r="M963" s="2"/>
      <c r="P963" s="2"/>
      <c r="Q963" s="2"/>
    </row>
    <row r="964" spans="4:17" x14ac:dyDescent="0.25">
      <c r="D964" s="2"/>
      <c r="E964" s="310"/>
      <c r="I964" s="2"/>
      <c r="M964" s="2"/>
      <c r="P964" s="2"/>
      <c r="Q964" s="2"/>
    </row>
    <row r="965" spans="4:17" x14ac:dyDescent="0.25">
      <c r="D965" s="2"/>
      <c r="E965" s="310"/>
      <c r="I965" s="2"/>
      <c r="M965" s="2"/>
      <c r="P965" s="2"/>
      <c r="Q965" s="2"/>
    </row>
    <row r="966" spans="4:17" x14ac:dyDescent="0.25">
      <c r="D966" s="2"/>
      <c r="E966" s="310"/>
      <c r="I966" s="2"/>
      <c r="M966" s="2"/>
      <c r="P966" s="2"/>
      <c r="Q966" s="2"/>
    </row>
    <row r="967" spans="4:17" x14ac:dyDescent="0.25">
      <c r="D967" s="2"/>
      <c r="E967" s="310"/>
      <c r="I967" s="2"/>
      <c r="M967" s="2"/>
      <c r="P967" s="2"/>
      <c r="Q967" s="2"/>
    </row>
    <row r="968" spans="4:17" x14ac:dyDescent="0.25">
      <c r="D968" s="2"/>
      <c r="E968" s="310"/>
      <c r="I968" s="2"/>
      <c r="M968" s="2"/>
      <c r="P968" s="2"/>
      <c r="Q968" s="2"/>
    </row>
    <row r="969" spans="4:17" x14ac:dyDescent="0.25">
      <c r="D969" s="2"/>
      <c r="E969" s="310"/>
      <c r="I969" s="2"/>
      <c r="M969" s="2"/>
      <c r="P969" s="2"/>
      <c r="Q969" s="2"/>
    </row>
    <row r="970" spans="4:17" x14ac:dyDescent="0.25">
      <c r="D970" s="2"/>
      <c r="E970" s="310"/>
      <c r="I970" s="2"/>
      <c r="M970" s="2"/>
      <c r="P970" s="2"/>
      <c r="Q970" s="2"/>
    </row>
    <row r="971" spans="4:17" x14ac:dyDescent="0.25">
      <c r="D971" s="2"/>
      <c r="E971" s="310"/>
      <c r="I971" s="2"/>
      <c r="M971" s="2"/>
      <c r="P971" s="2"/>
      <c r="Q971" s="2"/>
    </row>
    <row r="972" spans="4:17" x14ac:dyDescent="0.25">
      <c r="D972" s="2"/>
      <c r="E972" s="310"/>
      <c r="I972" s="2"/>
      <c r="M972" s="2"/>
      <c r="P972" s="2"/>
      <c r="Q972" s="2"/>
    </row>
    <row r="973" spans="4:17" x14ac:dyDescent="0.25">
      <c r="D973" s="2"/>
      <c r="E973" s="310"/>
      <c r="I973" s="2"/>
      <c r="M973" s="2"/>
      <c r="P973" s="2"/>
      <c r="Q973" s="2"/>
    </row>
    <row r="974" spans="4:17" x14ac:dyDescent="0.25">
      <c r="D974" s="2"/>
      <c r="E974" s="310"/>
      <c r="I974" s="2"/>
      <c r="M974" s="2"/>
      <c r="P974" s="2"/>
      <c r="Q974" s="2"/>
    </row>
    <row r="975" spans="4:17" x14ac:dyDescent="0.25">
      <c r="D975" s="2"/>
      <c r="E975" s="310"/>
      <c r="I975" s="2"/>
      <c r="M975" s="2"/>
      <c r="P975" s="2"/>
      <c r="Q975" s="2"/>
    </row>
    <row r="976" spans="4:17" x14ac:dyDescent="0.25">
      <c r="D976" s="2"/>
      <c r="E976" s="310"/>
      <c r="I976" s="2"/>
      <c r="M976" s="2"/>
      <c r="P976" s="2"/>
      <c r="Q976" s="2"/>
    </row>
    <row r="977" spans="4:17" x14ac:dyDescent="0.25">
      <c r="D977" s="2"/>
      <c r="E977" s="310"/>
      <c r="I977" s="2"/>
      <c r="M977" s="2"/>
      <c r="P977" s="2"/>
      <c r="Q977" s="2"/>
    </row>
    <row r="978" spans="4:17" x14ac:dyDescent="0.25">
      <c r="D978" s="2"/>
      <c r="E978" s="310"/>
      <c r="I978" s="2"/>
      <c r="M978" s="2"/>
      <c r="P978" s="2"/>
      <c r="Q978" s="2"/>
    </row>
    <row r="979" spans="4:17" x14ac:dyDescent="0.25">
      <c r="D979" s="2"/>
      <c r="E979" s="310"/>
      <c r="I979" s="2"/>
      <c r="M979" s="2"/>
      <c r="P979" s="2"/>
      <c r="Q979" s="2"/>
    </row>
    <row r="980" spans="4:17" x14ac:dyDescent="0.25">
      <c r="D980" s="2"/>
      <c r="E980" s="310"/>
      <c r="I980" s="2"/>
      <c r="M980" s="2"/>
      <c r="P980" s="2"/>
      <c r="Q980" s="2"/>
    </row>
    <row r="981" spans="4:17" x14ac:dyDescent="0.25">
      <c r="D981" s="2"/>
      <c r="E981" s="310"/>
      <c r="I981" s="2"/>
      <c r="M981" s="2"/>
      <c r="P981" s="2"/>
      <c r="Q981" s="2"/>
    </row>
    <row r="982" spans="4:17" x14ac:dyDescent="0.25">
      <c r="D982" s="2"/>
      <c r="E982" s="310"/>
      <c r="I982" s="2"/>
      <c r="M982" s="2"/>
      <c r="P982" s="2"/>
      <c r="Q982" s="2"/>
    </row>
    <row r="983" spans="4:17" x14ac:dyDescent="0.25">
      <c r="D983" s="2"/>
      <c r="E983" s="310"/>
      <c r="I983" s="2"/>
      <c r="M983" s="2"/>
      <c r="P983" s="2"/>
      <c r="Q983" s="2"/>
    </row>
    <row r="984" spans="4:17" x14ac:dyDescent="0.25">
      <c r="D984" s="2"/>
      <c r="E984" s="310"/>
      <c r="I984" s="2"/>
      <c r="M984" s="2"/>
      <c r="P984" s="2"/>
      <c r="Q984" s="2"/>
    </row>
    <row r="985" spans="4:17" x14ac:dyDescent="0.25">
      <c r="D985" s="2"/>
      <c r="E985" s="310"/>
      <c r="I985" s="2"/>
      <c r="M985" s="2"/>
      <c r="P985" s="2"/>
      <c r="Q985" s="2"/>
    </row>
    <row r="986" spans="4:17" x14ac:dyDescent="0.25">
      <c r="D986" s="2"/>
      <c r="E986" s="310"/>
      <c r="I986" s="2"/>
      <c r="M986" s="2"/>
      <c r="P986" s="2"/>
      <c r="Q986" s="2"/>
    </row>
    <row r="987" spans="4:17" x14ac:dyDescent="0.25">
      <c r="D987" s="2"/>
      <c r="E987" s="310"/>
      <c r="I987" s="2"/>
      <c r="M987" s="2"/>
      <c r="P987" s="2"/>
      <c r="Q987" s="2"/>
    </row>
    <row r="988" spans="4:17" x14ac:dyDescent="0.25">
      <c r="D988" s="2"/>
      <c r="E988" s="310"/>
      <c r="I988" s="2"/>
      <c r="M988" s="2"/>
      <c r="P988" s="2"/>
      <c r="Q988" s="2"/>
    </row>
    <row r="989" spans="4:17" x14ac:dyDescent="0.25">
      <c r="D989" s="2"/>
      <c r="E989" s="310"/>
      <c r="I989" s="2"/>
      <c r="M989" s="2"/>
      <c r="P989" s="2"/>
      <c r="Q989" s="2"/>
    </row>
    <row r="990" spans="4:17" x14ac:dyDescent="0.25">
      <c r="D990" s="2"/>
      <c r="E990" s="310"/>
      <c r="I990" s="2"/>
      <c r="M990" s="2"/>
      <c r="P990" s="2"/>
      <c r="Q990" s="2"/>
    </row>
    <row r="991" spans="4:17" x14ac:dyDescent="0.25">
      <c r="D991" s="2"/>
      <c r="E991" s="310"/>
      <c r="I991" s="2"/>
      <c r="M991" s="2"/>
      <c r="P991" s="2"/>
      <c r="Q991" s="2"/>
    </row>
    <row r="992" spans="4:17" x14ac:dyDescent="0.25">
      <c r="D992" s="2"/>
      <c r="E992" s="310"/>
      <c r="I992" s="2"/>
      <c r="M992" s="2"/>
      <c r="P992" s="2"/>
      <c r="Q992" s="2"/>
    </row>
    <row r="993" spans="4:17" x14ac:dyDescent="0.25">
      <c r="D993" s="2"/>
      <c r="E993" s="310"/>
      <c r="I993" s="2"/>
      <c r="M993" s="2"/>
      <c r="P993" s="2"/>
      <c r="Q993" s="2"/>
    </row>
    <row r="994" spans="4:17" x14ac:dyDescent="0.25">
      <c r="D994" s="2"/>
      <c r="E994" s="310"/>
      <c r="I994" s="2"/>
      <c r="M994" s="2"/>
      <c r="P994" s="2"/>
      <c r="Q994" s="2"/>
    </row>
    <row r="995" spans="4:17" x14ac:dyDescent="0.25">
      <c r="D995" s="2"/>
      <c r="E995" s="310"/>
      <c r="I995" s="2"/>
      <c r="M995" s="2"/>
      <c r="P995" s="2"/>
      <c r="Q995" s="2"/>
    </row>
    <row r="996" spans="4:17" x14ac:dyDescent="0.25">
      <c r="D996" s="2"/>
      <c r="E996" s="310"/>
      <c r="I996" s="2"/>
      <c r="M996" s="2"/>
      <c r="P996" s="2"/>
      <c r="Q996" s="2"/>
    </row>
    <row r="997" spans="4:17" x14ac:dyDescent="0.25">
      <c r="D997" s="2"/>
      <c r="E997" s="310"/>
      <c r="I997" s="2"/>
      <c r="M997" s="2"/>
      <c r="P997" s="2"/>
      <c r="Q997" s="2"/>
    </row>
    <row r="998" spans="4:17" x14ac:dyDescent="0.25">
      <c r="D998" s="2"/>
      <c r="E998" s="310"/>
      <c r="I998" s="2"/>
      <c r="M998" s="2"/>
      <c r="P998" s="2"/>
      <c r="Q998" s="2"/>
    </row>
    <row r="999" spans="4:17" x14ac:dyDescent="0.25">
      <c r="D999" s="2"/>
      <c r="E999" s="310"/>
      <c r="I999" s="2"/>
      <c r="M999" s="2"/>
      <c r="P999" s="2"/>
      <c r="Q999" s="2"/>
    </row>
    <row r="1000" spans="4:17" x14ac:dyDescent="0.25">
      <c r="D1000" s="2"/>
      <c r="E1000" s="310"/>
      <c r="I1000" s="2"/>
      <c r="M1000" s="2"/>
      <c r="P1000" s="2"/>
      <c r="Q1000" s="2"/>
    </row>
    <row r="1001" spans="4:17" x14ac:dyDescent="0.25">
      <c r="D1001" s="2"/>
      <c r="E1001" s="310"/>
      <c r="I1001" s="2"/>
      <c r="M1001" s="2"/>
      <c r="P1001" s="2"/>
      <c r="Q1001" s="2"/>
    </row>
    <row r="1002" spans="4:17" x14ac:dyDescent="0.25">
      <c r="D1002" s="2"/>
      <c r="E1002" s="310"/>
      <c r="I1002" s="2"/>
      <c r="M1002" s="2"/>
      <c r="P1002" s="2"/>
      <c r="Q1002" s="2"/>
    </row>
    <row r="1003" spans="4:17" x14ac:dyDescent="0.25">
      <c r="D1003" s="2"/>
      <c r="E1003" s="310"/>
      <c r="I1003" s="2"/>
      <c r="M1003" s="2"/>
      <c r="P1003" s="2"/>
      <c r="Q1003" s="2"/>
    </row>
    <row r="1004" spans="4:17" x14ac:dyDescent="0.25">
      <c r="D1004" s="2"/>
      <c r="E1004" s="310"/>
      <c r="I1004" s="2"/>
      <c r="M1004" s="2"/>
      <c r="P1004" s="2"/>
      <c r="Q1004" s="2"/>
    </row>
    <row r="1005" spans="4:17" x14ac:dyDescent="0.25">
      <c r="D1005" s="2"/>
      <c r="E1005" s="310"/>
      <c r="I1005" s="2"/>
      <c r="M1005" s="2"/>
      <c r="P1005" s="2"/>
      <c r="Q1005" s="2"/>
    </row>
    <row r="1006" spans="4:17" x14ac:dyDescent="0.25">
      <c r="D1006" s="2"/>
      <c r="E1006" s="310"/>
      <c r="I1006" s="2"/>
      <c r="M1006" s="2"/>
      <c r="P1006" s="2"/>
      <c r="Q1006" s="2"/>
    </row>
    <row r="1007" spans="4:17" x14ac:dyDescent="0.25">
      <c r="D1007" s="2"/>
      <c r="E1007" s="310"/>
      <c r="I1007" s="2"/>
      <c r="M1007" s="2"/>
      <c r="P1007" s="2"/>
      <c r="Q1007" s="2"/>
    </row>
    <row r="1008" spans="4:17" x14ac:dyDescent="0.25">
      <c r="D1008" s="2"/>
      <c r="E1008" s="310"/>
      <c r="I1008" s="2"/>
      <c r="M1008" s="2"/>
      <c r="P1008" s="2"/>
      <c r="Q1008" s="2"/>
    </row>
    <row r="1009" spans="4:17" x14ac:dyDescent="0.25">
      <c r="D1009" s="2"/>
      <c r="E1009" s="310"/>
      <c r="I1009" s="2"/>
      <c r="M1009" s="2"/>
      <c r="P1009" s="2"/>
      <c r="Q1009" s="2"/>
    </row>
    <row r="1010" spans="4:17" x14ac:dyDescent="0.25">
      <c r="D1010" s="2"/>
      <c r="E1010" s="310"/>
      <c r="I1010" s="2"/>
      <c r="M1010" s="2"/>
      <c r="P1010" s="2"/>
      <c r="Q1010" s="2"/>
    </row>
    <row r="1011" spans="4:17" x14ac:dyDescent="0.25">
      <c r="D1011" s="2"/>
      <c r="E1011" s="310"/>
      <c r="I1011" s="2"/>
      <c r="M1011" s="2"/>
      <c r="P1011" s="2"/>
      <c r="Q1011" s="2"/>
    </row>
    <row r="1012" spans="4:17" x14ac:dyDescent="0.25">
      <c r="D1012" s="2"/>
      <c r="E1012" s="310"/>
      <c r="I1012" s="2"/>
      <c r="M1012" s="2"/>
      <c r="P1012" s="2"/>
      <c r="Q1012" s="2"/>
    </row>
    <row r="1013" spans="4:17" x14ac:dyDescent="0.25">
      <c r="D1013" s="2"/>
      <c r="E1013" s="310"/>
      <c r="I1013" s="2"/>
      <c r="M1013" s="2"/>
      <c r="P1013" s="2"/>
      <c r="Q1013" s="2"/>
    </row>
    <row r="1014" spans="4:17" x14ac:dyDescent="0.25">
      <c r="D1014" s="2"/>
      <c r="E1014" s="310"/>
      <c r="I1014" s="2"/>
      <c r="M1014" s="2"/>
      <c r="P1014" s="2"/>
      <c r="Q1014" s="2"/>
    </row>
    <row r="1015" spans="4:17" x14ac:dyDescent="0.25">
      <c r="D1015" s="2"/>
      <c r="E1015" s="310"/>
      <c r="I1015" s="2"/>
      <c r="M1015" s="2"/>
      <c r="P1015" s="2"/>
      <c r="Q1015" s="2"/>
    </row>
    <row r="1016" spans="4:17" x14ac:dyDescent="0.25">
      <c r="D1016" s="2"/>
      <c r="E1016" s="310"/>
      <c r="I1016" s="2"/>
      <c r="M1016" s="2"/>
      <c r="P1016" s="2"/>
      <c r="Q1016" s="2"/>
    </row>
    <row r="1017" spans="4:17" x14ac:dyDescent="0.25">
      <c r="D1017" s="2"/>
      <c r="E1017" s="310"/>
      <c r="I1017" s="2"/>
      <c r="M1017" s="2"/>
      <c r="P1017" s="2"/>
      <c r="Q1017" s="2"/>
    </row>
    <row r="1018" spans="4:17" x14ac:dyDescent="0.25">
      <c r="D1018" s="2"/>
      <c r="E1018" s="310"/>
      <c r="I1018" s="2"/>
      <c r="M1018" s="2"/>
      <c r="P1018" s="2"/>
      <c r="Q1018" s="2"/>
    </row>
    <row r="1019" spans="4:17" x14ac:dyDescent="0.25">
      <c r="D1019" s="2"/>
      <c r="E1019" s="310"/>
      <c r="I1019" s="2"/>
      <c r="M1019" s="2"/>
      <c r="P1019" s="2"/>
      <c r="Q1019" s="2"/>
    </row>
    <row r="1020" spans="4:17" x14ac:dyDescent="0.25">
      <c r="D1020" s="2"/>
      <c r="E1020" s="310"/>
      <c r="I1020" s="2"/>
      <c r="M1020" s="2"/>
      <c r="P1020" s="2"/>
      <c r="Q1020" s="2"/>
    </row>
    <row r="1021" spans="4:17" x14ac:dyDescent="0.25">
      <c r="D1021" s="2"/>
      <c r="E1021" s="310"/>
      <c r="I1021" s="2"/>
      <c r="M1021" s="2"/>
      <c r="P1021" s="2"/>
      <c r="Q1021" s="2"/>
    </row>
    <row r="1022" spans="4:17" x14ac:dyDescent="0.25">
      <c r="D1022" s="2"/>
      <c r="E1022" s="310"/>
      <c r="I1022" s="2"/>
      <c r="M1022" s="2"/>
      <c r="P1022" s="2"/>
      <c r="Q1022" s="2"/>
    </row>
    <row r="1023" spans="4:17" x14ac:dyDescent="0.25">
      <c r="D1023" s="2"/>
      <c r="E1023" s="310"/>
      <c r="I1023" s="2"/>
      <c r="M1023" s="2"/>
      <c r="P1023" s="2"/>
      <c r="Q1023" s="2"/>
    </row>
    <row r="1024" spans="4:17" x14ac:dyDescent="0.25">
      <c r="D1024" s="2"/>
      <c r="E1024" s="310"/>
      <c r="I1024" s="2"/>
      <c r="M1024" s="2"/>
      <c r="P1024" s="2"/>
      <c r="Q1024" s="2"/>
    </row>
    <row r="1025" spans="4:17" x14ac:dyDescent="0.25">
      <c r="D1025" s="2"/>
      <c r="E1025" s="310"/>
      <c r="I1025" s="2"/>
      <c r="M1025" s="2"/>
      <c r="P1025" s="2"/>
      <c r="Q1025" s="2"/>
    </row>
    <row r="1026" spans="4:17" x14ac:dyDescent="0.25">
      <c r="D1026" s="2"/>
      <c r="E1026" s="310"/>
      <c r="I1026" s="2"/>
      <c r="M1026" s="2"/>
      <c r="P1026" s="2"/>
      <c r="Q1026" s="2"/>
    </row>
    <row r="1027" spans="4:17" x14ac:dyDescent="0.25">
      <c r="D1027" s="2"/>
      <c r="E1027" s="310"/>
      <c r="I1027" s="2"/>
      <c r="M1027" s="2"/>
      <c r="P1027" s="2"/>
      <c r="Q1027" s="2"/>
    </row>
    <row r="1028" spans="4:17" x14ac:dyDescent="0.25">
      <c r="D1028" s="2"/>
      <c r="E1028" s="310"/>
      <c r="I1028" s="2"/>
      <c r="M1028" s="2"/>
      <c r="P1028" s="2"/>
      <c r="Q1028" s="2"/>
    </row>
    <row r="1029" spans="4:17" x14ac:dyDescent="0.25">
      <c r="D1029" s="2"/>
      <c r="E1029" s="310"/>
      <c r="I1029" s="2"/>
      <c r="M1029" s="2"/>
      <c r="P1029" s="2"/>
      <c r="Q1029" s="2"/>
    </row>
    <row r="1030" spans="4:17" x14ac:dyDescent="0.25">
      <c r="D1030" s="2"/>
      <c r="E1030" s="310"/>
      <c r="I1030" s="2"/>
      <c r="M1030" s="2"/>
      <c r="P1030" s="2"/>
      <c r="Q1030" s="2"/>
    </row>
    <row r="1031" spans="4:17" x14ac:dyDescent="0.25">
      <c r="D1031" s="2"/>
      <c r="E1031" s="310"/>
      <c r="I1031" s="2"/>
      <c r="M1031" s="2"/>
      <c r="P1031" s="2"/>
      <c r="Q1031" s="2"/>
    </row>
    <row r="1032" spans="4:17" x14ac:dyDescent="0.25">
      <c r="D1032" s="2"/>
      <c r="E1032" s="310"/>
      <c r="I1032" s="2"/>
      <c r="M1032" s="2"/>
      <c r="P1032" s="2"/>
      <c r="Q1032" s="2"/>
    </row>
    <row r="1033" spans="4:17" x14ac:dyDescent="0.25">
      <c r="D1033" s="2"/>
      <c r="E1033" s="310"/>
      <c r="I1033" s="2"/>
      <c r="M1033" s="2"/>
      <c r="P1033" s="2"/>
      <c r="Q1033" s="2"/>
    </row>
    <row r="1034" spans="4:17" x14ac:dyDescent="0.25">
      <c r="D1034" s="2"/>
      <c r="E1034" s="310"/>
      <c r="I1034" s="2"/>
      <c r="M1034" s="2"/>
      <c r="P1034" s="2"/>
      <c r="Q1034" s="2"/>
    </row>
    <row r="1035" spans="4:17" x14ac:dyDescent="0.25">
      <c r="D1035" s="2"/>
      <c r="E1035" s="310"/>
      <c r="I1035" s="2"/>
      <c r="M1035" s="2"/>
      <c r="P1035" s="2"/>
      <c r="Q1035" s="2"/>
    </row>
    <row r="1036" spans="4:17" x14ac:dyDescent="0.25">
      <c r="D1036" s="2"/>
      <c r="E1036" s="310"/>
      <c r="I1036" s="2"/>
      <c r="M1036" s="2"/>
      <c r="P1036" s="2"/>
      <c r="Q1036" s="2"/>
    </row>
    <row r="1037" spans="4:17" x14ac:dyDescent="0.25">
      <c r="D1037" s="2"/>
      <c r="E1037" s="310"/>
      <c r="I1037" s="2"/>
      <c r="M1037" s="2"/>
      <c r="P1037" s="2"/>
      <c r="Q1037" s="2"/>
    </row>
    <row r="1038" spans="4:17" x14ac:dyDescent="0.25">
      <c r="D1038" s="2"/>
      <c r="E1038" s="310"/>
      <c r="I1038" s="2"/>
      <c r="M1038" s="2"/>
      <c r="P1038" s="2"/>
      <c r="Q1038" s="2"/>
    </row>
    <row r="1039" spans="4:17" x14ac:dyDescent="0.25">
      <c r="D1039" s="2"/>
      <c r="E1039" s="310"/>
      <c r="I1039" s="2"/>
      <c r="M1039" s="2"/>
      <c r="P1039" s="2"/>
      <c r="Q1039" s="2"/>
    </row>
    <row r="1040" spans="4:17" x14ac:dyDescent="0.25">
      <c r="D1040" s="2"/>
      <c r="E1040" s="310"/>
      <c r="I1040" s="2"/>
      <c r="M1040" s="2"/>
      <c r="P1040" s="2"/>
      <c r="Q1040" s="2"/>
    </row>
    <row r="1041" spans="4:17" x14ac:dyDescent="0.25">
      <c r="D1041" s="2"/>
      <c r="E1041" s="310"/>
      <c r="I1041" s="2"/>
      <c r="M1041" s="2"/>
      <c r="P1041" s="2"/>
      <c r="Q1041" s="2"/>
    </row>
    <row r="1042" spans="4:17" x14ac:dyDescent="0.25">
      <c r="D1042" s="2"/>
      <c r="E1042" s="310"/>
      <c r="I1042" s="2"/>
      <c r="M1042" s="2"/>
      <c r="P1042" s="2"/>
      <c r="Q1042" s="2"/>
    </row>
    <row r="1043" spans="4:17" x14ac:dyDescent="0.25">
      <c r="D1043" s="2"/>
      <c r="E1043" s="310"/>
      <c r="I1043" s="2"/>
      <c r="M1043" s="2"/>
      <c r="P1043" s="2"/>
      <c r="Q1043" s="2"/>
    </row>
    <row r="1044" spans="4:17" x14ac:dyDescent="0.25">
      <c r="D1044" s="2"/>
      <c r="E1044" s="310"/>
      <c r="I1044" s="2"/>
      <c r="M1044" s="2"/>
      <c r="P1044" s="2"/>
      <c r="Q1044" s="2"/>
    </row>
    <row r="1045" spans="4:17" x14ac:dyDescent="0.25">
      <c r="D1045" s="2"/>
      <c r="E1045" s="310"/>
      <c r="I1045" s="2"/>
      <c r="M1045" s="2"/>
      <c r="P1045" s="2"/>
      <c r="Q1045" s="2"/>
    </row>
    <row r="1046" spans="4:17" x14ac:dyDescent="0.25">
      <c r="D1046" s="2"/>
      <c r="E1046" s="310"/>
      <c r="I1046" s="2"/>
      <c r="M1046" s="2"/>
      <c r="P1046" s="2"/>
      <c r="Q1046" s="2"/>
    </row>
    <row r="1047" spans="4:17" x14ac:dyDescent="0.25">
      <c r="D1047" s="2"/>
      <c r="E1047" s="310"/>
      <c r="I1047" s="2"/>
      <c r="M1047" s="2"/>
      <c r="P1047" s="2"/>
      <c r="Q1047" s="2"/>
    </row>
    <row r="1048" spans="4:17" x14ac:dyDescent="0.25">
      <c r="D1048" s="2"/>
      <c r="E1048" s="310"/>
      <c r="I1048" s="2"/>
      <c r="M1048" s="2"/>
      <c r="P1048" s="2"/>
      <c r="Q1048" s="2"/>
    </row>
    <row r="1049" spans="4:17" x14ac:dyDescent="0.25">
      <c r="D1049" s="2"/>
      <c r="E1049" s="310"/>
      <c r="I1049" s="2"/>
      <c r="M1049" s="2"/>
      <c r="P1049" s="2"/>
      <c r="Q1049" s="2"/>
    </row>
    <row r="1050" spans="4:17" x14ac:dyDescent="0.25">
      <c r="D1050" s="2"/>
      <c r="E1050" s="310"/>
      <c r="I1050" s="2"/>
      <c r="M1050" s="2"/>
      <c r="P1050" s="2"/>
      <c r="Q1050" s="2"/>
    </row>
    <row r="1051" spans="4:17" x14ac:dyDescent="0.25">
      <c r="D1051" s="2"/>
      <c r="E1051" s="310"/>
      <c r="I1051" s="2"/>
      <c r="M1051" s="2"/>
      <c r="P1051" s="2"/>
      <c r="Q1051" s="2"/>
    </row>
    <row r="1052" spans="4:17" x14ac:dyDescent="0.25">
      <c r="D1052" s="2"/>
      <c r="E1052" s="310"/>
      <c r="I1052" s="2"/>
      <c r="M1052" s="2"/>
      <c r="P1052" s="2"/>
      <c r="Q1052" s="2"/>
    </row>
    <row r="1053" spans="4:17" x14ac:dyDescent="0.25">
      <c r="D1053" s="2"/>
      <c r="E1053" s="310"/>
      <c r="I1053" s="2"/>
      <c r="M1053" s="2"/>
      <c r="P1053" s="2"/>
      <c r="Q1053" s="2"/>
    </row>
    <row r="1054" spans="4:17" x14ac:dyDescent="0.25">
      <c r="D1054" s="2"/>
      <c r="E1054" s="310"/>
      <c r="I1054" s="2"/>
      <c r="M1054" s="2"/>
      <c r="P1054" s="2"/>
      <c r="Q1054" s="2"/>
    </row>
    <row r="1055" spans="4:17" x14ac:dyDescent="0.25">
      <c r="D1055" s="2"/>
      <c r="E1055" s="310"/>
      <c r="I1055" s="2"/>
      <c r="M1055" s="2"/>
      <c r="P1055" s="2"/>
      <c r="Q1055" s="2"/>
    </row>
    <row r="1056" spans="4:17" x14ac:dyDescent="0.25">
      <c r="D1056" s="2"/>
      <c r="E1056" s="310"/>
      <c r="I1056" s="2"/>
      <c r="M1056" s="2"/>
      <c r="P1056" s="2"/>
      <c r="Q1056" s="2"/>
    </row>
    <row r="1057" spans="4:17" x14ac:dyDescent="0.25">
      <c r="D1057" s="2"/>
      <c r="E1057" s="310"/>
      <c r="I1057" s="2"/>
      <c r="M1057" s="2"/>
      <c r="P1057" s="2"/>
      <c r="Q1057" s="2"/>
    </row>
    <row r="1058" spans="4:17" x14ac:dyDescent="0.25">
      <c r="D1058" s="2"/>
      <c r="E1058" s="310"/>
      <c r="I1058" s="2"/>
      <c r="M1058" s="2"/>
      <c r="P1058" s="2"/>
      <c r="Q1058" s="2"/>
    </row>
    <row r="1059" spans="4:17" x14ac:dyDescent="0.25">
      <c r="D1059" s="2"/>
      <c r="E1059" s="310"/>
      <c r="I1059" s="2"/>
      <c r="M1059" s="2"/>
      <c r="P1059" s="2"/>
      <c r="Q1059" s="2"/>
    </row>
    <row r="1060" spans="4:17" x14ac:dyDescent="0.25">
      <c r="D1060" s="2"/>
      <c r="E1060" s="310"/>
      <c r="I1060" s="2"/>
      <c r="M1060" s="2"/>
      <c r="P1060" s="2"/>
      <c r="Q1060" s="2"/>
    </row>
    <row r="1061" spans="4:17" x14ac:dyDescent="0.25">
      <c r="D1061" s="2"/>
      <c r="E1061" s="310"/>
      <c r="I1061" s="2"/>
      <c r="M1061" s="2"/>
      <c r="P1061" s="2"/>
      <c r="Q1061" s="2"/>
    </row>
    <row r="1062" spans="4:17" x14ac:dyDescent="0.25">
      <c r="D1062" s="2"/>
      <c r="E1062" s="310"/>
      <c r="I1062" s="2"/>
      <c r="M1062" s="2"/>
      <c r="P1062" s="2"/>
      <c r="Q1062" s="2"/>
    </row>
    <row r="1063" spans="4:17" x14ac:dyDescent="0.25">
      <c r="D1063" s="2"/>
      <c r="E1063" s="310"/>
      <c r="I1063" s="2"/>
      <c r="M1063" s="2"/>
      <c r="P1063" s="2"/>
      <c r="Q1063" s="2"/>
    </row>
    <row r="1064" spans="4:17" x14ac:dyDescent="0.25">
      <c r="D1064" s="2"/>
      <c r="E1064" s="310"/>
      <c r="I1064" s="2"/>
      <c r="M1064" s="2"/>
      <c r="P1064" s="2"/>
      <c r="Q1064" s="2"/>
    </row>
    <row r="1065" spans="4:17" x14ac:dyDescent="0.25">
      <c r="D1065" s="2"/>
      <c r="E1065" s="310"/>
      <c r="I1065" s="2"/>
      <c r="M1065" s="2"/>
      <c r="P1065" s="2"/>
      <c r="Q1065" s="2"/>
    </row>
    <row r="1066" spans="4:17" x14ac:dyDescent="0.25">
      <c r="D1066" s="2"/>
      <c r="E1066" s="310"/>
      <c r="I1066" s="2"/>
      <c r="M1066" s="2"/>
      <c r="P1066" s="2"/>
      <c r="Q1066" s="2"/>
    </row>
    <row r="1067" spans="4:17" x14ac:dyDescent="0.25">
      <c r="D1067" s="2"/>
      <c r="E1067" s="310"/>
      <c r="I1067" s="2"/>
      <c r="M1067" s="2"/>
      <c r="P1067" s="2"/>
      <c r="Q1067" s="2"/>
    </row>
    <row r="1068" spans="4:17" x14ac:dyDescent="0.25">
      <c r="D1068" s="2"/>
      <c r="E1068" s="310"/>
      <c r="I1068" s="2"/>
      <c r="M1068" s="2"/>
      <c r="P1068" s="2"/>
      <c r="Q1068" s="2"/>
    </row>
    <row r="1069" spans="4:17" x14ac:dyDescent="0.25">
      <c r="D1069" s="2"/>
      <c r="E1069" s="310"/>
      <c r="I1069" s="2"/>
      <c r="M1069" s="2"/>
      <c r="P1069" s="2"/>
      <c r="Q1069" s="2"/>
    </row>
    <row r="1070" spans="4:17" x14ac:dyDescent="0.25">
      <c r="D1070" s="2"/>
      <c r="E1070" s="310"/>
      <c r="I1070" s="2"/>
      <c r="M1070" s="2"/>
      <c r="P1070" s="2"/>
      <c r="Q1070" s="2"/>
    </row>
    <row r="1071" spans="4:17" x14ac:dyDescent="0.25">
      <c r="D1071" s="2"/>
      <c r="E1071" s="310"/>
      <c r="I1071" s="2"/>
      <c r="M1071" s="2"/>
      <c r="P1071" s="2"/>
      <c r="Q1071" s="2"/>
    </row>
    <row r="1072" spans="4:17" x14ac:dyDescent="0.25">
      <c r="D1072" s="2"/>
      <c r="E1072" s="310"/>
      <c r="I1072" s="2"/>
      <c r="M1072" s="2"/>
      <c r="P1072" s="2"/>
      <c r="Q1072" s="2"/>
    </row>
    <row r="1073" spans="4:17" x14ac:dyDescent="0.25">
      <c r="D1073" s="2"/>
      <c r="E1073" s="310"/>
      <c r="I1073" s="2"/>
      <c r="M1073" s="2"/>
      <c r="P1073" s="2"/>
      <c r="Q1073" s="2"/>
    </row>
    <row r="1074" spans="4:17" x14ac:dyDescent="0.25">
      <c r="D1074" s="2"/>
      <c r="E1074" s="310"/>
      <c r="I1074" s="2"/>
      <c r="M1074" s="2"/>
      <c r="P1074" s="2"/>
      <c r="Q1074" s="2"/>
    </row>
    <row r="1075" spans="4:17" x14ac:dyDescent="0.25">
      <c r="D1075" s="2"/>
      <c r="E1075" s="310"/>
      <c r="I1075" s="2"/>
      <c r="M1075" s="2"/>
      <c r="P1075" s="2"/>
      <c r="Q1075" s="2"/>
    </row>
    <row r="1076" spans="4:17" x14ac:dyDescent="0.25">
      <c r="D1076" s="2"/>
      <c r="E1076" s="310"/>
      <c r="I1076" s="2"/>
      <c r="M1076" s="2"/>
      <c r="P1076" s="2"/>
      <c r="Q1076" s="2"/>
    </row>
    <row r="1077" spans="4:17" x14ac:dyDescent="0.25">
      <c r="D1077" s="2"/>
      <c r="E1077" s="310"/>
      <c r="I1077" s="2"/>
      <c r="M1077" s="2"/>
      <c r="P1077" s="2"/>
      <c r="Q1077" s="2"/>
    </row>
    <row r="1078" spans="4:17" x14ac:dyDescent="0.25">
      <c r="D1078" s="2"/>
      <c r="E1078" s="310"/>
      <c r="I1078" s="2"/>
      <c r="M1078" s="2"/>
      <c r="P1078" s="2"/>
      <c r="Q1078" s="2"/>
    </row>
    <row r="1079" spans="4:17" x14ac:dyDescent="0.25">
      <c r="D1079" s="2"/>
      <c r="E1079" s="310"/>
      <c r="I1079" s="2"/>
      <c r="M1079" s="2"/>
      <c r="P1079" s="2"/>
      <c r="Q1079" s="2"/>
    </row>
    <row r="1080" spans="4:17" x14ac:dyDescent="0.25">
      <c r="D1080" s="2"/>
      <c r="E1080" s="310"/>
      <c r="I1080" s="2"/>
      <c r="M1080" s="2"/>
      <c r="P1080" s="2"/>
      <c r="Q1080" s="2"/>
    </row>
    <row r="1081" spans="4:17" x14ac:dyDescent="0.25">
      <c r="D1081" s="2"/>
      <c r="E1081" s="310"/>
      <c r="I1081" s="2"/>
      <c r="M1081" s="2"/>
      <c r="P1081" s="2"/>
      <c r="Q1081" s="2"/>
    </row>
    <row r="1082" spans="4:17" x14ac:dyDescent="0.25">
      <c r="D1082" s="2"/>
      <c r="E1082" s="310"/>
      <c r="I1082" s="2"/>
      <c r="M1082" s="2"/>
      <c r="P1082" s="2"/>
      <c r="Q1082" s="2"/>
    </row>
    <row r="1086" spans="4:17" x14ac:dyDescent="0.25">
      <c r="D1086" s="2"/>
      <c r="E1086" s="310"/>
      <c r="I1086" s="2"/>
      <c r="M1086" s="2"/>
      <c r="P1086" s="2"/>
      <c r="Q1086" s="2"/>
    </row>
    <row r="1087" spans="4:17" x14ac:dyDescent="0.25">
      <c r="D1087" s="2"/>
      <c r="E1087" s="310"/>
      <c r="I1087" s="2"/>
      <c r="M1087" s="2"/>
      <c r="P1087" s="2"/>
      <c r="Q1087" s="2"/>
    </row>
    <row r="1091" spans="4:17" x14ac:dyDescent="0.25">
      <c r="D1091" s="2"/>
      <c r="E1091" s="310"/>
      <c r="I1091" s="2"/>
      <c r="M1091" s="2"/>
      <c r="P1091" s="2"/>
      <c r="Q1091" s="2"/>
    </row>
    <row r="1092" spans="4:17" x14ac:dyDescent="0.25">
      <c r="D1092" s="2"/>
      <c r="E1092" s="310"/>
      <c r="I1092" s="2"/>
      <c r="M1092" s="2"/>
      <c r="P1092" s="2"/>
      <c r="Q1092" s="2"/>
    </row>
    <row r="1093" spans="4:17" x14ac:dyDescent="0.25">
      <c r="D1093" s="2"/>
      <c r="E1093" s="310"/>
      <c r="I1093" s="2"/>
      <c r="M1093" s="2"/>
      <c r="P1093" s="2"/>
      <c r="Q1093" s="2"/>
    </row>
    <row r="1094" spans="4:17" x14ac:dyDescent="0.25">
      <c r="D1094" s="2"/>
      <c r="E1094" s="310"/>
      <c r="I1094" s="2"/>
      <c r="M1094" s="2"/>
      <c r="P1094" s="2"/>
      <c r="Q1094" s="2"/>
    </row>
    <row r="1095" spans="4:17" x14ac:dyDescent="0.25">
      <c r="D1095" s="2"/>
      <c r="E1095" s="310"/>
      <c r="I1095" s="2"/>
      <c r="M1095" s="2"/>
      <c r="P1095" s="2"/>
      <c r="Q1095" s="2"/>
    </row>
    <row r="1096" spans="4:17" x14ac:dyDescent="0.25">
      <c r="D1096" s="2"/>
      <c r="E1096" s="310"/>
      <c r="I1096" s="2"/>
      <c r="M1096" s="2"/>
      <c r="P1096" s="2"/>
      <c r="Q1096" s="2"/>
    </row>
    <row r="1097" spans="4:17" x14ac:dyDescent="0.25">
      <c r="D1097" s="2"/>
      <c r="E1097" s="310"/>
      <c r="I1097" s="2"/>
      <c r="M1097" s="2"/>
      <c r="P1097" s="2"/>
      <c r="Q1097" s="2"/>
    </row>
    <row r="1098" spans="4:17" x14ac:dyDescent="0.25">
      <c r="D1098" s="2"/>
      <c r="E1098" s="310"/>
      <c r="I1098" s="2"/>
      <c r="M1098" s="2"/>
      <c r="P1098" s="2"/>
      <c r="Q1098" s="2"/>
    </row>
    <row r="1099" spans="4:17" x14ac:dyDescent="0.25">
      <c r="D1099" s="2"/>
      <c r="E1099" s="310"/>
      <c r="I1099" s="2"/>
      <c r="M1099" s="2"/>
      <c r="P1099" s="2"/>
      <c r="Q1099" s="2"/>
    </row>
    <row r="1100" spans="4:17" x14ac:dyDescent="0.25">
      <c r="D1100" s="2"/>
      <c r="E1100" s="310"/>
      <c r="I1100" s="2"/>
      <c r="M1100" s="2"/>
      <c r="P1100" s="2"/>
      <c r="Q1100" s="2"/>
    </row>
    <row r="1101" spans="4:17" x14ac:dyDescent="0.25">
      <c r="D1101" s="2"/>
      <c r="E1101" s="310"/>
      <c r="I1101" s="2"/>
      <c r="M1101" s="2"/>
      <c r="P1101" s="2"/>
      <c r="Q1101" s="2"/>
    </row>
    <row r="1102" spans="4:17" x14ac:dyDescent="0.25">
      <c r="D1102" s="2"/>
      <c r="E1102" s="310"/>
      <c r="I1102" s="2"/>
      <c r="M1102" s="2"/>
      <c r="P1102" s="2"/>
      <c r="Q1102" s="2"/>
    </row>
    <row r="1103" spans="4:17" x14ac:dyDescent="0.25">
      <c r="D1103" s="2"/>
      <c r="E1103" s="310"/>
      <c r="I1103" s="2"/>
      <c r="M1103" s="2"/>
      <c r="P1103" s="2"/>
      <c r="Q1103" s="2"/>
    </row>
    <row r="1104" spans="4:17" x14ac:dyDescent="0.25">
      <c r="D1104" s="2"/>
      <c r="E1104" s="310"/>
      <c r="I1104" s="2"/>
      <c r="M1104" s="2"/>
      <c r="P1104" s="2"/>
      <c r="Q1104" s="2"/>
    </row>
    <row r="1105" spans="4:17" x14ac:dyDescent="0.25">
      <c r="D1105" s="2"/>
      <c r="E1105" s="310"/>
      <c r="I1105" s="2"/>
      <c r="M1105" s="2"/>
      <c r="P1105" s="2"/>
      <c r="Q1105" s="2"/>
    </row>
    <row r="1106" spans="4:17" x14ac:dyDescent="0.25">
      <c r="D1106" s="2"/>
      <c r="E1106" s="310"/>
      <c r="I1106" s="2"/>
      <c r="M1106" s="2"/>
      <c r="P1106" s="2"/>
      <c r="Q1106" s="2"/>
    </row>
    <row r="1107" spans="4:17" x14ac:dyDescent="0.25">
      <c r="D1107" s="2"/>
      <c r="E1107" s="310"/>
      <c r="I1107" s="2"/>
      <c r="M1107" s="2"/>
      <c r="P1107" s="2"/>
      <c r="Q1107" s="2"/>
    </row>
    <row r="1108" spans="4:17" x14ac:dyDescent="0.25">
      <c r="D1108" s="2"/>
      <c r="E1108" s="310"/>
      <c r="I1108" s="2"/>
      <c r="M1108" s="2"/>
      <c r="P1108" s="2"/>
      <c r="Q1108" s="2"/>
    </row>
    <row r="1109" spans="4:17" x14ac:dyDescent="0.25">
      <c r="D1109" s="2"/>
      <c r="E1109" s="310"/>
      <c r="I1109" s="2"/>
      <c r="M1109" s="2"/>
      <c r="P1109" s="2"/>
      <c r="Q1109" s="2"/>
    </row>
    <row r="1110" spans="4:17" x14ac:dyDescent="0.25">
      <c r="D1110" s="2"/>
      <c r="E1110" s="310"/>
      <c r="I1110" s="2"/>
      <c r="M1110" s="2"/>
      <c r="P1110" s="2"/>
      <c r="Q1110" s="2"/>
    </row>
    <row r="1111" spans="4:17" x14ac:dyDescent="0.25">
      <c r="D1111" s="2"/>
      <c r="E1111" s="310"/>
      <c r="I1111" s="2"/>
      <c r="M1111" s="2"/>
      <c r="P1111" s="2"/>
      <c r="Q1111" s="2"/>
    </row>
    <row r="1112" spans="4:17" x14ac:dyDescent="0.25">
      <c r="D1112" s="2"/>
      <c r="E1112" s="310"/>
      <c r="I1112" s="2"/>
      <c r="M1112" s="2"/>
      <c r="P1112" s="2"/>
      <c r="Q1112" s="2"/>
    </row>
    <row r="1113" spans="4:17" x14ac:dyDescent="0.25">
      <c r="D1113" s="2"/>
      <c r="E1113" s="310"/>
      <c r="I1113" s="2"/>
      <c r="M1113" s="2"/>
      <c r="P1113" s="2"/>
      <c r="Q1113" s="2"/>
    </row>
    <row r="1114" spans="4:17" x14ac:dyDescent="0.25">
      <c r="D1114" s="2"/>
      <c r="E1114" s="310"/>
      <c r="I1114" s="2"/>
      <c r="M1114" s="2"/>
      <c r="P1114" s="2"/>
      <c r="Q1114" s="2"/>
    </row>
    <row r="1115" spans="4:17" x14ac:dyDescent="0.25">
      <c r="D1115" s="2"/>
      <c r="E1115" s="310"/>
      <c r="I1115" s="2"/>
      <c r="M1115" s="2"/>
      <c r="P1115" s="2"/>
      <c r="Q1115" s="2"/>
    </row>
    <row r="1116" spans="4:17" x14ac:dyDescent="0.25">
      <c r="D1116" s="2"/>
      <c r="E1116" s="310"/>
      <c r="I1116" s="2"/>
      <c r="M1116" s="2"/>
      <c r="P1116" s="2"/>
      <c r="Q1116" s="2"/>
    </row>
    <row r="1117" spans="4:17" x14ac:dyDescent="0.25">
      <c r="D1117" s="2"/>
      <c r="E1117" s="310"/>
      <c r="I1117" s="2"/>
      <c r="M1117" s="2"/>
      <c r="P1117" s="2"/>
      <c r="Q1117" s="2"/>
    </row>
    <row r="1118" spans="4:17" x14ac:dyDescent="0.25">
      <c r="D1118" s="2"/>
      <c r="E1118" s="310"/>
      <c r="I1118" s="2"/>
      <c r="M1118" s="2"/>
      <c r="P1118" s="2"/>
      <c r="Q1118" s="2"/>
    </row>
    <row r="1119" spans="4:17" x14ac:dyDescent="0.25">
      <c r="D1119" s="2"/>
      <c r="E1119" s="310"/>
      <c r="I1119" s="2"/>
      <c r="M1119" s="2"/>
      <c r="P1119" s="2"/>
      <c r="Q1119" s="2"/>
    </row>
    <row r="1120" spans="4:17" x14ac:dyDescent="0.25">
      <c r="D1120" s="2"/>
      <c r="E1120" s="310"/>
      <c r="I1120" s="2"/>
      <c r="M1120" s="2"/>
      <c r="P1120" s="2"/>
      <c r="Q1120" s="2"/>
    </row>
    <row r="1121" spans="4:17" x14ac:dyDescent="0.25">
      <c r="D1121" s="2"/>
      <c r="E1121" s="310"/>
      <c r="I1121" s="2"/>
      <c r="M1121" s="2"/>
      <c r="P1121" s="2"/>
      <c r="Q1121" s="2"/>
    </row>
    <row r="1122" spans="4:17" x14ac:dyDescent="0.25">
      <c r="D1122" s="2"/>
      <c r="E1122" s="310"/>
      <c r="I1122" s="2"/>
      <c r="M1122" s="2"/>
      <c r="P1122" s="2"/>
      <c r="Q1122" s="2"/>
    </row>
    <row r="1123" spans="4:17" x14ac:dyDescent="0.25">
      <c r="D1123" s="2"/>
      <c r="E1123" s="310"/>
      <c r="I1123" s="2"/>
      <c r="M1123" s="2"/>
      <c r="P1123" s="2"/>
      <c r="Q1123" s="2"/>
    </row>
    <row r="1124" spans="4:17" x14ac:dyDescent="0.25">
      <c r="D1124" s="2"/>
      <c r="E1124" s="310"/>
      <c r="I1124" s="2"/>
      <c r="M1124" s="2"/>
      <c r="P1124" s="2"/>
      <c r="Q1124" s="2"/>
    </row>
    <row r="1125" spans="4:17" x14ac:dyDescent="0.25">
      <c r="D1125" s="2"/>
      <c r="E1125" s="310"/>
      <c r="I1125" s="2"/>
      <c r="M1125" s="2"/>
      <c r="P1125" s="2"/>
      <c r="Q1125" s="2"/>
    </row>
    <row r="1126" spans="4:17" x14ac:dyDescent="0.25">
      <c r="D1126" s="2"/>
      <c r="E1126" s="310"/>
      <c r="I1126" s="2"/>
      <c r="M1126" s="2"/>
      <c r="P1126" s="2"/>
      <c r="Q1126" s="2"/>
    </row>
    <row r="1127" spans="4:17" x14ac:dyDescent="0.25">
      <c r="D1127" s="2"/>
      <c r="E1127" s="310"/>
      <c r="I1127" s="2"/>
      <c r="M1127" s="2"/>
      <c r="P1127" s="2"/>
      <c r="Q1127" s="2"/>
    </row>
    <row r="1128" spans="4:17" x14ac:dyDescent="0.25">
      <c r="D1128" s="2"/>
      <c r="E1128" s="310"/>
      <c r="I1128" s="2"/>
      <c r="M1128" s="2"/>
      <c r="P1128" s="2"/>
      <c r="Q1128" s="2"/>
    </row>
    <row r="1129" spans="4:17" x14ac:dyDescent="0.25">
      <c r="D1129" s="2"/>
      <c r="E1129" s="310"/>
      <c r="I1129" s="2"/>
      <c r="M1129" s="2"/>
      <c r="P1129" s="2"/>
      <c r="Q1129" s="2"/>
    </row>
    <row r="1130" spans="4:17" x14ac:dyDescent="0.25">
      <c r="D1130" s="2"/>
      <c r="E1130" s="310"/>
      <c r="I1130" s="2"/>
      <c r="M1130" s="2"/>
      <c r="P1130" s="2"/>
      <c r="Q1130" s="2"/>
    </row>
    <row r="1131" spans="4:17" x14ac:dyDescent="0.25">
      <c r="D1131" s="2"/>
      <c r="E1131" s="310"/>
      <c r="I1131" s="2"/>
      <c r="M1131" s="2"/>
      <c r="P1131" s="2"/>
      <c r="Q1131" s="2"/>
    </row>
    <row r="1132" spans="4:17" x14ac:dyDescent="0.25">
      <c r="D1132" s="2"/>
      <c r="E1132" s="310"/>
      <c r="I1132" s="2"/>
      <c r="M1132" s="2"/>
      <c r="P1132" s="2"/>
      <c r="Q1132" s="2"/>
    </row>
    <row r="1133" spans="4:17" x14ac:dyDescent="0.25">
      <c r="D1133" s="2"/>
      <c r="E1133" s="310"/>
      <c r="I1133" s="2"/>
      <c r="M1133" s="2"/>
      <c r="P1133" s="2"/>
      <c r="Q1133" s="2"/>
    </row>
    <row r="1134" spans="4:17" x14ac:dyDescent="0.25">
      <c r="D1134" s="2"/>
      <c r="E1134" s="310"/>
      <c r="I1134" s="2"/>
      <c r="M1134" s="2"/>
      <c r="P1134" s="2"/>
      <c r="Q1134" s="2"/>
    </row>
    <row r="1135" spans="4:17" x14ac:dyDescent="0.25">
      <c r="D1135" s="2"/>
      <c r="E1135" s="310"/>
      <c r="I1135" s="2"/>
      <c r="M1135" s="2"/>
      <c r="P1135" s="2"/>
      <c r="Q1135" s="2"/>
    </row>
    <row r="1136" spans="4:17" x14ac:dyDescent="0.25">
      <c r="D1136" s="2"/>
      <c r="E1136" s="310"/>
      <c r="I1136" s="2"/>
      <c r="M1136" s="2"/>
      <c r="P1136" s="2"/>
      <c r="Q1136" s="2"/>
    </row>
    <row r="1137" spans="4:17" x14ac:dyDescent="0.25">
      <c r="D1137" s="2"/>
      <c r="E1137" s="310"/>
      <c r="I1137" s="2"/>
      <c r="M1137" s="2"/>
      <c r="P1137" s="2"/>
      <c r="Q1137" s="2"/>
    </row>
    <row r="1138" spans="4:17" x14ac:dyDescent="0.25">
      <c r="D1138" s="2"/>
      <c r="E1138" s="310"/>
      <c r="I1138" s="2"/>
      <c r="M1138" s="2"/>
      <c r="P1138" s="2"/>
      <c r="Q1138" s="2"/>
    </row>
    <row r="1139" spans="4:17" x14ac:dyDescent="0.25">
      <c r="D1139" s="2"/>
      <c r="E1139" s="310"/>
      <c r="I1139" s="2"/>
      <c r="M1139" s="2"/>
      <c r="P1139" s="2"/>
      <c r="Q1139" s="2"/>
    </row>
    <row r="1140" spans="4:17" x14ac:dyDescent="0.25">
      <c r="D1140" s="2"/>
      <c r="E1140" s="310"/>
      <c r="I1140" s="2"/>
      <c r="M1140" s="2"/>
      <c r="P1140" s="2"/>
      <c r="Q1140" s="2"/>
    </row>
    <row r="1141" spans="4:17" x14ac:dyDescent="0.25">
      <c r="D1141" s="2"/>
      <c r="E1141" s="310"/>
      <c r="I1141" s="2"/>
      <c r="M1141" s="2"/>
      <c r="P1141" s="2"/>
      <c r="Q1141" s="2"/>
    </row>
    <row r="1142" spans="4:17" x14ac:dyDescent="0.25">
      <c r="D1142" s="2"/>
      <c r="E1142" s="310"/>
      <c r="I1142" s="2"/>
      <c r="M1142" s="2"/>
      <c r="P1142" s="2"/>
      <c r="Q1142" s="2"/>
    </row>
    <row r="1143" spans="4:17" x14ac:dyDescent="0.25">
      <c r="D1143" s="2"/>
      <c r="E1143" s="310"/>
      <c r="I1143" s="2"/>
      <c r="M1143" s="2"/>
      <c r="P1143" s="2"/>
      <c r="Q1143" s="2"/>
    </row>
    <row r="1144" spans="4:17" x14ac:dyDescent="0.25">
      <c r="D1144" s="2"/>
      <c r="E1144" s="310"/>
      <c r="I1144" s="2"/>
      <c r="M1144" s="2"/>
      <c r="P1144" s="2"/>
      <c r="Q1144" s="2"/>
    </row>
    <row r="1145" spans="4:17" x14ac:dyDescent="0.25">
      <c r="D1145" s="2"/>
      <c r="E1145" s="310"/>
      <c r="I1145" s="2"/>
      <c r="M1145" s="2"/>
      <c r="P1145" s="2"/>
      <c r="Q1145" s="2"/>
    </row>
    <row r="1146" spans="4:17" x14ac:dyDescent="0.25">
      <c r="D1146" s="2"/>
      <c r="E1146" s="310"/>
      <c r="I1146" s="2"/>
      <c r="M1146" s="2"/>
      <c r="P1146" s="2"/>
      <c r="Q1146" s="2"/>
    </row>
    <row r="1147" spans="4:17" x14ac:dyDescent="0.25">
      <c r="D1147" s="2"/>
      <c r="E1147" s="310"/>
      <c r="I1147" s="2"/>
      <c r="M1147" s="2"/>
      <c r="P1147" s="2"/>
      <c r="Q1147" s="2"/>
    </row>
    <row r="1148" spans="4:17" x14ac:dyDescent="0.25">
      <c r="D1148" s="2"/>
      <c r="E1148" s="310"/>
      <c r="I1148" s="2"/>
      <c r="M1148" s="2"/>
      <c r="P1148" s="2"/>
      <c r="Q1148" s="2"/>
    </row>
    <row r="1149" spans="4:17" x14ac:dyDescent="0.25">
      <c r="D1149" s="2"/>
      <c r="E1149" s="310"/>
      <c r="I1149" s="2"/>
      <c r="M1149" s="2"/>
      <c r="P1149" s="2"/>
      <c r="Q1149" s="2"/>
    </row>
    <row r="1150" spans="4:17" x14ac:dyDescent="0.25">
      <c r="D1150" s="2"/>
      <c r="E1150" s="310"/>
      <c r="I1150" s="2"/>
      <c r="M1150" s="2"/>
      <c r="P1150" s="2"/>
      <c r="Q1150" s="2"/>
    </row>
    <row r="1151" spans="4:17" x14ac:dyDescent="0.25">
      <c r="D1151" s="2"/>
      <c r="E1151" s="310"/>
      <c r="I1151" s="2"/>
      <c r="M1151" s="2"/>
      <c r="P1151" s="2"/>
      <c r="Q1151" s="2"/>
    </row>
    <row r="1152" spans="4:17" x14ac:dyDescent="0.25">
      <c r="D1152" s="2"/>
      <c r="E1152" s="310"/>
      <c r="I1152" s="2"/>
      <c r="M1152" s="2"/>
      <c r="P1152" s="2"/>
      <c r="Q1152" s="2"/>
    </row>
    <row r="1153" spans="4:17" x14ac:dyDescent="0.25">
      <c r="D1153" s="2"/>
      <c r="E1153" s="310"/>
      <c r="I1153" s="2"/>
      <c r="M1153" s="2"/>
      <c r="P1153" s="2"/>
      <c r="Q1153" s="2"/>
    </row>
    <row r="1154" spans="4:17" x14ac:dyDescent="0.25">
      <c r="D1154" s="2"/>
      <c r="E1154" s="310"/>
      <c r="I1154" s="2"/>
      <c r="M1154" s="2"/>
      <c r="P1154" s="2"/>
      <c r="Q1154" s="2"/>
    </row>
    <row r="1155" spans="4:17" x14ac:dyDescent="0.25">
      <c r="D1155" s="2"/>
      <c r="E1155" s="310"/>
      <c r="I1155" s="2"/>
      <c r="M1155" s="2"/>
      <c r="P1155" s="2"/>
      <c r="Q1155" s="2"/>
    </row>
    <row r="1156" spans="4:17" x14ac:dyDescent="0.25">
      <c r="D1156" s="2"/>
      <c r="E1156" s="310"/>
      <c r="I1156" s="2"/>
      <c r="M1156" s="2"/>
      <c r="P1156" s="2"/>
      <c r="Q1156" s="2"/>
    </row>
    <row r="1157" spans="4:17" x14ac:dyDescent="0.25">
      <c r="D1157" s="2"/>
      <c r="E1157" s="310"/>
      <c r="I1157" s="2"/>
      <c r="M1157" s="2"/>
      <c r="P1157" s="2"/>
      <c r="Q1157" s="2"/>
    </row>
    <row r="1158" spans="4:17" x14ac:dyDescent="0.25">
      <c r="D1158" s="2"/>
      <c r="E1158" s="310"/>
      <c r="I1158" s="2"/>
      <c r="M1158" s="2"/>
      <c r="P1158" s="2"/>
      <c r="Q1158" s="2"/>
    </row>
    <row r="1159" spans="4:17" x14ac:dyDescent="0.25">
      <c r="D1159" s="2"/>
      <c r="E1159" s="310"/>
      <c r="I1159" s="2"/>
      <c r="M1159" s="2"/>
      <c r="P1159" s="2"/>
      <c r="Q1159" s="2"/>
    </row>
    <row r="1160" spans="4:17" x14ac:dyDescent="0.25">
      <c r="D1160" s="2"/>
      <c r="E1160" s="310"/>
      <c r="I1160" s="2"/>
      <c r="M1160" s="2"/>
      <c r="P1160" s="2"/>
      <c r="Q1160" s="2"/>
    </row>
    <row r="1161" spans="4:17" x14ac:dyDescent="0.25">
      <c r="D1161" s="2"/>
      <c r="E1161" s="310"/>
      <c r="I1161" s="2"/>
      <c r="M1161" s="2"/>
      <c r="P1161" s="2"/>
      <c r="Q1161" s="2"/>
    </row>
    <row r="1162" spans="4:17" x14ac:dyDescent="0.25">
      <c r="D1162" s="2"/>
      <c r="E1162" s="310"/>
      <c r="I1162" s="2"/>
      <c r="M1162" s="2"/>
      <c r="P1162" s="2"/>
      <c r="Q1162" s="2"/>
    </row>
    <row r="1163" spans="4:17" x14ac:dyDescent="0.25">
      <c r="D1163" s="2"/>
      <c r="E1163" s="310"/>
      <c r="I1163" s="2"/>
      <c r="M1163" s="2"/>
      <c r="P1163" s="2"/>
      <c r="Q1163" s="2"/>
    </row>
    <row r="1164" spans="4:17" x14ac:dyDescent="0.25">
      <c r="D1164" s="2"/>
      <c r="E1164" s="310"/>
      <c r="I1164" s="2"/>
      <c r="M1164" s="2"/>
      <c r="P1164" s="2"/>
      <c r="Q1164" s="2"/>
    </row>
    <row r="1165" spans="4:17" x14ac:dyDescent="0.25">
      <c r="D1165" s="2"/>
      <c r="E1165" s="310"/>
      <c r="I1165" s="2"/>
      <c r="M1165" s="2"/>
      <c r="P1165" s="2"/>
      <c r="Q1165" s="2"/>
    </row>
    <row r="1166" spans="4:17" x14ac:dyDescent="0.25">
      <c r="D1166" s="2"/>
      <c r="E1166" s="310"/>
      <c r="I1166" s="2"/>
      <c r="M1166" s="2"/>
      <c r="P1166" s="2"/>
      <c r="Q1166" s="2"/>
    </row>
    <row r="1167" spans="4:17" x14ac:dyDescent="0.25">
      <c r="D1167" s="2"/>
      <c r="E1167" s="310"/>
      <c r="I1167" s="2"/>
      <c r="M1167" s="2"/>
      <c r="P1167" s="2"/>
      <c r="Q1167" s="2"/>
    </row>
    <row r="1168" spans="4:17" x14ac:dyDescent="0.25">
      <c r="D1168" s="2"/>
      <c r="E1168" s="310"/>
      <c r="I1168" s="2"/>
      <c r="M1168" s="2"/>
      <c r="P1168" s="2"/>
      <c r="Q1168" s="2"/>
    </row>
    <row r="1169" spans="4:17" x14ac:dyDescent="0.25">
      <c r="D1169" s="2"/>
      <c r="E1169" s="310"/>
      <c r="I1169" s="2"/>
      <c r="M1169" s="2"/>
      <c r="P1169" s="2"/>
      <c r="Q1169" s="2"/>
    </row>
    <row r="1170" spans="4:17" x14ac:dyDescent="0.25">
      <c r="D1170" s="2"/>
      <c r="E1170" s="310"/>
      <c r="I1170" s="2"/>
      <c r="M1170" s="2"/>
      <c r="P1170" s="2"/>
      <c r="Q1170" s="2"/>
    </row>
    <row r="1171" spans="4:17" x14ac:dyDescent="0.25">
      <c r="D1171" s="2"/>
      <c r="E1171" s="310"/>
      <c r="I1171" s="2"/>
      <c r="M1171" s="2"/>
      <c r="P1171" s="2"/>
      <c r="Q1171" s="2"/>
    </row>
    <row r="1172" spans="4:17" x14ac:dyDescent="0.25">
      <c r="D1172" s="2"/>
      <c r="E1172" s="310"/>
      <c r="I1172" s="2"/>
      <c r="M1172" s="2"/>
      <c r="P1172" s="2"/>
      <c r="Q1172" s="2"/>
    </row>
    <row r="1173" spans="4:17" x14ac:dyDescent="0.25">
      <c r="D1173" s="2"/>
      <c r="E1173" s="310"/>
      <c r="I1173" s="2"/>
      <c r="M1173" s="2"/>
      <c r="P1173" s="2"/>
      <c r="Q1173" s="2"/>
    </row>
    <row r="1174" spans="4:17" x14ac:dyDescent="0.25">
      <c r="D1174" s="2"/>
      <c r="E1174" s="310"/>
      <c r="I1174" s="2"/>
      <c r="M1174" s="2"/>
      <c r="P1174" s="2"/>
      <c r="Q1174" s="2"/>
    </row>
    <row r="1175" spans="4:17" x14ac:dyDescent="0.25">
      <c r="D1175" s="2"/>
      <c r="E1175" s="310"/>
      <c r="I1175" s="2"/>
      <c r="M1175" s="2"/>
      <c r="P1175" s="2"/>
      <c r="Q1175" s="2"/>
    </row>
    <row r="1176" spans="4:17" x14ac:dyDescent="0.25">
      <c r="D1176" s="2"/>
      <c r="E1176" s="310"/>
      <c r="I1176" s="2"/>
      <c r="M1176" s="2"/>
      <c r="P1176" s="2"/>
      <c r="Q1176" s="2"/>
    </row>
    <row r="1177" spans="4:17" x14ac:dyDescent="0.25">
      <c r="D1177" s="2"/>
      <c r="E1177" s="310"/>
      <c r="I1177" s="2"/>
      <c r="M1177" s="2"/>
      <c r="P1177" s="2"/>
      <c r="Q1177" s="2"/>
    </row>
    <row r="1178" spans="4:17" x14ac:dyDescent="0.25">
      <c r="D1178" s="2"/>
      <c r="E1178" s="310"/>
      <c r="I1178" s="2"/>
      <c r="M1178" s="2"/>
      <c r="P1178" s="2"/>
      <c r="Q1178" s="2"/>
    </row>
    <row r="1179" spans="4:17" x14ac:dyDescent="0.25">
      <c r="D1179" s="2"/>
      <c r="E1179" s="310"/>
      <c r="I1179" s="2"/>
      <c r="M1179" s="2"/>
      <c r="P1179" s="2"/>
      <c r="Q1179" s="2"/>
    </row>
    <row r="1180" spans="4:17" x14ac:dyDescent="0.25">
      <c r="D1180" s="2"/>
      <c r="E1180" s="310"/>
      <c r="I1180" s="2"/>
      <c r="M1180" s="2"/>
      <c r="P1180" s="2"/>
      <c r="Q1180" s="2"/>
    </row>
    <row r="1181" spans="4:17" x14ac:dyDescent="0.25">
      <c r="D1181" s="2"/>
      <c r="E1181" s="310"/>
      <c r="I1181" s="2"/>
      <c r="M1181" s="2"/>
      <c r="P1181" s="2"/>
      <c r="Q1181" s="2"/>
    </row>
    <row r="1182" spans="4:17" x14ac:dyDescent="0.25">
      <c r="D1182" s="2"/>
      <c r="E1182" s="310"/>
      <c r="I1182" s="2"/>
      <c r="M1182" s="2"/>
      <c r="P1182" s="2"/>
      <c r="Q1182" s="2"/>
    </row>
    <row r="1183" spans="4:17" x14ac:dyDescent="0.25">
      <c r="D1183" s="2"/>
      <c r="E1183" s="310"/>
      <c r="I1183" s="2"/>
      <c r="M1183" s="2"/>
      <c r="P1183" s="2"/>
      <c r="Q1183" s="2"/>
    </row>
    <row r="1184" spans="4:17" x14ac:dyDescent="0.25">
      <c r="D1184" s="2"/>
      <c r="E1184" s="310"/>
      <c r="I1184" s="2"/>
      <c r="M1184" s="2"/>
      <c r="P1184" s="2"/>
      <c r="Q1184" s="2"/>
    </row>
    <row r="1185" spans="4:17" x14ac:dyDescent="0.25">
      <c r="D1185" s="2"/>
      <c r="E1185" s="310"/>
      <c r="I1185" s="2"/>
      <c r="M1185" s="2"/>
      <c r="P1185" s="2"/>
      <c r="Q1185" s="2"/>
    </row>
    <row r="1186" spans="4:17" x14ac:dyDescent="0.25">
      <c r="D1186" s="2"/>
      <c r="E1186" s="310"/>
      <c r="I1186" s="2"/>
      <c r="M1186" s="2"/>
      <c r="P1186" s="2"/>
      <c r="Q1186" s="2"/>
    </row>
    <row r="1187" spans="4:17" x14ac:dyDescent="0.25">
      <c r="D1187" s="2"/>
      <c r="E1187" s="310"/>
      <c r="I1187" s="2"/>
      <c r="M1187" s="2"/>
      <c r="P1187" s="2"/>
      <c r="Q1187" s="2"/>
    </row>
    <row r="1188" spans="4:17" x14ac:dyDescent="0.25">
      <c r="D1188" s="2"/>
      <c r="E1188" s="310"/>
      <c r="I1188" s="2"/>
      <c r="M1188" s="2"/>
      <c r="P1188" s="2"/>
      <c r="Q1188" s="2"/>
    </row>
    <row r="1189" spans="4:17" x14ac:dyDescent="0.25">
      <c r="D1189" s="2"/>
      <c r="E1189" s="310"/>
      <c r="I1189" s="2"/>
      <c r="M1189" s="2"/>
      <c r="P1189" s="2"/>
      <c r="Q1189" s="2"/>
    </row>
    <row r="1190" spans="4:17" x14ac:dyDescent="0.25">
      <c r="D1190" s="2"/>
      <c r="E1190" s="310"/>
      <c r="I1190" s="2"/>
      <c r="M1190" s="2"/>
      <c r="P1190" s="2"/>
      <c r="Q1190" s="2"/>
    </row>
    <row r="1191" spans="4:17" x14ac:dyDescent="0.25">
      <c r="D1191" s="2"/>
      <c r="E1191" s="310"/>
      <c r="I1191" s="2"/>
      <c r="M1191" s="2"/>
      <c r="P1191" s="2"/>
      <c r="Q1191" s="2"/>
    </row>
    <row r="1192" spans="4:17" x14ac:dyDescent="0.25">
      <c r="D1192" s="2"/>
      <c r="E1192" s="310"/>
      <c r="I1192" s="2"/>
      <c r="M1192" s="2"/>
      <c r="P1192" s="2"/>
      <c r="Q1192" s="2"/>
    </row>
    <row r="1193" spans="4:17" x14ac:dyDescent="0.25">
      <c r="D1193" s="2"/>
      <c r="E1193" s="310"/>
      <c r="I1193" s="2"/>
      <c r="M1193" s="2"/>
      <c r="P1193" s="2"/>
      <c r="Q1193" s="2"/>
    </row>
    <row r="1194" spans="4:17" x14ac:dyDescent="0.25">
      <c r="D1194" s="2"/>
      <c r="E1194" s="310"/>
      <c r="I1194" s="2"/>
      <c r="M1194" s="2"/>
      <c r="P1194" s="2"/>
      <c r="Q1194" s="2"/>
    </row>
    <row r="1195" spans="4:17" x14ac:dyDescent="0.25">
      <c r="D1195" s="2"/>
      <c r="E1195" s="310"/>
      <c r="I1195" s="2"/>
      <c r="M1195" s="2"/>
      <c r="P1195" s="2"/>
      <c r="Q1195" s="2"/>
    </row>
    <row r="1196" spans="4:17" x14ac:dyDescent="0.25">
      <c r="D1196" s="2"/>
      <c r="E1196" s="310"/>
      <c r="I1196" s="2"/>
      <c r="M1196" s="2"/>
      <c r="P1196" s="2"/>
      <c r="Q1196" s="2"/>
    </row>
    <row r="1197" spans="4:17" x14ac:dyDescent="0.25">
      <c r="D1197" s="2"/>
      <c r="E1197" s="310"/>
      <c r="I1197" s="2"/>
      <c r="M1197" s="2"/>
      <c r="P1197" s="2"/>
      <c r="Q1197" s="2"/>
    </row>
    <row r="1198" spans="4:17" x14ac:dyDescent="0.25">
      <c r="D1198" s="2"/>
      <c r="E1198" s="310"/>
      <c r="I1198" s="2"/>
      <c r="M1198" s="2"/>
      <c r="P1198" s="2"/>
      <c r="Q1198" s="2"/>
    </row>
    <row r="1199" spans="4:17" x14ac:dyDescent="0.25">
      <c r="D1199" s="2"/>
      <c r="E1199" s="310"/>
      <c r="I1199" s="2"/>
      <c r="M1199" s="2"/>
      <c r="P1199" s="2"/>
      <c r="Q1199" s="2"/>
    </row>
    <row r="1200" spans="4:17" x14ac:dyDescent="0.25">
      <c r="D1200" s="2"/>
      <c r="E1200" s="310"/>
      <c r="I1200" s="2"/>
      <c r="M1200" s="2"/>
      <c r="P1200" s="2"/>
      <c r="Q1200" s="2"/>
    </row>
    <row r="1201" spans="4:17" x14ac:dyDescent="0.25">
      <c r="D1201" s="2"/>
      <c r="E1201" s="310"/>
      <c r="I1201" s="2"/>
      <c r="M1201" s="2"/>
      <c r="P1201" s="2"/>
      <c r="Q1201" s="2"/>
    </row>
    <row r="1202" spans="4:17" x14ac:dyDescent="0.25">
      <c r="D1202" s="2"/>
      <c r="E1202" s="310"/>
      <c r="I1202" s="2"/>
      <c r="M1202" s="2"/>
      <c r="P1202" s="2"/>
      <c r="Q1202" s="2"/>
    </row>
    <row r="1203" spans="4:17" x14ac:dyDescent="0.25">
      <c r="D1203" s="2"/>
      <c r="E1203" s="310"/>
      <c r="I1203" s="2"/>
      <c r="M1203" s="2"/>
      <c r="P1203" s="2"/>
      <c r="Q1203" s="2"/>
    </row>
    <row r="1204" spans="4:17" x14ac:dyDescent="0.25">
      <c r="D1204" s="2"/>
      <c r="E1204" s="310"/>
      <c r="I1204" s="2"/>
      <c r="M1204" s="2"/>
      <c r="P1204" s="2"/>
      <c r="Q1204" s="2"/>
    </row>
    <row r="1205" spans="4:17" x14ac:dyDescent="0.25">
      <c r="D1205" s="2"/>
      <c r="E1205" s="310"/>
      <c r="I1205" s="2"/>
      <c r="M1205" s="2"/>
      <c r="P1205" s="2"/>
      <c r="Q1205" s="2"/>
    </row>
    <row r="1206" spans="4:17" x14ac:dyDescent="0.25">
      <c r="D1206" s="2"/>
      <c r="E1206" s="310"/>
      <c r="I1206" s="2"/>
      <c r="M1206" s="2"/>
      <c r="P1206" s="2"/>
      <c r="Q1206" s="2"/>
    </row>
    <row r="1207" spans="4:17" x14ac:dyDescent="0.25">
      <c r="D1207" s="2"/>
      <c r="E1207" s="310"/>
      <c r="I1207" s="2"/>
      <c r="M1207" s="2"/>
      <c r="P1207" s="2"/>
      <c r="Q1207" s="2"/>
    </row>
    <row r="1208" spans="4:17" x14ac:dyDescent="0.25">
      <c r="D1208" s="2"/>
      <c r="E1208" s="310"/>
      <c r="I1208" s="2"/>
      <c r="M1208" s="2"/>
      <c r="P1208" s="2"/>
      <c r="Q1208" s="2"/>
    </row>
    <row r="1209" spans="4:17" x14ac:dyDescent="0.25">
      <c r="D1209" s="2"/>
      <c r="E1209" s="310"/>
      <c r="I1209" s="2"/>
      <c r="M1209" s="2"/>
      <c r="P1209" s="2"/>
      <c r="Q1209" s="2"/>
    </row>
    <row r="1210" spans="4:17" x14ac:dyDescent="0.25">
      <c r="D1210" s="2"/>
      <c r="E1210" s="310"/>
      <c r="I1210" s="2"/>
      <c r="M1210" s="2"/>
      <c r="P1210" s="2"/>
      <c r="Q1210" s="2"/>
    </row>
    <row r="1211" spans="4:17" x14ac:dyDescent="0.25">
      <c r="D1211" s="2"/>
      <c r="E1211" s="310"/>
      <c r="I1211" s="2"/>
      <c r="M1211" s="2"/>
      <c r="P1211" s="2"/>
      <c r="Q1211" s="2"/>
    </row>
    <row r="1212" spans="4:17" x14ac:dyDescent="0.25">
      <c r="D1212" s="2"/>
      <c r="E1212" s="310"/>
      <c r="I1212" s="2"/>
      <c r="M1212" s="2"/>
      <c r="P1212" s="2"/>
      <c r="Q1212" s="2"/>
    </row>
    <row r="1213" spans="4:17" x14ac:dyDescent="0.25">
      <c r="D1213" s="2"/>
      <c r="E1213" s="310"/>
      <c r="I1213" s="2"/>
      <c r="M1213" s="2"/>
      <c r="P1213" s="2"/>
      <c r="Q1213" s="2"/>
    </row>
    <row r="1214" spans="4:17" x14ac:dyDescent="0.25">
      <c r="D1214" s="2"/>
      <c r="E1214" s="310"/>
      <c r="I1214" s="2"/>
      <c r="M1214" s="2"/>
      <c r="P1214" s="2"/>
      <c r="Q1214" s="2"/>
    </row>
    <row r="1215" spans="4:17" x14ac:dyDescent="0.25">
      <c r="D1215" s="2"/>
      <c r="E1215" s="310"/>
      <c r="I1215" s="2"/>
      <c r="M1215" s="2"/>
      <c r="P1215" s="2"/>
      <c r="Q1215" s="2"/>
    </row>
    <row r="1216" spans="4:17" x14ac:dyDescent="0.25">
      <c r="D1216" s="2"/>
      <c r="E1216" s="310"/>
      <c r="I1216" s="2"/>
      <c r="M1216" s="2"/>
      <c r="P1216" s="2"/>
      <c r="Q1216" s="2"/>
    </row>
    <row r="1217" spans="4:17" x14ac:dyDescent="0.25">
      <c r="D1217" s="2"/>
      <c r="E1217" s="310"/>
      <c r="I1217" s="2"/>
      <c r="M1217" s="2"/>
      <c r="P1217" s="2"/>
      <c r="Q1217" s="2"/>
    </row>
    <row r="1218" spans="4:17" x14ac:dyDescent="0.25">
      <c r="D1218" s="2"/>
      <c r="E1218" s="310"/>
      <c r="I1218" s="2"/>
      <c r="M1218" s="2"/>
      <c r="P1218" s="2"/>
      <c r="Q1218" s="2"/>
    </row>
    <row r="1219" spans="4:17" x14ac:dyDescent="0.25">
      <c r="D1219" s="2"/>
      <c r="E1219" s="310"/>
      <c r="I1219" s="2"/>
      <c r="M1219" s="2"/>
      <c r="P1219" s="2"/>
      <c r="Q1219" s="2"/>
    </row>
    <row r="1220" spans="4:17" x14ac:dyDescent="0.25">
      <c r="D1220" s="2"/>
      <c r="E1220" s="310"/>
      <c r="I1220" s="2"/>
      <c r="M1220" s="2"/>
      <c r="P1220" s="2"/>
      <c r="Q1220" s="2"/>
    </row>
    <row r="1221" spans="4:17" x14ac:dyDescent="0.25">
      <c r="D1221" s="2"/>
      <c r="E1221" s="310"/>
      <c r="I1221" s="2"/>
      <c r="M1221" s="2"/>
      <c r="P1221" s="2"/>
      <c r="Q1221" s="2"/>
    </row>
    <row r="1222" spans="4:17" x14ac:dyDescent="0.25">
      <c r="D1222" s="2"/>
      <c r="E1222" s="310"/>
      <c r="I1222" s="2"/>
      <c r="M1222" s="2"/>
      <c r="P1222" s="2"/>
      <c r="Q1222" s="2"/>
    </row>
    <row r="1223" spans="4:17" x14ac:dyDescent="0.25">
      <c r="D1223" s="2"/>
      <c r="E1223" s="310"/>
      <c r="I1223" s="2"/>
      <c r="M1223" s="2"/>
      <c r="P1223" s="2"/>
      <c r="Q1223" s="2"/>
    </row>
    <row r="1224" spans="4:17" x14ac:dyDescent="0.25">
      <c r="D1224" s="2"/>
      <c r="E1224" s="310"/>
      <c r="I1224" s="2"/>
      <c r="M1224" s="2"/>
      <c r="P1224" s="2"/>
      <c r="Q1224" s="2"/>
    </row>
    <row r="1225" spans="4:17" x14ac:dyDescent="0.25">
      <c r="D1225" s="2"/>
      <c r="E1225" s="310"/>
      <c r="I1225" s="2"/>
      <c r="M1225" s="2"/>
      <c r="P1225" s="2"/>
      <c r="Q1225" s="2"/>
    </row>
    <row r="1226" spans="4:17" x14ac:dyDescent="0.25">
      <c r="D1226" s="2"/>
      <c r="E1226" s="310"/>
      <c r="I1226" s="2"/>
      <c r="M1226" s="2"/>
      <c r="P1226" s="2"/>
      <c r="Q1226" s="2"/>
    </row>
    <row r="1227" spans="4:17" x14ac:dyDescent="0.25">
      <c r="D1227" s="2"/>
      <c r="E1227" s="310"/>
      <c r="I1227" s="2"/>
      <c r="M1227" s="2"/>
      <c r="P1227" s="2"/>
      <c r="Q1227" s="2"/>
    </row>
    <row r="1228" spans="4:17" x14ac:dyDescent="0.25">
      <c r="D1228" s="2"/>
      <c r="E1228" s="310"/>
      <c r="I1228" s="2"/>
      <c r="M1228" s="2"/>
      <c r="P1228" s="2"/>
      <c r="Q1228" s="2"/>
    </row>
    <row r="1229" spans="4:17" x14ac:dyDescent="0.25">
      <c r="D1229" s="2"/>
      <c r="E1229" s="310"/>
      <c r="I1229" s="2"/>
      <c r="M1229" s="2"/>
      <c r="P1229" s="2"/>
      <c r="Q1229" s="2"/>
    </row>
    <row r="1230" spans="4:17" x14ac:dyDescent="0.25">
      <c r="D1230" s="2"/>
      <c r="E1230" s="310"/>
      <c r="I1230" s="2"/>
      <c r="M1230" s="2"/>
      <c r="P1230" s="2"/>
      <c r="Q1230" s="2"/>
    </row>
    <row r="1231" spans="4:17" x14ac:dyDescent="0.25">
      <c r="D1231" s="2"/>
      <c r="E1231" s="310"/>
      <c r="I1231" s="2"/>
      <c r="M1231" s="2"/>
      <c r="P1231" s="2"/>
      <c r="Q1231" s="2"/>
    </row>
    <row r="1232" spans="4:17" x14ac:dyDescent="0.25">
      <c r="D1232" s="2"/>
      <c r="E1232" s="310"/>
      <c r="I1232" s="2"/>
      <c r="M1232" s="2"/>
      <c r="P1232" s="2"/>
      <c r="Q1232" s="2"/>
    </row>
    <row r="1233" spans="4:17" x14ac:dyDescent="0.25">
      <c r="D1233" s="2"/>
      <c r="E1233" s="310"/>
      <c r="I1233" s="2"/>
      <c r="M1233" s="2"/>
      <c r="P1233" s="2"/>
      <c r="Q1233" s="2"/>
    </row>
    <row r="1234" spans="4:17" x14ac:dyDescent="0.25">
      <c r="D1234" s="2"/>
      <c r="E1234" s="310"/>
      <c r="I1234" s="2"/>
      <c r="M1234" s="2"/>
      <c r="P1234" s="2"/>
      <c r="Q1234" s="2"/>
    </row>
    <row r="1235" spans="4:17" x14ac:dyDescent="0.25">
      <c r="D1235" s="2"/>
      <c r="E1235" s="310"/>
      <c r="I1235" s="2"/>
      <c r="M1235" s="2"/>
      <c r="P1235" s="2"/>
      <c r="Q1235" s="2"/>
    </row>
    <row r="1236" spans="4:17" x14ac:dyDescent="0.25">
      <c r="D1236" s="2"/>
      <c r="E1236" s="310"/>
      <c r="I1236" s="2"/>
      <c r="M1236" s="2"/>
      <c r="P1236" s="2"/>
      <c r="Q1236" s="2"/>
    </row>
    <row r="1237" spans="4:17" x14ac:dyDescent="0.25">
      <c r="D1237" s="2"/>
      <c r="E1237" s="310"/>
      <c r="I1237" s="2"/>
      <c r="M1237" s="2"/>
      <c r="P1237" s="2"/>
      <c r="Q1237" s="2"/>
    </row>
    <row r="1238" spans="4:17" x14ac:dyDescent="0.25">
      <c r="D1238" s="2"/>
      <c r="E1238" s="310"/>
      <c r="I1238" s="2"/>
      <c r="M1238" s="2"/>
      <c r="P1238" s="2"/>
      <c r="Q1238" s="2"/>
    </row>
    <row r="1239" spans="4:17" x14ac:dyDescent="0.25">
      <c r="D1239" s="2"/>
      <c r="E1239" s="310"/>
      <c r="I1239" s="2"/>
      <c r="M1239" s="2"/>
      <c r="P1239" s="2"/>
      <c r="Q1239" s="2"/>
    </row>
    <row r="1240" spans="4:17" x14ac:dyDescent="0.25">
      <c r="D1240" s="2"/>
      <c r="E1240" s="310"/>
      <c r="I1240" s="2"/>
      <c r="M1240" s="2"/>
      <c r="P1240" s="2"/>
      <c r="Q1240" s="2"/>
    </row>
    <row r="1241" spans="4:17" x14ac:dyDescent="0.25">
      <c r="D1241" s="2"/>
      <c r="E1241" s="310"/>
      <c r="I1241" s="2"/>
      <c r="M1241" s="2"/>
      <c r="P1241" s="2"/>
      <c r="Q1241" s="2"/>
    </row>
    <row r="1242" spans="4:17" x14ac:dyDescent="0.25">
      <c r="D1242" s="2"/>
      <c r="E1242" s="310"/>
      <c r="I1242" s="2"/>
      <c r="M1242" s="2"/>
      <c r="P1242" s="2"/>
      <c r="Q1242" s="2"/>
    </row>
    <row r="1243" spans="4:17" x14ac:dyDescent="0.25">
      <c r="D1243" s="2"/>
      <c r="E1243" s="310"/>
      <c r="I1243" s="2"/>
      <c r="M1243" s="2"/>
      <c r="P1243" s="2"/>
      <c r="Q1243" s="2"/>
    </row>
    <row r="1244" spans="4:17" x14ac:dyDescent="0.25">
      <c r="D1244" s="2"/>
      <c r="E1244" s="310"/>
      <c r="I1244" s="2"/>
      <c r="M1244" s="2"/>
      <c r="P1244" s="2"/>
      <c r="Q1244" s="2"/>
    </row>
    <row r="1245" spans="4:17" x14ac:dyDescent="0.25">
      <c r="D1245" s="2"/>
      <c r="E1245" s="310"/>
      <c r="I1245" s="2"/>
      <c r="M1245" s="2"/>
      <c r="P1245" s="2"/>
      <c r="Q1245" s="2"/>
    </row>
    <row r="1246" spans="4:17" x14ac:dyDescent="0.25">
      <c r="D1246" s="2"/>
      <c r="E1246" s="310"/>
      <c r="I1246" s="2"/>
      <c r="M1246" s="2"/>
      <c r="P1246" s="2"/>
      <c r="Q1246" s="2"/>
    </row>
    <row r="1247" spans="4:17" x14ac:dyDescent="0.25">
      <c r="D1247" s="2"/>
      <c r="E1247" s="310"/>
      <c r="I1247" s="2"/>
      <c r="M1247" s="2"/>
      <c r="P1247" s="2"/>
      <c r="Q1247" s="2"/>
    </row>
    <row r="1248" spans="4:17" x14ac:dyDescent="0.25">
      <c r="D1248" s="2"/>
      <c r="E1248" s="310"/>
      <c r="I1248" s="2"/>
      <c r="M1248" s="2"/>
      <c r="P1248" s="2"/>
      <c r="Q1248" s="2"/>
    </row>
    <row r="1249" spans="4:17" x14ac:dyDescent="0.25">
      <c r="D1249" s="2"/>
      <c r="E1249" s="310"/>
      <c r="I1249" s="2"/>
      <c r="M1249" s="2"/>
      <c r="P1249" s="2"/>
      <c r="Q1249" s="2"/>
    </row>
    <row r="1250" spans="4:17" x14ac:dyDescent="0.25">
      <c r="D1250" s="2"/>
      <c r="E1250" s="310"/>
      <c r="I1250" s="2"/>
      <c r="M1250" s="2"/>
      <c r="P1250" s="2"/>
      <c r="Q1250" s="2"/>
    </row>
    <row r="1251" spans="4:17" x14ac:dyDescent="0.25">
      <c r="D1251" s="2"/>
      <c r="E1251" s="310"/>
      <c r="I1251" s="2"/>
      <c r="M1251" s="2"/>
      <c r="P1251" s="2"/>
      <c r="Q1251" s="2"/>
    </row>
    <row r="1252" spans="4:17" x14ac:dyDescent="0.25">
      <c r="D1252" s="2"/>
      <c r="E1252" s="310"/>
      <c r="I1252" s="2"/>
      <c r="M1252" s="2"/>
      <c r="P1252" s="2"/>
      <c r="Q1252" s="2"/>
    </row>
    <row r="1253" spans="4:17" x14ac:dyDescent="0.25">
      <c r="D1253" s="2"/>
      <c r="E1253" s="310"/>
      <c r="I1253" s="2"/>
      <c r="M1253" s="2"/>
      <c r="P1253" s="2"/>
      <c r="Q1253" s="2"/>
    </row>
    <row r="1254" spans="4:17" x14ac:dyDescent="0.25">
      <c r="D1254" s="2"/>
      <c r="E1254" s="310"/>
      <c r="I1254" s="2"/>
      <c r="M1254" s="2"/>
      <c r="P1254" s="2"/>
      <c r="Q1254" s="2"/>
    </row>
    <row r="1255" spans="4:17" x14ac:dyDescent="0.25">
      <c r="D1255" s="2"/>
      <c r="E1255" s="310"/>
      <c r="I1255" s="2"/>
      <c r="M1255" s="2"/>
      <c r="P1255" s="2"/>
      <c r="Q1255" s="2"/>
    </row>
    <row r="1256" spans="4:17" x14ac:dyDescent="0.25">
      <c r="D1256" s="2"/>
      <c r="E1256" s="310"/>
      <c r="I1256" s="2"/>
      <c r="M1256" s="2"/>
      <c r="P1256" s="2"/>
      <c r="Q1256" s="2"/>
    </row>
    <row r="1257" spans="4:17" x14ac:dyDescent="0.25">
      <c r="D1257" s="2"/>
      <c r="E1257" s="310"/>
      <c r="I1257" s="2"/>
      <c r="M1257" s="2"/>
      <c r="P1257" s="2"/>
      <c r="Q1257" s="2"/>
    </row>
    <row r="1258" spans="4:17" x14ac:dyDescent="0.25">
      <c r="D1258" s="2"/>
      <c r="E1258" s="310"/>
      <c r="I1258" s="2"/>
      <c r="M1258" s="2"/>
      <c r="P1258" s="2"/>
      <c r="Q1258" s="2"/>
    </row>
    <row r="1259" spans="4:17" x14ac:dyDescent="0.25">
      <c r="D1259" s="2"/>
      <c r="E1259" s="310"/>
      <c r="I1259" s="2"/>
      <c r="M1259" s="2"/>
      <c r="P1259" s="2"/>
      <c r="Q1259" s="2"/>
    </row>
    <row r="1260" spans="4:17" x14ac:dyDescent="0.25">
      <c r="D1260" s="2"/>
      <c r="E1260" s="310"/>
      <c r="I1260" s="2"/>
      <c r="M1260" s="2"/>
      <c r="P1260" s="2"/>
      <c r="Q1260" s="2"/>
    </row>
    <row r="1261" spans="4:17" x14ac:dyDescent="0.25">
      <c r="D1261" s="2"/>
      <c r="E1261" s="310"/>
      <c r="I1261" s="2"/>
      <c r="M1261" s="2"/>
      <c r="P1261" s="2"/>
      <c r="Q1261" s="2"/>
    </row>
    <row r="1262" spans="4:17" x14ac:dyDescent="0.25">
      <c r="D1262" s="2"/>
      <c r="E1262" s="310"/>
      <c r="I1262" s="2"/>
      <c r="M1262" s="2"/>
      <c r="P1262" s="2"/>
      <c r="Q1262" s="2"/>
    </row>
    <row r="1263" spans="4:17" x14ac:dyDescent="0.25">
      <c r="D1263" s="2"/>
      <c r="E1263" s="310"/>
      <c r="I1263" s="2"/>
      <c r="M1263" s="2"/>
      <c r="P1263" s="2"/>
      <c r="Q1263" s="2"/>
    </row>
    <row r="1264" spans="4:17" x14ac:dyDescent="0.25">
      <c r="D1264" s="2"/>
      <c r="E1264" s="310"/>
      <c r="I1264" s="2"/>
      <c r="M1264" s="2"/>
      <c r="P1264" s="2"/>
      <c r="Q1264" s="2"/>
    </row>
    <row r="1265" spans="4:17" x14ac:dyDescent="0.25">
      <c r="D1265" s="2"/>
      <c r="E1265" s="310"/>
      <c r="I1265" s="2"/>
      <c r="M1265" s="2"/>
      <c r="P1265" s="2"/>
      <c r="Q1265" s="2"/>
    </row>
    <row r="1266" spans="4:17" x14ac:dyDescent="0.25">
      <c r="D1266" s="2"/>
      <c r="E1266" s="310"/>
      <c r="I1266" s="2"/>
      <c r="M1266" s="2"/>
      <c r="P1266" s="2"/>
      <c r="Q1266" s="2"/>
    </row>
    <row r="1267" spans="4:17" x14ac:dyDescent="0.25">
      <c r="D1267" s="2"/>
      <c r="E1267" s="310"/>
      <c r="I1267" s="2"/>
      <c r="M1267" s="2"/>
      <c r="P1267" s="2"/>
      <c r="Q1267" s="2"/>
    </row>
    <row r="1268" spans="4:17" x14ac:dyDescent="0.25">
      <c r="D1268" s="2"/>
      <c r="E1268" s="310"/>
      <c r="I1268" s="2"/>
      <c r="M1268" s="2"/>
      <c r="P1268" s="2"/>
      <c r="Q1268" s="2"/>
    </row>
    <row r="1269" spans="4:17" x14ac:dyDescent="0.25">
      <c r="D1269" s="2"/>
      <c r="E1269" s="310"/>
      <c r="I1269" s="2"/>
      <c r="M1269" s="2"/>
      <c r="P1269" s="2"/>
      <c r="Q1269" s="2"/>
    </row>
    <row r="1270" spans="4:17" x14ac:dyDescent="0.25">
      <c r="D1270" s="2"/>
      <c r="E1270" s="310"/>
      <c r="I1270" s="2"/>
      <c r="M1270" s="2"/>
      <c r="P1270" s="2"/>
      <c r="Q1270" s="2"/>
    </row>
    <row r="1271" spans="4:17" x14ac:dyDescent="0.25">
      <c r="D1271" s="2"/>
      <c r="E1271" s="310"/>
      <c r="I1271" s="2"/>
      <c r="M1271" s="2"/>
      <c r="P1271" s="2"/>
      <c r="Q1271" s="2"/>
    </row>
    <row r="1272" spans="4:17" x14ac:dyDescent="0.25">
      <c r="D1272" s="2"/>
      <c r="E1272" s="310"/>
      <c r="I1272" s="2"/>
      <c r="M1272" s="2"/>
      <c r="P1272" s="2"/>
      <c r="Q1272" s="2"/>
    </row>
    <row r="1273" spans="4:17" x14ac:dyDescent="0.25">
      <c r="D1273" s="2"/>
      <c r="E1273" s="310"/>
      <c r="I1273" s="2"/>
      <c r="M1273" s="2"/>
      <c r="P1273" s="2"/>
      <c r="Q1273" s="2"/>
    </row>
    <row r="1274" spans="4:17" x14ac:dyDescent="0.25">
      <c r="D1274" s="2"/>
      <c r="E1274" s="310"/>
      <c r="I1274" s="2"/>
      <c r="M1274" s="2"/>
      <c r="P1274" s="2"/>
      <c r="Q1274" s="2"/>
    </row>
    <row r="1275" spans="4:17" x14ac:dyDescent="0.25">
      <c r="D1275" s="2"/>
      <c r="E1275" s="310"/>
      <c r="I1275" s="2"/>
      <c r="M1275" s="2"/>
      <c r="P1275" s="2"/>
      <c r="Q1275" s="2"/>
    </row>
    <row r="1276" spans="4:17" x14ac:dyDescent="0.25">
      <c r="D1276" s="2"/>
      <c r="E1276" s="310"/>
      <c r="I1276" s="2"/>
      <c r="M1276" s="2"/>
      <c r="P1276" s="2"/>
      <c r="Q1276" s="2"/>
    </row>
    <row r="1277" spans="4:17" x14ac:dyDescent="0.25">
      <c r="D1277" s="2"/>
      <c r="E1277" s="310"/>
      <c r="I1277" s="2"/>
      <c r="M1277" s="2"/>
      <c r="P1277" s="2"/>
      <c r="Q1277" s="2"/>
    </row>
    <row r="1278" spans="4:17" x14ac:dyDescent="0.25">
      <c r="D1278" s="2"/>
      <c r="E1278" s="310"/>
      <c r="I1278" s="2"/>
      <c r="M1278" s="2"/>
      <c r="P1278" s="2"/>
      <c r="Q1278" s="2"/>
    </row>
    <row r="1279" spans="4:17" x14ac:dyDescent="0.25">
      <c r="D1279" s="2"/>
      <c r="E1279" s="310"/>
      <c r="I1279" s="2"/>
      <c r="M1279" s="2"/>
      <c r="P1279" s="2"/>
      <c r="Q1279" s="2"/>
    </row>
    <row r="1280" spans="4:17" x14ac:dyDescent="0.25">
      <c r="D1280" s="2"/>
      <c r="E1280" s="310"/>
      <c r="I1280" s="2"/>
      <c r="M1280" s="2"/>
      <c r="P1280" s="2"/>
      <c r="Q1280" s="2"/>
    </row>
    <row r="1281" spans="4:17" x14ac:dyDescent="0.25">
      <c r="D1281" s="2"/>
      <c r="E1281" s="310"/>
      <c r="I1281" s="2"/>
      <c r="M1281" s="2"/>
      <c r="P1281" s="2"/>
      <c r="Q1281" s="2"/>
    </row>
    <row r="1282" spans="4:17" x14ac:dyDescent="0.25">
      <c r="D1282" s="2"/>
      <c r="E1282" s="310"/>
      <c r="I1282" s="2"/>
      <c r="M1282" s="2"/>
      <c r="P1282" s="2"/>
      <c r="Q1282" s="2"/>
    </row>
    <row r="1283" spans="4:17" x14ac:dyDescent="0.25">
      <c r="D1283" s="2"/>
      <c r="E1283" s="310"/>
      <c r="I1283" s="2"/>
      <c r="M1283" s="2"/>
      <c r="P1283" s="2"/>
      <c r="Q1283" s="2"/>
    </row>
    <row r="1284" spans="4:17" x14ac:dyDescent="0.25">
      <c r="D1284" s="2"/>
      <c r="E1284" s="310"/>
      <c r="I1284" s="2"/>
      <c r="M1284" s="2"/>
      <c r="P1284" s="2"/>
      <c r="Q1284" s="2"/>
    </row>
    <row r="1285" spans="4:17" x14ac:dyDescent="0.25">
      <c r="D1285" s="2"/>
      <c r="E1285" s="310"/>
      <c r="I1285" s="2"/>
      <c r="M1285" s="2"/>
      <c r="P1285" s="2"/>
      <c r="Q1285" s="2"/>
    </row>
    <row r="1286" spans="4:17" x14ac:dyDescent="0.25">
      <c r="D1286" s="2"/>
      <c r="E1286" s="310"/>
      <c r="I1286" s="2"/>
      <c r="M1286" s="2"/>
      <c r="P1286" s="2"/>
      <c r="Q1286" s="2"/>
    </row>
    <row r="1287" spans="4:17" x14ac:dyDescent="0.25">
      <c r="D1287" s="2"/>
      <c r="E1287" s="310"/>
      <c r="I1287" s="2"/>
      <c r="M1287" s="2"/>
      <c r="P1287" s="2"/>
      <c r="Q1287" s="2"/>
    </row>
    <row r="1288" spans="4:17" x14ac:dyDescent="0.25">
      <c r="D1288" s="2"/>
      <c r="E1288" s="310"/>
      <c r="I1288" s="2"/>
      <c r="M1288" s="2"/>
      <c r="P1288" s="2"/>
      <c r="Q1288" s="2"/>
    </row>
    <row r="1289" spans="4:17" x14ac:dyDescent="0.25">
      <c r="D1289" s="2"/>
      <c r="E1289" s="310"/>
      <c r="I1289" s="2"/>
      <c r="M1289" s="2"/>
      <c r="P1289" s="2"/>
      <c r="Q1289" s="2"/>
    </row>
    <row r="1290" spans="4:17" x14ac:dyDescent="0.25">
      <c r="D1290" s="2"/>
      <c r="E1290" s="310"/>
      <c r="I1290" s="2"/>
      <c r="M1290" s="2"/>
      <c r="P1290" s="2"/>
      <c r="Q1290" s="2"/>
    </row>
    <row r="1291" spans="4:17" x14ac:dyDescent="0.25">
      <c r="D1291" s="2"/>
      <c r="E1291" s="310"/>
      <c r="I1291" s="2"/>
      <c r="M1291" s="2"/>
      <c r="P1291" s="2"/>
      <c r="Q1291" s="2"/>
    </row>
    <row r="1292" spans="4:17" x14ac:dyDescent="0.25">
      <c r="D1292" s="2"/>
      <c r="E1292" s="310"/>
      <c r="I1292" s="2"/>
      <c r="M1292" s="2"/>
      <c r="P1292" s="2"/>
      <c r="Q1292" s="2"/>
    </row>
    <row r="1293" spans="4:17" x14ac:dyDescent="0.25">
      <c r="D1293" s="2"/>
      <c r="E1293" s="310"/>
      <c r="I1293" s="2"/>
      <c r="M1293" s="2"/>
      <c r="P1293" s="2"/>
      <c r="Q1293" s="2"/>
    </row>
    <row r="1294" spans="4:17" x14ac:dyDescent="0.25">
      <c r="D1294" s="2"/>
      <c r="E1294" s="310"/>
      <c r="I1294" s="2"/>
      <c r="M1294" s="2"/>
      <c r="P1294" s="2"/>
      <c r="Q1294" s="2"/>
    </row>
    <row r="1295" spans="4:17" x14ac:dyDescent="0.25">
      <c r="D1295" s="2"/>
      <c r="E1295" s="310"/>
      <c r="I1295" s="2"/>
      <c r="M1295" s="2"/>
      <c r="P1295" s="2"/>
      <c r="Q1295" s="2"/>
    </row>
    <row r="1296" spans="4:17" x14ac:dyDescent="0.25">
      <c r="D1296" s="2"/>
      <c r="E1296" s="310"/>
      <c r="I1296" s="2"/>
      <c r="M1296" s="2"/>
      <c r="P1296" s="2"/>
      <c r="Q1296" s="2"/>
    </row>
    <row r="1297" spans="4:17" x14ac:dyDescent="0.25">
      <c r="D1297" s="2"/>
      <c r="E1297" s="310"/>
      <c r="I1297" s="2"/>
      <c r="M1297" s="2"/>
      <c r="P1297" s="2"/>
      <c r="Q1297" s="2"/>
    </row>
    <row r="1298" spans="4:17" x14ac:dyDescent="0.25">
      <c r="D1298" s="2"/>
      <c r="E1298" s="310"/>
      <c r="I1298" s="2"/>
      <c r="M1298" s="2"/>
      <c r="P1298" s="2"/>
      <c r="Q1298" s="2"/>
    </row>
    <row r="1299" spans="4:17" x14ac:dyDescent="0.25">
      <c r="D1299" s="2"/>
      <c r="E1299" s="310"/>
      <c r="I1299" s="2"/>
      <c r="M1299" s="2"/>
      <c r="P1299" s="2"/>
      <c r="Q1299" s="2"/>
    </row>
    <row r="1300" spans="4:17" x14ac:dyDescent="0.25">
      <c r="D1300" s="2"/>
      <c r="E1300" s="310"/>
      <c r="I1300" s="2"/>
      <c r="M1300" s="2"/>
      <c r="P1300" s="2"/>
      <c r="Q1300" s="2"/>
    </row>
    <row r="1301" spans="4:17" x14ac:dyDescent="0.25">
      <c r="D1301" s="2"/>
      <c r="E1301" s="310"/>
      <c r="I1301" s="2"/>
      <c r="M1301" s="2"/>
      <c r="P1301" s="2"/>
      <c r="Q1301" s="2"/>
    </row>
    <row r="1302" spans="4:17" x14ac:dyDescent="0.25">
      <c r="D1302" s="2"/>
      <c r="E1302" s="310"/>
      <c r="I1302" s="2"/>
      <c r="M1302" s="2"/>
      <c r="P1302" s="2"/>
      <c r="Q1302" s="2"/>
    </row>
    <row r="1303" spans="4:17" x14ac:dyDescent="0.25">
      <c r="D1303" s="2"/>
      <c r="E1303" s="310"/>
      <c r="I1303" s="2"/>
      <c r="M1303" s="2"/>
      <c r="P1303" s="2"/>
      <c r="Q1303" s="2"/>
    </row>
    <row r="1304" spans="4:17" x14ac:dyDescent="0.25">
      <c r="D1304" s="2"/>
      <c r="E1304" s="310"/>
      <c r="I1304" s="2"/>
      <c r="M1304" s="2"/>
      <c r="P1304" s="2"/>
      <c r="Q1304" s="2"/>
    </row>
    <row r="1305" spans="4:17" x14ac:dyDescent="0.25">
      <c r="D1305" s="2"/>
      <c r="E1305" s="310"/>
      <c r="I1305" s="2"/>
      <c r="M1305" s="2"/>
      <c r="P1305" s="2"/>
      <c r="Q1305" s="2"/>
    </row>
    <row r="1306" spans="4:17" x14ac:dyDescent="0.25">
      <c r="D1306" s="2"/>
      <c r="E1306" s="310"/>
      <c r="I1306" s="2"/>
      <c r="M1306" s="2"/>
      <c r="P1306" s="2"/>
      <c r="Q1306" s="2"/>
    </row>
    <row r="1307" spans="4:17" x14ac:dyDescent="0.25">
      <c r="D1307" s="2"/>
      <c r="E1307" s="310"/>
      <c r="I1307" s="2"/>
      <c r="M1307" s="2"/>
      <c r="P1307" s="2"/>
      <c r="Q1307" s="2"/>
    </row>
    <row r="1308" spans="4:17" x14ac:dyDescent="0.25">
      <c r="D1308" s="2"/>
      <c r="E1308" s="310"/>
      <c r="I1308" s="2"/>
      <c r="M1308" s="2"/>
      <c r="P1308" s="2"/>
      <c r="Q1308" s="2"/>
    </row>
    <row r="1309" spans="4:17" x14ac:dyDescent="0.25">
      <c r="D1309" s="2"/>
      <c r="E1309" s="310"/>
      <c r="I1309" s="2"/>
      <c r="M1309" s="2"/>
      <c r="P1309" s="2"/>
      <c r="Q1309" s="2"/>
    </row>
    <row r="1310" spans="4:17" x14ac:dyDescent="0.25">
      <c r="D1310" s="2"/>
      <c r="E1310" s="310"/>
      <c r="I1310" s="2"/>
      <c r="M1310" s="2"/>
      <c r="P1310" s="2"/>
      <c r="Q1310" s="2"/>
    </row>
    <row r="1311" spans="4:17" x14ac:dyDescent="0.25">
      <c r="D1311" s="2"/>
      <c r="E1311" s="310"/>
      <c r="I1311" s="2"/>
      <c r="M1311" s="2"/>
      <c r="P1311" s="2"/>
      <c r="Q1311" s="2"/>
    </row>
    <row r="1312" spans="4:17" x14ac:dyDescent="0.25">
      <c r="D1312" s="2"/>
      <c r="E1312" s="310"/>
      <c r="I1312" s="2"/>
      <c r="M1312" s="2"/>
      <c r="P1312" s="2"/>
      <c r="Q1312" s="2"/>
    </row>
    <row r="1313" spans="4:17" x14ac:dyDescent="0.25">
      <c r="D1313" s="2"/>
      <c r="E1313" s="310"/>
      <c r="I1313" s="2"/>
      <c r="M1313" s="2"/>
      <c r="P1313" s="2"/>
      <c r="Q1313" s="2"/>
    </row>
    <row r="1314" spans="4:17" x14ac:dyDescent="0.25">
      <c r="D1314" s="2"/>
      <c r="E1314" s="310"/>
      <c r="I1314" s="2"/>
      <c r="M1314" s="2"/>
      <c r="P1314" s="2"/>
      <c r="Q1314" s="2"/>
    </row>
    <row r="1315" spans="4:17" x14ac:dyDescent="0.25">
      <c r="D1315" s="2"/>
      <c r="E1315" s="310"/>
      <c r="I1315" s="2"/>
      <c r="M1315" s="2"/>
      <c r="P1315" s="2"/>
      <c r="Q1315" s="2"/>
    </row>
    <row r="1316" spans="4:17" x14ac:dyDescent="0.25">
      <c r="D1316" s="2"/>
      <c r="E1316" s="310"/>
      <c r="I1316" s="2"/>
      <c r="M1316" s="2"/>
      <c r="P1316" s="2"/>
      <c r="Q1316" s="2"/>
    </row>
    <row r="1317" spans="4:17" x14ac:dyDescent="0.25">
      <c r="D1317" s="2"/>
      <c r="E1317" s="310"/>
      <c r="I1317" s="2"/>
      <c r="M1317" s="2"/>
      <c r="P1317" s="2"/>
      <c r="Q1317" s="2"/>
    </row>
    <row r="1318" spans="4:17" x14ac:dyDescent="0.25">
      <c r="D1318" s="2"/>
      <c r="E1318" s="310"/>
      <c r="I1318" s="2"/>
      <c r="M1318" s="2"/>
      <c r="P1318" s="2"/>
      <c r="Q1318" s="2"/>
    </row>
    <row r="1319" spans="4:17" x14ac:dyDescent="0.25">
      <c r="D1319" s="2"/>
      <c r="E1319" s="310"/>
      <c r="I1319" s="2"/>
      <c r="M1319" s="2"/>
      <c r="P1319" s="2"/>
      <c r="Q1319" s="2"/>
    </row>
    <row r="1320" spans="4:17" x14ac:dyDescent="0.25">
      <c r="D1320" s="2"/>
      <c r="E1320" s="310"/>
      <c r="I1320" s="2"/>
      <c r="M1320" s="2"/>
      <c r="P1320" s="2"/>
      <c r="Q1320" s="2"/>
    </row>
    <row r="1321" spans="4:17" x14ac:dyDescent="0.25">
      <c r="D1321" s="2"/>
      <c r="E1321" s="310"/>
      <c r="I1321" s="2"/>
      <c r="M1321" s="2"/>
      <c r="P1321" s="2"/>
      <c r="Q1321" s="2"/>
    </row>
    <row r="1322" spans="4:17" x14ac:dyDescent="0.25">
      <c r="D1322" s="2"/>
      <c r="E1322" s="310"/>
      <c r="I1322" s="2"/>
      <c r="M1322" s="2"/>
      <c r="P1322" s="2"/>
      <c r="Q1322" s="2"/>
    </row>
    <row r="1323" spans="4:17" x14ac:dyDescent="0.25">
      <c r="D1323" s="2"/>
      <c r="E1323" s="310"/>
      <c r="I1323" s="2"/>
      <c r="M1323" s="2"/>
      <c r="P1323" s="2"/>
      <c r="Q1323" s="2"/>
    </row>
    <row r="1324" spans="4:17" x14ac:dyDescent="0.25">
      <c r="D1324" s="2"/>
      <c r="E1324" s="310"/>
      <c r="I1324" s="2"/>
      <c r="M1324" s="2"/>
      <c r="P1324" s="2"/>
      <c r="Q1324" s="2"/>
    </row>
    <row r="1325" spans="4:17" x14ac:dyDescent="0.25">
      <c r="D1325" s="2"/>
      <c r="E1325" s="310"/>
      <c r="I1325" s="2"/>
      <c r="M1325" s="2"/>
      <c r="P1325" s="2"/>
      <c r="Q1325" s="2"/>
    </row>
    <row r="1326" spans="4:17" x14ac:dyDescent="0.25">
      <c r="D1326" s="2"/>
      <c r="E1326" s="310"/>
      <c r="I1326" s="2"/>
      <c r="M1326" s="2"/>
      <c r="P1326" s="2"/>
      <c r="Q1326" s="2"/>
    </row>
    <row r="1327" spans="4:17" x14ac:dyDescent="0.25">
      <c r="D1327" s="2"/>
      <c r="E1327" s="310"/>
      <c r="I1327" s="2"/>
      <c r="M1327" s="2"/>
      <c r="P1327" s="2"/>
      <c r="Q1327" s="2"/>
    </row>
    <row r="1328" spans="4:17" x14ac:dyDescent="0.25">
      <c r="D1328" s="2"/>
      <c r="E1328" s="310"/>
      <c r="I1328" s="2"/>
      <c r="M1328" s="2"/>
      <c r="P1328" s="2"/>
      <c r="Q1328" s="2"/>
    </row>
    <row r="1329" spans="4:17" x14ac:dyDescent="0.25">
      <c r="D1329" s="2"/>
      <c r="E1329" s="310"/>
      <c r="I1329" s="2"/>
      <c r="M1329" s="2"/>
      <c r="P1329" s="2"/>
      <c r="Q1329" s="2"/>
    </row>
    <row r="1330" spans="4:17" x14ac:dyDescent="0.25">
      <c r="D1330" s="2"/>
      <c r="E1330" s="310"/>
      <c r="I1330" s="2"/>
      <c r="M1330" s="2"/>
      <c r="P1330" s="2"/>
      <c r="Q1330" s="2"/>
    </row>
    <row r="1331" spans="4:17" x14ac:dyDescent="0.25">
      <c r="D1331" s="2"/>
      <c r="E1331" s="310"/>
      <c r="I1331" s="2"/>
      <c r="M1331" s="2"/>
      <c r="P1331" s="2"/>
      <c r="Q1331" s="2"/>
    </row>
    <row r="1332" spans="4:17" x14ac:dyDescent="0.25">
      <c r="D1332" s="2"/>
      <c r="E1332" s="310"/>
      <c r="I1332" s="2"/>
      <c r="M1332" s="2"/>
      <c r="P1332" s="2"/>
      <c r="Q1332" s="2"/>
    </row>
    <row r="1333" spans="4:17" x14ac:dyDescent="0.25">
      <c r="D1333" s="2"/>
      <c r="E1333" s="310"/>
      <c r="I1333" s="2"/>
      <c r="M1333" s="2"/>
      <c r="P1333" s="2"/>
      <c r="Q1333" s="2"/>
    </row>
    <row r="1334" spans="4:17" x14ac:dyDescent="0.25">
      <c r="D1334" s="2"/>
      <c r="E1334" s="310"/>
      <c r="I1334" s="2"/>
      <c r="M1334" s="2"/>
      <c r="P1334" s="2"/>
      <c r="Q1334" s="2"/>
    </row>
    <row r="1335" spans="4:17" x14ac:dyDescent="0.25">
      <c r="D1335" s="2"/>
      <c r="E1335" s="310"/>
      <c r="I1335" s="2"/>
      <c r="M1335" s="2"/>
      <c r="P1335" s="2"/>
      <c r="Q1335" s="2"/>
    </row>
    <row r="1336" spans="4:17" x14ac:dyDescent="0.25">
      <c r="D1336" s="2"/>
      <c r="E1336" s="310"/>
      <c r="I1336" s="2"/>
      <c r="M1336" s="2"/>
      <c r="P1336" s="2"/>
      <c r="Q1336" s="2"/>
    </row>
    <row r="1337" spans="4:17" x14ac:dyDescent="0.25">
      <c r="D1337" s="2"/>
      <c r="E1337" s="310"/>
      <c r="I1337" s="2"/>
      <c r="M1337" s="2"/>
      <c r="P1337" s="2"/>
      <c r="Q1337" s="2"/>
    </row>
    <row r="1338" spans="4:17" x14ac:dyDescent="0.25">
      <c r="D1338" s="2"/>
      <c r="E1338" s="310"/>
      <c r="I1338" s="2"/>
      <c r="M1338" s="2"/>
      <c r="P1338" s="2"/>
      <c r="Q1338" s="2"/>
    </row>
    <row r="1339" spans="4:17" x14ac:dyDescent="0.25">
      <c r="D1339" s="2"/>
      <c r="E1339" s="310"/>
      <c r="I1339" s="2"/>
      <c r="M1339" s="2"/>
      <c r="P1339" s="2"/>
      <c r="Q1339" s="2"/>
    </row>
    <row r="1340" spans="4:17" x14ac:dyDescent="0.25">
      <c r="D1340" s="2"/>
      <c r="E1340" s="310"/>
      <c r="I1340" s="2"/>
      <c r="M1340" s="2"/>
      <c r="P1340" s="2"/>
      <c r="Q1340" s="2"/>
    </row>
    <row r="1341" spans="4:17" x14ac:dyDescent="0.25">
      <c r="D1341" s="2"/>
      <c r="E1341" s="310"/>
      <c r="I1341" s="2"/>
      <c r="M1341" s="2"/>
      <c r="P1341" s="2"/>
      <c r="Q1341" s="2"/>
    </row>
    <row r="1342" spans="4:17" x14ac:dyDescent="0.25">
      <c r="D1342" s="2"/>
      <c r="E1342" s="310"/>
      <c r="I1342" s="2"/>
      <c r="M1342" s="2"/>
      <c r="P1342" s="2"/>
      <c r="Q1342" s="2"/>
    </row>
    <row r="1343" spans="4:17" x14ac:dyDescent="0.25">
      <c r="D1343" s="2"/>
      <c r="E1343" s="310"/>
      <c r="I1343" s="2"/>
      <c r="M1343" s="2"/>
      <c r="P1343" s="2"/>
      <c r="Q1343" s="2"/>
    </row>
    <row r="1344" spans="4:17" x14ac:dyDescent="0.25">
      <c r="D1344" s="2"/>
      <c r="E1344" s="310"/>
      <c r="I1344" s="2"/>
      <c r="M1344" s="2"/>
      <c r="P1344" s="2"/>
      <c r="Q1344" s="2"/>
    </row>
    <row r="1345" spans="4:17" x14ac:dyDescent="0.25">
      <c r="D1345" s="2"/>
      <c r="E1345" s="310"/>
      <c r="I1345" s="2"/>
      <c r="M1345" s="2"/>
      <c r="P1345" s="2"/>
      <c r="Q1345" s="2"/>
    </row>
    <row r="1346" spans="4:17" x14ac:dyDescent="0.25">
      <c r="D1346" s="2"/>
      <c r="E1346" s="310"/>
      <c r="I1346" s="2"/>
      <c r="M1346" s="2"/>
      <c r="P1346" s="2"/>
      <c r="Q1346" s="2"/>
    </row>
    <row r="1347" spans="4:17" x14ac:dyDescent="0.25">
      <c r="D1347" s="2"/>
      <c r="E1347" s="310"/>
      <c r="I1347" s="2"/>
      <c r="M1347" s="2"/>
      <c r="P1347" s="2"/>
      <c r="Q1347" s="2"/>
    </row>
    <row r="1348" spans="4:17" x14ac:dyDescent="0.25">
      <c r="D1348" s="2"/>
      <c r="E1348" s="310"/>
      <c r="I1348" s="2"/>
      <c r="M1348" s="2"/>
      <c r="P1348" s="2"/>
      <c r="Q1348" s="2"/>
    </row>
    <row r="1349" spans="4:17" x14ac:dyDescent="0.25">
      <c r="D1349" s="2"/>
      <c r="E1349" s="310"/>
      <c r="I1349" s="2"/>
      <c r="M1349" s="2"/>
      <c r="P1349" s="2"/>
      <c r="Q1349" s="2"/>
    </row>
    <row r="1350" spans="4:17" x14ac:dyDescent="0.25">
      <c r="D1350" s="2"/>
      <c r="E1350" s="310"/>
      <c r="I1350" s="2"/>
      <c r="M1350" s="2"/>
      <c r="P1350" s="2"/>
      <c r="Q1350" s="2"/>
    </row>
    <row r="1351" spans="4:17" x14ac:dyDescent="0.25">
      <c r="D1351" s="2"/>
      <c r="E1351" s="310"/>
      <c r="I1351" s="2"/>
      <c r="M1351" s="2"/>
      <c r="P1351" s="2"/>
      <c r="Q1351" s="2"/>
    </row>
    <row r="1352" spans="4:17" x14ac:dyDescent="0.25">
      <c r="D1352" s="2"/>
      <c r="E1352" s="310"/>
      <c r="I1352" s="2"/>
      <c r="M1352" s="2"/>
      <c r="P1352" s="2"/>
      <c r="Q1352" s="2"/>
    </row>
    <row r="1353" spans="4:17" x14ac:dyDescent="0.25">
      <c r="D1353" s="2"/>
      <c r="E1353" s="310"/>
      <c r="I1353" s="2"/>
      <c r="M1353" s="2"/>
      <c r="P1353" s="2"/>
      <c r="Q1353" s="2"/>
    </row>
    <row r="1354" spans="4:17" x14ac:dyDescent="0.25">
      <c r="D1354" s="2"/>
      <c r="E1354" s="310"/>
      <c r="I1354" s="2"/>
      <c r="M1354" s="2"/>
      <c r="P1354" s="2"/>
      <c r="Q1354" s="2"/>
    </row>
    <row r="1355" spans="4:17" x14ac:dyDescent="0.25">
      <c r="D1355" s="2"/>
      <c r="E1355" s="310"/>
      <c r="I1355" s="2"/>
      <c r="M1355" s="2"/>
      <c r="P1355" s="2"/>
      <c r="Q1355" s="2"/>
    </row>
    <row r="1356" spans="4:17" x14ac:dyDescent="0.25">
      <c r="D1356" s="2"/>
      <c r="E1356" s="310"/>
      <c r="I1356" s="2"/>
      <c r="M1356" s="2"/>
      <c r="P1356" s="2"/>
      <c r="Q1356" s="2"/>
    </row>
    <row r="1357" spans="4:17" x14ac:dyDescent="0.25">
      <c r="D1357" s="2"/>
      <c r="E1357" s="310"/>
      <c r="I1357" s="2"/>
      <c r="M1357" s="2"/>
      <c r="P1357" s="2"/>
      <c r="Q1357" s="2"/>
    </row>
    <row r="1358" spans="4:17" x14ac:dyDescent="0.25">
      <c r="D1358" s="2"/>
      <c r="E1358" s="310"/>
      <c r="I1358" s="2"/>
      <c r="M1358" s="2"/>
      <c r="P1358" s="2"/>
      <c r="Q1358" s="2"/>
    </row>
    <row r="1359" spans="4:17" x14ac:dyDescent="0.25">
      <c r="D1359" s="2"/>
      <c r="E1359" s="310"/>
      <c r="I1359" s="2"/>
      <c r="M1359" s="2"/>
      <c r="P1359" s="2"/>
      <c r="Q1359" s="2"/>
    </row>
    <row r="1360" spans="4:17" x14ac:dyDescent="0.25">
      <c r="D1360" s="2"/>
      <c r="E1360" s="310"/>
      <c r="I1360" s="2"/>
      <c r="M1360" s="2"/>
      <c r="P1360" s="2"/>
      <c r="Q1360" s="2"/>
    </row>
    <row r="1361" spans="4:17" x14ac:dyDescent="0.25">
      <c r="D1361" s="2"/>
      <c r="E1361" s="310"/>
      <c r="I1361" s="2"/>
      <c r="M1361" s="2"/>
      <c r="P1361" s="2"/>
      <c r="Q1361" s="2"/>
    </row>
    <row r="1362" spans="4:17" x14ac:dyDescent="0.25">
      <c r="D1362" s="2"/>
      <c r="E1362" s="310"/>
      <c r="I1362" s="2"/>
      <c r="M1362" s="2"/>
      <c r="P1362" s="2"/>
      <c r="Q1362" s="2"/>
    </row>
    <row r="1363" spans="4:17" x14ac:dyDescent="0.25">
      <c r="D1363" s="2"/>
      <c r="E1363" s="310"/>
      <c r="I1363" s="2"/>
      <c r="M1363" s="2"/>
      <c r="P1363" s="2"/>
      <c r="Q1363" s="2"/>
    </row>
    <row r="1364" spans="4:17" x14ac:dyDescent="0.25">
      <c r="D1364" s="2"/>
      <c r="E1364" s="310"/>
      <c r="I1364" s="2"/>
      <c r="M1364" s="2"/>
      <c r="P1364" s="2"/>
      <c r="Q1364" s="2"/>
    </row>
    <row r="1365" spans="4:17" x14ac:dyDescent="0.25">
      <c r="D1365" s="2"/>
      <c r="E1365" s="310"/>
      <c r="I1365" s="2"/>
      <c r="M1365" s="2"/>
      <c r="P1365" s="2"/>
      <c r="Q1365" s="2"/>
    </row>
    <row r="1366" spans="4:17" x14ac:dyDescent="0.25">
      <c r="D1366" s="2"/>
      <c r="E1366" s="310"/>
      <c r="I1366" s="2"/>
      <c r="M1366" s="2"/>
      <c r="P1366" s="2"/>
      <c r="Q1366" s="2"/>
    </row>
    <row r="1367" spans="4:17" x14ac:dyDescent="0.25">
      <c r="D1367" s="2"/>
      <c r="E1367" s="310"/>
      <c r="I1367" s="2"/>
      <c r="M1367" s="2"/>
      <c r="P1367" s="2"/>
      <c r="Q1367" s="2"/>
    </row>
    <row r="1368" spans="4:17" x14ac:dyDescent="0.25">
      <c r="D1368" s="2"/>
      <c r="E1368" s="310"/>
      <c r="I1368" s="2"/>
      <c r="M1368" s="2"/>
      <c r="P1368" s="2"/>
      <c r="Q1368" s="2"/>
    </row>
    <row r="1369" spans="4:17" x14ac:dyDescent="0.25">
      <c r="D1369" s="2"/>
      <c r="E1369" s="310"/>
      <c r="I1369" s="2"/>
      <c r="M1369" s="2"/>
      <c r="P1369" s="2"/>
      <c r="Q1369" s="2"/>
    </row>
    <row r="1370" spans="4:17" x14ac:dyDescent="0.25">
      <c r="D1370" s="2"/>
      <c r="E1370" s="310"/>
      <c r="I1370" s="2"/>
      <c r="M1370" s="2"/>
      <c r="P1370" s="2"/>
      <c r="Q1370" s="2"/>
    </row>
    <row r="1371" spans="4:17" x14ac:dyDescent="0.25">
      <c r="D1371" s="2"/>
      <c r="E1371" s="310"/>
      <c r="I1371" s="2"/>
      <c r="M1371" s="2"/>
      <c r="P1371" s="2"/>
      <c r="Q1371" s="2"/>
    </row>
    <row r="1372" spans="4:17" x14ac:dyDescent="0.25">
      <c r="D1372" s="2"/>
      <c r="E1372" s="310"/>
      <c r="I1372" s="2"/>
      <c r="M1372" s="2"/>
      <c r="P1372" s="2"/>
      <c r="Q1372" s="2"/>
    </row>
    <row r="1373" spans="4:17" x14ac:dyDescent="0.25">
      <c r="D1373" s="2"/>
      <c r="E1373" s="310"/>
      <c r="I1373" s="2"/>
      <c r="M1373" s="2"/>
      <c r="P1373" s="2"/>
      <c r="Q1373" s="2"/>
    </row>
    <row r="1374" spans="4:17" x14ac:dyDescent="0.25">
      <c r="D1374" s="2"/>
      <c r="E1374" s="310"/>
      <c r="I1374" s="2"/>
      <c r="M1374" s="2"/>
      <c r="P1374" s="2"/>
      <c r="Q1374" s="2"/>
    </row>
    <row r="1375" spans="4:17" x14ac:dyDescent="0.25">
      <c r="D1375" s="2"/>
      <c r="E1375" s="310"/>
      <c r="I1375" s="2"/>
      <c r="M1375" s="2"/>
      <c r="P1375" s="2"/>
      <c r="Q1375" s="2"/>
    </row>
    <row r="1376" spans="4:17" x14ac:dyDescent="0.25">
      <c r="D1376" s="2"/>
      <c r="E1376" s="310"/>
      <c r="I1376" s="2"/>
      <c r="M1376" s="2"/>
      <c r="P1376" s="2"/>
      <c r="Q1376" s="2"/>
    </row>
    <row r="1377" spans="4:17" x14ac:dyDescent="0.25">
      <c r="D1377" s="2"/>
      <c r="E1377" s="310"/>
      <c r="I1377" s="2"/>
      <c r="M1377" s="2"/>
      <c r="P1377" s="2"/>
      <c r="Q1377" s="2"/>
    </row>
    <row r="1378" spans="4:17" x14ac:dyDescent="0.25">
      <c r="D1378" s="2"/>
      <c r="E1378" s="310"/>
      <c r="I1378" s="2"/>
      <c r="M1378" s="2"/>
      <c r="P1378" s="2"/>
      <c r="Q1378" s="2"/>
    </row>
    <row r="1379" spans="4:17" x14ac:dyDescent="0.25">
      <c r="D1379" s="2"/>
      <c r="E1379" s="310"/>
      <c r="I1379" s="2"/>
      <c r="M1379" s="2"/>
      <c r="P1379" s="2"/>
      <c r="Q1379" s="2"/>
    </row>
    <row r="1380" spans="4:17" x14ac:dyDescent="0.25">
      <c r="D1380" s="2"/>
      <c r="E1380" s="310"/>
      <c r="I1380" s="2"/>
      <c r="M1380" s="2"/>
      <c r="P1380" s="2"/>
      <c r="Q1380" s="2"/>
    </row>
    <row r="1381" spans="4:17" x14ac:dyDescent="0.25">
      <c r="D1381" s="2"/>
      <c r="E1381" s="310"/>
      <c r="I1381" s="2"/>
      <c r="M1381" s="2"/>
      <c r="P1381" s="2"/>
      <c r="Q1381" s="2"/>
    </row>
    <row r="1382" spans="4:17" x14ac:dyDescent="0.25">
      <c r="D1382" s="2"/>
      <c r="E1382" s="310"/>
      <c r="I1382" s="2"/>
      <c r="M1382" s="2"/>
      <c r="P1382" s="2"/>
      <c r="Q1382" s="2"/>
    </row>
    <row r="1383" spans="4:17" x14ac:dyDescent="0.25">
      <c r="D1383" s="2"/>
      <c r="E1383" s="310"/>
      <c r="I1383" s="2"/>
      <c r="M1383" s="2"/>
      <c r="P1383" s="2"/>
      <c r="Q1383" s="2"/>
    </row>
    <row r="1384" spans="4:17" x14ac:dyDescent="0.25">
      <c r="D1384" s="2"/>
      <c r="E1384" s="310"/>
      <c r="I1384" s="2"/>
      <c r="M1384" s="2"/>
      <c r="P1384" s="2"/>
      <c r="Q1384" s="2"/>
    </row>
    <row r="1385" spans="4:17" x14ac:dyDescent="0.25">
      <c r="D1385" s="2"/>
      <c r="E1385" s="310"/>
      <c r="I1385" s="2"/>
      <c r="M1385" s="2"/>
      <c r="P1385" s="2"/>
      <c r="Q1385" s="2"/>
    </row>
    <row r="1386" spans="4:17" x14ac:dyDescent="0.25">
      <c r="D1386" s="2"/>
      <c r="E1386" s="310"/>
      <c r="I1386" s="2"/>
      <c r="M1386" s="2"/>
      <c r="P1386" s="2"/>
      <c r="Q1386" s="2"/>
    </row>
    <row r="1387" spans="4:17" x14ac:dyDescent="0.25">
      <c r="D1387" s="2"/>
      <c r="E1387" s="310"/>
      <c r="I1387" s="2"/>
      <c r="M1387" s="2"/>
      <c r="P1387" s="2"/>
      <c r="Q1387" s="2"/>
    </row>
    <row r="1388" spans="4:17" x14ac:dyDescent="0.25">
      <c r="D1388" s="2"/>
      <c r="E1388" s="310"/>
      <c r="I1388" s="2"/>
      <c r="M1388" s="2"/>
      <c r="P1388" s="2"/>
      <c r="Q1388" s="2"/>
    </row>
    <row r="1389" spans="4:17" x14ac:dyDescent="0.25">
      <c r="D1389" s="2"/>
      <c r="E1389" s="310"/>
      <c r="I1389" s="2"/>
      <c r="M1389" s="2"/>
      <c r="P1389" s="2"/>
      <c r="Q1389" s="2"/>
    </row>
    <row r="1390" spans="4:17" x14ac:dyDescent="0.25">
      <c r="D1390" s="2"/>
      <c r="E1390" s="310"/>
      <c r="I1390" s="2"/>
      <c r="M1390" s="2"/>
      <c r="P1390" s="2"/>
      <c r="Q1390" s="2"/>
    </row>
    <row r="1391" spans="4:17" x14ac:dyDescent="0.25">
      <c r="D1391" s="2"/>
      <c r="E1391" s="310"/>
      <c r="I1391" s="2"/>
      <c r="M1391" s="2"/>
      <c r="P1391" s="2"/>
      <c r="Q1391" s="2"/>
    </row>
    <row r="1392" spans="4:17" x14ac:dyDescent="0.25">
      <c r="D1392" s="2"/>
      <c r="E1392" s="310"/>
      <c r="I1392" s="2"/>
      <c r="M1392" s="2"/>
      <c r="P1392" s="2"/>
      <c r="Q1392" s="2"/>
    </row>
    <row r="1393" spans="4:17" x14ac:dyDescent="0.25">
      <c r="D1393" s="2"/>
      <c r="E1393" s="310"/>
      <c r="I1393" s="2"/>
      <c r="M1393" s="2"/>
      <c r="P1393" s="2"/>
      <c r="Q1393" s="2"/>
    </row>
    <row r="1394" spans="4:17" x14ac:dyDescent="0.25">
      <c r="D1394" s="2"/>
      <c r="E1394" s="310"/>
      <c r="I1394" s="2"/>
      <c r="M1394" s="2"/>
      <c r="P1394" s="2"/>
      <c r="Q1394" s="2"/>
    </row>
    <row r="1395" spans="4:17" x14ac:dyDescent="0.25">
      <c r="D1395" s="2"/>
      <c r="E1395" s="310"/>
      <c r="I1395" s="2"/>
      <c r="M1395" s="2"/>
      <c r="P1395" s="2"/>
      <c r="Q1395" s="2"/>
    </row>
    <row r="1396" spans="4:17" x14ac:dyDescent="0.25">
      <c r="D1396" s="2"/>
      <c r="E1396" s="310"/>
      <c r="I1396" s="2"/>
      <c r="M1396" s="2"/>
      <c r="P1396" s="2"/>
      <c r="Q1396" s="2"/>
    </row>
    <row r="1397" spans="4:17" x14ac:dyDescent="0.25">
      <c r="D1397" s="2"/>
      <c r="E1397" s="310"/>
      <c r="I1397" s="2"/>
      <c r="M1397" s="2"/>
      <c r="P1397" s="2"/>
      <c r="Q1397" s="2"/>
    </row>
    <row r="1398" spans="4:17" x14ac:dyDescent="0.25">
      <c r="D1398" s="2"/>
      <c r="E1398" s="310"/>
      <c r="I1398" s="2"/>
      <c r="M1398" s="2"/>
      <c r="P1398" s="2"/>
      <c r="Q1398" s="2"/>
    </row>
    <row r="1399" spans="4:17" x14ac:dyDescent="0.25">
      <c r="D1399" s="2"/>
      <c r="E1399" s="310"/>
      <c r="I1399" s="2"/>
      <c r="M1399" s="2"/>
      <c r="P1399" s="2"/>
      <c r="Q1399" s="2"/>
    </row>
    <row r="1400" spans="4:17" x14ac:dyDescent="0.25">
      <c r="D1400" s="2"/>
      <c r="E1400" s="310"/>
      <c r="I1400" s="2"/>
      <c r="M1400" s="2"/>
      <c r="P1400" s="2"/>
      <c r="Q1400" s="2"/>
    </row>
    <row r="1401" spans="4:17" x14ac:dyDescent="0.25">
      <c r="D1401" s="2"/>
      <c r="E1401" s="310"/>
      <c r="I1401" s="2"/>
      <c r="M1401" s="2"/>
      <c r="P1401" s="2"/>
      <c r="Q1401" s="2"/>
    </row>
    <row r="1402" spans="4:17" x14ac:dyDescent="0.25">
      <c r="D1402" s="2"/>
      <c r="E1402" s="310"/>
      <c r="I1402" s="2"/>
      <c r="M1402" s="2"/>
      <c r="P1402" s="2"/>
      <c r="Q1402" s="2"/>
    </row>
    <row r="1403" spans="4:17" x14ac:dyDescent="0.25">
      <c r="D1403" s="2"/>
      <c r="E1403" s="310"/>
      <c r="I1403" s="2"/>
      <c r="M1403" s="2"/>
      <c r="P1403" s="2"/>
      <c r="Q1403" s="2"/>
    </row>
    <row r="1404" spans="4:17" x14ac:dyDescent="0.25">
      <c r="D1404" s="2"/>
      <c r="E1404" s="310"/>
      <c r="I1404" s="2"/>
      <c r="M1404" s="2"/>
      <c r="P1404" s="2"/>
      <c r="Q1404" s="2"/>
    </row>
    <row r="1405" spans="4:17" x14ac:dyDescent="0.25">
      <c r="D1405" s="2"/>
      <c r="E1405" s="310"/>
      <c r="I1405" s="2"/>
      <c r="M1405" s="2"/>
      <c r="P1405" s="2"/>
      <c r="Q1405" s="2"/>
    </row>
    <row r="1406" spans="4:17" x14ac:dyDescent="0.25">
      <c r="D1406" s="2"/>
      <c r="E1406" s="310"/>
      <c r="I1406" s="2"/>
      <c r="M1406" s="2"/>
      <c r="P1406" s="2"/>
      <c r="Q1406" s="2"/>
    </row>
    <row r="1407" spans="4:17" x14ac:dyDescent="0.25">
      <c r="D1407" s="2"/>
      <c r="E1407" s="310"/>
      <c r="I1407" s="2"/>
      <c r="M1407" s="2"/>
      <c r="P1407" s="2"/>
      <c r="Q1407" s="2"/>
    </row>
    <row r="1408" spans="4:17" x14ac:dyDescent="0.25">
      <c r="D1408" s="2"/>
      <c r="E1408" s="310"/>
      <c r="I1408" s="2"/>
      <c r="M1408" s="2"/>
      <c r="P1408" s="2"/>
      <c r="Q1408" s="2"/>
    </row>
    <row r="1409" spans="4:17" x14ac:dyDescent="0.25">
      <c r="D1409" s="2"/>
      <c r="E1409" s="310"/>
      <c r="I1409" s="2"/>
      <c r="M1409" s="2"/>
      <c r="P1409" s="2"/>
      <c r="Q1409" s="2"/>
    </row>
    <row r="1410" spans="4:17" x14ac:dyDescent="0.25">
      <c r="D1410" s="2"/>
      <c r="E1410" s="310"/>
      <c r="I1410" s="2"/>
      <c r="M1410" s="2"/>
      <c r="P1410" s="2"/>
      <c r="Q1410" s="2"/>
    </row>
    <row r="1411" spans="4:17" x14ac:dyDescent="0.25">
      <c r="D1411" s="2"/>
      <c r="E1411" s="310"/>
      <c r="I1411" s="2"/>
      <c r="M1411" s="2"/>
      <c r="P1411" s="2"/>
      <c r="Q1411" s="2"/>
    </row>
    <row r="1412" spans="4:17" x14ac:dyDescent="0.25">
      <c r="D1412" s="2"/>
      <c r="E1412" s="310"/>
      <c r="I1412" s="2"/>
      <c r="M1412" s="2"/>
      <c r="P1412" s="2"/>
      <c r="Q1412" s="2"/>
    </row>
    <row r="1413" spans="4:17" x14ac:dyDescent="0.25">
      <c r="D1413" s="2"/>
      <c r="E1413" s="310"/>
      <c r="I1413" s="2"/>
      <c r="M1413" s="2"/>
      <c r="P1413" s="2"/>
      <c r="Q1413" s="2"/>
    </row>
    <row r="1414" spans="4:17" x14ac:dyDescent="0.25">
      <c r="D1414" s="2"/>
      <c r="E1414" s="310"/>
      <c r="I1414" s="2"/>
      <c r="M1414" s="2"/>
      <c r="P1414" s="2"/>
      <c r="Q1414" s="2"/>
    </row>
    <row r="1415" spans="4:17" x14ac:dyDescent="0.25">
      <c r="D1415" s="2"/>
      <c r="E1415" s="310"/>
      <c r="I1415" s="2"/>
      <c r="M1415" s="2"/>
      <c r="P1415" s="2"/>
      <c r="Q1415" s="2"/>
    </row>
    <row r="1416" spans="4:17" x14ac:dyDescent="0.25">
      <c r="D1416" s="2"/>
      <c r="E1416" s="310"/>
      <c r="I1416" s="2"/>
      <c r="M1416" s="2"/>
      <c r="P1416" s="2"/>
      <c r="Q1416" s="2"/>
    </row>
    <row r="1417" spans="4:17" x14ac:dyDescent="0.25">
      <c r="D1417" s="2"/>
      <c r="E1417" s="310"/>
      <c r="I1417" s="2"/>
      <c r="M1417" s="2"/>
      <c r="P1417" s="2"/>
      <c r="Q1417" s="2"/>
    </row>
    <row r="1430" spans="4:17" x14ac:dyDescent="0.25">
      <c r="D1430" s="2"/>
      <c r="E1430" s="310"/>
      <c r="I1430" s="2"/>
      <c r="M1430" s="2"/>
      <c r="P1430" s="2"/>
      <c r="Q1430" s="2"/>
    </row>
    <row r="1431" spans="4:17" x14ac:dyDescent="0.25">
      <c r="D1431" s="2"/>
      <c r="E1431" s="310"/>
      <c r="I1431" s="2"/>
      <c r="M1431" s="2"/>
      <c r="P1431" s="2"/>
      <c r="Q1431" s="2"/>
    </row>
    <row r="1432" spans="4:17" x14ac:dyDescent="0.25">
      <c r="D1432" s="2"/>
      <c r="E1432" s="310"/>
      <c r="I1432" s="2"/>
      <c r="M1432" s="2"/>
      <c r="P1432" s="2"/>
      <c r="Q1432" s="2"/>
    </row>
    <row r="1433" spans="4:17" x14ac:dyDescent="0.25">
      <c r="D1433" s="2"/>
      <c r="E1433" s="310"/>
      <c r="I1433" s="2"/>
      <c r="M1433" s="2"/>
      <c r="P1433" s="2"/>
      <c r="Q1433" s="2"/>
    </row>
    <row r="1434" spans="4:17" x14ac:dyDescent="0.25">
      <c r="D1434" s="2"/>
      <c r="E1434" s="310"/>
      <c r="I1434" s="2"/>
      <c r="M1434" s="2"/>
      <c r="P1434" s="2"/>
      <c r="Q1434" s="2"/>
    </row>
    <row r="1435" spans="4:17" x14ac:dyDescent="0.25">
      <c r="D1435" s="2"/>
      <c r="E1435" s="310"/>
      <c r="I1435" s="2"/>
      <c r="M1435" s="2"/>
      <c r="P1435" s="2"/>
      <c r="Q1435" s="2"/>
    </row>
    <row r="1436" spans="4:17" x14ac:dyDescent="0.25">
      <c r="D1436" s="2"/>
      <c r="E1436" s="310"/>
      <c r="I1436" s="2"/>
      <c r="M1436" s="2"/>
      <c r="P1436" s="2"/>
      <c r="Q1436" s="2"/>
    </row>
    <row r="1437" spans="4:17" x14ac:dyDescent="0.25">
      <c r="D1437" s="2"/>
      <c r="E1437" s="310"/>
      <c r="I1437" s="2"/>
      <c r="M1437" s="2"/>
      <c r="P1437" s="2"/>
      <c r="Q1437" s="2"/>
    </row>
    <row r="1438" spans="4:17" x14ac:dyDescent="0.25">
      <c r="D1438" s="2"/>
      <c r="E1438" s="310"/>
      <c r="I1438" s="2"/>
      <c r="M1438" s="2"/>
      <c r="P1438" s="2"/>
      <c r="Q1438" s="2"/>
    </row>
    <row r="1439" spans="4:17" x14ac:dyDescent="0.25">
      <c r="D1439" s="2"/>
      <c r="E1439" s="310"/>
      <c r="I1439" s="2"/>
      <c r="M1439" s="2"/>
      <c r="P1439" s="2"/>
      <c r="Q1439" s="2"/>
    </row>
    <row r="1440" spans="4:17" x14ac:dyDescent="0.25">
      <c r="D1440" s="2"/>
      <c r="E1440" s="310"/>
      <c r="I1440" s="2"/>
      <c r="M1440" s="2"/>
      <c r="P1440" s="2"/>
      <c r="Q1440" s="2"/>
    </row>
    <row r="1441" spans="4:17" x14ac:dyDescent="0.25">
      <c r="D1441" s="2"/>
      <c r="E1441" s="310"/>
      <c r="I1441" s="2"/>
      <c r="M1441" s="2"/>
      <c r="P1441" s="2"/>
      <c r="Q1441" s="2"/>
    </row>
    <row r="1442" spans="4:17" x14ac:dyDescent="0.25">
      <c r="D1442" s="2"/>
      <c r="E1442" s="310"/>
      <c r="I1442" s="2"/>
      <c r="M1442" s="2"/>
      <c r="P1442" s="2"/>
      <c r="Q1442" s="2"/>
    </row>
    <row r="1443" spans="4:17" x14ac:dyDescent="0.25">
      <c r="D1443" s="2"/>
      <c r="E1443" s="310"/>
      <c r="I1443" s="2"/>
      <c r="M1443" s="2"/>
      <c r="P1443" s="2"/>
      <c r="Q1443" s="2"/>
    </row>
    <row r="1444" spans="4:17" x14ac:dyDescent="0.25">
      <c r="D1444" s="2"/>
      <c r="E1444" s="310"/>
      <c r="I1444" s="2"/>
      <c r="M1444" s="2"/>
      <c r="P1444" s="2"/>
      <c r="Q1444" s="2"/>
    </row>
    <row r="1445" spans="4:17" x14ac:dyDescent="0.25">
      <c r="D1445" s="2"/>
      <c r="E1445" s="310"/>
      <c r="I1445" s="2"/>
      <c r="M1445" s="2"/>
      <c r="P1445" s="2"/>
      <c r="Q1445" s="2"/>
    </row>
    <row r="1446" spans="4:17" x14ac:dyDescent="0.25">
      <c r="D1446" s="2"/>
      <c r="E1446" s="310"/>
      <c r="I1446" s="2"/>
      <c r="M1446" s="2"/>
      <c r="P1446" s="2"/>
      <c r="Q1446" s="2"/>
    </row>
    <row r="1447" spans="4:17" x14ac:dyDescent="0.25">
      <c r="D1447" s="2"/>
      <c r="E1447" s="310"/>
      <c r="I1447" s="2"/>
      <c r="M1447" s="2"/>
      <c r="P1447" s="2"/>
      <c r="Q1447" s="2"/>
    </row>
    <row r="1448" spans="4:17" x14ac:dyDescent="0.25">
      <c r="D1448" s="2"/>
      <c r="E1448" s="310"/>
      <c r="I1448" s="2"/>
      <c r="M1448" s="2"/>
      <c r="P1448" s="2"/>
      <c r="Q1448" s="2"/>
    </row>
    <row r="1449" spans="4:17" x14ac:dyDescent="0.25">
      <c r="D1449" s="2"/>
      <c r="E1449" s="310"/>
      <c r="I1449" s="2"/>
      <c r="M1449" s="2"/>
      <c r="P1449" s="2"/>
      <c r="Q1449" s="2"/>
    </row>
    <row r="1450" spans="4:17" x14ac:dyDescent="0.25">
      <c r="D1450" s="2"/>
      <c r="E1450" s="310"/>
      <c r="I1450" s="2"/>
      <c r="M1450" s="2"/>
      <c r="P1450" s="2"/>
      <c r="Q1450" s="2"/>
    </row>
    <row r="1451" spans="4:17" x14ac:dyDescent="0.25">
      <c r="D1451" s="2"/>
      <c r="E1451" s="310"/>
      <c r="I1451" s="2"/>
      <c r="M1451" s="2"/>
      <c r="P1451" s="2"/>
      <c r="Q1451" s="2"/>
    </row>
    <row r="1452" spans="4:17" x14ac:dyDescent="0.25">
      <c r="D1452" s="2"/>
      <c r="E1452" s="310"/>
      <c r="I1452" s="2"/>
      <c r="M1452" s="2"/>
      <c r="P1452" s="2"/>
      <c r="Q1452" s="2"/>
    </row>
    <row r="1453" spans="4:17" x14ac:dyDescent="0.25">
      <c r="D1453" s="2"/>
      <c r="E1453" s="310"/>
      <c r="I1453" s="2"/>
      <c r="M1453" s="2"/>
      <c r="P1453" s="2"/>
      <c r="Q1453" s="2"/>
    </row>
    <row r="1454" spans="4:17" x14ac:dyDescent="0.25">
      <c r="D1454" s="2"/>
      <c r="E1454" s="310"/>
      <c r="I1454" s="2"/>
      <c r="M1454" s="2"/>
      <c r="P1454" s="2"/>
      <c r="Q1454" s="2"/>
    </row>
    <row r="1455" spans="4:17" x14ac:dyDescent="0.25">
      <c r="D1455" s="2"/>
      <c r="E1455" s="310"/>
      <c r="I1455" s="2"/>
      <c r="M1455" s="2"/>
      <c r="P1455" s="2"/>
      <c r="Q1455" s="2"/>
    </row>
    <row r="1456" spans="4:17" x14ac:dyDescent="0.25">
      <c r="D1456" s="2"/>
      <c r="E1456" s="310"/>
      <c r="I1456" s="2"/>
      <c r="M1456" s="2"/>
      <c r="P1456" s="2"/>
      <c r="Q1456" s="2"/>
    </row>
    <row r="1457" spans="4:17" x14ac:dyDescent="0.25">
      <c r="D1457" s="2"/>
      <c r="E1457" s="310"/>
      <c r="I1457" s="2"/>
      <c r="M1457" s="2"/>
      <c r="P1457" s="2"/>
      <c r="Q1457" s="2"/>
    </row>
    <row r="1458" spans="4:17" x14ac:dyDescent="0.25">
      <c r="D1458" s="2"/>
      <c r="E1458" s="310"/>
      <c r="I1458" s="2"/>
      <c r="M1458" s="2"/>
      <c r="P1458" s="2"/>
      <c r="Q1458" s="2"/>
    </row>
    <row r="1459" spans="4:17" x14ac:dyDescent="0.25">
      <c r="D1459" s="2"/>
      <c r="E1459" s="310"/>
      <c r="I1459" s="2"/>
      <c r="M1459" s="2"/>
      <c r="P1459" s="2"/>
      <c r="Q1459" s="2"/>
    </row>
    <row r="1460" spans="4:17" x14ac:dyDescent="0.25">
      <c r="D1460" s="2"/>
      <c r="E1460" s="310"/>
      <c r="I1460" s="2"/>
      <c r="M1460" s="2"/>
      <c r="P1460" s="2"/>
      <c r="Q1460" s="2"/>
    </row>
    <row r="1461" spans="4:17" x14ac:dyDescent="0.25">
      <c r="D1461" s="2"/>
      <c r="E1461" s="310"/>
      <c r="I1461" s="2"/>
      <c r="M1461" s="2"/>
      <c r="P1461" s="2"/>
      <c r="Q1461" s="2"/>
    </row>
    <row r="1462" spans="4:17" x14ac:dyDescent="0.25">
      <c r="D1462" s="2"/>
      <c r="E1462" s="310"/>
      <c r="I1462" s="2"/>
      <c r="M1462" s="2"/>
      <c r="P1462" s="2"/>
      <c r="Q1462" s="2"/>
    </row>
    <row r="1463" spans="4:17" x14ac:dyDescent="0.25">
      <c r="D1463" s="2"/>
      <c r="E1463" s="310"/>
      <c r="I1463" s="2"/>
      <c r="M1463" s="2"/>
      <c r="P1463" s="2"/>
      <c r="Q1463" s="2"/>
    </row>
    <row r="1464" spans="4:17" x14ac:dyDescent="0.25">
      <c r="D1464" s="2"/>
      <c r="E1464" s="310"/>
      <c r="I1464" s="2"/>
      <c r="M1464" s="2"/>
      <c r="P1464" s="2"/>
      <c r="Q1464" s="2"/>
    </row>
    <row r="1465" spans="4:17" x14ac:dyDescent="0.25">
      <c r="D1465" s="2"/>
      <c r="E1465" s="310"/>
      <c r="I1465" s="2"/>
      <c r="M1465" s="2"/>
      <c r="P1465" s="2"/>
      <c r="Q1465" s="2"/>
    </row>
    <row r="1466" spans="4:17" x14ac:dyDescent="0.25">
      <c r="D1466" s="2"/>
      <c r="E1466" s="310"/>
      <c r="I1466" s="2"/>
      <c r="M1466" s="2"/>
      <c r="P1466" s="2"/>
      <c r="Q1466" s="2"/>
    </row>
    <row r="1467" spans="4:17" x14ac:dyDescent="0.25">
      <c r="D1467" s="2"/>
      <c r="E1467" s="310"/>
      <c r="I1467" s="2"/>
      <c r="M1467" s="2"/>
      <c r="P1467" s="2"/>
      <c r="Q1467" s="2"/>
    </row>
    <row r="1468" spans="4:17" x14ac:dyDescent="0.25">
      <c r="D1468" s="2"/>
      <c r="E1468" s="310"/>
      <c r="I1468" s="2"/>
      <c r="M1468" s="2"/>
      <c r="P1468" s="2"/>
      <c r="Q1468" s="2"/>
    </row>
    <row r="1469" spans="4:17" x14ac:dyDescent="0.25">
      <c r="D1469" s="2"/>
      <c r="E1469" s="310"/>
      <c r="I1469" s="2"/>
      <c r="M1469" s="2"/>
      <c r="P1469" s="2"/>
      <c r="Q1469" s="2"/>
    </row>
    <row r="1470" spans="4:17" x14ac:dyDescent="0.25">
      <c r="D1470" s="2"/>
      <c r="E1470" s="310"/>
      <c r="I1470" s="2"/>
      <c r="M1470" s="2"/>
      <c r="P1470" s="2"/>
      <c r="Q1470" s="2"/>
    </row>
    <row r="1471" spans="4:17" x14ac:dyDescent="0.25">
      <c r="D1471" s="2"/>
      <c r="E1471" s="310"/>
      <c r="I1471" s="2"/>
      <c r="M1471" s="2"/>
      <c r="P1471" s="2"/>
      <c r="Q1471" s="2"/>
    </row>
    <row r="1472" spans="4:17" x14ac:dyDescent="0.25">
      <c r="D1472" s="2"/>
      <c r="E1472" s="310"/>
      <c r="I1472" s="2"/>
      <c r="M1472" s="2"/>
      <c r="P1472" s="2"/>
      <c r="Q1472" s="2"/>
    </row>
    <row r="1473" spans="4:17" x14ac:dyDescent="0.25">
      <c r="D1473" s="2"/>
      <c r="E1473" s="310"/>
      <c r="I1473" s="2"/>
      <c r="M1473" s="2"/>
      <c r="P1473" s="2"/>
      <c r="Q1473" s="2"/>
    </row>
    <row r="1474" spans="4:17" x14ac:dyDescent="0.25">
      <c r="D1474" s="2"/>
      <c r="E1474" s="310"/>
      <c r="I1474" s="2"/>
      <c r="M1474" s="2"/>
      <c r="P1474" s="2"/>
      <c r="Q1474" s="2"/>
    </row>
    <row r="1475" spans="4:17" x14ac:dyDescent="0.25">
      <c r="D1475" s="2"/>
      <c r="E1475" s="310"/>
      <c r="I1475" s="2"/>
      <c r="M1475" s="2"/>
      <c r="P1475" s="2"/>
      <c r="Q1475" s="2"/>
    </row>
    <row r="1476" spans="4:17" x14ac:dyDescent="0.25">
      <c r="D1476" s="2"/>
      <c r="E1476" s="310"/>
      <c r="I1476" s="2"/>
      <c r="M1476" s="2"/>
      <c r="P1476" s="2"/>
      <c r="Q1476" s="2"/>
    </row>
    <row r="1477" spans="4:17" x14ac:dyDescent="0.25">
      <c r="D1477" s="2"/>
      <c r="E1477" s="310"/>
      <c r="I1477" s="2"/>
      <c r="M1477" s="2"/>
      <c r="P1477" s="2"/>
      <c r="Q1477" s="2"/>
    </row>
    <row r="1478" spans="4:17" x14ac:dyDescent="0.25">
      <c r="D1478" s="2"/>
      <c r="E1478" s="310"/>
      <c r="I1478" s="2"/>
      <c r="M1478" s="2"/>
      <c r="P1478" s="2"/>
      <c r="Q1478" s="2"/>
    </row>
    <row r="1479" spans="4:17" x14ac:dyDescent="0.25">
      <c r="D1479" s="2"/>
      <c r="E1479" s="310"/>
      <c r="I1479" s="2"/>
      <c r="M1479" s="2"/>
      <c r="P1479" s="2"/>
      <c r="Q1479" s="2"/>
    </row>
    <row r="1480" spans="4:17" x14ac:dyDescent="0.25">
      <c r="D1480" s="2"/>
      <c r="E1480" s="310"/>
      <c r="I1480" s="2"/>
      <c r="M1480" s="2"/>
      <c r="P1480" s="2"/>
      <c r="Q1480" s="2"/>
    </row>
    <row r="1481" spans="4:17" x14ac:dyDescent="0.25">
      <c r="D1481" s="2"/>
      <c r="E1481" s="310"/>
      <c r="I1481" s="2"/>
      <c r="M1481" s="2"/>
      <c r="P1481" s="2"/>
      <c r="Q1481" s="2"/>
    </row>
    <row r="1482" spans="4:17" x14ac:dyDescent="0.25">
      <c r="D1482" s="2"/>
      <c r="E1482" s="310"/>
      <c r="I1482" s="2"/>
      <c r="M1482" s="2"/>
      <c r="P1482" s="2"/>
      <c r="Q1482" s="2"/>
    </row>
    <row r="1483" spans="4:17" x14ac:dyDescent="0.25">
      <c r="D1483" s="2"/>
      <c r="E1483" s="310"/>
      <c r="I1483" s="2"/>
      <c r="M1483" s="2"/>
      <c r="P1483" s="2"/>
      <c r="Q1483" s="2"/>
    </row>
    <row r="1484" spans="4:17" x14ac:dyDescent="0.25">
      <c r="D1484" s="2"/>
      <c r="E1484" s="310"/>
      <c r="I1484" s="2"/>
      <c r="M1484" s="2"/>
      <c r="P1484" s="2"/>
      <c r="Q1484" s="2"/>
    </row>
    <row r="1485" spans="4:17" x14ac:dyDescent="0.25">
      <c r="D1485" s="2"/>
      <c r="E1485" s="310"/>
      <c r="I1485" s="2"/>
      <c r="M1485" s="2"/>
      <c r="P1485" s="2"/>
      <c r="Q1485" s="2"/>
    </row>
    <row r="1486" spans="4:17" x14ac:dyDescent="0.25">
      <c r="D1486" s="2"/>
      <c r="E1486" s="310"/>
      <c r="I1486" s="2"/>
      <c r="M1486" s="2"/>
      <c r="P1486" s="2"/>
      <c r="Q1486" s="2"/>
    </row>
    <row r="1487" spans="4:17" x14ac:dyDescent="0.25">
      <c r="D1487" s="2"/>
      <c r="E1487" s="310"/>
      <c r="I1487" s="2"/>
      <c r="M1487" s="2"/>
      <c r="P1487" s="2"/>
      <c r="Q1487" s="2"/>
    </row>
    <row r="1488" spans="4:17" x14ac:dyDescent="0.25">
      <c r="D1488" s="2"/>
      <c r="E1488" s="310"/>
      <c r="I1488" s="2"/>
      <c r="M1488" s="2"/>
      <c r="P1488" s="2"/>
      <c r="Q1488" s="2"/>
    </row>
    <row r="1489" spans="4:17" x14ac:dyDescent="0.25">
      <c r="D1489" s="2"/>
      <c r="E1489" s="310"/>
      <c r="I1489" s="2"/>
      <c r="M1489" s="2"/>
      <c r="P1489" s="2"/>
      <c r="Q1489" s="2"/>
    </row>
    <row r="1490" spans="4:17" x14ac:dyDescent="0.25">
      <c r="D1490" s="2"/>
      <c r="E1490" s="310"/>
      <c r="I1490" s="2"/>
      <c r="M1490" s="2"/>
      <c r="P1490" s="2"/>
      <c r="Q1490" s="2"/>
    </row>
    <row r="1491" spans="4:17" x14ac:dyDescent="0.25">
      <c r="D1491" s="2"/>
      <c r="E1491" s="310"/>
      <c r="I1491" s="2"/>
      <c r="M1491" s="2"/>
      <c r="P1491" s="2"/>
      <c r="Q1491" s="2"/>
    </row>
    <row r="1492" spans="4:17" x14ac:dyDescent="0.25">
      <c r="D1492" s="2"/>
      <c r="E1492" s="310"/>
      <c r="I1492" s="2"/>
      <c r="M1492" s="2"/>
      <c r="P1492" s="2"/>
      <c r="Q1492" s="2"/>
    </row>
    <row r="1493" spans="4:17" x14ac:dyDescent="0.25">
      <c r="D1493" s="2"/>
      <c r="E1493" s="310"/>
      <c r="I1493" s="2"/>
      <c r="M1493" s="2"/>
      <c r="P1493" s="2"/>
      <c r="Q1493" s="2"/>
    </row>
    <row r="1494" spans="4:17" x14ac:dyDescent="0.25">
      <c r="D1494" s="2"/>
      <c r="E1494" s="310"/>
      <c r="I1494" s="2"/>
      <c r="M1494" s="2"/>
      <c r="P1494" s="2"/>
      <c r="Q1494" s="2"/>
    </row>
    <row r="1495" spans="4:17" x14ac:dyDescent="0.25">
      <c r="D1495" s="2"/>
      <c r="E1495" s="310"/>
      <c r="I1495" s="2"/>
      <c r="M1495" s="2"/>
      <c r="P1495" s="2"/>
      <c r="Q1495" s="2"/>
    </row>
    <row r="1496" spans="4:17" x14ac:dyDescent="0.25">
      <c r="D1496" s="2"/>
      <c r="E1496" s="310"/>
      <c r="I1496" s="2"/>
      <c r="M1496" s="2"/>
      <c r="P1496" s="2"/>
      <c r="Q1496" s="2"/>
    </row>
    <row r="1497" spans="4:17" x14ac:dyDescent="0.25">
      <c r="D1497" s="2"/>
      <c r="E1497" s="310"/>
      <c r="I1497" s="2"/>
      <c r="M1497" s="2"/>
      <c r="P1497" s="2"/>
      <c r="Q1497" s="2"/>
    </row>
    <row r="1498" spans="4:17" x14ac:dyDescent="0.25">
      <c r="D1498" s="2"/>
      <c r="E1498" s="310"/>
      <c r="I1498" s="2"/>
      <c r="M1498" s="2"/>
      <c r="P1498" s="2"/>
      <c r="Q1498" s="2"/>
    </row>
    <row r="1499" spans="4:17" x14ac:dyDescent="0.25">
      <c r="D1499" s="2"/>
      <c r="E1499" s="310"/>
      <c r="I1499" s="2"/>
      <c r="M1499" s="2"/>
      <c r="P1499" s="2"/>
      <c r="Q1499" s="2"/>
    </row>
    <row r="1500" spans="4:17" x14ac:dyDescent="0.25">
      <c r="D1500" s="2"/>
      <c r="E1500" s="310"/>
      <c r="I1500" s="2"/>
      <c r="M1500" s="2"/>
      <c r="P1500" s="2"/>
      <c r="Q1500" s="2"/>
    </row>
    <row r="1501" spans="4:17" x14ac:dyDescent="0.25">
      <c r="D1501" s="2"/>
      <c r="E1501" s="310"/>
      <c r="I1501" s="2"/>
      <c r="M1501" s="2"/>
      <c r="P1501" s="2"/>
      <c r="Q1501" s="2"/>
    </row>
    <row r="1502" spans="4:17" x14ac:dyDescent="0.25">
      <c r="D1502" s="2"/>
      <c r="E1502" s="310"/>
      <c r="I1502" s="2"/>
      <c r="M1502" s="2"/>
      <c r="P1502" s="2"/>
      <c r="Q1502" s="2"/>
    </row>
    <row r="1503" spans="4:17" x14ac:dyDescent="0.25">
      <c r="D1503" s="2"/>
      <c r="E1503" s="310"/>
      <c r="I1503" s="2"/>
      <c r="M1503" s="2"/>
      <c r="P1503" s="2"/>
      <c r="Q1503" s="2"/>
    </row>
    <row r="1504" spans="4:17" x14ac:dyDescent="0.25">
      <c r="D1504" s="2"/>
      <c r="E1504" s="310"/>
      <c r="I1504" s="2"/>
      <c r="M1504" s="2"/>
      <c r="P1504" s="2"/>
      <c r="Q1504" s="2"/>
    </row>
    <row r="1505" spans="4:17" x14ac:dyDescent="0.25">
      <c r="D1505" s="2"/>
      <c r="E1505" s="310"/>
      <c r="I1505" s="2"/>
      <c r="M1505" s="2"/>
      <c r="P1505" s="2"/>
      <c r="Q1505" s="2"/>
    </row>
    <row r="1506" spans="4:17" x14ac:dyDescent="0.25">
      <c r="D1506" s="2"/>
      <c r="E1506" s="310"/>
      <c r="I1506" s="2"/>
      <c r="M1506" s="2"/>
      <c r="P1506" s="2"/>
      <c r="Q1506" s="2"/>
    </row>
    <row r="1507" spans="4:17" x14ac:dyDescent="0.25">
      <c r="D1507" s="2"/>
      <c r="E1507" s="310"/>
      <c r="I1507" s="2"/>
      <c r="M1507" s="2"/>
      <c r="P1507" s="2"/>
      <c r="Q1507" s="2"/>
    </row>
    <row r="1508" spans="4:17" x14ac:dyDescent="0.25">
      <c r="D1508" s="2"/>
      <c r="E1508" s="310"/>
      <c r="I1508" s="2"/>
      <c r="M1508" s="2"/>
      <c r="P1508" s="2"/>
      <c r="Q1508" s="2"/>
    </row>
    <row r="1509" spans="4:17" x14ac:dyDescent="0.25">
      <c r="D1509" s="2"/>
      <c r="E1509" s="310"/>
      <c r="I1509" s="2"/>
      <c r="M1509" s="2"/>
      <c r="P1509" s="2"/>
      <c r="Q1509" s="2"/>
    </row>
    <row r="1510" spans="4:17" x14ac:dyDescent="0.25">
      <c r="D1510" s="2"/>
      <c r="E1510" s="310"/>
      <c r="I1510" s="2"/>
      <c r="M1510" s="2"/>
      <c r="P1510" s="2"/>
      <c r="Q1510" s="2"/>
    </row>
    <row r="1511" spans="4:17" x14ac:dyDescent="0.25">
      <c r="D1511" s="2"/>
      <c r="E1511" s="310"/>
      <c r="I1511" s="2"/>
      <c r="M1511" s="2"/>
      <c r="P1511" s="2"/>
      <c r="Q1511" s="2"/>
    </row>
    <row r="1512" spans="4:17" x14ac:dyDescent="0.25">
      <c r="D1512" s="2"/>
      <c r="E1512" s="310"/>
      <c r="I1512" s="2"/>
      <c r="M1512" s="2"/>
      <c r="P1512" s="2"/>
      <c r="Q1512" s="2"/>
    </row>
    <row r="1513" spans="4:17" x14ac:dyDescent="0.25">
      <c r="D1513" s="2"/>
      <c r="E1513" s="310"/>
      <c r="I1513" s="2"/>
      <c r="M1513" s="2"/>
      <c r="P1513" s="2"/>
      <c r="Q1513" s="2"/>
    </row>
    <row r="1514" spans="4:17" x14ac:dyDescent="0.25">
      <c r="D1514" s="2"/>
      <c r="E1514" s="310"/>
      <c r="I1514" s="2"/>
      <c r="M1514" s="2"/>
      <c r="P1514" s="2"/>
      <c r="Q1514" s="2"/>
    </row>
    <row r="1515" spans="4:17" x14ac:dyDescent="0.25">
      <c r="D1515" s="2"/>
      <c r="E1515" s="310"/>
      <c r="I1515" s="2"/>
      <c r="M1515" s="2"/>
      <c r="P1515" s="2"/>
      <c r="Q1515" s="2"/>
    </row>
    <row r="1516" spans="4:17" x14ac:dyDescent="0.25">
      <c r="D1516" s="2"/>
      <c r="E1516" s="310"/>
      <c r="I1516" s="2"/>
      <c r="M1516" s="2"/>
      <c r="P1516" s="2"/>
      <c r="Q1516" s="2"/>
    </row>
    <row r="1517" spans="4:17" x14ac:dyDescent="0.25">
      <c r="D1517" s="2"/>
      <c r="E1517" s="310"/>
      <c r="I1517" s="2"/>
      <c r="M1517" s="2"/>
      <c r="P1517" s="2"/>
      <c r="Q1517" s="2"/>
    </row>
    <row r="1518" spans="4:17" x14ac:dyDescent="0.25">
      <c r="D1518" s="2"/>
      <c r="E1518" s="310"/>
      <c r="I1518" s="2"/>
      <c r="M1518" s="2"/>
      <c r="P1518" s="2"/>
      <c r="Q1518" s="2"/>
    </row>
    <row r="1519" spans="4:17" x14ac:dyDescent="0.25">
      <c r="D1519" s="2"/>
      <c r="E1519" s="310"/>
      <c r="I1519" s="2"/>
      <c r="M1519" s="2"/>
      <c r="P1519" s="2"/>
      <c r="Q1519" s="2"/>
    </row>
    <row r="1520" spans="4:17" x14ac:dyDescent="0.25">
      <c r="D1520" s="2"/>
      <c r="E1520" s="310"/>
      <c r="I1520" s="2"/>
      <c r="M1520" s="2"/>
      <c r="P1520" s="2"/>
      <c r="Q1520" s="2"/>
    </row>
    <row r="1521" spans="4:17" x14ac:dyDescent="0.25">
      <c r="D1521" s="2"/>
      <c r="E1521" s="310"/>
      <c r="I1521" s="2"/>
      <c r="M1521" s="2"/>
      <c r="P1521" s="2"/>
      <c r="Q1521" s="2"/>
    </row>
    <row r="1522" spans="4:17" x14ac:dyDescent="0.25">
      <c r="D1522" s="2"/>
      <c r="E1522" s="310"/>
      <c r="I1522" s="2"/>
      <c r="M1522" s="2"/>
      <c r="P1522" s="2"/>
      <c r="Q1522" s="2"/>
    </row>
    <row r="1523" spans="4:17" x14ac:dyDescent="0.25">
      <c r="D1523" s="2"/>
      <c r="E1523" s="310"/>
      <c r="I1523" s="2"/>
      <c r="M1523" s="2"/>
      <c r="P1523" s="2"/>
      <c r="Q1523" s="2"/>
    </row>
    <row r="1524" spans="4:17" x14ac:dyDescent="0.25">
      <c r="D1524" s="2"/>
      <c r="E1524" s="310"/>
      <c r="I1524" s="2"/>
      <c r="M1524" s="2"/>
      <c r="P1524" s="2"/>
      <c r="Q1524" s="2"/>
    </row>
    <row r="1525" spans="4:17" x14ac:dyDescent="0.25">
      <c r="D1525" s="2"/>
      <c r="E1525" s="310"/>
      <c r="I1525" s="2"/>
      <c r="M1525" s="2"/>
      <c r="P1525" s="2"/>
      <c r="Q1525" s="2"/>
    </row>
    <row r="1526" spans="4:17" x14ac:dyDescent="0.25">
      <c r="D1526" s="2"/>
      <c r="E1526" s="310"/>
      <c r="I1526" s="2"/>
      <c r="M1526" s="2"/>
      <c r="P1526" s="2"/>
      <c r="Q1526" s="2"/>
    </row>
    <row r="1527" spans="4:17" x14ac:dyDescent="0.25">
      <c r="D1527" s="2"/>
      <c r="E1527" s="310"/>
      <c r="I1527" s="2"/>
      <c r="M1527" s="2"/>
      <c r="P1527" s="2"/>
      <c r="Q1527" s="2"/>
    </row>
    <row r="1528" spans="4:17" x14ac:dyDescent="0.25">
      <c r="D1528" s="2"/>
      <c r="E1528" s="310"/>
      <c r="I1528" s="2"/>
      <c r="M1528" s="2"/>
      <c r="P1528" s="2"/>
      <c r="Q1528" s="2"/>
    </row>
    <row r="1529" spans="4:17" x14ac:dyDescent="0.25">
      <c r="D1529" s="2"/>
      <c r="E1529" s="310"/>
      <c r="I1529" s="2"/>
      <c r="M1529" s="2"/>
      <c r="P1529" s="2"/>
      <c r="Q1529" s="2"/>
    </row>
    <row r="1530" spans="4:17" x14ac:dyDescent="0.25">
      <c r="D1530" s="2"/>
      <c r="E1530" s="310"/>
      <c r="I1530" s="2"/>
      <c r="M1530" s="2"/>
      <c r="P1530" s="2"/>
      <c r="Q1530" s="2"/>
    </row>
    <row r="1531" spans="4:17" x14ac:dyDescent="0.25">
      <c r="D1531" s="2"/>
      <c r="E1531" s="310"/>
      <c r="I1531" s="2"/>
      <c r="M1531" s="2"/>
      <c r="P1531" s="2"/>
      <c r="Q1531" s="2"/>
    </row>
    <row r="1532" spans="4:17" x14ac:dyDescent="0.25">
      <c r="D1532" s="2"/>
      <c r="E1532" s="310"/>
      <c r="I1532" s="2"/>
      <c r="M1532" s="2"/>
      <c r="P1532" s="2"/>
      <c r="Q1532" s="2"/>
    </row>
    <row r="1533" spans="4:17" x14ac:dyDescent="0.25">
      <c r="D1533" s="2"/>
      <c r="E1533" s="310"/>
      <c r="I1533" s="2"/>
      <c r="M1533" s="2"/>
      <c r="P1533" s="2"/>
      <c r="Q1533" s="2"/>
    </row>
    <row r="1534" spans="4:17" x14ac:dyDescent="0.25">
      <c r="D1534" s="2"/>
      <c r="E1534" s="310"/>
      <c r="I1534" s="2"/>
      <c r="M1534" s="2"/>
      <c r="P1534" s="2"/>
      <c r="Q1534" s="2"/>
    </row>
    <row r="1535" spans="4:17" x14ac:dyDescent="0.25">
      <c r="D1535" s="2"/>
      <c r="E1535" s="310"/>
      <c r="I1535" s="2"/>
      <c r="M1535" s="2"/>
      <c r="P1535" s="2"/>
      <c r="Q1535" s="2"/>
    </row>
    <row r="1536" spans="4:17" x14ac:dyDescent="0.25">
      <c r="D1536" s="2"/>
      <c r="E1536" s="310"/>
      <c r="I1536" s="2"/>
      <c r="M1536" s="2"/>
      <c r="P1536" s="2"/>
      <c r="Q1536" s="2"/>
    </row>
    <row r="1537" spans="4:17" x14ac:dyDescent="0.25">
      <c r="D1537" s="2"/>
      <c r="E1537" s="310"/>
      <c r="I1537" s="2"/>
      <c r="M1537" s="2"/>
      <c r="P1537" s="2"/>
      <c r="Q1537" s="2"/>
    </row>
    <row r="1538" spans="4:17" x14ac:dyDescent="0.25">
      <c r="D1538" s="2"/>
      <c r="E1538" s="310"/>
      <c r="I1538" s="2"/>
      <c r="M1538" s="2"/>
      <c r="P1538" s="2"/>
      <c r="Q1538" s="2"/>
    </row>
    <row r="1539" spans="4:17" x14ac:dyDescent="0.25">
      <c r="D1539" s="2"/>
      <c r="E1539" s="310"/>
      <c r="I1539" s="2"/>
      <c r="M1539" s="2"/>
      <c r="P1539" s="2"/>
      <c r="Q1539" s="2"/>
    </row>
    <row r="1540" spans="4:17" x14ac:dyDescent="0.25">
      <c r="D1540" s="2"/>
      <c r="E1540" s="310"/>
      <c r="I1540" s="2"/>
      <c r="M1540" s="2"/>
      <c r="P1540" s="2"/>
      <c r="Q1540" s="2"/>
    </row>
    <row r="1541" spans="4:17" x14ac:dyDescent="0.25">
      <c r="D1541" s="2"/>
      <c r="E1541" s="310"/>
      <c r="I1541" s="2"/>
      <c r="M1541" s="2"/>
      <c r="P1541" s="2"/>
      <c r="Q1541" s="2"/>
    </row>
    <row r="1542" spans="4:17" x14ac:dyDescent="0.25">
      <c r="D1542" s="2"/>
      <c r="E1542" s="310"/>
      <c r="I1542" s="2"/>
      <c r="M1542" s="2"/>
      <c r="P1542" s="2"/>
      <c r="Q1542" s="2"/>
    </row>
    <row r="1543" spans="4:17" x14ac:dyDescent="0.25">
      <c r="D1543" s="2"/>
      <c r="E1543" s="310"/>
      <c r="I1543" s="2"/>
      <c r="M1543" s="2"/>
      <c r="P1543" s="2"/>
      <c r="Q1543" s="2"/>
    </row>
    <row r="1544" spans="4:17" x14ac:dyDescent="0.25">
      <c r="D1544" s="2"/>
      <c r="E1544" s="310"/>
      <c r="I1544" s="2"/>
      <c r="M1544" s="2"/>
      <c r="P1544" s="2"/>
      <c r="Q1544" s="2"/>
    </row>
    <row r="1545" spans="4:17" x14ac:dyDescent="0.25">
      <c r="D1545" s="2"/>
      <c r="E1545" s="310"/>
      <c r="I1545" s="2"/>
      <c r="M1545" s="2"/>
      <c r="P1545" s="2"/>
      <c r="Q1545" s="2"/>
    </row>
    <row r="1546" spans="4:17" x14ac:dyDescent="0.25">
      <c r="D1546" s="2"/>
      <c r="E1546" s="310"/>
      <c r="I1546" s="2"/>
      <c r="M1546" s="2"/>
      <c r="P1546" s="2"/>
      <c r="Q1546" s="2"/>
    </row>
    <row r="1547" spans="4:17" x14ac:dyDescent="0.25">
      <c r="D1547" s="2"/>
      <c r="E1547" s="310"/>
      <c r="I1547" s="2"/>
      <c r="M1547" s="2"/>
      <c r="P1547" s="2"/>
      <c r="Q1547" s="2"/>
    </row>
    <row r="1548" spans="4:17" x14ac:dyDescent="0.25">
      <c r="D1548" s="2"/>
      <c r="E1548" s="310"/>
      <c r="I1548" s="2"/>
      <c r="M1548" s="2"/>
      <c r="P1548" s="2"/>
      <c r="Q1548" s="2"/>
    </row>
    <row r="1549" spans="4:17" x14ac:dyDescent="0.25">
      <c r="D1549" s="2"/>
      <c r="E1549" s="310"/>
      <c r="I1549" s="2"/>
      <c r="M1549" s="2"/>
      <c r="P1549" s="2"/>
      <c r="Q1549" s="2"/>
    </row>
    <row r="1550" spans="4:17" x14ac:dyDescent="0.25">
      <c r="D1550" s="2"/>
      <c r="E1550" s="310"/>
      <c r="I1550" s="2"/>
      <c r="M1550" s="2"/>
      <c r="P1550" s="2"/>
      <c r="Q1550" s="2"/>
    </row>
    <row r="1551" spans="4:17" x14ac:dyDescent="0.25">
      <c r="D1551" s="2"/>
      <c r="E1551" s="310"/>
      <c r="I1551" s="2"/>
      <c r="M1551" s="2"/>
      <c r="P1551" s="2"/>
      <c r="Q1551" s="2"/>
    </row>
    <row r="1552" spans="4:17" x14ac:dyDescent="0.25">
      <c r="D1552" s="2"/>
      <c r="E1552" s="310"/>
      <c r="I1552" s="2"/>
      <c r="M1552" s="2"/>
      <c r="P1552" s="2"/>
      <c r="Q1552" s="2"/>
    </row>
    <row r="1553" spans="4:17" x14ac:dyDescent="0.25">
      <c r="D1553" s="2"/>
      <c r="E1553" s="310"/>
      <c r="I1553" s="2"/>
      <c r="M1553" s="2"/>
      <c r="P1553" s="2"/>
      <c r="Q1553" s="2"/>
    </row>
    <row r="1554" spans="4:17" x14ac:dyDescent="0.25">
      <c r="D1554" s="2"/>
      <c r="E1554" s="310"/>
      <c r="I1554" s="2"/>
      <c r="M1554" s="2"/>
      <c r="P1554" s="2"/>
      <c r="Q1554" s="2"/>
    </row>
    <row r="1555" spans="4:17" x14ac:dyDescent="0.25">
      <c r="D1555" s="2"/>
      <c r="E1555" s="310"/>
      <c r="I1555" s="2"/>
      <c r="M1555" s="2"/>
      <c r="P1555" s="2"/>
      <c r="Q1555" s="2"/>
    </row>
    <row r="1556" spans="4:17" x14ac:dyDescent="0.25">
      <c r="D1556" s="2"/>
      <c r="E1556" s="310"/>
      <c r="I1556" s="2"/>
      <c r="M1556" s="2"/>
      <c r="P1556" s="2"/>
      <c r="Q1556" s="2"/>
    </row>
    <row r="1557" spans="4:17" x14ac:dyDescent="0.25">
      <c r="D1557" s="2"/>
      <c r="E1557" s="310"/>
      <c r="I1557" s="2"/>
      <c r="M1557" s="2"/>
      <c r="P1557" s="2"/>
      <c r="Q1557" s="2"/>
    </row>
    <row r="1558" spans="4:17" x14ac:dyDescent="0.25">
      <c r="D1558" s="2"/>
      <c r="E1558" s="310"/>
      <c r="I1558" s="2"/>
      <c r="M1558" s="2"/>
      <c r="P1558" s="2"/>
      <c r="Q1558" s="2"/>
    </row>
    <row r="1559" spans="4:17" x14ac:dyDescent="0.25">
      <c r="D1559" s="2"/>
      <c r="E1559" s="310"/>
      <c r="I1559" s="2"/>
      <c r="M1559" s="2"/>
      <c r="P1559" s="2"/>
      <c r="Q1559" s="2"/>
    </row>
    <row r="1560" spans="4:17" x14ac:dyDescent="0.25">
      <c r="D1560" s="2"/>
      <c r="E1560" s="310"/>
      <c r="I1560" s="2"/>
      <c r="M1560" s="2"/>
      <c r="P1560" s="2"/>
      <c r="Q1560" s="2"/>
    </row>
    <row r="1561" spans="4:17" x14ac:dyDescent="0.25">
      <c r="D1561" s="2"/>
      <c r="E1561" s="310"/>
      <c r="I1561" s="2"/>
      <c r="M1561" s="2"/>
      <c r="P1561" s="2"/>
      <c r="Q1561" s="2"/>
    </row>
    <row r="1562" spans="4:17" x14ac:dyDescent="0.25">
      <c r="D1562" s="2"/>
      <c r="E1562" s="310"/>
      <c r="I1562" s="2"/>
      <c r="M1562" s="2"/>
      <c r="P1562" s="2"/>
      <c r="Q1562" s="2"/>
    </row>
    <row r="1563" spans="4:17" x14ac:dyDescent="0.25">
      <c r="D1563" s="2"/>
      <c r="E1563" s="310"/>
      <c r="I1563" s="2"/>
      <c r="M1563" s="2"/>
      <c r="P1563" s="2"/>
      <c r="Q1563" s="2"/>
    </row>
    <row r="1564" spans="4:17" x14ac:dyDescent="0.25">
      <c r="D1564" s="2"/>
      <c r="E1564" s="310"/>
      <c r="I1564" s="2"/>
      <c r="M1564" s="2"/>
      <c r="P1564" s="2"/>
      <c r="Q1564" s="2"/>
    </row>
    <row r="1565" spans="4:17" x14ac:dyDescent="0.25">
      <c r="D1565" s="2"/>
      <c r="E1565" s="310"/>
      <c r="I1565" s="2"/>
      <c r="M1565" s="2"/>
      <c r="P1565" s="2"/>
      <c r="Q1565" s="2"/>
    </row>
    <row r="1566" spans="4:17" x14ac:dyDescent="0.25">
      <c r="D1566" s="2"/>
      <c r="E1566" s="310"/>
      <c r="I1566" s="2"/>
      <c r="M1566" s="2"/>
      <c r="P1566" s="2"/>
      <c r="Q1566" s="2"/>
    </row>
    <row r="1567" spans="4:17" x14ac:dyDescent="0.25">
      <c r="D1567" s="2"/>
      <c r="E1567" s="310"/>
      <c r="I1567" s="2"/>
      <c r="M1567" s="2"/>
      <c r="P1567" s="2"/>
      <c r="Q1567" s="2"/>
    </row>
    <row r="1568" spans="4:17" x14ac:dyDescent="0.25">
      <c r="D1568" s="2"/>
      <c r="E1568" s="310"/>
      <c r="I1568" s="2"/>
      <c r="M1568" s="2"/>
      <c r="P1568" s="2"/>
      <c r="Q1568" s="2"/>
    </row>
    <row r="1569" spans="4:17" x14ac:dyDescent="0.25">
      <c r="D1569" s="2"/>
      <c r="E1569" s="310"/>
      <c r="I1569" s="2"/>
      <c r="M1569" s="2"/>
      <c r="P1569" s="2"/>
      <c r="Q1569" s="2"/>
    </row>
    <row r="1570" spans="4:17" x14ac:dyDescent="0.25">
      <c r="D1570" s="2"/>
      <c r="E1570" s="310"/>
      <c r="I1570" s="2"/>
      <c r="M1570" s="2"/>
      <c r="P1570" s="2"/>
      <c r="Q1570" s="2"/>
    </row>
    <row r="1571" spans="4:17" x14ac:dyDescent="0.25">
      <c r="D1571" s="2"/>
      <c r="E1571" s="310"/>
      <c r="I1571" s="2"/>
      <c r="M1571" s="2"/>
      <c r="P1571" s="2"/>
      <c r="Q1571" s="2"/>
    </row>
    <row r="1572" spans="4:17" x14ac:dyDescent="0.25">
      <c r="D1572" s="2"/>
      <c r="E1572" s="310"/>
      <c r="I1572" s="2"/>
      <c r="M1572" s="2"/>
      <c r="P1572" s="2"/>
      <c r="Q1572" s="2"/>
    </row>
    <row r="1573" spans="4:17" x14ac:dyDescent="0.25">
      <c r="D1573" s="2"/>
      <c r="E1573" s="310"/>
      <c r="I1573" s="2"/>
      <c r="M1573" s="2"/>
      <c r="P1573" s="2"/>
      <c r="Q1573" s="2"/>
    </row>
    <row r="1574" spans="4:17" x14ac:dyDescent="0.25">
      <c r="D1574" s="2"/>
      <c r="E1574" s="310"/>
      <c r="I1574" s="2"/>
      <c r="M1574" s="2"/>
      <c r="P1574" s="2"/>
      <c r="Q1574" s="2"/>
    </row>
    <row r="1575" spans="4:17" x14ac:dyDescent="0.25">
      <c r="D1575" s="2"/>
      <c r="E1575" s="310"/>
      <c r="I1575" s="2"/>
      <c r="M1575" s="2"/>
      <c r="P1575" s="2"/>
      <c r="Q1575" s="2"/>
    </row>
    <row r="1576" spans="4:17" x14ac:dyDescent="0.25">
      <c r="D1576" s="2"/>
      <c r="E1576" s="310"/>
      <c r="I1576" s="2"/>
      <c r="M1576" s="2"/>
      <c r="P1576" s="2"/>
      <c r="Q1576" s="2"/>
    </row>
    <row r="1577" spans="4:17" x14ac:dyDescent="0.25">
      <c r="D1577" s="2"/>
      <c r="E1577" s="310"/>
      <c r="I1577" s="2"/>
      <c r="M1577" s="2"/>
      <c r="P1577" s="2"/>
      <c r="Q1577" s="2"/>
    </row>
    <row r="1578" spans="4:17" x14ac:dyDescent="0.25">
      <c r="D1578" s="2"/>
      <c r="E1578" s="310"/>
      <c r="I1578" s="2"/>
      <c r="M1578" s="2"/>
      <c r="P1578" s="2"/>
      <c r="Q1578" s="2"/>
    </row>
    <row r="1579" spans="4:17" x14ac:dyDescent="0.25">
      <c r="D1579" s="2"/>
      <c r="E1579" s="310"/>
      <c r="I1579" s="2"/>
      <c r="M1579" s="2"/>
      <c r="P1579" s="2"/>
      <c r="Q1579" s="2"/>
    </row>
    <row r="1580" spans="4:17" x14ac:dyDescent="0.25">
      <c r="D1580" s="2"/>
      <c r="E1580" s="310"/>
      <c r="I1580" s="2"/>
      <c r="M1580" s="2"/>
      <c r="P1580" s="2"/>
      <c r="Q1580" s="2"/>
    </row>
    <row r="1581" spans="4:17" x14ac:dyDescent="0.25">
      <c r="D1581" s="2"/>
      <c r="E1581" s="310"/>
      <c r="I1581" s="2"/>
      <c r="M1581" s="2"/>
      <c r="P1581" s="2"/>
      <c r="Q1581" s="2"/>
    </row>
    <row r="1582" spans="4:17" x14ac:dyDescent="0.25">
      <c r="D1582" s="2"/>
      <c r="E1582" s="310"/>
      <c r="I1582" s="2"/>
      <c r="M1582" s="2"/>
      <c r="P1582" s="2"/>
      <c r="Q1582" s="2"/>
    </row>
    <row r="1583" spans="4:17" x14ac:dyDescent="0.25">
      <c r="D1583" s="2"/>
      <c r="E1583" s="310"/>
      <c r="I1583" s="2"/>
      <c r="M1583" s="2"/>
      <c r="P1583" s="2"/>
      <c r="Q1583" s="2"/>
    </row>
    <row r="1584" spans="4:17" x14ac:dyDescent="0.25">
      <c r="D1584" s="2"/>
      <c r="E1584" s="310"/>
      <c r="I1584" s="2"/>
      <c r="M1584" s="2"/>
      <c r="P1584" s="2"/>
      <c r="Q1584" s="2"/>
    </row>
    <row r="1585" spans="4:17" x14ac:dyDescent="0.25">
      <c r="D1585" s="2"/>
      <c r="E1585" s="310"/>
      <c r="I1585" s="2"/>
      <c r="M1585" s="2"/>
      <c r="P1585" s="2"/>
      <c r="Q1585" s="2"/>
    </row>
    <row r="1586" spans="4:17" x14ac:dyDescent="0.25">
      <c r="D1586" s="2"/>
      <c r="E1586" s="310"/>
      <c r="I1586" s="2"/>
      <c r="M1586" s="2"/>
      <c r="P1586" s="2"/>
      <c r="Q1586" s="2"/>
    </row>
    <row r="1587" spans="4:17" x14ac:dyDescent="0.25">
      <c r="D1587" s="2"/>
      <c r="E1587" s="310"/>
      <c r="I1587" s="2"/>
      <c r="M1587" s="2"/>
      <c r="P1587" s="2"/>
      <c r="Q1587" s="2"/>
    </row>
    <row r="1588" spans="4:17" x14ac:dyDescent="0.25">
      <c r="D1588" s="2"/>
      <c r="E1588" s="310"/>
      <c r="I1588" s="2"/>
      <c r="M1588" s="2"/>
      <c r="P1588" s="2"/>
      <c r="Q1588" s="2"/>
    </row>
    <row r="1589" spans="4:17" x14ac:dyDescent="0.25">
      <c r="D1589" s="2"/>
      <c r="E1589" s="310"/>
      <c r="I1589" s="2"/>
      <c r="M1589" s="2"/>
      <c r="P1589" s="2"/>
      <c r="Q1589" s="2"/>
    </row>
    <row r="1590" spans="4:17" x14ac:dyDescent="0.25">
      <c r="D1590" s="2"/>
      <c r="E1590" s="310"/>
      <c r="I1590" s="2"/>
      <c r="M1590" s="2"/>
      <c r="P1590" s="2"/>
      <c r="Q1590" s="2"/>
    </row>
    <row r="1591" spans="4:17" x14ac:dyDescent="0.25">
      <c r="D1591" s="2"/>
      <c r="E1591" s="310"/>
      <c r="I1591" s="2"/>
      <c r="M1591" s="2"/>
      <c r="P1591" s="2"/>
      <c r="Q1591" s="2"/>
    </row>
    <row r="1592" spans="4:17" x14ac:dyDescent="0.25">
      <c r="D1592" s="2"/>
      <c r="E1592" s="310"/>
      <c r="I1592" s="2"/>
      <c r="M1592" s="2"/>
      <c r="P1592" s="2"/>
      <c r="Q1592" s="2"/>
    </row>
    <row r="1593" spans="4:17" x14ac:dyDescent="0.25">
      <c r="D1593" s="2"/>
      <c r="E1593" s="310"/>
      <c r="I1593" s="2"/>
      <c r="M1593" s="2"/>
      <c r="P1593" s="2"/>
      <c r="Q1593" s="2"/>
    </row>
    <row r="1594" spans="4:17" x14ac:dyDescent="0.25">
      <c r="D1594" s="2"/>
      <c r="E1594" s="310"/>
      <c r="I1594" s="2"/>
      <c r="M1594" s="2"/>
      <c r="P1594" s="2"/>
      <c r="Q1594" s="2"/>
    </row>
    <row r="1595" spans="4:17" x14ac:dyDescent="0.25">
      <c r="D1595" s="2"/>
      <c r="E1595" s="310"/>
      <c r="I1595" s="2"/>
      <c r="M1595" s="2"/>
      <c r="P1595" s="2"/>
      <c r="Q1595" s="2"/>
    </row>
    <row r="1596" spans="4:17" x14ac:dyDescent="0.25">
      <c r="D1596" s="2"/>
      <c r="E1596" s="310"/>
      <c r="I1596" s="2"/>
      <c r="M1596" s="2"/>
      <c r="P1596" s="2"/>
      <c r="Q1596" s="2"/>
    </row>
    <row r="1597" spans="4:17" x14ac:dyDescent="0.25">
      <c r="D1597" s="2"/>
      <c r="E1597" s="310"/>
      <c r="I1597" s="2"/>
      <c r="M1597" s="2"/>
      <c r="P1597" s="2"/>
      <c r="Q1597" s="2"/>
    </row>
    <row r="1598" spans="4:17" x14ac:dyDescent="0.25">
      <c r="D1598" s="2"/>
      <c r="E1598" s="310"/>
      <c r="I1598" s="2"/>
      <c r="M1598" s="2"/>
      <c r="P1598" s="2"/>
      <c r="Q1598" s="2"/>
    </row>
    <row r="1599" spans="4:17" x14ac:dyDescent="0.25">
      <c r="D1599" s="2"/>
      <c r="E1599" s="310"/>
      <c r="I1599" s="2"/>
      <c r="M1599" s="2"/>
      <c r="P1599" s="2"/>
      <c r="Q1599" s="2"/>
    </row>
    <row r="1600" spans="4:17" x14ac:dyDescent="0.25">
      <c r="D1600" s="2"/>
      <c r="E1600" s="310"/>
      <c r="I1600" s="2"/>
      <c r="M1600" s="2"/>
      <c r="P1600" s="2"/>
      <c r="Q1600" s="2"/>
    </row>
    <row r="1601" spans="4:17" x14ac:dyDescent="0.25">
      <c r="D1601" s="2"/>
      <c r="E1601" s="310"/>
      <c r="I1601" s="2"/>
      <c r="M1601" s="2"/>
      <c r="P1601" s="2"/>
      <c r="Q1601" s="2"/>
    </row>
    <row r="1602" spans="4:17" x14ac:dyDescent="0.25">
      <c r="D1602" s="2"/>
      <c r="E1602" s="310"/>
      <c r="I1602" s="2"/>
      <c r="M1602" s="2"/>
      <c r="P1602" s="2"/>
      <c r="Q1602" s="2"/>
    </row>
    <row r="1603" spans="4:17" x14ac:dyDescent="0.25">
      <c r="D1603" s="2"/>
      <c r="E1603" s="310"/>
      <c r="I1603" s="2"/>
      <c r="M1603" s="2"/>
      <c r="P1603" s="2"/>
      <c r="Q1603" s="2"/>
    </row>
    <row r="1604" spans="4:17" x14ac:dyDescent="0.25">
      <c r="D1604" s="2"/>
      <c r="E1604" s="310"/>
      <c r="I1604" s="2"/>
      <c r="M1604" s="2"/>
      <c r="P1604" s="2"/>
      <c r="Q1604" s="2"/>
    </row>
    <row r="1605" spans="4:17" x14ac:dyDescent="0.25">
      <c r="D1605" s="2"/>
      <c r="E1605" s="310"/>
      <c r="I1605" s="2"/>
      <c r="M1605" s="2"/>
      <c r="P1605" s="2"/>
      <c r="Q1605" s="2"/>
    </row>
    <row r="1606" spans="4:17" x14ac:dyDescent="0.25">
      <c r="D1606" s="2"/>
      <c r="E1606" s="310"/>
      <c r="I1606" s="2"/>
      <c r="M1606" s="2"/>
      <c r="P1606" s="2"/>
      <c r="Q1606" s="2"/>
    </row>
    <row r="1607" spans="4:17" x14ac:dyDescent="0.25">
      <c r="D1607" s="2"/>
      <c r="E1607" s="310"/>
      <c r="I1607" s="2"/>
      <c r="M1607" s="2"/>
      <c r="P1607" s="2"/>
      <c r="Q1607" s="2"/>
    </row>
    <row r="1608" spans="4:17" x14ac:dyDescent="0.25">
      <c r="D1608" s="2"/>
      <c r="E1608" s="310"/>
      <c r="I1608" s="2"/>
      <c r="M1608" s="2"/>
      <c r="P1608" s="2"/>
      <c r="Q1608" s="2"/>
    </row>
    <row r="1609" spans="4:17" x14ac:dyDescent="0.25">
      <c r="D1609" s="2"/>
      <c r="E1609" s="310"/>
      <c r="I1609" s="2"/>
      <c r="M1609" s="2"/>
      <c r="P1609" s="2"/>
      <c r="Q1609" s="2"/>
    </row>
    <row r="1610" spans="4:17" x14ac:dyDescent="0.25">
      <c r="D1610" s="2"/>
      <c r="E1610" s="310"/>
      <c r="I1610" s="2"/>
      <c r="M1610" s="2"/>
      <c r="P1610" s="2"/>
      <c r="Q1610" s="2"/>
    </row>
    <row r="1611" spans="4:17" x14ac:dyDescent="0.25">
      <c r="D1611" s="2"/>
      <c r="E1611" s="310"/>
      <c r="I1611" s="2"/>
      <c r="M1611" s="2"/>
      <c r="P1611" s="2"/>
      <c r="Q1611" s="2"/>
    </row>
    <row r="1612" spans="4:17" x14ac:dyDescent="0.25">
      <c r="D1612" s="2"/>
      <c r="E1612" s="310"/>
      <c r="I1612" s="2"/>
      <c r="M1612" s="2"/>
      <c r="P1612" s="2"/>
      <c r="Q1612" s="2"/>
    </row>
    <row r="1613" spans="4:17" x14ac:dyDescent="0.25">
      <c r="D1613" s="2"/>
      <c r="E1613" s="310"/>
      <c r="I1613" s="2"/>
      <c r="M1613" s="2"/>
      <c r="P1613" s="2"/>
      <c r="Q1613" s="2"/>
    </row>
    <row r="1614" spans="4:17" x14ac:dyDescent="0.25">
      <c r="D1614" s="2"/>
      <c r="E1614" s="310"/>
      <c r="I1614" s="2"/>
      <c r="M1614" s="2"/>
      <c r="P1614" s="2"/>
      <c r="Q1614" s="2"/>
    </row>
    <row r="1615" spans="4:17" x14ac:dyDescent="0.25">
      <c r="D1615" s="2"/>
      <c r="E1615" s="310"/>
      <c r="I1615" s="2"/>
      <c r="M1615" s="2"/>
      <c r="P1615" s="2"/>
      <c r="Q1615" s="2"/>
    </row>
    <row r="1616" spans="4:17" x14ac:dyDescent="0.25">
      <c r="D1616" s="2"/>
      <c r="E1616" s="310"/>
      <c r="I1616" s="2"/>
      <c r="M1616" s="2"/>
      <c r="P1616" s="2"/>
      <c r="Q1616" s="2"/>
    </row>
    <row r="1617" spans="4:17" x14ac:dyDescent="0.25">
      <c r="D1617" s="2"/>
      <c r="E1617" s="310"/>
      <c r="I1617" s="2"/>
      <c r="M1617" s="2"/>
      <c r="P1617" s="2"/>
      <c r="Q1617" s="2"/>
    </row>
    <row r="1618" spans="4:17" x14ac:dyDescent="0.25">
      <c r="D1618" s="2"/>
      <c r="E1618" s="310"/>
      <c r="I1618" s="2"/>
      <c r="M1618" s="2"/>
      <c r="P1618" s="2"/>
      <c r="Q1618" s="2"/>
    </row>
    <row r="1619" spans="4:17" x14ac:dyDescent="0.25">
      <c r="D1619" s="2"/>
      <c r="E1619" s="310"/>
      <c r="I1619" s="2"/>
      <c r="M1619" s="2"/>
      <c r="P1619" s="2"/>
      <c r="Q1619" s="2"/>
    </row>
    <row r="1620" spans="4:17" x14ac:dyDescent="0.25">
      <c r="D1620" s="2"/>
      <c r="E1620" s="310"/>
      <c r="I1620" s="2"/>
      <c r="M1620" s="2"/>
      <c r="P1620" s="2"/>
      <c r="Q1620" s="2"/>
    </row>
    <row r="1621" spans="4:17" x14ac:dyDescent="0.25">
      <c r="D1621" s="2"/>
      <c r="E1621" s="310"/>
      <c r="I1621" s="2"/>
      <c r="M1621" s="2"/>
      <c r="P1621" s="2"/>
      <c r="Q1621" s="2"/>
    </row>
    <row r="1622" spans="4:17" x14ac:dyDescent="0.25">
      <c r="D1622" s="2"/>
      <c r="E1622" s="310"/>
      <c r="I1622" s="2"/>
      <c r="M1622" s="2"/>
      <c r="P1622" s="2"/>
      <c r="Q1622" s="2"/>
    </row>
    <row r="1623" spans="4:17" x14ac:dyDescent="0.25">
      <c r="D1623" s="2"/>
      <c r="E1623" s="310"/>
      <c r="I1623" s="2"/>
      <c r="M1623" s="2"/>
      <c r="P1623" s="2"/>
      <c r="Q1623" s="2"/>
    </row>
    <row r="1624" spans="4:17" x14ac:dyDescent="0.25">
      <c r="D1624" s="2"/>
      <c r="E1624" s="310"/>
      <c r="I1624" s="2"/>
      <c r="M1624" s="2"/>
      <c r="P1624" s="2"/>
      <c r="Q1624" s="2"/>
    </row>
    <row r="1635" spans="4:17" x14ac:dyDescent="0.25">
      <c r="D1635" s="2"/>
      <c r="E1635" s="310"/>
      <c r="I1635" s="2"/>
      <c r="M1635" s="2"/>
      <c r="P1635" s="2"/>
      <c r="Q1635" s="2"/>
    </row>
    <row r="1636" spans="4:17" x14ac:dyDescent="0.25">
      <c r="D1636" s="2"/>
      <c r="E1636" s="310"/>
      <c r="I1636" s="2"/>
      <c r="M1636" s="2"/>
      <c r="P1636" s="2"/>
      <c r="Q1636" s="2"/>
    </row>
    <row r="1637" spans="4:17" x14ac:dyDescent="0.25">
      <c r="D1637" s="2"/>
      <c r="E1637" s="310"/>
      <c r="I1637" s="2"/>
      <c r="M1637" s="2"/>
      <c r="P1637" s="2"/>
      <c r="Q1637" s="2"/>
    </row>
    <row r="1638" spans="4:17" x14ac:dyDescent="0.25">
      <c r="D1638" s="2"/>
      <c r="E1638" s="310"/>
      <c r="I1638" s="2"/>
      <c r="M1638" s="2"/>
      <c r="P1638" s="2"/>
      <c r="Q1638" s="2"/>
    </row>
    <row r="1639" spans="4:17" x14ac:dyDescent="0.25">
      <c r="D1639" s="2"/>
      <c r="E1639" s="310"/>
      <c r="I1639" s="2"/>
      <c r="M1639" s="2"/>
      <c r="P1639" s="2"/>
      <c r="Q1639" s="2"/>
    </row>
    <row r="1640" spans="4:17" x14ac:dyDescent="0.25">
      <c r="D1640" s="2"/>
      <c r="E1640" s="310"/>
      <c r="I1640" s="2"/>
      <c r="M1640" s="2"/>
      <c r="P1640" s="2"/>
      <c r="Q1640" s="2"/>
    </row>
    <row r="1641" spans="4:17" x14ac:dyDescent="0.25">
      <c r="D1641" s="2"/>
      <c r="E1641" s="310"/>
      <c r="I1641" s="2"/>
      <c r="M1641" s="2"/>
      <c r="P1641" s="2"/>
      <c r="Q1641" s="2"/>
    </row>
    <row r="1642" spans="4:17" x14ac:dyDescent="0.25">
      <c r="D1642" s="2"/>
      <c r="E1642" s="310"/>
      <c r="I1642" s="2"/>
      <c r="M1642" s="2"/>
      <c r="P1642" s="2"/>
      <c r="Q1642" s="2"/>
    </row>
    <row r="1643" spans="4:17" x14ac:dyDescent="0.25">
      <c r="D1643" s="2"/>
      <c r="E1643" s="310"/>
      <c r="I1643" s="2"/>
      <c r="M1643" s="2"/>
      <c r="P1643" s="2"/>
      <c r="Q1643" s="2"/>
    </row>
    <row r="1644" spans="4:17" x14ac:dyDescent="0.25">
      <c r="D1644" s="2"/>
      <c r="E1644" s="310"/>
      <c r="I1644" s="2"/>
      <c r="M1644" s="2"/>
      <c r="P1644" s="2"/>
      <c r="Q1644" s="2"/>
    </row>
    <row r="1645" spans="4:17" x14ac:dyDescent="0.25">
      <c r="D1645" s="2"/>
      <c r="E1645" s="310"/>
      <c r="I1645" s="2"/>
      <c r="M1645" s="2"/>
      <c r="P1645" s="2"/>
      <c r="Q1645" s="2"/>
    </row>
    <row r="1646" spans="4:17" x14ac:dyDescent="0.25">
      <c r="D1646" s="2"/>
      <c r="E1646" s="310"/>
      <c r="I1646" s="2"/>
      <c r="M1646" s="2"/>
      <c r="P1646" s="2"/>
      <c r="Q1646" s="2"/>
    </row>
    <row r="1647" spans="4:17" x14ac:dyDescent="0.25">
      <c r="D1647" s="2"/>
      <c r="E1647" s="310"/>
      <c r="I1647" s="2"/>
      <c r="M1647" s="2"/>
      <c r="P1647" s="2"/>
      <c r="Q1647" s="2"/>
    </row>
    <row r="1648" spans="4:17" x14ac:dyDescent="0.25">
      <c r="D1648" s="2"/>
      <c r="E1648" s="310"/>
      <c r="I1648" s="2"/>
      <c r="M1648" s="2"/>
      <c r="P1648" s="2"/>
      <c r="Q1648" s="2"/>
    </row>
    <row r="1649" spans="4:17" x14ac:dyDescent="0.25">
      <c r="D1649" s="2"/>
      <c r="E1649" s="310"/>
      <c r="I1649" s="2"/>
      <c r="M1649" s="2"/>
      <c r="P1649" s="2"/>
      <c r="Q1649" s="2"/>
    </row>
    <row r="1650" spans="4:17" x14ac:dyDescent="0.25">
      <c r="D1650" s="2"/>
      <c r="E1650" s="310"/>
      <c r="I1650" s="2"/>
      <c r="M1650" s="2"/>
      <c r="P1650" s="2"/>
      <c r="Q1650" s="2"/>
    </row>
    <row r="1651" spans="4:17" x14ac:dyDescent="0.25">
      <c r="D1651" s="2"/>
      <c r="E1651" s="310"/>
      <c r="I1651" s="2"/>
      <c r="M1651" s="2"/>
      <c r="P1651" s="2"/>
      <c r="Q1651" s="2"/>
    </row>
    <row r="1652" spans="4:17" x14ac:dyDescent="0.25">
      <c r="D1652" s="2"/>
      <c r="E1652" s="310"/>
      <c r="I1652" s="2"/>
      <c r="M1652" s="2"/>
      <c r="P1652" s="2"/>
      <c r="Q1652" s="2"/>
    </row>
    <row r="1653" spans="4:17" x14ac:dyDescent="0.25">
      <c r="D1653" s="2"/>
      <c r="E1653" s="310"/>
      <c r="I1653" s="2"/>
      <c r="M1653" s="2"/>
      <c r="P1653" s="2"/>
      <c r="Q1653" s="2"/>
    </row>
    <row r="1654" spans="4:17" x14ac:dyDescent="0.25">
      <c r="D1654" s="2"/>
      <c r="E1654" s="310"/>
      <c r="I1654" s="2"/>
      <c r="M1654" s="2"/>
      <c r="P1654" s="2"/>
      <c r="Q1654" s="2"/>
    </row>
    <row r="1655" spans="4:17" x14ac:dyDescent="0.25">
      <c r="D1655" s="2"/>
      <c r="E1655" s="310"/>
      <c r="I1655" s="2"/>
      <c r="M1655" s="2"/>
      <c r="P1655" s="2"/>
      <c r="Q1655" s="2"/>
    </row>
    <row r="1656" spans="4:17" x14ac:dyDescent="0.25">
      <c r="D1656" s="2"/>
      <c r="E1656" s="310"/>
      <c r="I1656" s="2"/>
      <c r="M1656" s="2"/>
      <c r="P1656" s="2"/>
      <c r="Q1656" s="2"/>
    </row>
    <row r="1657" spans="4:17" x14ac:dyDescent="0.25">
      <c r="D1657" s="2"/>
      <c r="E1657" s="310"/>
      <c r="I1657" s="2"/>
      <c r="M1657" s="2"/>
      <c r="P1657" s="2"/>
      <c r="Q1657" s="2"/>
    </row>
    <row r="1658" spans="4:17" x14ac:dyDescent="0.25">
      <c r="D1658" s="2"/>
      <c r="E1658" s="310"/>
      <c r="I1658" s="2"/>
      <c r="M1658" s="2"/>
      <c r="P1658" s="2"/>
      <c r="Q1658" s="2"/>
    </row>
    <row r="1659" spans="4:17" x14ac:dyDescent="0.25">
      <c r="D1659" s="2"/>
      <c r="E1659" s="310"/>
      <c r="I1659" s="2"/>
      <c r="M1659" s="2"/>
      <c r="P1659" s="2"/>
      <c r="Q1659" s="2"/>
    </row>
    <row r="1660" spans="4:17" x14ac:dyDescent="0.25">
      <c r="D1660" s="2"/>
      <c r="E1660" s="310"/>
      <c r="I1660" s="2"/>
      <c r="M1660" s="2"/>
      <c r="P1660" s="2"/>
      <c r="Q1660" s="2"/>
    </row>
    <row r="1661" spans="4:17" x14ac:dyDescent="0.25">
      <c r="D1661" s="2"/>
      <c r="E1661" s="310"/>
      <c r="I1661" s="2"/>
      <c r="M1661" s="2"/>
      <c r="P1661" s="2"/>
      <c r="Q1661" s="2"/>
    </row>
    <row r="1662" spans="4:17" x14ac:dyDescent="0.25">
      <c r="D1662" s="2"/>
      <c r="E1662" s="310"/>
      <c r="I1662" s="2"/>
      <c r="M1662" s="2"/>
      <c r="P1662" s="2"/>
      <c r="Q1662" s="2"/>
    </row>
    <row r="1663" spans="4:17" x14ac:dyDescent="0.25">
      <c r="D1663" s="2"/>
      <c r="E1663" s="310"/>
      <c r="I1663" s="2"/>
      <c r="M1663" s="2"/>
      <c r="P1663" s="2"/>
      <c r="Q1663" s="2"/>
    </row>
    <row r="1664" spans="4:17" x14ac:dyDescent="0.25">
      <c r="D1664" s="2"/>
      <c r="E1664" s="310"/>
      <c r="I1664" s="2"/>
      <c r="M1664" s="2"/>
      <c r="P1664" s="2"/>
      <c r="Q1664" s="2"/>
    </row>
    <row r="1665" spans="4:17" x14ac:dyDescent="0.25">
      <c r="D1665" s="2"/>
      <c r="E1665" s="310"/>
      <c r="I1665" s="2"/>
      <c r="M1665" s="2"/>
      <c r="P1665" s="2"/>
      <c r="Q1665" s="2"/>
    </row>
    <row r="1666" spans="4:17" x14ac:dyDescent="0.25">
      <c r="D1666" s="2"/>
      <c r="E1666" s="310"/>
      <c r="I1666" s="2"/>
      <c r="M1666" s="2"/>
      <c r="P1666" s="2"/>
      <c r="Q1666" s="2"/>
    </row>
    <row r="1667" spans="4:17" x14ac:dyDescent="0.25">
      <c r="D1667" s="2"/>
      <c r="E1667" s="310"/>
      <c r="I1667" s="2"/>
      <c r="M1667" s="2"/>
      <c r="P1667" s="2"/>
      <c r="Q1667" s="2"/>
    </row>
    <row r="1668" spans="4:17" x14ac:dyDescent="0.25">
      <c r="D1668" s="2"/>
      <c r="E1668" s="310"/>
      <c r="I1668" s="2"/>
      <c r="M1668" s="2"/>
      <c r="P1668" s="2"/>
      <c r="Q1668" s="2"/>
    </row>
    <row r="1669" spans="4:17" x14ac:dyDescent="0.25">
      <c r="D1669" s="2"/>
      <c r="E1669" s="310"/>
      <c r="I1669" s="2"/>
      <c r="M1669" s="2"/>
      <c r="P1669" s="2"/>
      <c r="Q1669" s="2"/>
    </row>
    <row r="1670" spans="4:17" x14ac:dyDescent="0.25">
      <c r="D1670" s="2"/>
      <c r="E1670" s="310"/>
      <c r="I1670" s="2"/>
      <c r="M1670" s="2"/>
      <c r="P1670" s="2"/>
      <c r="Q1670" s="2"/>
    </row>
    <row r="1671" spans="4:17" x14ac:dyDescent="0.25">
      <c r="D1671" s="2"/>
      <c r="E1671" s="310"/>
      <c r="I1671" s="2"/>
      <c r="M1671" s="2"/>
      <c r="P1671" s="2"/>
      <c r="Q1671" s="2"/>
    </row>
    <row r="1672" spans="4:17" x14ac:dyDescent="0.25">
      <c r="D1672" s="2"/>
      <c r="E1672" s="310"/>
      <c r="I1672" s="2"/>
      <c r="M1672" s="2"/>
      <c r="P1672" s="2"/>
      <c r="Q1672" s="2"/>
    </row>
    <row r="1673" spans="4:17" x14ac:dyDescent="0.25">
      <c r="D1673" s="2"/>
      <c r="E1673" s="310"/>
      <c r="I1673" s="2"/>
      <c r="M1673" s="2"/>
      <c r="P1673" s="2"/>
      <c r="Q1673" s="2"/>
    </row>
    <row r="1674" spans="4:17" x14ac:dyDescent="0.25">
      <c r="D1674" s="2"/>
      <c r="E1674" s="310"/>
      <c r="I1674" s="2"/>
      <c r="M1674" s="2"/>
      <c r="P1674" s="2"/>
      <c r="Q1674" s="2"/>
    </row>
    <row r="1675" spans="4:17" x14ac:dyDescent="0.25">
      <c r="D1675" s="2"/>
      <c r="E1675" s="310"/>
      <c r="I1675" s="2"/>
      <c r="M1675" s="2"/>
      <c r="P1675" s="2"/>
      <c r="Q1675" s="2"/>
    </row>
    <row r="1676" spans="4:17" x14ac:dyDescent="0.25">
      <c r="D1676" s="2"/>
      <c r="E1676" s="310"/>
      <c r="I1676" s="2"/>
      <c r="M1676" s="2"/>
      <c r="P1676" s="2"/>
      <c r="Q1676" s="2"/>
    </row>
    <row r="1677" spans="4:17" x14ac:dyDescent="0.25">
      <c r="D1677" s="2"/>
      <c r="E1677" s="310"/>
      <c r="I1677" s="2"/>
      <c r="M1677" s="2"/>
      <c r="P1677" s="2"/>
      <c r="Q1677" s="2"/>
    </row>
    <row r="1678" spans="4:17" x14ac:dyDescent="0.25">
      <c r="D1678" s="2"/>
      <c r="E1678" s="310"/>
      <c r="I1678" s="2"/>
      <c r="M1678" s="2"/>
      <c r="P1678" s="2"/>
      <c r="Q1678" s="2"/>
    </row>
    <row r="1679" spans="4:17" x14ac:dyDescent="0.25">
      <c r="D1679" s="2"/>
      <c r="E1679" s="310"/>
      <c r="I1679" s="2"/>
      <c r="M1679" s="2"/>
      <c r="P1679" s="2"/>
      <c r="Q1679" s="2"/>
    </row>
    <row r="1680" spans="4:17" x14ac:dyDescent="0.25">
      <c r="D1680" s="2"/>
      <c r="E1680" s="310"/>
      <c r="I1680" s="2"/>
      <c r="M1680" s="2"/>
      <c r="P1680" s="2"/>
      <c r="Q1680" s="2"/>
    </row>
    <row r="1681" spans="4:17" x14ac:dyDescent="0.25">
      <c r="D1681" s="2"/>
      <c r="E1681" s="310"/>
      <c r="I1681" s="2"/>
      <c r="M1681" s="2"/>
      <c r="P1681" s="2"/>
      <c r="Q1681" s="2"/>
    </row>
    <row r="1682" spans="4:17" x14ac:dyDescent="0.25">
      <c r="D1682" s="2"/>
      <c r="E1682" s="310"/>
      <c r="I1682" s="2"/>
      <c r="M1682" s="2"/>
      <c r="P1682" s="2"/>
      <c r="Q1682" s="2"/>
    </row>
    <row r="1683" spans="4:17" x14ac:dyDescent="0.25">
      <c r="D1683" s="2"/>
      <c r="E1683" s="310"/>
      <c r="I1683" s="2"/>
      <c r="M1683" s="2"/>
      <c r="P1683" s="2"/>
      <c r="Q1683" s="2"/>
    </row>
    <row r="1684" spans="4:17" x14ac:dyDescent="0.25">
      <c r="D1684" s="2"/>
      <c r="E1684" s="310"/>
      <c r="I1684" s="2"/>
      <c r="M1684" s="2"/>
      <c r="P1684" s="2"/>
      <c r="Q1684" s="2"/>
    </row>
    <row r="1685" spans="4:17" x14ac:dyDescent="0.25">
      <c r="D1685" s="2"/>
      <c r="E1685" s="310"/>
      <c r="I1685" s="2"/>
      <c r="M1685" s="2"/>
      <c r="P1685" s="2"/>
      <c r="Q1685" s="2"/>
    </row>
    <row r="1686" spans="4:17" x14ac:dyDescent="0.25">
      <c r="D1686" s="2"/>
      <c r="E1686" s="310"/>
      <c r="I1686" s="2"/>
      <c r="M1686" s="2"/>
      <c r="P1686" s="2"/>
      <c r="Q1686" s="2"/>
    </row>
    <row r="1687" spans="4:17" x14ac:dyDescent="0.25">
      <c r="D1687" s="2"/>
      <c r="E1687" s="310"/>
      <c r="I1687" s="2"/>
      <c r="M1687" s="2"/>
      <c r="P1687" s="2"/>
      <c r="Q1687" s="2"/>
    </row>
    <row r="1688" spans="4:17" x14ac:dyDescent="0.25">
      <c r="D1688" s="2"/>
      <c r="E1688" s="310"/>
      <c r="I1688" s="2"/>
      <c r="M1688" s="2"/>
      <c r="P1688" s="2"/>
      <c r="Q1688" s="2"/>
    </row>
    <row r="1689" spans="4:17" x14ac:dyDescent="0.25">
      <c r="D1689" s="2"/>
      <c r="E1689" s="310"/>
      <c r="I1689" s="2"/>
      <c r="M1689" s="2"/>
      <c r="P1689" s="2"/>
      <c r="Q1689" s="2"/>
    </row>
    <row r="1690" spans="4:17" x14ac:dyDescent="0.25">
      <c r="D1690" s="2"/>
      <c r="E1690" s="310"/>
      <c r="I1690" s="2"/>
      <c r="M1690" s="2"/>
      <c r="P1690" s="2"/>
      <c r="Q1690" s="2"/>
    </row>
    <row r="1691" spans="4:17" x14ac:dyDescent="0.25">
      <c r="D1691" s="2"/>
      <c r="E1691" s="310"/>
      <c r="I1691" s="2"/>
      <c r="M1691" s="2"/>
      <c r="P1691" s="2"/>
      <c r="Q1691" s="2"/>
    </row>
    <row r="1692" spans="4:17" x14ac:dyDescent="0.25">
      <c r="D1692" s="2"/>
      <c r="E1692" s="310"/>
      <c r="I1692" s="2"/>
      <c r="M1692" s="2"/>
      <c r="P1692" s="2"/>
      <c r="Q1692" s="2"/>
    </row>
    <row r="1693" spans="4:17" x14ac:dyDescent="0.25">
      <c r="D1693" s="2"/>
      <c r="E1693" s="310"/>
      <c r="I1693" s="2"/>
      <c r="M1693" s="2"/>
      <c r="P1693" s="2"/>
      <c r="Q1693" s="2"/>
    </row>
    <row r="1694" spans="4:17" x14ac:dyDescent="0.25">
      <c r="D1694" s="2"/>
      <c r="E1694" s="310"/>
      <c r="I1694" s="2"/>
      <c r="M1694" s="2"/>
      <c r="P1694" s="2"/>
      <c r="Q1694" s="2"/>
    </row>
    <row r="1695" spans="4:17" x14ac:dyDescent="0.25">
      <c r="D1695" s="2"/>
      <c r="E1695" s="310"/>
      <c r="I1695" s="2"/>
      <c r="M1695" s="2"/>
      <c r="P1695" s="2"/>
      <c r="Q1695" s="2"/>
    </row>
    <row r="1696" spans="4:17" x14ac:dyDescent="0.25">
      <c r="D1696" s="2"/>
      <c r="E1696" s="310"/>
      <c r="I1696" s="2"/>
      <c r="M1696" s="2"/>
      <c r="P1696" s="2"/>
      <c r="Q1696" s="2"/>
    </row>
    <row r="1697" spans="4:17" x14ac:dyDescent="0.25">
      <c r="D1697" s="2"/>
      <c r="E1697" s="310"/>
      <c r="I1697" s="2"/>
      <c r="M1697" s="2"/>
      <c r="P1697" s="2"/>
      <c r="Q1697" s="2"/>
    </row>
    <row r="1698" spans="4:17" x14ac:dyDescent="0.25">
      <c r="D1698" s="2"/>
      <c r="E1698" s="310"/>
      <c r="I1698" s="2"/>
      <c r="M1698" s="2"/>
      <c r="P1698" s="2"/>
      <c r="Q1698" s="2"/>
    </row>
    <row r="1699" spans="4:17" x14ac:dyDescent="0.25">
      <c r="D1699" s="2"/>
      <c r="E1699" s="310"/>
      <c r="I1699" s="2"/>
      <c r="M1699" s="2"/>
      <c r="P1699" s="2"/>
      <c r="Q1699" s="2"/>
    </row>
    <row r="1700" spans="4:17" x14ac:dyDescent="0.25">
      <c r="D1700" s="2"/>
      <c r="E1700" s="310"/>
      <c r="I1700" s="2"/>
      <c r="M1700" s="2"/>
      <c r="P1700" s="2"/>
      <c r="Q1700" s="2"/>
    </row>
    <row r="1701" spans="4:17" x14ac:dyDescent="0.25">
      <c r="D1701" s="2"/>
      <c r="E1701" s="310"/>
      <c r="I1701" s="2"/>
      <c r="M1701" s="2"/>
      <c r="P1701" s="2"/>
      <c r="Q1701" s="2"/>
    </row>
    <row r="1702" spans="4:17" x14ac:dyDescent="0.25">
      <c r="D1702" s="2"/>
      <c r="E1702" s="310"/>
      <c r="I1702" s="2"/>
      <c r="M1702" s="2"/>
      <c r="P1702" s="2"/>
      <c r="Q1702" s="2"/>
    </row>
    <row r="1703" spans="4:17" x14ac:dyDescent="0.25">
      <c r="D1703" s="2"/>
      <c r="E1703" s="310"/>
      <c r="I1703" s="2"/>
      <c r="M1703" s="2"/>
      <c r="P1703" s="2"/>
      <c r="Q1703" s="2"/>
    </row>
    <row r="1704" spans="4:17" x14ac:dyDescent="0.25">
      <c r="D1704" s="2"/>
      <c r="E1704" s="310"/>
      <c r="I1704" s="2"/>
      <c r="M1704" s="2"/>
      <c r="P1704" s="2"/>
      <c r="Q1704" s="2"/>
    </row>
    <row r="1705" spans="4:17" x14ac:dyDescent="0.25">
      <c r="D1705" s="2"/>
      <c r="E1705" s="310"/>
      <c r="I1705" s="2"/>
      <c r="M1705" s="2"/>
      <c r="P1705" s="2"/>
      <c r="Q1705" s="2"/>
    </row>
    <row r="1706" spans="4:17" x14ac:dyDescent="0.25">
      <c r="D1706" s="2"/>
      <c r="E1706" s="310"/>
      <c r="I1706" s="2"/>
      <c r="M1706" s="2"/>
      <c r="P1706" s="2"/>
      <c r="Q1706" s="2"/>
    </row>
    <row r="1707" spans="4:17" x14ac:dyDescent="0.25">
      <c r="D1707" s="2"/>
      <c r="E1707" s="310"/>
      <c r="I1707" s="2"/>
      <c r="M1707" s="2"/>
      <c r="P1707" s="2"/>
      <c r="Q1707" s="2"/>
    </row>
    <row r="1708" spans="4:17" x14ac:dyDescent="0.25">
      <c r="D1708" s="2"/>
      <c r="E1708" s="310"/>
      <c r="I1708" s="2"/>
      <c r="M1708" s="2"/>
      <c r="P1708" s="2"/>
      <c r="Q1708" s="2"/>
    </row>
    <row r="1709" spans="4:17" x14ac:dyDescent="0.25">
      <c r="D1709" s="2"/>
      <c r="E1709" s="310"/>
      <c r="I1709" s="2"/>
      <c r="M1709" s="2"/>
      <c r="P1709" s="2"/>
      <c r="Q1709" s="2"/>
    </row>
    <row r="1710" spans="4:17" x14ac:dyDescent="0.25">
      <c r="D1710" s="2"/>
      <c r="E1710" s="310"/>
      <c r="I1710" s="2"/>
      <c r="M1710" s="2"/>
      <c r="P1710" s="2"/>
      <c r="Q1710" s="2"/>
    </row>
    <row r="1711" spans="4:17" x14ac:dyDescent="0.25">
      <c r="D1711" s="2"/>
      <c r="E1711" s="310"/>
      <c r="I1711" s="2"/>
      <c r="M1711" s="2"/>
      <c r="P1711" s="2"/>
      <c r="Q1711" s="2"/>
    </row>
    <row r="1712" spans="4:17" x14ac:dyDescent="0.25">
      <c r="D1712" s="2"/>
      <c r="E1712" s="310"/>
      <c r="I1712" s="2"/>
      <c r="M1712" s="2"/>
      <c r="P1712" s="2"/>
      <c r="Q1712" s="2"/>
    </row>
    <row r="1713" spans="4:17" x14ac:dyDescent="0.25">
      <c r="D1713" s="2"/>
      <c r="E1713" s="310"/>
      <c r="I1713" s="2"/>
      <c r="M1713" s="2"/>
      <c r="P1713" s="2"/>
      <c r="Q1713" s="2"/>
    </row>
    <row r="1714" spans="4:17" x14ac:dyDescent="0.25">
      <c r="D1714" s="2"/>
      <c r="E1714" s="310"/>
      <c r="I1714" s="2"/>
      <c r="M1714" s="2"/>
      <c r="P1714" s="2"/>
      <c r="Q1714" s="2"/>
    </row>
    <row r="1715" spans="4:17" x14ac:dyDescent="0.25">
      <c r="D1715" s="2"/>
      <c r="E1715" s="310"/>
      <c r="I1715" s="2"/>
      <c r="M1715" s="2"/>
      <c r="P1715" s="2"/>
      <c r="Q1715" s="2"/>
    </row>
    <row r="1716" spans="4:17" x14ac:dyDescent="0.25">
      <c r="D1716" s="2"/>
      <c r="E1716" s="310"/>
      <c r="I1716" s="2"/>
      <c r="M1716" s="2"/>
      <c r="P1716" s="2"/>
      <c r="Q1716" s="2"/>
    </row>
    <row r="1717" spans="4:17" x14ac:dyDescent="0.25">
      <c r="D1717" s="2"/>
      <c r="E1717" s="310"/>
      <c r="I1717" s="2"/>
      <c r="M1717" s="2"/>
      <c r="P1717" s="2"/>
      <c r="Q1717" s="2"/>
    </row>
    <row r="1718" spans="4:17" x14ac:dyDescent="0.25">
      <c r="D1718" s="2"/>
      <c r="E1718" s="310"/>
      <c r="I1718" s="2"/>
      <c r="M1718" s="2"/>
      <c r="P1718" s="2"/>
      <c r="Q1718" s="2"/>
    </row>
    <row r="1719" spans="4:17" x14ac:dyDescent="0.25">
      <c r="D1719" s="2"/>
      <c r="E1719" s="310"/>
      <c r="I1719" s="2"/>
      <c r="M1719" s="2"/>
      <c r="P1719" s="2"/>
      <c r="Q1719" s="2"/>
    </row>
    <row r="1720" spans="4:17" x14ac:dyDescent="0.25">
      <c r="D1720" s="2"/>
      <c r="E1720" s="310"/>
      <c r="I1720" s="2"/>
      <c r="M1720" s="2"/>
      <c r="P1720" s="2"/>
      <c r="Q1720" s="2"/>
    </row>
    <row r="1721" spans="4:17" x14ac:dyDescent="0.25">
      <c r="D1721" s="2"/>
      <c r="E1721" s="310"/>
      <c r="I1721" s="2"/>
      <c r="M1721" s="2"/>
      <c r="P1721" s="2"/>
      <c r="Q1721" s="2"/>
    </row>
    <row r="1722" spans="4:17" x14ac:dyDescent="0.25">
      <c r="D1722" s="2"/>
      <c r="E1722" s="310"/>
      <c r="I1722" s="2"/>
      <c r="M1722" s="2"/>
      <c r="P1722" s="2"/>
      <c r="Q1722" s="2"/>
    </row>
    <row r="1723" spans="4:17" x14ac:dyDescent="0.25">
      <c r="D1723" s="2"/>
      <c r="E1723" s="310"/>
      <c r="I1723" s="2"/>
      <c r="M1723" s="2"/>
      <c r="P1723" s="2"/>
      <c r="Q1723" s="2"/>
    </row>
    <row r="1724" spans="4:17" x14ac:dyDescent="0.25">
      <c r="D1724" s="2"/>
      <c r="E1724" s="310"/>
      <c r="I1724" s="2"/>
      <c r="M1724" s="2"/>
      <c r="P1724" s="2"/>
      <c r="Q1724" s="2"/>
    </row>
    <row r="1725" spans="4:17" x14ac:dyDescent="0.25">
      <c r="D1725" s="2"/>
      <c r="E1725" s="310"/>
      <c r="I1725" s="2"/>
      <c r="M1725" s="2"/>
      <c r="P1725" s="2"/>
      <c r="Q1725" s="2"/>
    </row>
    <row r="1726" spans="4:17" x14ac:dyDescent="0.25">
      <c r="D1726" s="2"/>
      <c r="E1726" s="310"/>
      <c r="I1726" s="2"/>
      <c r="M1726" s="2"/>
      <c r="P1726" s="2"/>
      <c r="Q1726" s="2"/>
    </row>
    <row r="1727" spans="4:17" x14ac:dyDescent="0.25">
      <c r="D1727" s="2"/>
      <c r="E1727" s="310"/>
      <c r="I1727" s="2"/>
      <c r="M1727" s="2"/>
      <c r="P1727" s="2"/>
      <c r="Q1727" s="2"/>
    </row>
    <row r="1728" spans="4:17" x14ac:dyDescent="0.25">
      <c r="D1728" s="2"/>
      <c r="E1728" s="310"/>
      <c r="I1728" s="2"/>
      <c r="M1728" s="2"/>
      <c r="P1728" s="2"/>
      <c r="Q1728" s="2"/>
    </row>
    <row r="1729" spans="4:17" x14ac:dyDescent="0.25">
      <c r="D1729" s="2"/>
      <c r="E1729" s="310"/>
      <c r="I1729" s="2"/>
      <c r="M1729" s="2"/>
      <c r="P1729" s="2"/>
      <c r="Q1729" s="2"/>
    </row>
    <row r="1730" spans="4:17" x14ac:dyDescent="0.25">
      <c r="D1730" s="2"/>
      <c r="E1730" s="310"/>
      <c r="I1730" s="2"/>
      <c r="M1730" s="2"/>
      <c r="P1730" s="2"/>
      <c r="Q1730" s="2"/>
    </row>
    <row r="1731" spans="4:17" x14ac:dyDescent="0.25">
      <c r="D1731" s="2"/>
      <c r="E1731" s="310"/>
      <c r="I1731" s="2"/>
      <c r="M1731" s="2"/>
      <c r="P1731" s="2"/>
      <c r="Q1731" s="2"/>
    </row>
    <row r="1732" spans="4:17" x14ac:dyDescent="0.25">
      <c r="D1732" s="2"/>
      <c r="E1732" s="310"/>
      <c r="I1732" s="2"/>
      <c r="M1732" s="2"/>
      <c r="P1732" s="2"/>
      <c r="Q1732" s="2"/>
    </row>
    <row r="1733" spans="4:17" x14ac:dyDescent="0.25">
      <c r="D1733" s="2"/>
      <c r="E1733" s="310"/>
      <c r="I1733" s="2"/>
      <c r="M1733" s="2"/>
      <c r="P1733" s="2"/>
      <c r="Q1733" s="2"/>
    </row>
    <row r="1734" spans="4:17" x14ac:dyDescent="0.25">
      <c r="D1734" s="2"/>
      <c r="E1734" s="310"/>
      <c r="I1734" s="2"/>
      <c r="M1734" s="2"/>
      <c r="P1734" s="2"/>
      <c r="Q1734" s="2"/>
    </row>
    <row r="1735" spans="4:17" x14ac:dyDescent="0.25">
      <c r="D1735" s="2"/>
      <c r="E1735" s="310"/>
      <c r="I1735" s="2"/>
      <c r="M1735" s="2"/>
      <c r="P1735" s="2"/>
      <c r="Q1735" s="2"/>
    </row>
    <row r="1736" spans="4:17" x14ac:dyDescent="0.25">
      <c r="D1736" s="2"/>
      <c r="E1736" s="310"/>
      <c r="I1736" s="2"/>
      <c r="M1736" s="2"/>
      <c r="P1736" s="2"/>
      <c r="Q1736" s="2"/>
    </row>
    <row r="1737" spans="4:17" x14ac:dyDescent="0.25">
      <c r="D1737" s="2"/>
      <c r="E1737" s="310"/>
      <c r="I1737" s="2"/>
      <c r="M1737" s="2"/>
      <c r="P1737" s="2"/>
      <c r="Q1737" s="2"/>
    </row>
    <row r="1738" spans="4:17" x14ac:dyDescent="0.25">
      <c r="D1738" s="2"/>
      <c r="E1738" s="310"/>
      <c r="I1738" s="2"/>
      <c r="M1738" s="2"/>
      <c r="P1738" s="2"/>
      <c r="Q1738" s="2"/>
    </row>
    <row r="1739" spans="4:17" x14ac:dyDescent="0.25">
      <c r="D1739" s="2"/>
      <c r="E1739" s="310"/>
      <c r="I1739" s="2"/>
      <c r="M1739" s="2"/>
      <c r="P1739" s="2"/>
      <c r="Q1739" s="2"/>
    </row>
    <row r="1740" spans="4:17" x14ac:dyDescent="0.25">
      <c r="D1740" s="2"/>
      <c r="E1740" s="310"/>
      <c r="I1740" s="2"/>
      <c r="M1740" s="2"/>
      <c r="P1740" s="2"/>
      <c r="Q1740" s="2"/>
    </row>
    <row r="1741" spans="4:17" x14ac:dyDescent="0.25">
      <c r="D1741" s="2"/>
      <c r="E1741" s="310"/>
      <c r="I1741" s="2"/>
      <c r="M1741" s="2"/>
      <c r="P1741" s="2"/>
      <c r="Q1741" s="2"/>
    </row>
    <row r="1742" spans="4:17" x14ac:dyDescent="0.25">
      <c r="D1742" s="2"/>
      <c r="E1742" s="310"/>
      <c r="I1742" s="2"/>
      <c r="M1742" s="2"/>
      <c r="P1742" s="2"/>
      <c r="Q1742" s="2"/>
    </row>
    <row r="1743" spans="4:17" x14ac:dyDescent="0.25">
      <c r="D1743" s="2"/>
      <c r="E1743" s="310"/>
      <c r="I1743" s="2"/>
      <c r="M1743" s="2"/>
      <c r="P1743" s="2"/>
      <c r="Q1743" s="2"/>
    </row>
    <row r="1744" spans="4:17" x14ac:dyDescent="0.25">
      <c r="D1744" s="2"/>
      <c r="E1744" s="310"/>
      <c r="I1744" s="2"/>
      <c r="M1744" s="2"/>
      <c r="P1744" s="2"/>
      <c r="Q1744" s="2"/>
    </row>
    <row r="1745" spans="4:17" x14ac:dyDescent="0.25">
      <c r="D1745" s="2"/>
      <c r="E1745" s="310"/>
      <c r="I1745" s="2"/>
      <c r="M1745" s="2"/>
      <c r="P1745" s="2"/>
      <c r="Q1745" s="2"/>
    </row>
    <row r="1746" spans="4:17" x14ac:dyDescent="0.25">
      <c r="D1746" s="2"/>
      <c r="E1746" s="310"/>
      <c r="I1746" s="2"/>
      <c r="M1746" s="2"/>
      <c r="P1746" s="2"/>
      <c r="Q1746" s="2"/>
    </row>
    <row r="1747" spans="4:17" x14ac:dyDescent="0.25">
      <c r="D1747" s="2"/>
      <c r="E1747" s="310"/>
      <c r="I1747" s="2"/>
      <c r="M1747" s="2"/>
      <c r="P1747" s="2"/>
      <c r="Q1747" s="2"/>
    </row>
    <row r="1748" spans="4:17" x14ac:dyDescent="0.25">
      <c r="D1748" s="2"/>
      <c r="E1748" s="310"/>
      <c r="I1748" s="2"/>
      <c r="M1748" s="2"/>
      <c r="P1748" s="2"/>
      <c r="Q1748" s="2"/>
    </row>
    <row r="1749" spans="4:17" x14ac:dyDescent="0.25">
      <c r="D1749" s="2"/>
      <c r="E1749" s="310"/>
      <c r="I1749" s="2"/>
      <c r="M1749" s="2"/>
      <c r="P1749" s="2"/>
      <c r="Q1749" s="2"/>
    </row>
    <row r="1750" spans="4:17" x14ac:dyDescent="0.25">
      <c r="D1750" s="2"/>
      <c r="E1750" s="310"/>
      <c r="I1750" s="2"/>
      <c r="M1750" s="2"/>
      <c r="P1750" s="2"/>
      <c r="Q1750" s="2"/>
    </row>
    <row r="1751" spans="4:17" x14ac:dyDescent="0.25">
      <c r="D1751" s="2"/>
      <c r="E1751" s="310"/>
      <c r="I1751" s="2"/>
      <c r="M1751" s="2"/>
      <c r="P1751" s="2"/>
      <c r="Q1751" s="2"/>
    </row>
    <row r="1752" spans="4:17" x14ac:dyDescent="0.25">
      <c r="D1752" s="2"/>
      <c r="E1752" s="310"/>
      <c r="I1752" s="2"/>
      <c r="M1752" s="2"/>
      <c r="P1752" s="2"/>
      <c r="Q1752" s="2"/>
    </row>
    <row r="1753" spans="4:17" x14ac:dyDescent="0.25">
      <c r="D1753" s="2"/>
      <c r="E1753" s="310"/>
      <c r="I1753" s="2"/>
      <c r="M1753" s="2"/>
      <c r="P1753" s="2"/>
      <c r="Q1753" s="2"/>
    </row>
    <row r="1754" spans="4:17" x14ac:dyDescent="0.25">
      <c r="D1754" s="2"/>
      <c r="E1754" s="310"/>
      <c r="I1754" s="2"/>
      <c r="M1754" s="2"/>
      <c r="P1754" s="2"/>
      <c r="Q1754" s="2"/>
    </row>
    <row r="1755" spans="4:17" x14ac:dyDescent="0.25">
      <c r="D1755" s="2"/>
      <c r="E1755" s="310"/>
      <c r="I1755" s="2"/>
      <c r="M1755" s="2"/>
      <c r="P1755" s="2"/>
      <c r="Q1755" s="2"/>
    </row>
    <row r="1756" spans="4:17" x14ac:dyDescent="0.25">
      <c r="D1756" s="2"/>
      <c r="E1756" s="310"/>
      <c r="I1756" s="2"/>
      <c r="M1756" s="2"/>
      <c r="P1756" s="2"/>
      <c r="Q1756" s="2"/>
    </row>
    <row r="1757" spans="4:17" x14ac:dyDescent="0.25">
      <c r="D1757" s="2"/>
      <c r="E1757" s="310"/>
      <c r="I1757" s="2"/>
      <c r="M1757" s="2"/>
      <c r="P1757" s="2"/>
      <c r="Q1757" s="2"/>
    </row>
    <row r="1758" spans="4:17" x14ac:dyDescent="0.25">
      <c r="D1758" s="2"/>
      <c r="E1758" s="310"/>
      <c r="I1758" s="2"/>
      <c r="M1758" s="2"/>
      <c r="P1758" s="2"/>
      <c r="Q1758" s="2"/>
    </row>
    <row r="1759" spans="4:17" x14ac:dyDescent="0.25">
      <c r="D1759" s="2"/>
      <c r="E1759" s="310"/>
      <c r="I1759" s="2"/>
      <c r="M1759" s="2"/>
      <c r="P1759" s="2"/>
      <c r="Q1759" s="2"/>
    </row>
    <row r="1760" spans="4:17" x14ac:dyDescent="0.25">
      <c r="D1760" s="2"/>
      <c r="E1760" s="310"/>
      <c r="I1760" s="2"/>
      <c r="M1760" s="2"/>
      <c r="P1760" s="2"/>
      <c r="Q1760" s="2"/>
    </row>
    <row r="1761" spans="4:17" x14ac:dyDescent="0.25">
      <c r="D1761" s="2"/>
      <c r="E1761" s="310"/>
      <c r="I1761" s="2"/>
      <c r="M1761" s="2"/>
      <c r="P1761" s="2"/>
      <c r="Q1761" s="2"/>
    </row>
    <row r="1762" spans="4:17" x14ac:dyDescent="0.25">
      <c r="D1762" s="2"/>
      <c r="E1762" s="310"/>
      <c r="I1762" s="2"/>
      <c r="M1762" s="2"/>
      <c r="P1762" s="2"/>
      <c r="Q1762" s="2"/>
    </row>
    <row r="1763" spans="4:17" x14ac:dyDescent="0.25">
      <c r="D1763" s="2"/>
      <c r="E1763" s="310"/>
      <c r="I1763" s="2"/>
      <c r="M1763" s="2"/>
      <c r="P1763" s="2"/>
      <c r="Q1763" s="2"/>
    </row>
    <row r="1764" spans="4:17" x14ac:dyDescent="0.25">
      <c r="D1764" s="2"/>
      <c r="E1764" s="310"/>
      <c r="I1764" s="2"/>
      <c r="M1764" s="2"/>
      <c r="P1764" s="2"/>
      <c r="Q1764" s="2"/>
    </row>
    <row r="1765" spans="4:17" x14ac:dyDescent="0.25">
      <c r="D1765" s="2"/>
      <c r="E1765" s="310"/>
      <c r="I1765" s="2"/>
      <c r="M1765" s="2"/>
      <c r="P1765" s="2"/>
      <c r="Q1765" s="2"/>
    </row>
    <row r="1766" spans="4:17" x14ac:dyDescent="0.25">
      <c r="D1766" s="2"/>
      <c r="E1766" s="310"/>
      <c r="I1766" s="2"/>
      <c r="M1766" s="2"/>
      <c r="P1766" s="2"/>
      <c r="Q1766" s="2"/>
    </row>
    <row r="1767" spans="4:17" x14ac:dyDescent="0.25">
      <c r="D1767" s="2"/>
      <c r="E1767" s="310"/>
      <c r="I1767" s="2"/>
      <c r="M1767" s="2"/>
      <c r="P1767" s="2"/>
      <c r="Q1767" s="2"/>
    </row>
    <row r="1768" spans="4:17" x14ac:dyDescent="0.25">
      <c r="D1768" s="2"/>
      <c r="E1768" s="310"/>
      <c r="I1768" s="2"/>
      <c r="M1768" s="2"/>
      <c r="P1768" s="2"/>
      <c r="Q1768" s="2"/>
    </row>
    <row r="1769" spans="4:17" x14ac:dyDescent="0.25">
      <c r="D1769" s="2"/>
      <c r="E1769" s="310"/>
      <c r="I1769" s="2"/>
      <c r="M1769" s="2"/>
      <c r="P1769" s="2"/>
      <c r="Q1769" s="2"/>
    </row>
    <row r="1770" spans="4:17" x14ac:dyDescent="0.25">
      <c r="D1770" s="2"/>
      <c r="E1770" s="310"/>
      <c r="I1770" s="2"/>
      <c r="M1770" s="2"/>
      <c r="P1770" s="2"/>
      <c r="Q1770" s="2"/>
    </row>
    <row r="1771" spans="4:17" x14ac:dyDescent="0.25">
      <c r="D1771" s="2"/>
      <c r="E1771" s="310"/>
      <c r="I1771" s="2"/>
      <c r="M1771" s="2"/>
      <c r="P1771" s="2"/>
      <c r="Q1771" s="2"/>
    </row>
    <row r="1772" spans="4:17" x14ac:dyDescent="0.25">
      <c r="D1772" s="2"/>
      <c r="E1772" s="310"/>
      <c r="I1772" s="2"/>
      <c r="M1772" s="2"/>
      <c r="P1772" s="2"/>
      <c r="Q1772" s="2"/>
    </row>
    <row r="1773" spans="4:17" x14ac:dyDescent="0.25">
      <c r="D1773" s="2"/>
      <c r="E1773" s="310"/>
      <c r="I1773" s="2"/>
      <c r="M1773" s="2"/>
      <c r="P1773" s="2"/>
      <c r="Q1773" s="2"/>
    </row>
    <row r="1774" spans="4:17" x14ac:dyDescent="0.25">
      <c r="D1774" s="2"/>
      <c r="E1774" s="310"/>
      <c r="I1774" s="2"/>
      <c r="M1774" s="2"/>
      <c r="P1774" s="2"/>
      <c r="Q1774" s="2"/>
    </row>
    <row r="1775" spans="4:17" x14ac:dyDescent="0.25">
      <c r="D1775" s="2"/>
      <c r="E1775" s="310"/>
      <c r="I1775" s="2"/>
      <c r="M1775" s="2"/>
      <c r="P1775" s="2"/>
      <c r="Q1775" s="2"/>
    </row>
    <row r="1776" spans="4:17" x14ac:dyDescent="0.25">
      <c r="D1776" s="2"/>
      <c r="E1776" s="310"/>
      <c r="I1776" s="2"/>
      <c r="M1776" s="2"/>
      <c r="P1776" s="2"/>
      <c r="Q1776" s="2"/>
    </row>
    <row r="1777" spans="4:17" x14ac:dyDescent="0.25">
      <c r="D1777" s="2"/>
      <c r="E1777" s="310"/>
      <c r="I1777" s="2"/>
      <c r="M1777" s="2"/>
      <c r="P1777" s="2"/>
      <c r="Q1777" s="2"/>
    </row>
    <row r="1778" spans="4:17" x14ac:dyDescent="0.25">
      <c r="D1778" s="2"/>
      <c r="E1778" s="310"/>
      <c r="I1778" s="2"/>
      <c r="M1778" s="2"/>
      <c r="P1778" s="2"/>
      <c r="Q1778" s="2"/>
    </row>
    <row r="1779" spans="4:17" x14ac:dyDescent="0.25">
      <c r="D1779" s="2"/>
      <c r="E1779" s="310"/>
      <c r="I1779" s="2"/>
      <c r="M1779" s="2"/>
      <c r="P1779" s="2"/>
      <c r="Q1779" s="2"/>
    </row>
    <row r="1780" spans="4:17" x14ac:dyDescent="0.25">
      <c r="D1780" s="2"/>
      <c r="E1780" s="310"/>
      <c r="I1780" s="2"/>
      <c r="M1780" s="2"/>
      <c r="P1780" s="2"/>
      <c r="Q1780" s="2"/>
    </row>
    <row r="1781" spans="4:17" x14ac:dyDescent="0.25">
      <c r="D1781" s="2"/>
      <c r="E1781" s="310"/>
      <c r="I1781" s="2"/>
      <c r="M1781" s="2"/>
      <c r="P1781" s="2"/>
      <c r="Q1781" s="2"/>
    </row>
    <row r="1782" spans="4:17" x14ac:dyDescent="0.25">
      <c r="D1782" s="2"/>
      <c r="E1782" s="310"/>
      <c r="I1782" s="2"/>
      <c r="M1782" s="2"/>
      <c r="P1782" s="2"/>
      <c r="Q1782" s="2"/>
    </row>
    <row r="1783" spans="4:17" x14ac:dyDescent="0.25">
      <c r="D1783" s="2"/>
      <c r="E1783" s="310"/>
      <c r="I1783" s="2"/>
      <c r="M1783" s="2"/>
      <c r="P1783" s="2"/>
      <c r="Q1783" s="2"/>
    </row>
    <row r="1784" spans="4:17" x14ac:dyDescent="0.25">
      <c r="D1784" s="2"/>
      <c r="E1784" s="310"/>
      <c r="I1784" s="2"/>
      <c r="M1784" s="2"/>
      <c r="P1784" s="2"/>
      <c r="Q1784" s="2"/>
    </row>
    <row r="1785" spans="4:17" x14ac:dyDescent="0.25">
      <c r="D1785" s="2"/>
      <c r="E1785" s="310"/>
      <c r="I1785" s="2"/>
      <c r="M1785" s="2"/>
      <c r="P1785" s="2"/>
      <c r="Q1785" s="2"/>
    </row>
    <row r="1786" spans="4:17" x14ac:dyDescent="0.25">
      <c r="D1786" s="2"/>
      <c r="E1786" s="310"/>
      <c r="I1786" s="2"/>
      <c r="M1786" s="2"/>
      <c r="P1786" s="2"/>
      <c r="Q1786" s="2"/>
    </row>
    <row r="1787" spans="4:17" x14ac:dyDescent="0.25">
      <c r="D1787" s="2"/>
      <c r="E1787" s="310"/>
      <c r="I1787" s="2"/>
      <c r="M1787" s="2"/>
      <c r="P1787" s="2"/>
      <c r="Q1787" s="2"/>
    </row>
    <row r="1788" spans="4:17" x14ac:dyDescent="0.25">
      <c r="D1788" s="2"/>
      <c r="E1788" s="310"/>
      <c r="I1788" s="2"/>
      <c r="M1788" s="2"/>
      <c r="P1788" s="2"/>
      <c r="Q1788" s="2"/>
    </row>
    <row r="1789" spans="4:17" x14ac:dyDescent="0.25">
      <c r="D1789" s="2"/>
      <c r="E1789" s="310"/>
      <c r="I1789" s="2"/>
      <c r="M1789" s="2"/>
      <c r="P1789" s="2"/>
      <c r="Q1789" s="2"/>
    </row>
    <row r="1790" spans="4:17" x14ac:dyDescent="0.25">
      <c r="D1790" s="2"/>
      <c r="E1790" s="310"/>
      <c r="I1790" s="2"/>
      <c r="M1790" s="2"/>
      <c r="P1790" s="2"/>
      <c r="Q1790" s="2"/>
    </row>
    <row r="1791" spans="4:17" x14ac:dyDescent="0.25">
      <c r="D1791" s="2"/>
      <c r="E1791" s="310"/>
      <c r="I1791" s="2"/>
      <c r="M1791" s="2"/>
      <c r="P1791" s="2"/>
      <c r="Q1791" s="2"/>
    </row>
    <row r="1792" spans="4:17" x14ac:dyDescent="0.25">
      <c r="D1792" s="2"/>
      <c r="E1792" s="310"/>
      <c r="I1792" s="2"/>
      <c r="M1792" s="2"/>
      <c r="P1792" s="2"/>
      <c r="Q1792" s="2"/>
    </row>
    <row r="1798" spans="4:17" x14ac:dyDescent="0.25">
      <c r="D1798" s="2"/>
      <c r="E1798" s="310"/>
      <c r="I1798" s="2"/>
      <c r="M1798" s="2"/>
      <c r="P1798" s="2"/>
      <c r="Q1798" s="2"/>
    </row>
    <row r="1799" spans="4:17" x14ac:dyDescent="0.25">
      <c r="D1799" s="2"/>
      <c r="E1799" s="310"/>
      <c r="I1799" s="2"/>
      <c r="M1799" s="2"/>
      <c r="P1799" s="2"/>
      <c r="Q1799" s="2"/>
    </row>
    <row r="1800" spans="4:17" x14ac:dyDescent="0.25">
      <c r="D1800" s="2"/>
      <c r="E1800" s="310"/>
      <c r="I1800" s="2"/>
      <c r="M1800" s="2"/>
      <c r="P1800" s="2"/>
      <c r="Q1800" s="2"/>
    </row>
    <row r="1801" spans="4:17" x14ac:dyDescent="0.25">
      <c r="D1801" s="2"/>
      <c r="E1801" s="310"/>
      <c r="I1801" s="2"/>
      <c r="M1801" s="2"/>
      <c r="P1801" s="2"/>
      <c r="Q1801" s="2"/>
    </row>
    <row r="1802" spans="4:17" x14ac:dyDescent="0.25">
      <c r="D1802" s="2"/>
      <c r="E1802" s="310"/>
      <c r="I1802" s="2"/>
      <c r="M1802" s="2"/>
      <c r="P1802" s="2"/>
      <c r="Q1802" s="2"/>
    </row>
    <row r="1803" spans="4:17" x14ac:dyDescent="0.25">
      <c r="D1803" s="2"/>
      <c r="E1803" s="310"/>
      <c r="I1803" s="2"/>
      <c r="M1803" s="2"/>
      <c r="P1803" s="2"/>
      <c r="Q1803" s="2"/>
    </row>
    <row r="1804" spans="4:17" x14ac:dyDescent="0.25">
      <c r="D1804" s="2"/>
      <c r="E1804" s="310"/>
      <c r="I1804" s="2"/>
      <c r="M1804" s="2"/>
      <c r="P1804" s="2"/>
      <c r="Q1804" s="2"/>
    </row>
    <row r="1805" spans="4:17" x14ac:dyDescent="0.25">
      <c r="D1805" s="2"/>
      <c r="E1805" s="310"/>
      <c r="I1805" s="2"/>
      <c r="M1805" s="2"/>
      <c r="P1805" s="2"/>
      <c r="Q1805" s="2"/>
    </row>
    <row r="1806" spans="4:17" x14ac:dyDescent="0.25">
      <c r="D1806" s="2"/>
      <c r="E1806" s="310"/>
      <c r="I1806" s="2"/>
      <c r="M1806" s="2"/>
      <c r="P1806" s="2"/>
      <c r="Q1806" s="2"/>
    </row>
    <row r="1807" spans="4:17" x14ac:dyDescent="0.25">
      <c r="D1807" s="2"/>
      <c r="E1807" s="310"/>
      <c r="I1807" s="2"/>
      <c r="M1807" s="2"/>
      <c r="P1807" s="2"/>
      <c r="Q1807" s="2"/>
    </row>
    <row r="1808" spans="4:17" x14ac:dyDescent="0.25">
      <c r="D1808" s="2"/>
      <c r="E1808" s="310"/>
      <c r="I1808" s="2"/>
      <c r="M1808" s="2"/>
      <c r="P1808" s="2"/>
      <c r="Q1808" s="2"/>
    </row>
    <row r="1809" spans="4:17" x14ac:dyDescent="0.25">
      <c r="D1809" s="2"/>
      <c r="E1809" s="310"/>
      <c r="I1809" s="2"/>
      <c r="M1809" s="2"/>
      <c r="P1809" s="2"/>
      <c r="Q1809" s="2"/>
    </row>
    <row r="1810" spans="4:17" x14ac:dyDescent="0.25">
      <c r="D1810" s="2"/>
      <c r="E1810" s="310"/>
      <c r="I1810" s="2"/>
      <c r="M1810" s="2"/>
      <c r="P1810" s="2"/>
      <c r="Q1810" s="2"/>
    </row>
    <row r="1811" spans="4:17" x14ac:dyDescent="0.25">
      <c r="D1811" s="2"/>
      <c r="E1811" s="310"/>
      <c r="I1811" s="2"/>
      <c r="M1811" s="2"/>
      <c r="P1811" s="2"/>
      <c r="Q1811" s="2"/>
    </row>
    <row r="1812" spans="4:17" x14ac:dyDescent="0.25">
      <c r="D1812" s="2"/>
      <c r="E1812" s="310"/>
      <c r="I1812" s="2"/>
      <c r="M1812" s="2"/>
      <c r="P1812" s="2"/>
      <c r="Q1812" s="2"/>
    </row>
    <row r="1813" spans="4:17" x14ac:dyDescent="0.25">
      <c r="D1813" s="2"/>
      <c r="E1813" s="310"/>
      <c r="I1813" s="2"/>
      <c r="M1813" s="2"/>
      <c r="P1813" s="2"/>
      <c r="Q1813" s="2"/>
    </row>
    <row r="1814" spans="4:17" x14ac:dyDescent="0.25">
      <c r="D1814" s="2"/>
      <c r="E1814" s="310"/>
      <c r="I1814" s="2"/>
      <c r="M1814" s="2"/>
      <c r="P1814" s="2"/>
      <c r="Q1814" s="2"/>
    </row>
    <row r="1815" spans="4:17" x14ac:dyDescent="0.25">
      <c r="D1815" s="2"/>
      <c r="E1815" s="310"/>
      <c r="I1815" s="2"/>
      <c r="M1815" s="2"/>
      <c r="P1815" s="2"/>
      <c r="Q1815" s="2"/>
    </row>
    <row r="1816" spans="4:17" x14ac:dyDescent="0.25">
      <c r="D1816" s="2"/>
      <c r="E1816" s="310"/>
      <c r="I1816" s="2"/>
      <c r="M1816" s="2"/>
      <c r="P1816" s="2"/>
      <c r="Q1816" s="2"/>
    </row>
    <row r="1817" spans="4:17" x14ac:dyDescent="0.25">
      <c r="D1817" s="2"/>
      <c r="E1817" s="310"/>
      <c r="I1817" s="2"/>
      <c r="M1817" s="2"/>
      <c r="P1817" s="2"/>
      <c r="Q1817" s="2"/>
    </row>
    <row r="1818" spans="4:17" x14ac:dyDescent="0.25">
      <c r="D1818" s="2"/>
      <c r="E1818" s="310"/>
      <c r="I1818" s="2"/>
      <c r="M1818" s="2"/>
      <c r="P1818" s="2"/>
      <c r="Q1818" s="2"/>
    </row>
    <row r="1819" spans="4:17" x14ac:dyDescent="0.25">
      <c r="D1819" s="2"/>
      <c r="E1819" s="310"/>
      <c r="I1819" s="2"/>
      <c r="M1819" s="2"/>
      <c r="P1819" s="2"/>
      <c r="Q1819" s="2"/>
    </row>
    <row r="1820" spans="4:17" x14ac:dyDescent="0.25">
      <c r="D1820" s="2"/>
      <c r="E1820" s="310"/>
      <c r="I1820" s="2"/>
      <c r="M1820" s="2"/>
      <c r="P1820" s="2"/>
      <c r="Q1820" s="2"/>
    </row>
    <row r="1821" spans="4:17" x14ac:dyDescent="0.25">
      <c r="D1821" s="2"/>
      <c r="E1821" s="310"/>
      <c r="I1821" s="2"/>
      <c r="M1821" s="2"/>
      <c r="P1821" s="2"/>
      <c r="Q1821" s="2"/>
    </row>
    <row r="1822" spans="4:17" x14ac:dyDescent="0.25">
      <c r="D1822" s="2"/>
      <c r="E1822" s="310"/>
      <c r="I1822" s="2"/>
      <c r="M1822" s="2"/>
      <c r="P1822" s="2"/>
      <c r="Q1822" s="2"/>
    </row>
    <row r="1823" spans="4:17" x14ac:dyDescent="0.25">
      <c r="D1823" s="2"/>
      <c r="E1823" s="310"/>
      <c r="I1823" s="2"/>
      <c r="M1823" s="2"/>
      <c r="P1823" s="2"/>
      <c r="Q1823" s="2"/>
    </row>
    <row r="1824" spans="4:17" x14ac:dyDescent="0.25">
      <c r="D1824" s="2"/>
      <c r="E1824" s="310"/>
      <c r="I1824" s="2"/>
      <c r="M1824" s="2"/>
      <c r="P1824" s="2"/>
      <c r="Q1824" s="2"/>
    </row>
    <row r="1825" spans="4:17" x14ac:dyDescent="0.25">
      <c r="D1825" s="2"/>
      <c r="E1825" s="310"/>
      <c r="I1825" s="2"/>
      <c r="M1825" s="2"/>
      <c r="P1825" s="2"/>
      <c r="Q1825" s="2"/>
    </row>
    <row r="1826" spans="4:17" x14ac:dyDescent="0.25">
      <c r="D1826" s="2"/>
      <c r="E1826" s="310"/>
      <c r="I1826" s="2"/>
      <c r="M1826" s="2"/>
      <c r="P1826" s="2"/>
      <c r="Q1826" s="2"/>
    </row>
    <row r="1827" spans="4:17" x14ac:dyDescent="0.25">
      <c r="D1827" s="2"/>
      <c r="E1827" s="310"/>
      <c r="I1827" s="2"/>
      <c r="M1827" s="2"/>
      <c r="P1827" s="2"/>
      <c r="Q1827" s="2"/>
    </row>
    <row r="1828" spans="4:17" x14ac:dyDescent="0.25">
      <c r="D1828" s="2"/>
      <c r="E1828" s="310"/>
      <c r="I1828" s="2"/>
      <c r="M1828" s="2"/>
      <c r="P1828" s="2"/>
      <c r="Q1828" s="2"/>
    </row>
    <row r="1829" spans="4:17" x14ac:dyDescent="0.25">
      <c r="D1829" s="2"/>
      <c r="E1829" s="310"/>
      <c r="I1829" s="2"/>
      <c r="M1829" s="2"/>
      <c r="P1829" s="2"/>
      <c r="Q1829" s="2"/>
    </row>
    <row r="1830" spans="4:17" x14ac:dyDescent="0.25">
      <c r="D1830" s="2"/>
      <c r="E1830" s="310"/>
      <c r="I1830" s="2"/>
      <c r="M1830" s="2"/>
      <c r="P1830" s="2"/>
      <c r="Q1830" s="2"/>
    </row>
    <row r="1831" spans="4:17" x14ac:dyDescent="0.25">
      <c r="D1831" s="2"/>
      <c r="E1831" s="310"/>
      <c r="I1831" s="2"/>
      <c r="M1831" s="2"/>
      <c r="P1831" s="2"/>
      <c r="Q1831" s="2"/>
    </row>
    <row r="1832" spans="4:17" x14ac:dyDescent="0.25">
      <c r="D1832" s="2"/>
      <c r="E1832" s="310"/>
      <c r="I1832" s="2"/>
      <c r="M1832" s="2"/>
      <c r="P1832" s="2"/>
      <c r="Q1832" s="2"/>
    </row>
    <row r="1833" spans="4:17" x14ac:dyDescent="0.25">
      <c r="D1833" s="2"/>
      <c r="E1833" s="310"/>
      <c r="I1833" s="2"/>
      <c r="M1833" s="2"/>
      <c r="P1833" s="2"/>
      <c r="Q1833" s="2"/>
    </row>
    <row r="1834" spans="4:17" x14ac:dyDescent="0.25">
      <c r="D1834" s="2"/>
      <c r="E1834" s="310"/>
      <c r="I1834" s="2"/>
      <c r="M1834" s="2"/>
      <c r="P1834" s="2"/>
      <c r="Q1834" s="2"/>
    </row>
    <row r="1835" spans="4:17" x14ac:dyDescent="0.25">
      <c r="D1835" s="2"/>
      <c r="E1835" s="310"/>
      <c r="I1835" s="2"/>
      <c r="M1835" s="2"/>
      <c r="P1835" s="2"/>
      <c r="Q1835" s="2"/>
    </row>
    <row r="1836" spans="4:17" x14ac:dyDescent="0.25">
      <c r="D1836" s="2"/>
      <c r="E1836" s="310"/>
      <c r="I1836" s="2"/>
      <c r="M1836" s="2"/>
      <c r="P1836" s="2"/>
      <c r="Q1836" s="2"/>
    </row>
    <row r="1837" spans="4:17" x14ac:dyDescent="0.25">
      <c r="D1837" s="2"/>
      <c r="E1837" s="310"/>
      <c r="I1837" s="2"/>
      <c r="M1837" s="2"/>
      <c r="P1837" s="2"/>
      <c r="Q1837" s="2"/>
    </row>
    <row r="1838" spans="4:17" x14ac:dyDescent="0.25">
      <c r="D1838" s="2"/>
      <c r="E1838" s="310"/>
      <c r="I1838" s="2"/>
      <c r="M1838" s="2"/>
      <c r="P1838" s="2"/>
      <c r="Q1838" s="2"/>
    </row>
    <row r="1839" spans="4:17" x14ac:dyDescent="0.25">
      <c r="D1839" s="2"/>
      <c r="E1839" s="310"/>
      <c r="I1839" s="2"/>
      <c r="M1839" s="2"/>
      <c r="P1839" s="2"/>
      <c r="Q1839" s="2"/>
    </row>
    <row r="1840" spans="4:17" x14ac:dyDescent="0.25">
      <c r="D1840" s="2"/>
      <c r="E1840" s="310"/>
      <c r="I1840" s="2"/>
      <c r="M1840" s="2"/>
      <c r="P1840" s="2"/>
      <c r="Q1840" s="2"/>
    </row>
    <row r="1841" spans="4:17" x14ac:dyDescent="0.25">
      <c r="D1841" s="2"/>
      <c r="E1841" s="310"/>
      <c r="I1841" s="2"/>
      <c r="M1841" s="2"/>
      <c r="P1841" s="2"/>
      <c r="Q1841" s="2"/>
    </row>
    <row r="1842" spans="4:17" x14ac:dyDescent="0.25">
      <c r="D1842" s="2"/>
      <c r="E1842" s="310"/>
      <c r="I1842" s="2"/>
      <c r="M1842" s="2"/>
      <c r="P1842" s="2"/>
      <c r="Q1842" s="2"/>
    </row>
    <row r="1843" spans="4:17" x14ac:dyDescent="0.25">
      <c r="D1843" s="2"/>
      <c r="E1843" s="310"/>
      <c r="I1843" s="2"/>
      <c r="M1843" s="2"/>
      <c r="P1843" s="2"/>
      <c r="Q1843" s="2"/>
    </row>
    <row r="1844" spans="4:17" x14ac:dyDescent="0.25">
      <c r="D1844" s="2"/>
      <c r="E1844" s="310"/>
      <c r="I1844" s="2"/>
      <c r="M1844" s="2"/>
      <c r="P1844" s="2"/>
      <c r="Q1844" s="2"/>
    </row>
    <row r="1845" spans="4:17" x14ac:dyDescent="0.25">
      <c r="D1845" s="2"/>
      <c r="E1845" s="310"/>
      <c r="I1845" s="2"/>
      <c r="M1845" s="2"/>
      <c r="P1845" s="2"/>
      <c r="Q1845" s="2"/>
    </row>
    <row r="1846" spans="4:17" x14ac:dyDescent="0.25">
      <c r="D1846" s="2"/>
      <c r="E1846" s="310"/>
      <c r="I1846" s="2"/>
      <c r="M1846" s="2"/>
      <c r="P1846" s="2"/>
      <c r="Q1846" s="2"/>
    </row>
    <row r="1847" spans="4:17" x14ac:dyDescent="0.25">
      <c r="D1847" s="2"/>
      <c r="E1847" s="310"/>
      <c r="I1847" s="2"/>
      <c r="M1847" s="2"/>
      <c r="P1847" s="2"/>
      <c r="Q1847" s="2"/>
    </row>
    <row r="1848" spans="4:17" x14ac:dyDescent="0.25">
      <c r="D1848" s="2"/>
      <c r="E1848" s="310"/>
      <c r="I1848" s="2"/>
      <c r="M1848" s="2"/>
      <c r="P1848" s="2"/>
      <c r="Q1848" s="2"/>
    </row>
    <row r="1849" spans="4:17" x14ac:dyDescent="0.25">
      <c r="D1849" s="2"/>
      <c r="E1849" s="310"/>
      <c r="I1849" s="2"/>
      <c r="M1849" s="2"/>
      <c r="P1849" s="2"/>
      <c r="Q1849" s="2"/>
    </row>
    <row r="1850" spans="4:17" x14ac:dyDescent="0.25">
      <c r="D1850" s="2"/>
      <c r="E1850" s="310"/>
      <c r="I1850" s="2"/>
      <c r="M1850" s="2"/>
      <c r="P1850" s="2"/>
      <c r="Q1850" s="2"/>
    </row>
    <row r="1851" spans="4:17" x14ac:dyDescent="0.25">
      <c r="D1851" s="2"/>
      <c r="E1851" s="310"/>
      <c r="I1851" s="2"/>
      <c r="M1851" s="2"/>
      <c r="P1851" s="2"/>
      <c r="Q1851" s="2"/>
    </row>
    <row r="1852" spans="4:17" x14ac:dyDescent="0.25">
      <c r="D1852" s="2"/>
      <c r="E1852" s="310"/>
      <c r="I1852" s="2"/>
      <c r="M1852" s="2"/>
      <c r="P1852" s="2"/>
      <c r="Q1852" s="2"/>
    </row>
    <row r="1853" spans="4:17" x14ac:dyDescent="0.25">
      <c r="D1853" s="2"/>
      <c r="E1853" s="310"/>
      <c r="I1853" s="2"/>
      <c r="M1853" s="2"/>
      <c r="P1853" s="2"/>
      <c r="Q1853" s="2"/>
    </row>
    <row r="1854" spans="4:17" x14ac:dyDescent="0.25">
      <c r="D1854" s="2"/>
      <c r="E1854" s="310"/>
      <c r="I1854" s="2"/>
      <c r="M1854" s="2"/>
      <c r="P1854" s="2"/>
      <c r="Q1854" s="2"/>
    </row>
    <row r="1855" spans="4:17" x14ac:dyDescent="0.25">
      <c r="D1855" s="2"/>
      <c r="E1855" s="310"/>
      <c r="I1855" s="2"/>
      <c r="M1855" s="2"/>
      <c r="P1855" s="2"/>
      <c r="Q1855" s="2"/>
    </row>
    <row r="1856" spans="4:17" x14ac:dyDescent="0.25">
      <c r="D1856" s="2"/>
      <c r="E1856" s="310"/>
      <c r="I1856" s="2"/>
      <c r="M1856" s="2"/>
      <c r="P1856" s="2"/>
      <c r="Q1856" s="2"/>
    </row>
    <row r="1857" spans="4:17" x14ac:dyDescent="0.25">
      <c r="D1857" s="2"/>
      <c r="E1857" s="310"/>
      <c r="I1857" s="2"/>
      <c r="M1857" s="2"/>
      <c r="P1857" s="2"/>
      <c r="Q1857" s="2"/>
    </row>
    <row r="1868" spans="4:17" x14ac:dyDescent="0.25">
      <c r="D1868" s="2"/>
      <c r="E1868" s="310"/>
      <c r="I1868" s="2"/>
      <c r="M1868" s="2"/>
      <c r="P1868" s="2"/>
      <c r="Q1868" s="2"/>
    </row>
    <row r="1869" spans="4:17" x14ac:dyDescent="0.25">
      <c r="D1869" s="2"/>
      <c r="E1869" s="310"/>
      <c r="I1869" s="2"/>
      <c r="M1869" s="2"/>
      <c r="P1869" s="2"/>
      <c r="Q1869" s="2"/>
    </row>
    <row r="1870" spans="4:17" x14ac:dyDescent="0.25">
      <c r="D1870" s="2"/>
      <c r="E1870" s="310"/>
      <c r="I1870" s="2"/>
      <c r="M1870" s="2"/>
      <c r="P1870" s="2"/>
      <c r="Q1870" s="2"/>
    </row>
    <row r="1871" spans="4:17" x14ac:dyDescent="0.25">
      <c r="D1871" s="2"/>
      <c r="E1871" s="310"/>
      <c r="I1871" s="2"/>
      <c r="M1871" s="2"/>
      <c r="P1871" s="2"/>
      <c r="Q1871" s="2"/>
    </row>
    <row r="1872" spans="4:17" x14ac:dyDescent="0.25">
      <c r="D1872" s="2"/>
      <c r="E1872" s="310"/>
      <c r="I1872" s="2"/>
      <c r="M1872" s="2"/>
      <c r="P1872" s="2"/>
      <c r="Q1872" s="2"/>
    </row>
    <row r="1873" spans="4:17" x14ac:dyDescent="0.25">
      <c r="D1873" s="2"/>
      <c r="E1873" s="310"/>
      <c r="I1873" s="2"/>
      <c r="M1873" s="2"/>
      <c r="P1873" s="2"/>
      <c r="Q1873" s="2"/>
    </row>
    <row r="1874" spans="4:17" x14ac:dyDescent="0.25">
      <c r="D1874" s="2"/>
      <c r="E1874" s="310"/>
      <c r="I1874" s="2"/>
      <c r="M1874" s="2"/>
      <c r="P1874" s="2"/>
      <c r="Q1874" s="2"/>
    </row>
    <row r="1875" spans="4:17" x14ac:dyDescent="0.25">
      <c r="D1875" s="2"/>
      <c r="E1875" s="310"/>
      <c r="I1875" s="2"/>
      <c r="M1875" s="2"/>
      <c r="P1875" s="2"/>
      <c r="Q1875" s="2"/>
    </row>
    <row r="1876" spans="4:17" x14ac:dyDescent="0.25">
      <c r="D1876" s="2"/>
      <c r="E1876" s="310"/>
      <c r="I1876" s="2"/>
      <c r="M1876" s="2"/>
      <c r="P1876" s="2"/>
      <c r="Q1876" s="2"/>
    </row>
    <row r="1877" spans="4:17" x14ac:dyDescent="0.25">
      <c r="D1877" s="2"/>
      <c r="E1877" s="310"/>
      <c r="I1877" s="2"/>
      <c r="M1877" s="2"/>
      <c r="P1877" s="2"/>
      <c r="Q1877" s="2"/>
    </row>
    <row r="1878" spans="4:17" x14ac:dyDescent="0.25">
      <c r="D1878" s="2"/>
      <c r="E1878" s="310"/>
      <c r="I1878" s="2"/>
      <c r="M1878" s="2"/>
      <c r="P1878" s="2"/>
      <c r="Q1878" s="2"/>
    </row>
    <row r="1879" spans="4:17" x14ac:dyDescent="0.25">
      <c r="D1879" s="2"/>
      <c r="E1879" s="310"/>
      <c r="I1879" s="2"/>
      <c r="M1879" s="2"/>
      <c r="P1879" s="2"/>
      <c r="Q1879" s="2"/>
    </row>
    <row r="1880" spans="4:17" x14ac:dyDescent="0.25">
      <c r="D1880" s="2"/>
      <c r="E1880" s="310"/>
      <c r="I1880" s="2"/>
      <c r="M1880" s="2"/>
      <c r="P1880" s="2"/>
      <c r="Q1880" s="2"/>
    </row>
    <row r="1881" spans="4:17" x14ac:dyDescent="0.25">
      <c r="D1881" s="2"/>
      <c r="E1881" s="310"/>
      <c r="I1881" s="2"/>
      <c r="M1881" s="2"/>
      <c r="P1881" s="2"/>
      <c r="Q1881" s="2"/>
    </row>
    <row r="1882" spans="4:17" x14ac:dyDescent="0.25">
      <c r="D1882" s="2"/>
      <c r="E1882" s="310"/>
      <c r="I1882" s="2"/>
      <c r="M1882" s="2"/>
      <c r="P1882" s="2"/>
      <c r="Q1882" s="2"/>
    </row>
    <row r="1883" spans="4:17" x14ac:dyDescent="0.25">
      <c r="D1883" s="2"/>
      <c r="E1883" s="310"/>
      <c r="I1883" s="2"/>
      <c r="M1883" s="2"/>
      <c r="P1883" s="2"/>
      <c r="Q1883" s="2"/>
    </row>
    <row r="1884" spans="4:17" x14ac:dyDescent="0.25">
      <c r="D1884" s="2"/>
      <c r="E1884" s="310"/>
      <c r="I1884" s="2"/>
      <c r="M1884" s="2"/>
      <c r="P1884" s="2"/>
      <c r="Q1884" s="2"/>
    </row>
    <row r="1885" spans="4:17" x14ac:dyDescent="0.25">
      <c r="D1885" s="2"/>
      <c r="E1885" s="310"/>
      <c r="I1885" s="2"/>
      <c r="M1885" s="2"/>
      <c r="P1885" s="2"/>
      <c r="Q1885" s="2"/>
    </row>
    <row r="1886" spans="4:17" x14ac:dyDescent="0.25">
      <c r="D1886" s="2"/>
      <c r="E1886" s="310"/>
      <c r="I1886" s="2"/>
      <c r="M1886" s="2"/>
      <c r="P1886" s="2"/>
      <c r="Q1886" s="2"/>
    </row>
    <row r="1887" spans="4:17" x14ac:dyDescent="0.25">
      <c r="D1887" s="2"/>
      <c r="E1887" s="310"/>
      <c r="I1887" s="2"/>
      <c r="M1887" s="2"/>
      <c r="P1887" s="2"/>
      <c r="Q1887" s="2"/>
    </row>
    <row r="1888" spans="4:17" x14ac:dyDescent="0.25">
      <c r="D1888" s="2"/>
      <c r="E1888" s="310"/>
      <c r="I1888" s="2"/>
      <c r="M1888" s="2"/>
      <c r="P1888" s="2"/>
      <c r="Q1888" s="2"/>
    </row>
    <row r="1889" spans="4:17" x14ac:dyDescent="0.25">
      <c r="D1889" s="2"/>
      <c r="E1889" s="310"/>
      <c r="I1889" s="2"/>
      <c r="M1889" s="2"/>
      <c r="P1889" s="2"/>
      <c r="Q1889" s="2"/>
    </row>
    <row r="1890" spans="4:17" x14ac:dyDescent="0.25">
      <c r="D1890" s="2"/>
      <c r="E1890" s="310"/>
      <c r="I1890" s="2"/>
      <c r="M1890" s="2"/>
      <c r="P1890" s="2"/>
      <c r="Q1890" s="2"/>
    </row>
    <row r="1891" spans="4:17" x14ac:dyDescent="0.25">
      <c r="D1891" s="2"/>
      <c r="E1891" s="310"/>
      <c r="I1891" s="2"/>
      <c r="M1891" s="2"/>
      <c r="P1891" s="2"/>
      <c r="Q1891" s="2"/>
    </row>
    <row r="1892" spans="4:17" x14ac:dyDescent="0.25">
      <c r="D1892" s="2"/>
      <c r="E1892" s="310"/>
      <c r="I1892" s="2"/>
      <c r="M1892" s="2"/>
      <c r="P1892" s="2"/>
      <c r="Q1892" s="2"/>
    </row>
    <row r="1893" spans="4:17" x14ac:dyDescent="0.25">
      <c r="D1893" s="2"/>
      <c r="E1893" s="310"/>
      <c r="I1893" s="2"/>
      <c r="M1893" s="2"/>
      <c r="P1893" s="2"/>
      <c r="Q1893" s="2"/>
    </row>
    <row r="1894" spans="4:17" x14ac:dyDescent="0.25">
      <c r="D1894" s="2"/>
      <c r="E1894" s="310"/>
      <c r="I1894" s="2"/>
      <c r="M1894" s="2"/>
      <c r="P1894" s="2"/>
      <c r="Q1894" s="2"/>
    </row>
    <row r="1895" spans="4:17" x14ac:dyDescent="0.25">
      <c r="D1895" s="2"/>
      <c r="E1895" s="310"/>
      <c r="I1895" s="2"/>
      <c r="M1895" s="2"/>
      <c r="P1895" s="2"/>
      <c r="Q1895" s="2"/>
    </row>
    <row r="1896" spans="4:17" x14ac:dyDescent="0.25">
      <c r="D1896" s="2"/>
      <c r="E1896" s="310"/>
      <c r="I1896" s="2"/>
      <c r="M1896" s="2"/>
      <c r="P1896" s="2"/>
      <c r="Q1896" s="2"/>
    </row>
    <row r="1897" spans="4:17" x14ac:dyDescent="0.25">
      <c r="D1897" s="2"/>
      <c r="E1897" s="310"/>
      <c r="I1897" s="2"/>
      <c r="M1897" s="2"/>
      <c r="P1897" s="2"/>
      <c r="Q1897" s="2"/>
    </row>
    <row r="1898" spans="4:17" x14ac:dyDescent="0.25">
      <c r="D1898" s="2"/>
      <c r="E1898" s="310"/>
      <c r="I1898" s="2"/>
      <c r="M1898" s="2"/>
      <c r="P1898" s="2"/>
      <c r="Q1898" s="2"/>
    </row>
    <row r="1899" spans="4:17" x14ac:dyDescent="0.25">
      <c r="D1899" s="2"/>
      <c r="E1899" s="310"/>
      <c r="I1899" s="2"/>
      <c r="M1899" s="2"/>
      <c r="P1899" s="2"/>
      <c r="Q1899" s="2"/>
    </row>
    <row r="1900" spans="4:17" x14ac:dyDescent="0.25">
      <c r="D1900" s="2"/>
      <c r="E1900" s="310"/>
      <c r="I1900" s="2"/>
      <c r="M1900" s="2"/>
      <c r="P1900" s="2"/>
      <c r="Q1900" s="2"/>
    </row>
    <row r="1901" spans="4:17" x14ac:dyDescent="0.25">
      <c r="D1901" s="2"/>
      <c r="E1901" s="310"/>
      <c r="I1901" s="2"/>
      <c r="M1901" s="2"/>
      <c r="P1901" s="2"/>
      <c r="Q1901" s="2"/>
    </row>
    <row r="1902" spans="4:17" x14ac:dyDescent="0.25">
      <c r="D1902" s="2"/>
      <c r="E1902" s="310"/>
      <c r="I1902" s="2"/>
      <c r="M1902" s="2"/>
      <c r="P1902" s="2"/>
      <c r="Q1902" s="2"/>
    </row>
    <row r="1903" spans="4:17" x14ac:dyDescent="0.25">
      <c r="D1903" s="2"/>
      <c r="E1903" s="310"/>
      <c r="I1903" s="2"/>
      <c r="M1903" s="2"/>
      <c r="P1903" s="2"/>
      <c r="Q1903" s="2"/>
    </row>
    <row r="1904" spans="4:17" x14ac:dyDescent="0.25">
      <c r="D1904" s="2"/>
      <c r="E1904" s="310"/>
      <c r="I1904" s="2"/>
      <c r="M1904" s="2"/>
      <c r="P1904" s="2"/>
      <c r="Q1904" s="2"/>
    </row>
    <row r="1905" spans="4:17" x14ac:dyDescent="0.25">
      <c r="D1905" s="2"/>
      <c r="E1905" s="310"/>
      <c r="I1905" s="2"/>
      <c r="M1905" s="2"/>
      <c r="P1905" s="2"/>
      <c r="Q1905" s="2"/>
    </row>
    <row r="1906" spans="4:17" x14ac:dyDescent="0.25">
      <c r="D1906" s="2"/>
      <c r="E1906" s="310"/>
      <c r="I1906" s="2"/>
      <c r="M1906" s="2"/>
      <c r="P1906" s="2"/>
      <c r="Q1906" s="2"/>
    </row>
    <row r="1907" spans="4:17" x14ac:dyDescent="0.25">
      <c r="D1907" s="2"/>
      <c r="E1907" s="310"/>
      <c r="I1907" s="2"/>
      <c r="M1907" s="2"/>
      <c r="P1907" s="2"/>
      <c r="Q1907" s="2"/>
    </row>
    <row r="1908" spans="4:17" x14ac:dyDescent="0.25">
      <c r="D1908" s="2"/>
      <c r="E1908" s="310"/>
      <c r="I1908" s="2"/>
      <c r="M1908" s="2"/>
      <c r="P1908" s="2"/>
      <c r="Q1908" s="2"/>
    </row>
    <row r="1909" spans="4:17" x14ac:dyDescent="0.25">
      <c r="D1909" s="2"/>
      <c r="E1909" s="310"/>
      <c r="I1909" s="2"/>
      <c r="M1909" s="2"/>
      <c r="P1909" s="2"/>
      <c r="Q1909" s="2"/>
    </row>
    <row r="1910" spans="4:17" x14ac:dyDescent="0.25">
      <c r="D1910" s="2"/>
      <c r="E1910" s="310"/>
      <c r="I1910" s="2"/>
      <c r="M1910" s="2"/>
      <c r="P1910" s="2"/>
      <c r="Q1910" s="2"/>
    </row>
    <row r="1911" spans="4:17" x14ac:dyDescent="0.25">
      <c r="D1911" s="2"/>
      <c r="E1911" s="310"/>
      <c r="I1911" s="2"/>
      <c r="M1911" s="2"/>
      <c r="P1911" s="2"/>
      <c r="Q1911" s="2"/>
    </row>
    <row r="1912" spans="4:17" x14ac:dyDescent="0.25">
      <c r="D1912" s="2"/>
      <c r="E1912" s="310"/>
      <c r="I1912" s="2"/>
      <c r="M1912" s="2"/>
      <c r="P1912" s="2"/>
      <c r="Q1912" s="2"/>
    </row>
    <row r="1913" spans="4:17" x14ac:dyDescent="0.25">
      <c r="D1913" s="2"/>
      <c r="E1913" s="310"/>
      <c r="I1913" s="2"/>
      <c r="M1913" s="2"/>
      <c r="P1913" s="2"/>
      <c r="Q1913" s="2"/>
    </row>
    <row r="1914" spans="4:17" x14ac:dyDescent="0.25">
      <c r="D1914" s="2"/>
      <c r="E1914" s="310"/>
      <c r="I1914" s="2"/>
      <c r="M1914" s="2"/>
      <c r="P1914" s="2"/>
      <c r="Q1914" s="2"/>
    </row>
    <row r="1915" spans="4:17" x14ac:dyDescent="0.25">
      <c r="D1915" s="2"/>
      <c r="E1915" s="310"/>
      <c r="I1915" s="2"/>
      <c r="M1915" s="2"/>
      <c r="P1915" s="2"/>
      <c r="Q1915" s="2"/>
    </row>
    <row r="1916" spans="4:17" x14ac:dyDescent="0.25">
      <c r="D1916" s="2"/>
      <c r="E1916" s="310"/>
      <c r="I1916" s="2"/>
      <c r="M1916" s="2"/>
      <c r="P1916" s="2"/>
      <c r="Q1916" s="2"/>
    </row>
    <row r="1917" spans="4:17" x14ac:dyDescent="0.25">
      <c r="D1917" s="2"/>
      <c r="E1917" s="310"/>
      <c r="I1917" s="2"/>
      <c r="M1917" s="2"/>
      <c r="P1917" s="2"/>
      <c r="Q1917" s="2"/>
    </row>
    <row r="1918" spans="4:17" x14ac:dyDescent="0.25">
      <c r="D1918" s="2"/>
      <c r="E1918" s="310"/>
      <c r="I1918" s="2"/>
      <c r="M1918" s="2"/>
      <c r="P1918" s="2"/>
      <c r="Q1918" s="2"/>
    </row>
    <row r="1919" spans="4:17" x14ac:dyDescent="0.25">
      <c r="D1919" s="2"/>
      <c r="E1919" s="310"/>
      <c r="I1919" s="2"/>
      <c r="M1919" s="2"/>
      <c r="P1919" s="2"/>
      <c r="Q1919" s="2"/>
    </row>
    <row r="1920" spans="4:17" x14ac:dyDescent="0.25">
      <c r="D1920" s="2"/>
      <c r="E1920" s="310"/>
      <c r="I1920" s="2"/>
      <c r="M1920" s="2"/>
      <c r="P1920" s="2"/>
      <c r="Q1920" s="2"/>
    </row>
    <row r="1921" spans="4:17" x14ac:dyDescent="0.25">
      <c r="D1921" s="2"/>
      <c r="E1921" s="310"/>
      <c r="I1921" s="2"/>
      <c r="M1921" s="2"/>
      <c r="P1921" s="2"/>
      <c r="Q1921" s="2"/>
    </row>
    <row r="1922" spans="4:17" x14ac:dyDescent="0.25">
      <c r="D1922" s="2"/>
      <c r="E1922" s="310"/>
      <c r="I1922" s="2"/>
      <c r="M1922" s="2"/>
      <c r="P1922" s="2"/>
      <c r="Q1922" s="2"/>
    </row>
    <row r="1923" spans="4:17" x14ac:dyDescent="0.25">
      <c r="D1923" s="2"/>
      <c r="E1923" s="310"/>
      <c r="I1923" s="2"/>
      <c r="M1923" s="2"/>
      <c r="P1923" s="2"/>
      <c r="Q1923" s="2"/>
    </row>
    <row r="1924" spans="4:17" x14ac:dyDescent="0.25">
      <c r="D1924" s="2"/>
      <c r="E1924" s="310"/>
      <c r="I1924" s="2"/>
      <c r="M1924" s="2"/>
      <c r="P1924" s="2"/>
      <c r="Q1924" s="2"/>
    </row>
    <row r="1925" spans="4:17" x14ac:dyDescent="0.25">
      <c r="D1925" s="2"/>
      <c r="E1925" s="310"/>
      <c r="I1925" s="2"/>
      <c r="M1925" s="2"/>
      <c r="P1925" s="2"/>
      <c r="Q1925" s="2"/>
    </row>
    <row r="1926" spans="4:17" x14ac:dyDescent="0.25">
      <c r="D1926" s="2"/>
      <c r="E1926" s="310"/>
      <c r="I1926" s="2"/>
      <c r="M1926" s="2"/>
      <c r="P1926" s="2"/>
      <c r="Q1926" s="2"/>
    </row>
    <row r="1927" spans="4:17" x14ac:dyDescent="0.25">
      <c r="D1927" s="2"/>
      <c r="E1927" s="310"/>
      <c r="I1927" s="2"/>
      <c r="M1927" s="2"/>
      <c r="P1927" s="2"/>
      <c r="Q1927" s="2"/>
    </row>
    <row r="1928" spans="4:17" x14ac:dyDescent="0.25">
      <c r="D1928" s="2"/>
      <c r="E1928" s="310"/>
      <c r="I1928" s="2"/>
      <c r="M1928" s="2"/>
      <c r="P1928" s="2"/>
      <c r="Q1928" s="2"/>
    </row>
    <row r="1929" spans="4:17" x14ac:dyDescent="0.25">
      <c r="D1929" s="2"/>
      <c r="E1929" s="310"/>
      <c r="I1929" s="2"/>
      <c r="M1929" s="2"/>
      <c r="P1929" s="2"/>
      <c r="Q1929" s="2"/>
    </row>
    <row r="1930" spans="4:17" x14ac:dyDescent="0.25">
      <c r="D1930" s="2"/>
      <c r="E1930" s="310"/>
      <c r="I1930" s="2"/>
      <c r="M1930" s="2"/>
      <c r="P1930" s="2"/>
      <c r="Q1930" s="2"/>
    </row>
    <row r="1931" spans="4:17" x14ac:dyDescent="0.25">
      <c r="D1931" s="2"/>
      <c r="E1931" s="310"/>
      <c r="I1931" s="2"/>
      <c r="M1931" s="2"/>
      <c r="P1931" s="2"/>
      <c r="Q1931" s="2"/>
    </row>
    <row r="1932" spans="4:17" x14ac:dyDescent="0.25">
      <c r="D1932" s="2"/>
      <c r="E1932" s="310"/>
      <c r="I1932" s="2"/>
      <c r="M1932" s="2"/>
      <c r="P1932" s="2"/>
      <c r="Q1932" s="2"/>
    </row>
    <row r="1933" spans="4:17" x14ac:dyDescent="0.25">
      <c r="D1933" s="2"/>
      <c r="E1933" s="310"/>
      <c r="I1933" s="2"/>
      <c r="M1933" s="2"/>
      <c r="P1933" s="2"/>
      <c r="Q1933" s="2"/>
    </row>
    <row r="1934" spans="4:17" x14ac:dyDescent="0.25">
      <c r="D1934" s="2"/>
      <c r="E1934" s="310"/>
      <c r="I1934" s="2"/>
      <c r="M1934" s="2"/>
      <c r="P1934" s="2"/>
      <c r="Q1934" s="2"/>
    </row>
    <row r="1935" spans="4:17" x14ac:dyDescent="0.25">
      <c r="D1935" s="2"/>
      <c r="E1935" s="310"/>
      <c r="I1935" s="2"/>
      <c r="M1935" s="2"/>
      <c r="P1935" s="2"/>
      <c r="Q1935" s="2"/>
    </row>
    <row r="1936" spans="4:17" x14ac:dyDescent="0.25">
      <c r="D1936" s="2"/>
      <c r="E1936" s="310"/>
      <c r="I1936" s="2"/>
      <c r="M1936" s="2"/>
      <c r="P1936" s="2"/>
      <c r="Q1936" s="2"/>
    </row>
    <row r="1937" spans="4:17" x14ac:dyDescent="0.25">
      <c r="D1937" s="2"/>
      <c r="E1937" s="310"/>
      <c r="I1937" s="2"/>
      <c r="M1937" s="2"/>
      <c r="P1937" s="2"/>
      <c r="Q1937" s="2"/>
    </row>
    <row r="1938" spans="4:17" x14ac:dyDescent="0.25">
      <c r="D1938" s="2"/>
      <c r="E1938" s="310"/>
      <c r="I1938" s="2"/>
      <c r="M1938" s="2"/>
      <c r="P1938" s="2"/>
      <c r="Q1938" s="2"/>
    </row>
    <row r="1939" spans="4:17" x14ac:dyDescent="0.25">
      <c r="D1939" s="2"/>
      <c r="E1939" s="310"/>
      <c r="I1939" s="2"/>
      <c r="M1939" s="2"/>
      <c r="P1939" s="2"/>
      <c r="Q1939" s="2"/>
    </row>
    <row r="1940" spans="4:17" x14ac:dyDescent="0.25">
      <c r="D1940" s="2"/>
      <c r="E1940" s="310"/>
      <c r="I1940" s="2"/>
      <c r="M1940" s="2"/>
      <c r="P1940" s="2"/>
      <c r="Q1940" s="2"/>
    </row>
    <row r="1941" spans="4:17" x14ac:dyDescent="0.25">
      <c r="D1941" s="2"/>
      <c r="E1941" s="310"/>
      <c r="I1941" s="2"/>
      <c r="M1941" s="2"/>
      <c r="P1941" s="2"/>
      <c r="Q1941" s="2"/>
    </row>
    <row r="1942" spans="4:17" x14ac:dyDescent="0.25">
      <c r="D1942" s="2"/>
      <c r="E1942" s="310"/>
      <c r="I1942" s="2"/>
      <c r="M1942" s="2"/>
      <c r="P1942" s="2"/>
      <c r="Q1942" s="2"/>
    </row>
    <row r="1943" spans="4:17" x14ac:dyDescent="0.25">
      <c r="D1943" s="2"/>
      <c r="E1943" s="310"/>
      <c r="I1943" s="2"/>
      <c r="M1943" s="2"/>
      <c r="P1943" s="2"/>
      <c r="Q1943" s="2"/>
    </row>
    <row r="1944" spans="4:17" x14ac:dyDescent="0.25">
      <c r="D1944" s="2"/>
      <c r="E1944" s="310"/>
      <c r="I1944" s="2"/>
      <c r="M1944" s="2"/>
      <c r="P1944" s="2"/>
      <c r="Q1944" s="2"/>
    </row>
    <row r="1945" spans="4:17" x14ac:dyDescent="0.25">
      <c r="D1945" s="2"/>
      <c r="E1945" s="310"/>
      <c r="I1945" s="2"/>
      <c r="M1945" s="2"/>
      <c r="P1945" s="2"/>
      <c r="Q1945" s="2"/>
    </row>
    <row r="1946" spans="4:17" x14ac:dyDescent="0.25">
      <c r="D1946" s="2"/>
      <c r="E1946" s="310"/>
      <c r="I1946" s="2"/>
      <c r="M1946" s="2"/>
      <c r="P1946" s="2"/>
      <c r="Q1946" s="2"/>
    </row>
    <row r="1947" spans="4:17" x14ac:dyDescent="0.25">
      <c r="D1947" s="2"/>
      <c r="E1947" s="310"/>
      <c r="I1947" s="2"/>
      <c r="M1947" s="2"/>
      <c r="P1947" s="2"/>
      <c r="Q1947" s="2"/>
    </row>
    <row r="1948" spans="4:17" x14ac:dyDescent="0.25">
      <c r="D1948" s="2"/>
      <c r="E1948" s="310"/>
      <c r="I1948" s="2"/>
      <c r="M1948" s="2"/>
      <c r="P1948" s="2"/>
      <c r="Q1948" s="2"/>
    </row>
    <row r="1949" spans="4:17" x14ac:dyDescent="0.25">
      <c r="D1949" s="2"/>
      <c r="E1949" s="310"/>
      <c r="I1949" s="2"/>
      <c r="M1949" s="2"/>
      <c r="P1949" s="2"/>
      <c r="Q1949" s="2"/>
    </row>
    <row r="1950" spans="4:17" x14ac:dyDescent="0.25">
      <c r="D1950" s="2"/>
      <c r="E1950" s="310"/>
      <c r="I1950" s="2"/>
      <c r="M1950" s="2"/>
      <c r="P1950" s="2"/>
      <c r="Q1950" s="2"/>
    </row>
    <row r="1951" spans="4:17" x14ac:dyDescent="0.25">
      <c r="D1951" s="2"/>
      <c r="E1951" s="310"/>
      <c r="I1951" s="2"/>
      <c r="M1951" s="2"/>
      <c r="P1951" s="2"/>
      <c r="Q1951" s="2"/>
    </row>
    <row r="1952" spans="4:17" x14ac:dyDescent="0.25">
      <c r="D1952" s="2"/>
      <c r="E1952" s="310"/>
      <c r="I1952" s="2"/>
      <c r="M1952" s="2"/>
      <c r="P1952" s="2"/>
      <c r="Q1952" s="2"/>
    </row>
    <row r="1953" spans="4:17" x14ac:dyDescent="0.25">
      <c r="D1953" s="2"/>
      <c r="E1953" s="310"/>
      <c r="I1953" s="2"/>
      <c r="M1953" s="2"/>
      <c r="P1953" s="2"/>
      <c r="Q1953" s="2"/>
    </row>
    <row r="1954" spans="4:17" x14ac:dyDescent="0.25">
      <c r="D1954" s="2"/>
      <c r="E1954" s="310"/>
      <c r="I1954" s="2"/>
      <c r="M1954" s="2"/>
      <c r="P1954" s="2"/>
      <c r="Q1954" s="2"/>
    </row>
    <row r="1955" spans="4:17" x14ac:dyDescent="0.25">
      <c r="D1955" s="2"/>
      <c r="E1955" s="310"/>
      <c r="I1955" s="2"/>
      <c r="M1955" s="2"/>
      <c r="P1955" s="2"/>
      <c r="Q1955" s="2"/>
    </row>
    <row r="1956" spans="4:17" x14ac:dyDescent="0.25">
      <c r="D1956" s="2"/>
      <c r="E1956" s="310"/>
      <c r="I1956" s="2"/>
      <c r="M1956" s="2"/>
      <c r="P1956" s="2"/>
      <c r="Q1956" s="2"/>
    </row>
    <row r="1957" spans="4:17" x14ac:dyDescent="0.25">
      <c r="D1957" s="2"/>
      <c r="E1957" s="310"/>
      <c r="I1957" s="2"/>
      <c r="M1957" s="2"/>
      <c r="P1957" s="2"/>
      <c r="Q1957" s="2"/>
    </row>
    <row r="1958" spans="4:17" x14ac:dyDescent="0.25">
      <c r="D1958" s="2"/>
      <c r="E1958" s="310"/>
      <c r="I1958" s="2"/>
      <c r="M1958" s="2"/>
      <c r="P1958" s="2"/>
      <c r="Q1958" s="2"/>
    </row>
    <row r="1959" spans="4:17" x14ac:dyDescent="0.25">
      <c r="D1959" s="2"/>
      <c r="E1959" s="310"/>
      <c r="I1959" s="2"/>
      <c r="M1959" s="2"/>
      <c r="P1959" s="2"/>
      <c r="Q1959" s="2"/>
    </row>
    <row r="1960" spans="4:17" x14ac:dyDescent="0.25">
      <c r="D1960" s="2"/>
      <c r="E1960" s="310"/>
      <c r="I1960" s="2"/>
      <c r="M1960" s="2"/>
      <c r="P1960" s="2"/>
      <c r="Q1960" s="2"/>
    </row>
    <row r="1961" spans="4:17" x14ac:dyDescent="0.25">
      <c r="D1961" s="2"/>
      <c r="E1961" s="310"/>
      <c r="I1961" s="2"/>
      <c r="M1961" s="2"/>
      <c r="P1961" s="2"/>
      <c r="Q1961" s="2"/>
    </row>
    <row r="1962" spans="4:17" x14ac:dyDescent="0.25">
      <c r="D1962" s="2"/>
      <c r="E1962" s="310"/>
      <c r="I1962" s="2"/>
      <c r="M1962" s="2"/>
      <c r="P1962" s="2"/>
      <c r="Q1962" s="2"/>
    </row>
    <row r="1963" spans="4:17" x14ac:dyDescent="0.25">
      <c r="D1963" s="2"/>
      <c r="E1963" s="310"/>
      <c r="I1963" s="2"/>
      <c r="M1963" s="2"/>
      <c r="P1963" s="2"/>
      <c r="Q1963" s="2"/>
    </row>
    <row r="1964" spans="4:17" x14ac:dyDescent="0.25">
      <c r="D1964" s="2"/>
      <c r="E1964" s="310"/>
      <c r="I1964" s="2"/>
      <c r="M1964" s="2"/>
      <c r="P1964" s="2"/>
      <c r="Q1964" s="2"/>
    </row>
    <row r="1965" spans="4:17" x14ac:dyDescent="0.25">
      <c r="D1965" s="2"/>
      <c r="E1965" s="310"/>
      <c r="I1965" s="2"/>
      <c r="M1965" s="2"/>
      <c r="P1965" s="2"/>
      <c r="Q1965" s="2"/>
    </row>
    <row r="1966" spans="4:17" x14ac:dyDescent="0.25">
      <c r="D1966" s="2"/>
      <c r="E1966" s="310"/>
      <c r="I1966" s="2"/>
      <c r="M1966" s="2"/>
      <c r="P1966" s="2"/>
      <c r="Q1966" s="2"/>
    </row>
    <row r="1967" spans="4:17" x14ac:dyDescent="0.25">
      <c r="D1967" s="2"/>
      <c r="E1967" s="310"/>
      <c r="I1967" s="2"/>
      <c r="M1967" s="2"/>
      <c r="P1967" s="2"/>
      <c r="Q1967" s="2"/>
    </row>
    <row r="1968" spans="4:17" x14ac:dyDescent="0.25">
      <c r="D1968" s="2"/>
      <c r="E1968" s="310"/>
      <c r="I1968" s="2"/>
      <c r="M1968" s="2"/>
      <c r="P1968" s="2"/>
      <c r="Q1968" s="2"/>
    </row>
    <row r="1969" spans="4:17" x14ac:dyDescent="0.25">
      <c r="D1969" s="2"/>
      <c r="E1969" s="310"/>
      <c r="I1969" s="2"/>
      <c r="M1969" s="2"/>
      <c r="P1969" s="2"/>
      <c r="Q1969" s="2"/>
    </row>
    <row r="1970" spans="4:17" x14ac:dyDescent="0.25">
      <c r="D1970" s="2"/>
      <c r="E1970" s="310"/>
      <c r="I1970" s="2"/>
      <c r="M1970" s="2"/>
      <c r="P1970" s="2"/>
      <c r="Q1970" s="2"/>
    </row>
    <row r="1971" spans="4:17" x14ac:dyDescent="0.25">
      <c r="D1971" s="2"/>
      <c r="E1971" s="310"/>
      <c r="I1971" s="2"/>
      <c r="M1971" s="2"/>
      <c r="P1971" s="2"/>
      <c r="Q1971" s="2"/>
    </row>
    <row r="1972" spans="4:17" x14ac:dyDescent="0.25">
      <c r="D1972" s="2"/>
      <c r="E1972" s="310"/>
      <c r="I1972" s="2"/>
      <c r="M1972" s="2"/>
      <c r="P1972" s="2"/>
      <c r="Q1972" s="2"/>
    </row>
    <row r="1973" spans="4:17" x14ac:dyDescent="0.25">
      <c r="D1973" s="2"/>
      <c r="E1973" s="310"/>
      <c r="I1973" s="2"/>
      <c r="M1973" s="2"/>
      <c r="P1973" s="2"/>
      <c r="Q1973" s="2"/>
    </row>
    <row r="1974" spans="4:17" x14ac:dyDescent="0.25">
      <c r="D1974" s="2"/>
      <c r="E1974" s="310"/>
      <c r="I1974" s="2"/>
      <c r="M1974" s="2"/>
      <c r="P1974" s="2"/>
      <c r="Q1974" s="2"/>
    </row>
    <row r="1975" spans="4:17" x14ac:dyDescent="0.25">
      <c r="D1975" s="2"/>
      <c r="E1975" s="310"/>
      <c r="I1975" s="2"/>
      <c r="M1975" s="2"/>
      <c r="P1975" s="2"/>
      <c r="Q1975" s="2"/>
    </row>
    <row r="1976" spans="4:17" x14ac:dyDescent="0.25">
      <c r="D1976" s="2"/>
      <c r="E1976" s="310"/>
      <c r="I1976" s="2"/>
      <c r="M1976" s="2"/>
      <c r="P1976" s="2"/>
      <c r="Q1976" s="2"/>
    </row>
    <row r="1977" spans="4:17" x14ac:dyDescent="0.25">
      <c r="D1977" s="2"/>
      <c r="E1977" s="310"/>
      <c r="I1977" s="2"/>
      <c r="M1977" s="2"/>
      <c r="P1977" s="2"/>
      <c r="Q1977" s="2"/>
    </row>
    <row r="1978" spans="4:17" x14ac:dyDescent="0.25">
      <c r="D1978" s="2"/>
      <c r="E1978" s="310"/>
      <c r="I1978" s="2"/>
      <c r="M1978" s="2"/>
      <c r="P1978" s="2"/>
      <c r="Q1978" s="2"/>
    </row>
    <row r="1979" spans="4:17" x14ac:dyDescent="0.25">
      <c r="D1979" s="2"/>
      <c r="E1979" s="310"/>
      <c r="I1979" s="2"/>
      <c r="M1979" s="2"/>
      <c r="P1979" s="2"/>
      <c r="Q1979" s="2"/>
    </row>
    <row r="1980" spans="4:17" x14ac:dyDescent="0.25">
      <c r="D1980" s="2"/>
      <c r="E1980" s="310"/>
      <c r="I1980" s="2"/>
      <c r="M1980" s="2"/>
      <c r="P1980" s="2"/>
      <c r="Q1980" s="2"/>
    </row>
    <row r="1981" spans="4:17" x14ac:dyDescent="0.25">
      <c r="D1981" s="2"/>
      <c r="E1981" s="310"/>
      <c r="I1981" s="2"/>
      <c r="M1981" s="2"/>
      <c r="P1981" s="2"/>
      <c r="Q1981" s="2"/>
    </row>
    <row r="1982" spans="4:17" x14ac:dyDescent="0.25">
      <c r="D1982" s="2"/>
      <c r="E1982" s="310"/>
      <c r="I1982" s="2"/>
      <c r="M1982" s="2"/>
      <c r="P1982" s="2"/>
      <c r="Q1982" s="2"/>
    </row>
    <row r="1983" spans="4:17" x14ac:dyDescent="0.25">
      <c r="D1983" s="2"/>
      <c r="E1983" s="310"/>
      <c r="I1983" s="2"/>
      <c r="M1983" s="2"/>
      <c r="P1983" s="2"/>
      <c r="Q1983" s="2"/>
    </row>
    <row r="1984" spans="4:17" x14ac:dyDescent="0.25">
      <c r="D1984" s="2"/>
      <c r="E1984" s="310"/>
      <c r="I1984" s="2"/>
      <c r="M1984" s="2"/>
      <c r="P1984" s="2"/>
      <c r="Q1984" s="2"/>
    </row>
    <row r="1985" spans="4:17" x14ac:dyDescent="0.25">
      <c r="D1985" s="2"/>
      <c r="E1985" s="310"/>
      <c r="I1985" s="2"/>
      <c r="M1985" s="2"/>
      <c r="P1985" s="2"/>
      <c r="Q1985" s="2"/>
    </row>
    <row r="1986" spans="4:17" x14ac:dyDescent="0.25">
      <c r="D1986" s="2"/>
      <c r="E1986" s="310"/>
      <c r="I1986" s="2"/>
      <c r="M1986" s="2"/>
      <c r="P1986" s="2"/>
      <c r="Q1986" s="2"/>
    </row>
    <row r="1987" spans="4:17" x14ac:dyDescent="0.25">
      <c r="D1987" s="2"/>
      <c r="E1987" s="310"/>
      <c r="I1987" s="2"/>
      <c r="M1987" s="2"/>
      <c r="P1987" s="2"/>
      <c r="Q1987" s="2"/>
    </row>
    <row r="1988" spans="4:17" x14ac:dyDescent="0.25">
      <c r="D1988" s="2"/>
      <c r="E1988" s="310"/>
      <c r="I1988" s="2"/>
      <c r="M1988" s="2"/>
      <c r="P1988" s="2"/>
      <c r="Q1988" s="2"/>
    </row>
    <row r="1989" spans="4:17" x14ac:dyDescent="0.25">
      <c r="D1989" s="2"/>
      <c r="E1989" s="310"/>
      <c r="I1989" s="2"/>
      <c r="M1989" s="2"/>
      <c r="P1989" s="2"/>
      <c r="Q1989" s="2"/>
    </row>
    <row r="1990" spans="4:17" x14ac:dyDescent="0.25">
      <c r="D1990" s="2"/>
      <c r="E1990" s="310"/>
      <c r="I1990" s="2"/>
      <c r="M1990" s="2"/>
      <c r="P1990" s="2"/>
      <c r="Q1990" s="2"/>
    </row>
    <row r="1991" spans="4:17" x14ac:dyDescent="0.25">
      <c r="D1991" s="2"/>
      <c r="E1991" s="310"/>
      <c r="I1991" s="2"/>
      <c r="M1991" s="2"/>
      <c r="P1991" s="2"/>
      <c r="Q1991" s="2"/>
    </row>
    <row r="1992" spans="4:17" x14ac:dyDescent="0.25">
      <c r="D1992" s="2"/>
      <c r="E1992" s="310"/>
      <c r="I1992" s="2"/>
      <c r="M1992" s="2"/>
      <c r="P1992" s="2"/>
      <c r="Q1992" s="2"/>
    </row>
    <row r="1993" spans="4:17" x14ac:dyDescent="0.25">
      <c r="D1993" s="2"/>
      <c r="E1993" s="310"/>
      <c r="I1993" s="2"/>
      <c r="M1993" s="2"/>
      <c r="P1993" s="2"/>
      <c r="Q1993" s="2"/>
    </row>
    <row r="1994" spans="4:17" x14ac:dyDescent="0.25">
      <c r="D1994" s="2"/>
      <c r="E1994" s="310"/>
      <c r="I1994" s="2"/>
      <c r="M1994" s="2"/>
      <c r="P1994" s="2"/>
      <c r="Q1994" s="2"/>
    </row>
    <row r="1995" spans="4:17" x14ac:dyDescent="0.25">
      <c r="D1995" s="2"/>
      <c r="E1995" s="310"/>
      <c r="I1995" s="2"/>
      <c r="M1995" s="2"/>
      <c r="P1995" s="2"/>
      <c r="Q1995" s="2"/>
    </row>
    <row r="1996" spans="4:17" x14ac:dyDescent="0.25">
      <c r="D1996" s="2"/>
      <c r="E1996" s="310"/>
      <c r="I1996" s="2"/>
      <c r="M1996" s="2"/>
      <c r="P1996" s="2"/>
      <c r="Q1996" s="2"/>
    </row>
    <row r="1997" spans="4:17" x14ac:dyDescent="0.25">
      <c r="D1997" s="2"/>
      <c r="E1997" s="310"/>
      <c r="I1997" s="2"/>
      <c r="M1997" s="2"/>
      <c r="P1997" s="2"/>
      <c r="Q1997" s="2"/>
    </row>
    <row r="1998" spans="4:17" x14ac:dyDescent="0.25">
      <c r="D1998" s="2"/>
      <c r="E1998" s="310"/>
      <c r="I1998" s="2"/>
      <c r="M1998" s="2"/>
      <c r="P1998" s="2"/>
      <c r="Q1998" s="2"/>
    </row>
    <row r="1999" spans="4:17" x14ac:dyDescent="0.25">
      <c r="D1999" s="2"/>
      <c r="E1999" s="310"/>
      <c r="I1999" s="2"/>
      <c r="M1999" s="2"/>
      <c r="P1999" s="2"/>
      <c r="Q1999" s="2"/>
    </row>
    <row r="2000" spans="4:17" x14ac:dyDescent="0.25">
      <c r="D2000" s="2"/>
      <c r="E2000" s="310"/>
      <c r="I2000" s="2"/>
      <c r="M2000" s="2"/>
      <c r="P2000" s="2"/>
      <c r="Q2000" s="2"/>
    </row>
    <row r="2001" spans="4:17" x14ac:dyDescent="0.25">
      <c r="D2001" s="2"/>
      <c r="E2001" s="310"/>
      <c r="I2001" s="2"/>
      <c r="M2001" s="2"/>
      <c r="P2001" s="2"/>
      <c r="Q2001" s="2"/>
    </row>
    <row r="2002" spans="4:17" x14ac:dyDescent="0.25">
      <c r="D2002" s="2"/>
      <c r="E2002" s="310"/>
      <c r="I2002" s="2"/>
      <c r="M2002" s="2"/>
      <c r="P2002" s="2"/>
      <c r="Q2002" s="2"/>
    </row>
    <row r="2003" spans="4:17" x14ac:dyDescent="0.25">
      <c r="D2003" s="2"/>
      <c r="E2003" s="310"/>
      <c r="I2003" s="2"/>
      <c r="M2003" s="2"/>
      <c r="P2003" s="2"/>
      <c r="Q2003" s="2"/>
    </row>
    <row r="2004" spans="4:17" x14ac:dyDescent="0.25">
      <c r="D2004" s="2"/>
      <c r="E2004" s="310"/>
      <c r="I2004" s="2"/>
      <c r="M2004" s="2"/>
      <c r="P2004" s="2"/>
      <c r="Q2004" s="2"/>
    </row>
    <row r="2005" spans="4:17" x14ac:dyDescent="0.25">
      <c r="D2005" s="2"/>
      <c r="E2005" s="310"/>
      <c r="I2005" s="2"/>
      <c r="M2005" s="2"/>
      <c r="P2005" s="2"/>
      <c r="Q2005" s="2"/>
    </row>
    <row r="2006" spans="4:17" x14ac:dyDescent="0.25">
      <c r="D2006" s="2"/>
      <c r="E2006" s="310"/>
      <c r="I2006" s="2"/>
      <c r="M2006" s="2"/>
      <c r="P2006" s="2"/>
      <c r="Q2006" s="2"/>
    </row>
    <row r="2007" spans="4:17" x14ac:dyDescent="0.25">
      <c r="D2007" s="2"/>
      <c r="E2007" s="310"/>
      <c r="I2007" s="2"/>
      <c r="M2007" s="2"/>
      <c r="P2007" s="2"/>
      <c r="Q2007" s="2"/>
    </row>
    <row r="2008" spans="4:17" x14ac:dyDescent="0.25">
      <c r="D2008" s="2"/>
      <c r="E2008" s="310"/>
      <c r="I2008" s="2"/>
      <c r="M2008" s="2"/>
      <c r="P2008" s="2"/>
      <c r="Q2008" s="2"/>
    </row>
    <row r="2009" spans="4:17" x14ac:dyDescent="0.25">
      <c r="D2009" s="2"/>
      <c r="E2009" s="310"/>
      <c r="I2009" s="2"/>
      <c r="M2009" s="2"/>
      <c r="P2009" s="2"/>
      <c r="Q2009" s="2"/>
    </row>
    <row r="2010" spans="4:17" x14ac:dyDescent="0.25">
      <c r="D2010" s="2"/>
      <c r="E2010" s="310"/>
      <c r="I2010" s="2"/>
      <c r="M2010" s="2"/>
      <c r="P2010" s="2"/>
      <c r="Q2010" s="2"/>
    </row>
    <row r="2011" spans="4:17" x14ac:dyDescent="0.25">
      <c r="D2011" s="2"/>
      <c r="E2011" s="310"/>
      <c r="I2011" s="2"/>
      <c r="M2011" s="2"/>
      <c r="P2011" s="2"/>
      <c r="Q2011" s="2"/>
    </row>
    <row r="2012" spans="4:17" x14ac:dyDescent="0.25">
      <c r="D2012" s="2"/>
      <c r="E2012" s="310"/>
      <c r="I2012" s="2"/>
      <c r="M2012" s="2"/>
      <c r="P2012" s="2"/>
      <c r="Q2012" s="2"/>
    </row>
    <row r="2013" spans="4:17" x14ac:dyDescent="0.25">
      <c r="D2013" s="2"/>
      <c r="E2013" s="310"/>
      <c r="I2013" s="2"/>
      <c r="M2013" s="2"/>
      <c r="P2013" s="2"/>
      <c r="Q2013" s="2"/>
    </row>
    <row r="2014" spans="4:17" x14ac:dyDescent="0.25">
      <c r="D2014" s="2"/>
      <c r="E2014" s="310"/>
      <c r="I2014" s="2"/>
      <c r="M2014" s="2"/>
      <c r="P2014" s="2"/>
      <c r="Q2014" s="2"/>
    </row>
    <row r="2015" spans="4:17" x14ac:dyDescent="0.25">
      <c r="D2015" s="2"/>
      <c r="E2015" s="310"/>
      <c r="I2015" s="2"/>
      <c r="M2015" s="2"/>
      <c r="P2015" s="2"/>
      <c r="Q2015" s="2"/>
    </row>
    <row r="2016" spans="4:17" x14ac:dyDescent="0.25">
      <c r="D2016" s="2"/>
      <c r="E2016" s="310"/>
      <c r="I2016" s="2"/>
      <c r="M2016" s="2"/>
      <c r="P2016" s="2"/>
      <c r="Q2016" s="2"/>
    </row>
    <row r="2017" spans="4:17" x14ac:dyDescent="0.25">
      <c r="D2017" s="2"/>
      <c r="E2017" s="310"/>
      <c r="I2017" s="2"/>
      <c r="M2017" s="2"/>
      <c r="P2017" s="2"/>
      <c r="Q2017" s="2"/>
    </row>
    <row r="2018" spans="4:17" x14ac:dyDescent="0.25">
      <c r="D2018" s="2"/>
      <c r="E2018" s="310"/>
      <c r="I2018" s="2"/>
      <c r="M2018" s="2"/>
      <c r="P2018" s="2"/>
      <c r="Q2018" s="2"/>
    </row>
    <row r="2019" spans="4:17" x14ac:dyDescent="0.25">
      <c r="D2019" s="2"/>
      <c r="E2019" s="310"/>
      <c r="I2019" s="2"/>
      <c r="M2019" s="2"/>
      <c r="P2019" s="2"/>
      <c r="Q2019" s="2"/>
    </row>
    <row r="2020" spans="4:17" x14ac:dyDescent="0.25">
      <c r="D2020" s="2"/>
      <c r="E2020" s="310"/>
      <c r="I2020" s="2"/>
      <c r="M2020" s="2"/>
      <c r="P2020" s="2"/>
      <c r="Q2020" s="2"/>
    </row>
    <row r="2021" spans="4:17" x14ac:dyDescent="0.25">
      <c r="D2021" s="2"/>
      <c r="E2021" s="310"/>
      <c r="I2021" s="2"/>
      <c r="M2021" s="2"/>
      <c r="P2021" s="2"/>
      <c r="Q2021" s="2"/>
    </row>
    <row r="2022" spans="4:17" x14ac:dyDescent="0.25">
      <c r="D2022" s="2"/>
      <c r="E2022" s="310"/>
      <c r="I2022" s="2"/>
      <c r="M2022" s="2"/>
      <c r="P2022" s="2"/>
      <c r="Q2022" s="2"/>
    </row>
    <row r="2023" spans="4:17" x14ac:dyDescent="0.25">
      <c r="D2023" s="2"/>
      <c r="E2023" s="310"/>
      <c r="I2023" s="2"/>
      <c r="M2023" s="2"/>
      <c r="P2023" s="2"/>
      <c r="Q2023" s="2"/>
    </row>
    <row r="2024" spans="4:17" x14ac:dyDescent="0.25">
      <c r="D2024" s="2"/>
      <c r="E2024" s="310"/>
      <c r="I2024" s="2"/>
      <c r="M2024" s="2"/>
      <c r="P2024" s="2"/>
      <c r="Q2024" s="2"/>
    </row>
    <row r="2025" spans="4:17" x14ac:dyDescent="0.25">
      <c r="D2025" s="2"/>
      <c r="E2025" s="310"/>
      <c r="I2025" s="2"/>
      <c r="M2025" s="2"/>
      <c r="P2025" s="2"/>
      <c r="Q2025" s="2"/>
    </row>
    <row r="2026" spans="4:17" x14ac:dyDescent="0.25">
      <c r="D2026" s="2"/>
      <c r="E2026" s="310"/>
      <c r="I2026" s="2"/>
      <c r="M2026" s="2"/>
      <c r="P2026" s="2"/>
      <c r="Q2026" s="2"/>
    </row>
    <row r="2030" spans="4:17" x14ac:dyDescent="0.25">
      <c r="D2030" s="2"/>
      <c r="E2030" s="310"/>
      <c r="I2030" s="2"/>
      <c r="M2030" s="2"/>
      <c r="P2030" s="2"/>
      <c r="Q2030" s="2"/>
    </row>
    <row r="2031" spans="4:17" x14ac:dyDescent="0.25">
      <c r="D2031" s="2"/>
      <c r="E2031" s="310"/>
      <c r="I2031" s="2"/>
      <c r="M2031" s="2"/>
      <c r="P2031" s="2"/>
      <c r="Q2031" s="2"/>
    </row>
    <row r="2032" spans="4:17" x14ac:dyDescent="0.25">
      <c r="D2032" s="2"/>
      <c r="E2032" s="310"/>
      <c r="I2032" s="2"/>
      <c r="M2032" s="2"/>
      <c r="P2032" s="2"/>
      <c r="Q2032" s="2"/>
    </row>
    <row r="2033" spans="4:17" x14ac:dyDescent="0.25">
      <c r="D2033" s="2"/>
      <c r="E2033" s="310"/>
      <c r="I2033" s="2"/>
      <c r="M2033" s="2"/>
      <c r="P2033" s="2"/>
      <c r="Q2033" s="2"/>
    </row>
    <row r="2034" spans="4:17" x14ac:dyDescent="0.25">
      <c r="D2034" s="2"/>
      <c r="E2034" s="310"/>
      <c r="I2034" s="2"/>
      <c r="M2034" s="2"/>
      <c r="P2034" s="2"/>
      <c r="Q2034" s="2"/>
    </row>
    <row r="2035" spans="4:17" x14ac:dyDescent="0.25">
      <c r="D2035" s="2"/>
      <c r="E2035" s="310"/>
      <c r="I2035" s="2"/>
      <c r="M2035" s="2"/>
      <c r="P2035" s="2"/>
      <c r="Q2035" s="2"/>
    </row>
    <row r="2036" spans="4:17" x14ac:dyDescent="0.25">
      <c r="D2036" s="2"/>
      <c r="E2036" s="310"/>
      <c r="I2036" s="2"/>
      <c r="M2036" s="2"/>
      <c r="P2036" s="2"/>
      <c r="Q2036" s="2"/>
    </row>
    <row r="2037" spans="4:17" x14ac:dyDescent="0.25">
      <c r="D2037" s="2"/>
      <c r="E2037" s="310"/>
      <c r="I2037" s="2"/>
      <c r="M2037" s="2"/>
      <c r="P2037" s="2"/>
      <c r="Q2037" s="2"/>
    </row>
    <row r="2038" spans="4:17" x14ac:dyDescent="0.25">
      <c r="D2038" s="2"/>
      <c r="E2038" s="310"/>
      <c r="I2038" s="2"/>
      <c r="M2038" s="2"/>
      <c r="P2038" s="2"/>
      <c r="Q2038" s="2"/>
    </row>
    <row r="2039" spans="4:17" x14ac:dyDescent="0.25">
      <c r="D2039" s="2"/>
      <c r="E2039" s="310"/>
      <c r="I2039" s="2"/>
      <c r="M2039" s="2"/>
      <c r="P2039" s="2"/>
      <c r="Q2039" s="2"/>
    </row>
    <row r="2040" spans="4:17" x14ac:dyDescent="0.25">
      <c r="D2040" s="2"/>
      <c r="E2040" s="310"/>
      <c r="I2040" s="2"/>
      <c r="M2040" s="2"/>
      <c r="P2040" s="2"/>
      <c r="Q2040" s="2"/>
    </row>
    <row r="2041" spans="4:17" x14ac:dyDescent="0.25">
      <c r="D2041" s="2"/>
      <c r="E2041" s="310"/>
      <c r="I2041" s="2"/>
      <c r="M2041" s="2"/>
      <c r="P2041" s="2"/>
      <c r="Q2041" s="2"/>
    </row>
    <row r="2042" spans="4:17" x14ac:dyDescent="0.25">
      <c r="D2042" s="2"/>
      <c r="E2042" s="310"/>
      <c r="I2042" s="2"/>
      <c r="M2042" s="2"/>
      <c r="P2042" s="2"/>
      <c r="Q2042" s="2"/>
    </row>
    <row r="2043" spans="4:17" x14ac:dyDescent="0.25">
      <c r="D2043" s="2"/>
      <c r="E2043" s="310"/>
      <c r="I2043" s="2"/>
      <c r="M2043" s="2"/>
      <c r="P2043" s="2"/>
      <c r="Q2043" s="2"/>
    </row>
    <row r="2044" spans="4:17" x14ac:dyDescent="0.25">
      <c r="D2044" s="2"/>
      <c r="E2044" s="310"/>
      <c r="I2044" s="2"/>
      <c r="M2044" s="2"/>
      <c r="P2044" s="2"/>
      <c r="Q2044" s="2"/>
    </row>
    <row r="2045" spans="4:17" x14ac:dyDescent="0.25">
      <c r="D2045" s="2"/>
      <c r="E2045" s="310"/>
      <c r="I2045" s="2"/>
      <c r="M2045" s="2"/>
      <c r="P2045" s="2"/>
      <c r="Q2045" s="2"/>
    </row>
    <row r="2046" spans="4:17" x14ac:dyDescent="0.25">
      <c r="D2046" s="2"/>
      <c r="E2046" s="310"/>
      <c r="I2046" s="2"/>
      <c r="M2046" s="2"/>
      <c r="P2046" s="2"/>
      <c r="Q2046" s="2"/>
    </row>
    <row r="2047" spans="4:17" x14ac:dyDescent="0.25">
      <c r="D2047" s="2"/>
      <c r="E2047" s="310"/>
      <c r="I2047" s="2"/>
      <c r="M2047" s="2"/>
      <c r="P2047" s="2"/>
      <c r="Q2047" s="2"/>
    </row>
    <row r="2048" spans="4:17" x14ac:dyDescent="0.25">
      <c r="D2048" s="2"/>
      <c r="E2048" s="310"/>
      <c r="I2048" s="2"/>
      <c r="M2048" s="2"/>
      <c r="P2048" s="2"/>
      <c r="Q2048" s="2"/>
    </row>
    <row r="2049" spans="4:17" x14ac:dyDescent="0.25">
      <c r="D2049" s="2"/>
      <c r="E2049" s="310"/>
      <c r="I2049" s="2"/>
      <c r="M2049" s="2"/>
      <c r="P2049" s="2"/>
      <c r="Q2049" s="2"/>
    </row>
    <row r="2050" spans="4:17" x14ac:dyDescent="0.25">
      <c r="D2050" s="2"/>
      <c r="E2050" s="310"/>
      <c r="I2050" s="2"/>
      <c r="M2050" s="2"/>
      <c r="P2050" s="2"/>
      <c r="Q2050" s="2"/>
    </row>
    <row r="2051" spans="4:17" x14ac:dyDescent="0.25">
      <c r="D2051" s="2"/>
      <c r="E2051" s="310"/>
      <c r="I2051" s="2"/>
      <c r="M2051" s="2"/>
      <c r="P2051" s="2"/>
      <c r="Q2051" s="2"/>
    </row>
    <row r="2052" spans="4:17" x14ac:dyDescent="0.25">
      <c r="D2052" s="2"/>
      <c r="E2052" s="310"/>
      <c r="I2052" s="2"/>
      <c r="M2052" s="2"/>
      <c r="P2052" s="2"/>
      <c r="Q2052" s="2"/>
    </row>
    <row r="2053" spans="4:17" x14ac:dyDescent="0.25">
      <c r="D2053" s="2"/>
      <c r="E2053" s="310"/>
      <c r="I2053" s="2"/>
      <c r="M2053" s="2"/>
      <c r="P2053" s="2"/>
      <c r="Q2053" s="2"/>
    </row>
    <row r="2054" spans="4:17" x14ac:dyDescent="0.25">
      <c r="D2054" s="2"/>
      <c r="E2054" s="310"/>
      <c r="I2054" s="2"/>
      <c r="M2054" s="2"/>
      <c r="P2054" s="2"/>
      <c r="Q2054" s="2"/>
    </row>
    <row r="2055" spans="4:17" x14ac:dyDescent="0.25">
      <c r="D2055" s="2"/>
      <c r="E2055" s="310"/>
      <c r="I2055" s="2"/>
      <c r="M2055" s="2"/>
      <c r="P2055" s="2"/>
      <c r="Q2055" s="2"/>
    </row>
    <row r="2056" spans="4:17" x14ac:dyDescent="0.25">
      <c r="D2056" s="2"/>
      <c r="E2056" s="310"/>
      <c r="I2056" s="2"/>
      <c r="M2056" s="2"/>
      <c r="P2056" s="2"/>
      <c r="Q2056" s="2"/>
    </row>
    <row r="2057" spans="4:17" x14ac:dyDescent="0.25">
      <c r="D2057" s="2"/>
      <c r="E2057" s="310"/>
      <c r="I2057" s="2"/>
      <c r="M2057" s="2"/>
      <c r="P2057" s="2"/>
      <c r="Q2057" s="2"/>
    </row>
    <row r="2058" spans="4:17" x14ac:dyDescent="0.25">
      <c r="D2058" s="2"/>
      <c r="E2058" s="310"/>
      <c r="I2058" s="2"/>
      <c r="M2058" s="2"/>
      <c r="P2058" s="2"/>
      <c r="Q2058" s="2"/>
    </row>
    <row r="2059" spans="4:17" x14ac:dyDescent="0.25">
      <c r="D2059" s="2"/>
      <c r="E2059" s="310"/>
      <c r="I2059" s="2"/>
      <c r="M2059" s="2"/>
      <c r="P2059" s="2"/>
      <c r="Q2059" s="2"/>
    </row>
    <row r="2060" spans="4:17" x14ac:dyDescent="0.25">
      <c r="D2060" s="2"/>
      <c r="E2060" s="310"/>
      <c r="I2060" s="2"/>
      <c r="M2060" s="2"/>
      <c r="P2060" s="2"/>
      <c r="Q2060" s="2"/>
    </row>
    <row r="2061" spans="4:17" x14ac:dyDescent="0.25">
      <c r="D2061" s="2"/>
      <c r="E2061" s="310"/>
      <c r="I2061" s="2"/>
      <c r="M2061" s="2"/>
      <c r="P2061" s="2"/>
      <c r="Q2061" s="2"/>
    </row>
    <row r="2062" spans="4:17" x14ac:dyDescent="0.25">
      <c r="D2062" s="2"/>
      <c r="E2062" s="310"/>
      <c r="I2062" s="2"/>
      <c r="M2062" s="2"/>
      <c r="P2062" s="2"/>
      <c r="Q2062" s="2"/>
    </row>
    <row r="2063" spans="4:17" x14ac:dyDescent="0.25">
      <c r="D2063" s="2"/>
      <c r="E2063" s="310"/>
      <c r="I2063" s="2"/>
      <c r="M2063" s="2"/>
      <c r="P2063" s="2"/>
      <c r="Q2063" s="2"/>
    </row>
    <row r="2064" spans="4:17" x14ac:dyDescent="0.25">
      <c r="D2064" s="2"/>
      <c r="E2064" s="310"/>
      <c r="I2064" s="2"/>
      <c r="M2064" s="2"/>
      <c r="P2064" s="2"/>
      <c r="Q2064" s="2"/>
    </row>
    <row r="2065" spans="4:17" x14ac:dyDescent="0.25">
      <c r="D2065" s="2"/>
      <c r="E2065" s="310"/>
      <c r="I2065" s="2"/>
      <c r="M2065" s="2"/>
      <c r="P2065" s="2"/>
      <c r="Q2065" s="2"/>
    </row>
    <row r="2066" spans="4:17" x14ac:dyDescent="0.25">
      <c r="D2066" s="2"/>
      <c r="E2066" s="310"/>
      <c r="I2066" s="2"/>
      <c r="M2066" s="2"/>
      <c r="P2066" s="2"/>
      <c r="Q2066" s="2"/>
    </row>
    <row r="2067" spans="4:17" x14ac:dyDescent="0.25">
      <c r="D2067" s="2"/>
      <c r="E2067" s="310"/>
      <c r="I2067" s="2"/>
      <c r="M2067" s="2"/>
      <c r="P2067" s="2"/>
      <c r="Q2067" s="2"/>
    </row>
    <row r="2068" spans="4:17" x14ac:dyDescent="0.25">
      <c r="D2068" s="2"/>
      <c r="E2068" s="310"/>
      <c r="I2068" s="2"/>
      <c r="M2068" s="2"/>
      <c r="P2068" s="2"/>
      <c r="Q2068" s="2"/>
    </row>
    <row r="2069" spans="4:17" x14ac:dyDescent="0.25">
      <c r="D2069" s="2"/>
      <c r="E2069" s="310"/>
      <c r="I2069" s="2"/>
      <c r="M2069" s="2"/>
      <c r="P2069" s="2"/>
      <c r="Q2069" s="2"/>
    </row>
    <row r="2070" spans="4:17" x14ac:dyDescent="0.25">
      <c r="D2070" s="2"/>
      <c r="E2070" s="310"/>
      <c r="I2070" s="2"/>
      <c r="M2070" s="2"/>
      <c r="P2070" s="2"/>
      <c r="Q2070" s="2"/>
    </row>
    <row r="2071" spans="4:17" x14ac:dyDescent="0.25">
      <c r="D2071" s="2"/>
      <c r="E2071" s="310"/>
      <c r="I2071" s="2"/>
      <c r="M2071" s="2"/>
      <c r="P2071" s="2"/>
      <c r="Q2071" s="2"/>
    </row>
    <row r="2072" spans="4:17" x14ac:dyDescent="0.25">
      <c r="D2072" s="2"/>
      <c r="E2072" s="310"/>
      <c r="I2072" s="2"/>
      <c r="M2072" s="2"/>
      <c r="P2072" s="2"/>
      <c r="Q2072" s="2"/>
    </row>
    <row r="2073" spans="4:17" x14ac:dyDescent="0.25">
      <c r="D2073" s="2"/>
      <c r="E2073" s="310"/>
      <c r="I2073" s="2"/>
      <c r="M2073" s="2"/>
      <c r="P2073" s="2"/>
      <c r="Q2073" s="2"/>
    </row>
    <row r="2074" spans="4:17" x14ac:dyDescent="0.25">
      <c r="D2074" s="2"/>
      <c r="E2074" s="310"/>
      <c r="I2074" s="2"/>
      <c r="M2074" s="2"/>
      <c r="P2074" s="2"/>
      <c r="Q2074" s="2"/>
    </row>
    <row r="2075" spans="4:17" x14ac:dyDescent="0.25">
      <c r="D2075" s="2"/>
      <c r="E2075" s="310"/>
      <c r="I2075" s="2"/>
      <c r="M2075" s="2"/>
      <c r="P2075" s="2"/>
      <c r="Q2075" s="2"/>
    </row>
    <row r="2076" spans="4:17" x14ac:dyDescent="0.25">
      <c r="D2076" s="2"/>
      <c r="E2076" s="310"/>
      <c r="I2076" s="2"/>
      <c r="M2076" s="2"/>
      <c r="P2076" s="2"/>
      <c r="Q2076" s="2"/>
    </row>
    <row r="2077" spans="4:17" x14ac:dyDescent="0.25">
      <c r="D2077" s="2"/>
      <c r="E2077" s="310"/>
      <c r="I2077" s="2"/>
      <c r="M2077" s="2"/>
      <c r="P2077" s="2"/>
      <c r="Q2077" s="2"/>
    </row>
    <row r="2078" spans="4:17" x14ac:dyDescent="0.25">
      <c r="D2078" s="2"/>
      <c r="E2078" s="310"/>
      <c r="I2078" s="2"/>
      <c r="M2078" s="2"/>
      <c r="P2078" s="2"/>
      <c r="Q2078" s="2"/>
    </row>
    <row r="2079" spans="4:17" x14ac:dyDescent="0.25">
      <c r="D2079" s="2"/>
      <c r="E2079" s="310"/>
      <c r="I2079" s="2"/>
      <c r="M2079" s="2"/>
      <c r="P2079" s="2"/>
      <c r="Q2079" s="2"/>
    </row>
    <row r="2080" spans="4:17" x14ac:dyDescent="0.25">
      <c r="D2080" s="2"/>
      <c r="E2080" s="310"/>
      <c r="I2080" s="2"/>
      <c r="M2080" s="2"/>
      <c r="P2080" s="2"/>
      <c r="Q2080" s="2"/>
    </row>
    <row r="2081" spans="4:17" x14ac:dyDescent="0.25">
      <c r="D2081" s="2"/>
      <c r="E2081" s="310"/>
      <c r="I2081" s="2"/>
      <c r="M2081" s="2"/>
      <c r="P2081" s="2"/>
      <c r="Q2081" s="2"/>
    </row>
    <row r="2082" spans="4:17" x14ac:dyDescent="0.25">
      <c r="D2082" s="2"/>
      <c r="E2082" s="310"/>
      <c r="I2082" s="2"/>
      <c r="M2082" s="2"/>
      <c r="P2082" s="2"/>
      <c r="Q2082" s="2"/>
    </row>
    <row r="2083" spans="4:17" x14ac:dyDescent="0.25">
      <c r="D2083" s="2"/>
      <c r="E2083" s="310"/>
      <c r="I2083" s="2"/>
      <c r="M2083" s="2"/>
      <c r="P2083" s="2"/>
      <c r="Q2083" s="2"/>
    </row>
    <row r="2084" spans="4:17" x14ac:dyDescent="0.25">
      <c r="D2084" s="2"/>
      <c r="E2084" s="310"/>
      <c r="I2084" s="2"/>
      <c r="M2084" s="2"/>
      <c r="P2084" s="2"/>
      <c r="Q2084" s="2"/>
    </row>
    <row r="2085" spans="4:17" x14ac:dyDescent="0.25">
      <c r="D2085" s="2"/>
      <c r="E2085" s="310"/>
      <c r="I2085" s="2"/>
      <c r="M2085" s="2"/>
      <c r="P2085" s="2"/>
      <c r="Q2085" s="2"/>
    </row>
    <row r="2086" spans="4:17" x14ac:dyDescent="0.25">
      <c r="D2086" s="2"/>
      <c r="E2086" s="310"/>
      <c r="I2086" s="2"/>
      <c r="M2086" s="2"/>
      <c r="P2086" s="2"/>
      <c r="Q2086" s="2"/>
    </row>
    <row r="2087" spans="4:17" x14ac:dyDescent="0.25">
      <c r="D2087" s="2"/>
      <c r="E2087" s="310"/>
      <c r="I2087" s="2"/>
      <c r="M2087" s="2"/>
      <c r="P2087" s="2"/>
      <c r="Q2087" s="2"/>
    </row>
    <row r="2088" spans="4:17" x14ac:dyDescent="0.25">
      <c r="D2088" s="2"/>
      <c r="E2088" s="310"/>
      <c r="I2088" s="2"/>
      <c r="M2088" s="2"/>
      <c r="P2088" s="2"/>
      <c r="Q2088" s="2"/>
    </row>
    <row r="2089" spans="4:17" x14ac:dyDescent="0.25">
      <c r="D2089" s="2"/>
      <c r="E2089" s="310"/>
      <c r="I2089" s="2"/>
      <c r="M2089" s="2"/>
      <c r="P2089" s="2"/>
      <c r="Q2089" s="2"/>
    </row>
    <row r="2090" spans="4:17" x14ac:dyDescent="0.25">
      <c r="D2090" s="2"/>
      <c r="E2090" s="310"/>
      <c r="I2090" s="2"/>
      <c r="M2090" s="2"/>
      <c r="P2090" s="2"/>
      <c r="Q2090" s="2"/>
    </row>
    <row r="2091" spans="4:17" x14ac:dyDescent="0.25">
      <c r="D2091" s="2"/>
      <c r="E2091" s="310"/>
      <c r="I2091" s="2"/>
      <c r="M2091" s="2"/>
      <c r="P2091" s="2"/>
      <c r="Q2091" s="2"/>
    </row>
    <row r="2092" spans="4:17" x14ac:dyDescent="0.25">
      <c r="D2092" s="2"/>
      <c r="E2092" s="310"/>
      <c r="I2092" s="2"/>
      <c r="M2092" s="2"/>
      <c r="P2092" s="2"/>
      <c r="Q2092" s="2"/>
    </row>
    <row r="2093" spans="4:17" x14ac:dyDescent="0.25">
      <c r="D2093" s="2"/>
      <c r="E2093" s="310"/>
      <c r="I2093" s="2"/>
      <c r="M2093" s="2"/>
      <c r="P2093" s="2"/>
      <c r="Q2093" s="2"/>
    </row>
    <row r="2094" spans="4:17" x14ac:dyDescent="0.25">
      <c r="D2094" s="2"/>
      <c r="E2094" s="310"/>
      <c r="I2094" s="2"/>
      <c r="M2094" s="2"/>
      <c r="P2094" s="2"/>
      <c r="Q2094" s="2"/>
    </row>
    <row r="2095" spans="4:17" x14ac:dyDescent="0.25">
      <c r="D2095" s="2"/>
      <c r="E2095" s="310"/>
      <c r="I2095" s="2"/>
      <c r="M2095" s="2"/>
      <c r="P2095" s="2"/>
      <c r="Q2095" s="2"/>
    </row>
    <row r="2096" spans="4:17" x14ac:dyDescent="0.25">
      <c r="D2096" s="2"/>
      <c r="E2096" s="310"/>
      <c r="I2096" s="2"/>
      <c r="M2096" s="2"/>
      <c r="P2096" s="2"/>
      <c r="Q2096" s="2"/>
    </row>
    <row r="2097" spans="4:17" x14ac:dyDescent="0.25">
      <c r="D2097" s="2"/>
      <c r="E2097" s="310"/>
      <c r="I2097" s="2"/>
      <c r="M2097" s="2"/>
      <c r="P2097" s="2"/>
      <c r="Q2097" s="2"/>
    </row>
    <row r="2098" spans="4:17" x14ac:dyDescent="0.25">
      <c r="D2098" s="2"/>
      <c r="E2098" s="310"/>
      <c r="I2098" s="2"/>
      <c r="M2098" s="2"/>
      <c r="P2098" s="2"/>
      <c r="Q2098" s="2"/>
    </row>
    <row r="2099" spans="4:17" x14ac:dyDescent="0.25">
      <c r="D2099" s="2"/>
      <c r="E2099" s="310"/>
      <c r="I2099" s="2"/>
      <c r="M2099" s="2"/>
      <c r="P2099" s="2"/>
      <c r="Q2099" s="2"/>
    </row>
    <row r="2100" spans="4:17" x14ac:dyDescent="0.25">
      <c r="D2100" s="2"/>
      <c r="E2100" s="310"/>
      <c r="I2100" s="2"/>
      <c r="M2100" s="2"/>
      <c r="P2100" s="2"/>
      <c r="Q2100" s="2"/>
    </row>
    <row r="2101" spans="4:17" x14ac:dyDescent="0.25">
      <c r="D2101" s="2"/>
      <c r="E2101" s="310"/>
      <c r="I2101" s="2"/>
      <c r="M2101" s="2"/>
      <c r="P2101" s="2"/>
      <c r="Q2101" s="2"/>
    </row>
    <row r="2102" spans="4:17" x14ac:dyDescent="0.25">
      <c r="D2102" s="2"/>
      <c r="E2102" s="310"/>
      <c r="I2102" s="2"/>
      <c r="M2102" s="2"/>
      <c r="P2102" s="2"/>
      <c r="Q2102" s="2"/>
    </row>
    <row r="2103" spans="4:17" x14ac:dyDescent="0.25">
      <c r="D2103" s="2"/>
      <c r="E2103" s="310"/>
      <c r="I2103" s="2"/>
      <c r="M2103" s="2"/>
      <c r="P2103" s="2"/>
      <c r="Q2103" s="2"/>
    </row>
    <row r="2105" spans="4:17" x14ac:dyDescent="0.25">
      <c r="D2105" s="2"/>
      <c r="E2105" s="310"/>
      <c r="I2105" s="2"/>
      <c r="M2105" s="2"/>
      <c r="P2105" s="2"/>
      <c r="Q2105" s="2"/>
    </row>
    <row r="2106" spans="4:17" x14ac:dyDescent="0.25">
      <c r="D2106" s="2"/>
      <c r="E2106" s="310"/>
      <c r="I2106" s="2"/>
      <c r="M2106" s="2"/>
      <c r="P2106" s="2"/>
      <c r="Q2106" s="2"/>
    </row>
    <row r="2111" spans="4:17" x14ac:dyDescent="0.25">
      <c r="D2111" s="2"/>
      <c r="E2111" s="310"/>
      <c r="I2111" s="2"/>
      <c r="M2111" s="2"/>
      <c r="P2111" s="2"/>
      <c r="Q2111" s="2"/>
    </row>
    <row r="2112" spans="4:17" x14ac:dyDescent="0.25">
      <c r="D2112" s="2"/>
      <c r="E2112" s="310"/>
      <c r="I2112" s="2"/>
      <c r="M2112" s="2"/>
      <c r="P2112" s="2"/>
      <c r="Q2112" s="2"/>
    </row>
    <row r="2114" spans="4:17" x14ac:dyDescent="0.25">
      <c r="D2114" s="2"/>
      <c r="E2114" s="310"/>
      <c r="I2114" s="2"/>
      <c r="M2114" s="2"/>
      <c r="P2114" s="2"/>
      <c r="Q2114" s="2"/>
    </row>
    <row r="2115" spans="4:17" x14ac:dyDescent="0.25">
      <c r="D2115" s="2"/>
      <c r="E2115" s="310"/>
      <c r="I2115" s="2"/>
      <c r="M2115" s="2"/>
      <c r="P2115" s="2"/>
      <c r="Q2115" s="2"/>
    </row>
    <row r="2116" spans="4:17" x14ac:dyDescent="0.25">
      <c r="D2116" s="2"/>
      <c r="E2116" s="310"/>
      <c r="I2116" s="2"/>
      <c r="M2116" s="2"/>
      <c r="P2116" s="2"/>
      <c r="Q2116" s="2"/>
    </row>
    <row r="2117" spans="4:17" x14ac:dyDescent="0.25">
      <c r="D2117" s="2"/>
      <c r="E2117" s="310"/>
      <c r="I2117" s="2"/>
      <c r="M2117" s="2"/>
      <c r="P2117" s="2"/>
      <c r="Q2117" s="2"/>
    </row>
    <row r="2118" spans="4:17" x14ac:dyDescent="0.25">
      <c r="D2118" s="2"/>
      <c r="E2118" s="310"/>
      <c r="I2118" s="2"/>
      <c r="M2118" s="2"/>
      <c r="P2118" s="2"/>
      <c r="Q2118" s="2"/>
    </row>
    <row r="2119" spans="4:17" x14ac:dyDescent="0.25">
      <c r="D2119" s="2"/>
      <c r="E2119" s="310"/>
      <c r="I2119" s="2"/>
      <c r="M2119" s="2"/>
      <c r="P2119" s="2"/>
      <c r="Q2119" s="2"/>
    </row>
    <row r="2120" spans="4:17" x14ac:dyDescent="0.25">
      <c r="D2120" s="2"/>
      <c r="E2120" s="310"/>
      <c r="I2120" s="2"/>
      <c r="M2120" s="2"/>
      <c r="P2120" s="2"/>
      <c r="Q2120" s="2"/>
    </row>
    <row r="2121" spans="4:17" x14ac:dyDescent="0.25">
      <c r="D2121" s="2"/>
      <c r="E2121" s="310"/>
      <c r="I2121" s="2"/>
      <c r="M2121" s="2"/>
      <c r="P2121" s="2"/>
      <c r="Q2121" s="2"/>
    </row>
    <row r="2122" spans="4:17" x14ac:dyDescent="0.25">
      <c r="D2122" s="2"/>
      <c r="E2122" s="310"/>
      <c r="I2122" s="2"/>
      <c r="M2122" s="2"/>
      <c r="P2122" s="2"/>
      <c r="Q2122" s="2"/>
    </row>
    <row r="2123" spans="4:17" x14ac:dyDescent="0.25">
      <c r="D2123" s="2"/>
      <c r="E2123" s="310"/>
      <c r="I2123" s="2"/>
      <c r="M2123" s="2"/>
      <c r="P2123" s="2"/>
      <c r="Q2123" s="2"/>
    </row>
    <row r="2124" spans="4:17" x14ac:dyDescent="0.25">
      <c r="D2124" s="2"/>
      <c r="E2124" s="310"/>
      <c r="I2124" s="2"/>
      <c r="M2124" s="2"/>
      <c r="P2124" s="2"/>
      <c r="Q2124" s="2"/>
    </row>
    <row r="2125" spans="4:17" x14ac:dyDescent="0.25">
      <c r="D2125" s="2"/>
      <c r="E2125" s="310"/>
      <c r="I2125" s="2"/>
      <c r="M2125" s="2"/>
      <c r="P2125" s="2"/>
      <c r="Q2125" s="2"/>
    </row>
    <row r="2126" spans="4:17" x14ac:dyDescent="0.25">
      <c r="D2126" s="2"/>
      <c r="E2126" s="310"/>
      <c r="I2126" s="2"/>
      <c r="M2126" s="2"/>
      <c r="P2126" s="2"/>
      <c r="Q2126" s="2"/>
    </row>
    <row r="2127" spans="4:17" x14ac:dyDescent="0.25">
      <c r="D2127" s="2"/>
      <c r="E2127" s="310"/>
      <c r="I2127" s="2"/>
      <c r="M2127" s="2"/>
      <c r="P2127" s="2"/>
      <c r="Q2127" s="2"/>
    </row>
    <row r="2128" spans="4:17" x14ac:dyDescent="0.25">
      <c r="D2128" s="2"/>
      <c r="E2128" s="310"/>
      <c r="I2128" s="2"/>
      <c r="M2128" s="2"/>
      <c r="P2128" s="2"/>
      <c r="Q2128" s="2"/>
    </row>
    <row r="2129" spans="4:17" x14ac:dyDescent="0.25">
      <c r="D2129" s="2"/>
      <c r="E2129" s="310"/>
      <c r="I2129" s="2"/>
      <c r="M2129" s="2"/>
      <c r="P2129" s="2"/>
      <c r="Q2129" s="2"/>
    </row>
    <row r="2130" spans="4:17" x14ac:dyDescent="0.25">
      <c r="D2130" s="2"/>
      <c r="E2130" s="310"/>
      <c r="I2130" s="2"/>
      <c r="M2130" s="2"/>
      <c r="P2130" s="2"/>
      <c r="Q2130" s="2"/>
    </row>
    <row r="2131" spans="4:17" x14ac:dyDescent="0.25">
      <c r="D2131" s="2"/>
      <c r="E2131" s="310"/>
      <c r="I2131" s="2"/>
      <c r="M2131" s="2"/>
      <c r="P2131" s="2"/>
      <c r="Q2131" s="2"/>
    </row>
    <row r="2132" spans="4:17" x14ac:dyDescent="0.25">
      <c r="D2132" s="2"/>
      <c r="E2132" s="310"/>
      <c r="I2132" s="2"/>
      <c r="M2132" s="2"/>
      <c r="P2132" s="2"/>
      <c r="Q2132" s="2"/>
    </row>
    <row r="2133" spans="4:17" x14ac:dyDescent="0.25">
      <c r="D2133" s="2"/>
      <c r="E2133" s="310"/>
      <c r="I2133" s="2"/>
      <c r="M2133" s="2"/>
      <c r="P2133" s="2"/>
      <c r="Q2133" s="2"/>
    </row>
    <row r="2134" spans="4:17" x14ac:dyDescent="0.25">
      <c r="D2134" s="2"/>
      <c r="E2134" s="310"/>
      <c r="I2134" s="2"/>
      <c r="M2134" s="2"/>
      <c r="P2134" s="2"/>
      <c r="Q2134" s="2"/>
    </row>
    <row r="2135" spans="4:17" x14ac:dyDescent="0.25">
      <c r="D2135" s="2"/>
      <c r="E2135" s="310"/>
      <c r="I2135" s="2"/>
      <c r="M2135" s="2"/>
      <c r="P2135" s="2"/>
      <c r="Q2135" s="2"/>
    </row>
    <row r="2136" spans="4:17" x14ac:dyDescent="0.25">
      <c r="D2136" s="2"/>
      <c r="E2136" s="310"/>
      <c r="I2136" s="2"/>
      <c r="M2136" s="2"/>
      <c r="P2136" s="2"/>
      <c r="Q2136" s="2"/>
    </row>
    <row r="2137" spans="4:17" x14ac:dyDescent="0.25">
      <c r="D2137" s="2"/>
      <c r="E2137" s="310"/>
      <c r="I2137" s="2"/>
      <c r="M2137" s="2"/>
      <c r="P2137" s="2"/>
      <c r="Q2137" s="2"/>
    </row>
    <row r="2138" spans="4:17" x14ac:dyDescent="0.25">
      <c r="D2138" s="2"/>
      <c r="E2138" s="310"/>
      <c r="I2138" s="2"/>
      <c r="M2138" s="2"/>
      <c r="P2138" s="2"/>
      <c r="Q2138" s="2"/>
    </row>
    <row r="2139" spans="4:17" x14ac:dyDescent="0.25">
      <c r="D2139" s="2"/>
      <c r="E2139" s="310"/>
      <c r="I2139" s="2"/>
      <c r="M2139" s="2"/>
      <c r="P2139" s="2"/>
      <c r="Q2139" s="2"/>
    </row>
    <row r="2140" spans="4:17" x14ac:dyDescent="0.25">
      <c r="D2140" s="2"/>
      <c r="E2140" s="310"/>
      <c r="I2140" s="2"/>
      <c r="M2140" s="2"/>
      <c r="P2140" s="2"/>
      <c r="Q2140" s="2"/>
    </row>
    <row r="2141" spans="4:17" x14ac:dyDescent="0.25">
      <c r="D2141" s="2"/>
      <c r="E2141" s="310"/>
      <c r="I2141" s="2"/>
      <c r="M2141" s="2"/>
      <c r="P2141" s="2"/>
      <c r="Q2141" s="2"/>
    </row>
    <row r="2142" spans="4:17" x14ac:dyDescent="0.25">
      <c r="D2142" s="2"/>
      <c r="E2142" s="310"/>
      <c r="I2142" s="2"/>
      <c r="M2142" s="2"/>
      <c r="P2142" s="2"/>
      <c r="Q2142" s="2"/>
    </row>
    <row r="2143" spans="4:17" x14ac:dyDescent="0.25">
      <c r="D2143" s="2"/>
      <c r="E2143" s="310"/>
      <c r="I2143" s="2"/>
      <c r="M2143" s="2"/>
      <c r="P2143" s="2"/>
      <c r="Q2143" s="2"/>
    </row>
    <row r="2144" spans="4:17" x14ac:dyDescent="0.25">
      <c r="D2144" s="2"/>
      <c r="E2144" s="310"/>
      <c r="I2144" s="2"/>
      <c r="M2144" s="2"/>
      <c r="P2144" s="2"/>
      <c r="Q2144" s="2"/>
    </row>
    <row r="2145" spans="4:17" x14ac:dyDescent="0.25">
      <c r="D2145" s="2"/>
      <c r="E2145" s="310"/>
      <c r="I2145" s="2"/>
      <c r="M2145" s="2"/>
      <c r="P2145" s="2"/>
      <c r="Q2145" s="2"/>
    </row>
    <row r="2146" spans="4:17" x14ac:dyDescent="0.25">
      <c r="D2146" s="2"/>
      <c r="E2146" s="310"/>
      <c r="I2146" s="2"/>
      <c r="M2146" s="2"/>
      <c r="P2146" s="2"/>
      <c r="Q2146" s="2"/>
    </row>
    <row r="2147" spans="4:17" x14ac:dyDescent="0.25">
      <c r="D2147" s="2"/>
      <c r="E2147" s="310"/>
      <c r="I2147" s="2"/>
      <c r="M2147" s="2"/>
      <c r="P2147" s="2"/>
      <c r="Q2147" s="2"/>
    </row>
    <row r="2148" spans="4:17" x14ac:dyDescent="0.25">
      <c r="D2148" s="2"/>
      <c r="E2148" s="310"/>
      <c r="I2148" s="2"/>
      <c r="M2148" s="2"/>
      <c r="P2148" s="2"/>
      <c r="Q2148" s="2"/>
    </row>
    <row r="2149" spans="4:17" x14ac:dyDescent="0.25">
      <c r="D2149" s="2"/>
      <c r="E2149" s="310"/>
      <c r="I2149" s="2"/>
      <c r="M2149" s="2"/>
      <c r="P2149" s="2"/>
      <c r="Q2149" s="2"/>
    </row>
    <row r="2150" spans="4:17" x14ac:dyDescent="0.25">
      <c r="D2150" s="2"/>
      <c r="E2150" s="310"/>
      <c r="I2150" s="2"/>
      <c r="M2150" s="2"/>
      <c r="P2150" s="2"/>
      <c r="Q2150" s="2"/>
    </row>
    <row r="2151" spans="4:17" x14ac:dyDescent="0.25">
      <c r="D2151" s="2"/>
      <c r="E2151" s="310"/>
      <c r="I2151" s="2"/>
      <c r="M2151" s="2"/>
      <c r="P2151" s="2"/>
      <c r="Q2151" s="2"/>
    </row>
    <row r="2152" spans="4:17" x14ac:dyDescent="0.25">
      <c r="D2152" s="2"/>
      <c r="E2152" s="310"/>
      <c r="I2152" s="2"/>
      <c r="M2152" s="2"/>
      <c r="P2152" s="2"/>
      <c r="Q2152" s="2"/>
    </row>
    <row r="2153" spans="4:17" x14ac:dyDescent="0.25">
      <c r="D2153" s="2"/>
      <c r="E2153" s="310"/>
      <c r="I2153" s="2"/>
      <c r="M2153" s="2"/>
      <c r="P2153" s="2"/>
      <c r="Q2153" s="2"/>
    </row>
    <row r="2154" spans="4:17" x14ac:dyDescent="0.25">
      <c r="D2154" s="2"/>
      <c r="E2154" s="310"/>
      <c r="I2154" s="2"/>
      <c r="M2154" s="2"/>
      <c r="P2154" s="2"/>
      <c r="Q2154" s="2"/>
    </row>
    <row r="2155" spans="4:17" x14ac:dyDescent="0.25">
      <c r="D2155" s="2"/>
      <c r="E2155" s="310"/>
      <c r="I2155" s="2"/>
      <c r="M2155" s="2"/>
      <c r="P2155" s="2"/>
      <c r="Q2155" s="2"/>
    </row>
    <row r="2156" spans="4:17" x14ac:dyDescent="0.25">
      <c r="D2156" s="2"/>
      <c r="E2156" s="310"/>
      <c r="I2156" s="2"/>
      <c r="M2156" s="2"/>
      <c r="P2156" s="2"/>
      <c r="Q2156" s="2"/>
    </row>
    <row r="2157" spans="4:17" x14ac:dyDescent="0.25">
      <c r="D2157" s="2"/>
      <c r="E2157" s="310"/>
      <c r="I2157" s="2"/>
      <c r="M2157" s="2"/>
      <c r="P2157" s="2"/>
      <c r="Q2157" s="2"/>
    </row>
    <row r="2158" spans="4:17" x14ac:dyDescent="0.25">
      <c r="D2158" s="2"/>
      <c r="E2158" s="310"/>
      <c r="I2158" s="2"/>
      <c r="M2158" s="2"/>
      <c r="P2158" s="2"/>
      <c r="Q2158" s="2"/>
    </row>
    <row r="2159" spans="4:17" x14ac:dyDescent="0.25">
      <c r="D2159" s="2"/>
      <c r="E2159" s="310"/>
      <c r="I2159" s="2"/>
      <c r="M2159" s="2"/>
      <c r="P2159" s="2"/>
      <c r="Q2159" s="2"/>
    </row>
    <row r="2160" spans="4:17" x14ac:dyDescent="0.25">
      <c r="D2160" s="2"/>
      <c r="E2160" s="310"/>
      <c r="I2160" s="2"/>
      <c r="M2160" s="2"/>
      <c r="P2160" s="2"/>
      <c r="Q2160" s="2"/>
    </row>
    <row r="2161" spans="4:17" x14ac:dyDescent="0.25">
      <c r="D2161" s="2"/>
      <c r="E2161" s="310"/>
      <c r="I2161" s="2"/>
      <c r="M2161" s="2"/>
      <c r="P2161" s="2"/>
      <c r="Q2161" s="2"/>
    </row>
    <row r="2162" spans="4:17" x14ac:dyDescent="0.25">
      <c r="D2162" s="2"/>
      <c r="E2162" s="310"/>
      <c r="I2162" s="2"/>
      <c r="M2162" s="2"/>
      <c r="P2162" s="2"/>
      <c r="Q2162" s="2"/>
    </row>
    <row r="2163" spans="4:17" x14ac:dyDescent="0.25">
      <c r="D2163" s="2"/>
      <c r="E2163" s="310"/>
      <c r="I2163" s="2"/>
      <c r="M2163" s="2"/>
      <c r="P2163" s="2"/>
      <c r="Q2163" s="2"/>
    </row>
    <row r="2164" spans="4:17" x14ac:dyDescent="0.25">
      <c r="D2164" s="2"/>
      <c r="E2164" s="310"/>
      <c r="I2164" s="2"/>
      <c r="M2164" s="2"/>
      <c r="P2164" s="2"/>
      <c r="Q2164" s="2"/>
    </row>
    <row r="2165" spans="4:17" x14ac:dyDescent="0.25">
      <c r="D2165" s="2"/>
      <c r="E2165" s="310"/>
      <c r="I2165" s="2"/>
      <c r="M2165" s="2"/>
      <c r="P2165" s="2"/>
      <c r="Q2165" s="2"/>
    </row>
    <row r="2166" spans="4:17" x14ac:dyDescent="0.25">
      <c r="D2166" s="2"/>
      <c r="E2166" s="310"/>
      <c r="I2166" s="2"/>
      <c r="M2166" s="2"/>
      <c r="P2166" s="2"/>
      <c r="Q2166" s="2"/>
    </row>
    <row r="2167" spans="4:17" x14ac:dyDescent="0.25">
      <c r="D2167" s="2"/>
      <c r="E2167" s="310"/>
      <c r="I2167" s="2"/>
      <c r="M2167" s="2"/>
      <c r="P2167" s="2"/>
      <c r="Q2167" s="2"/>
    </row>
    <row r="2168" spans="4:17" x14ac:dyDescent="0.25">
      <c r="D2168" s="2"/>
      <c r="E2168" s="310"/>
      <c r="I2168" s="2"/>
      <c r="M2168" s="2"/>
      <c r="P2168" s="2"/>
      <c r="Q2168" s="2"/>
    </row>
    <row r="2169" spans="4:17" x14ac:dyDescent="0.25">
      <c r="D2169" s="2"/>
      <c r="E2169" s="310"/>
      <c r="I2169" s="2"/>
      <c r="M2169" s="2"/>
      <c r="P2169" s="2"/>
      <c r="Q2169" s="2"/>
    </row>
    <row r="2170" spans="4:17" x14ac:dyDescent="0.25">
      <c r="D2170" s="2"/>
      <c r="E2170" s="310"/>
      <c r="I2170" s="2"/>
      <c r="M2170" s="2"/>
      <c r="P2170" s="2"/>
      <c r="Q2170" s="2"/>
    </row>
    <row r="2171" spans="4:17" x14ac:dyDescent="0.25">
      <c r="D2171" s="2"/>
      <c r="E2171" s="310"/>
      <c r="I2171" s="2"/>
      <c r="M2171" s="2"/>
      <c r="P2171" s="2"/>
      <c r="Q2171" s="2"/>
    </row>
    <row r="2172" spans="4:17" x14ac:dyDescent="0.25">
      <c r="D2172" s="2"/>
      <c r="E2172" s="310"/>
      <c r="I2172" s="2"/>
      <c r="M2172" s="2"/>
      <c r="P2172" s="2"/>
      <c r="Q2172" s="2"/>
    </row>
    <row r="2173" spans="4:17" x14ac:dyDescent="0.25">
      <c r="D2173" s="2"/>
      <c r="E2173" s="310"/>
      <c r="I2173" s="2"/>
      <c r="M2173" s="2"/>
      <c r="P2173" s="2"/>
      <c r="Q2173" s="2"/>
    </row>
    <row r="2174" spans="4:17" x14ac:dyDescent="0.25">
      <c r="D2174" s="2"/>
      <c r="E2174" s="310"/>
      <c r="I2174" s="2"/>
      <c r="M2174" s="2"/>
      <c r="P2174" s="2"/>
      <c r="Q2174" s="2"/>
    </row>
    <row r="2175" spans="4:17" x14ac:dyDescent="0.25">
      <c r="D2175" s="2"/>
      <c r="E2175" s="310"/>
      <c r="I2175" s="2"/>
      <c r="M2175" s="2"/>
      <c r="P2175" s="2"/>
      <c r="Q2175" s="2"/>
    </row>
    <row r="2176" spans="4:17" x14ac:dyDescent="0.25">
      <c r="D2176" s="2"/>
      <c r="E2176" s="310"/>
      <c r="I2176" s="2"/>
      <c r="M2176" s="2"/>
      <c r="P2176" s="2"/>
      <c r="Q2176" s="2"/>
    </row>
    <row r="2177" spans="4:17" x14ac:dyDescent="0.25">
      <c r="D2177" s="2"/>
      <c r="E2177" s="310"/>
      <c r="I2177" s="2"/>
      <c r="M2177" s="2"/>
      <c r="P2177" s="2"/>
      <c r="Q2177" s="2"/>
    </row>
    <row r="2178" spans="4:17" x14ac:dyDescent="0.25">
      <c r="D2178" s="2"/>
      <c r="E2178" s="310"/>
      <c r="I2178" s="2"/>
      <c r="M2178" s="2"/>
      <c r="P2178" s="2"/>
      <c r="Q2178" s="2"/>
    </row>
    <row r="2179" spans="4:17" x14ac:dyDescent="0.25">
      <c r="D2179" s="2"/>
      <c r="E2179" s="310"/>
      <c r="I2179" s="2"/>
      <c r="M2179" s="2"/>
      <c r="P2179" s="2"/>
      <c r="Q2179" s="2"/>
    </row>
    <row r="2180" spans="4:17" x14ac:dyDescent="0.25">
      <c r="D2180" s="2"/>
      <c r="E2180" s="310"/>
      <c r="I2180" s="2"/>
      <c r="M2180" s="2"/>
      <c r="P2180" s="2"/>
      <c r="Q2180" s="2"/>
    </row>
    <row r="2181" spans="4:17" x14ac:dyDescent="0.25">
      <c r="D2181" s="2"/>
      <c r="E2181" s="310"/>
      <c r="I2181" s="2"/>
      <c r="M2181" s="2"/>
      <c r="P2181" s="2"/>
      <c r="Q2181" s="2"/>
    </row>
    <row r="2182" spans="4:17" x14ac:dyDescent="0.25">
      <c r="D2182" s="2"/>
      <c r="E2182" s="310"/>
      <c r="I2182" s="2"/>
      <c r="M2182" s="2"/>
      <c r="P2182" s="2"/>
      <c r="Q2182" s="2"/>
    </row>
    <row r="2183" spans="4:17" x14ac:dyDescent="0.25">
      <c r="D2183" s="2"/>
      <c r="E2183" s="310"/>
      <c r="I2183" s="2"/>
      <c r="M2183" s="2"/>
      <c r="P2183" s="2"/>
      <c r="Q2183" s="2"/>
    </row>
    <row r="2184" spans="4:17" x14ac:dyDescent="0.25">
      <c r="D2184" s="2"/>
      <c r="E2184" s="310"/>
      <c r="I2184" s="2"/>
      <c r="M2184" s="2"/>
      <c r="P2184" s="2"/>
      <c r="Q2184" s="2"/>
    </row>
    <row r="2185" spans="4:17" x14ac:dyDescent="0.25">
      <c r="D2185" s="2"/>
      <c r="E2185" s="310"/>
      <c r="I2185" s="2"/>
      <c r="M2185" s="2"/>
      <c r="P2185" s="2"/>
      <c r="Q2185" s="2"/>
    </row>
    <row r="2186" spans="4:17" x14ac:dyDescent="0.25">
      <c r="D2186" s="2"/>
      <c r="E2186" s="310"/>
      <c r="I2186" s="2"/>
      <c r="M2186" s="2"/>
      <c r="P2186" s="2"/>
      <c r="Q2186" s="2"/>
    </row>
    <row r="2187" spans="4:17" x14ac:dyDescent="0.25">
      <c r="D2187" s="2"/>
      <c r="E2187" s="310"/>
      <c r="I2187" s="2"/>
      <c r="M2187" s="2"/>
      <c r="P2187" s="2"/>
      <c r="Q2187" s="2"/>
    </row>
    <row r="2188" spans="4:17" x14ac:dyDescent="0.25">
      <c r="D2188" s="2"/>
      <c r="E2188" s="310"/>
      <c r="I2188" s="2"/>
      <c r="M2188" s="2"/>
      <c r="P2188" s="2"/>
      <c r="Q2188" s="2"/>
    </row>
    <row r="2189" spans="4:17" x14ac:dyDescent="0.25">
      <c r="D2189" s="2"/>
      <c r="E2189" s="310"/>
      <c r="I2189" s="2"/>
      <c r="M2189" s="2"/>
      <c r="P2189" s="2"/>
      <c r="Q2189" s="2"/>
    </row>
    <row r="2190" spans="4:17" x14ac:dyDescent="0.25">
      <c r="D2190" s="2"/>
      <c r="E2190" s="310"/>
      <c r="I2190" s="2"/>
      <c r="M2190" s="2"/>
      <c r="P2190" s="2"/>
      <c r="Q2190" s="2"/>
    </row>
    <row r="2191" spans="4:17" x14ac:dyDescent="0.25">
      <c r="D2191" s="2"/>
      <c r="E2191" s="310"/>
      <c r="I2191" s="2"/>
      <c r="M2191" s="2"/>
      <c r="P2191" s="2"/>
      <c r="Q2191" s="2"/>
    </row>
    <row r="2192" spans="4:17" x14ac:dyDescent="0.25">
      <c r="D2192" s="2"/>
      <c r="E2192" s="310"/>
      <c r="I2192" s="2"/>
      <c r="M2192" s="2"/>
      <c r="P2192" s="2"/>
      <c r="Q2192" s="2"/>
    </row>
    <row r="2193" spans="4:17" x14ac:dyDescent="0.25">
      <c r="D2193" s="2"/>
      <c r="E2193" s="310"/>
      <c r="I2193" s="2"/>
      <c r="M2193" s="2"/>
      <c r="P2193" s="2"/>
      <c r="Q2193" s="2"/>
    </row>
    <row r="2194" spans="4:17" x14ac:dyDescent="0.25">
      <c r="D2194" s="2"/>
      <c r="E2194" s="310"/>
      <c r="I2194" s="2"/>
      <c r="M2194" s="2"/>
      <c r="P2194" s="2"/>
      <c r="Q2194" s="2"/>
    </row>
    <row r="2195" spans="4:17" x14ac:dyDescent="0.25">
      <c r="D2195" s="2"/>
      <c r="E2195" s="310"/>
      <c r="I2195" s="2"/>
      <c r="M2195" s="2"/>
      <c r="P2195" s="2"/>
      <c r="Q2195" s="2"/>
    </row>
    <row r="2196" spans="4:17" x14ac:dyDescent="0.25">
      <c r="D2196" s="2"/>
      <c r="E2196" s="310"/>
      <c r="I2196" s="2"/>
      <c r="M2196" s="2"/>
      <c r="P2196" s="2"/>
      <c r="Q2196" s="2"/>
    </row>
    <row r="2197" spans="4:17" x14ac:dyDescent="0.25">
      <c r="D2197" s="2"/>
      <c r="E2197" s="310"/>
      <c r="I2197" s="2"/>
      <c r="M2197" s="2"/>
      <c r="P2197" s="2"/>
      <c r="Q2197" s="2"/>
    </row>
    <row r="2198" spans="4:17" x14ac:dyDescent="0.25">
      <c r="D2198" s="2"/>
      <c r="E2198" s="310"/>
      <c r="I2198" s="2"/>
      <c r="M2198" s="2"/>
      <c r="P2198" s="2"/>
      <c r="Q2198" s="2"/>
    </row>
    <row r="2199" spans="4:17" x14ac:dyDescent="0.25">
      <c r="D2199" s="2"/>
      <c r="E2199" s="310"/>
      <c r="I2199" s="2"/>
      <c r="M2199" s="2"/>
      <c r="P2199" s="2"/>
      <c r="Q2199" s="2"/>
    </row>
    <row r="2200" spans="4:17" x14ac:dyDescent="0.25">
      <c r="D2200" s="2"/>
      <c r="E2200" s="310"/>
      <c r="I2200" s="2"/>
      <c r="M2200" s="2"/>
      <c r="P2200" s="2"/>
      <c r="Q2200" s="2"/>
    </row>
    <row r="2201" spans="4:17" x14ac:dyDescent="0.25">
      <c r="D2201" s="2"/>
      <c r="E2201" s="310"/>
      <c r="I2201" s="2"/>
      <c r="M2201" s="2"/>
      <c r="P2201" s="2"/>
      <c r="Q2201" s="2"/>
    </row>
    <row r="2202" spans="4:17" x14ac:dyDescent="0.25">
      <c r="D2202" s="2"/>
      <c r="E2202" s="310"/>
      <c r="I2202" s="2"/>
      <c r="M2202" s="2"/>
      <c r="P2202" s="2"/>
      <c r="Q2202" s="2"/>
    </row>
    <row r="2203" spans="4:17" x14ac:dyDescent="0.25">
      <c r="D2203" s="2"/>
      <c r="E2203" s="310"/>
      <c r="I2203" s="2"/>
      <c r="M2203" s="2"/>
      <c r="P2203" s="2"/>
      <c r="Q2203" s="2"/>
    </row>
    <row r="2204" spans="4:17" x14ac:dyDescent="0.25">
      <c r="D2204" s="2"/>
      <c r="E2204" s="310"/>
      <c r="I2204" s="2"/>
      <c r="M2204" s="2"/>
      <c r="P2204" s="2"/>
      <c r="Q2204" s="2"/>
    </row>
    <row r="2205" spans="4:17" x14ac:dyDescent="0.25">
      <c r="D2205" s="2"/>
      <c r="E2205" s="310"/>
      <c r="I2205" s="2"/>
      <c r="M2205" s="2"/>
      <c r="P2205" s="2"/>
      <c r="Q2205" s="2"/>
    </row>
    <row r="2206" spans="4:17" x14ac:dyDescent="0.25">
      <c r="D2206" s="2"/>
      <c r="E2206" s="310"/>
      <c r="I2206" s="2"/>
      <c r="M2206" s="2"/>
      <c r="P2206" s="2"/>
      <c r="Q2206" s="2"/>
    </row>
    <row r="2207" spans="4:17" x14ac:dyDescent="0.25">
      <c r="D2207" s="2"/>
      <c r="E2207" s="310"/>
      <c r="I2207" s="2"/>
      <c r="M2207" s="2"/>
      <c r="P2207" s="2"/>
      <c r="Q2207" s="2"/>
    </row>
    <row r="2208" spans="4:17" x14ac:dyDescent="0.25">
      <c r="D2208" s="2"/>
      <c r="E2208" s="310"/>
      <c r="I2208" s="2"/>
      <c r="M2208" s="2"/>
      <c r="P2208" s="2"/>
      <c r="Q2208" s="2"/>
    </row>
    <row r="2209" spans="4:17" x14ac:dyDescent="0.25">
      <c r="D2209" s="2"/>
      <c r="E2209" s="310"/>
      <c r="I2209" s="2"/>
      <c r="M2209" s="2"/>
      <c r="P2209" s="2"/>
      <c r="Q2209" s="2"/>
    </row>
    <row r="2210" spans="4:17" x14ac:dyDescent="0.25">
      <c r="D2210" s="2"/>
      <c r="E2210" s="310"/>
      <c r="I2210" s="2"/>
      <c r="M2210" s="2"/>
      <c r="P2210" s="2"/>
      <c r="Q2210" s="2"/>
    </row>
    <row r="2211" spans="4:17" x14ac:dyDescent="0.25">
      <c r="D2211" s="2"/>
      <c r="E2211" s="310"/>
      <c r="I2211" s="2"/>
      <c r="M2211" s="2"/>
      <c r="P2211" s="2"/>
      <c r="Q2211" s="2"/>
    </row>
    <row r="2212" spans="4:17" x14ac:dyDescent="0.25">
      <c r="D2212" s="2"/>
      <c r="E2212" s="310"/>
      <c r="I2212" s="2"/>
      <c r="M2212" s="2"/>
      <c r="P2212" s="2"/>
      <c r="Q2212" s="2"/>
    </row>
    <row r="2213" spans="4:17" x14ac:dyDescent="0.25">
      <c r="D2213" s="2"/>
      <c r="E2213" s="310"/>
      <c r="I2213" s="2"/>
      <c r="M2213" s="2"/>
      <c r="P2213" s="2"/>
      <c r="Q2213" s="2"/>
    </row>
    <row r="2214" spans="4:17" x14ac:dyDescent="0.25">
      <c r="D2214" s="2"/>
      <c r="E2214" s="310"/>
      <c r="I2214" s="2"/>
      <c r="M2214" s="2"/>
      <c r="P2214" s="2"/>
      <c r="Q2214" s="2"/>
    </row>
    <row r="2215" spans="4:17" x14ac:dyDescent="0.25">
      <c r="D2215" s="2"/>
      <c r="E2215" s="310"/>
      <c r="I2215" s="2"/>
      <c r="M2215" s="2"/>
      <c r="P2215" s="2"/>
      <c r="Q2215" s="2"/>
    </row>
    <row r="2216" spans="4:17" x14ac:dyDescent="0.25">
      <c r="D2216" s="2"/>
      <c r="E2216" s="310"/>
      <c r="I2216" s="2"/>
      <c r="M2216" s="2"/>
      <c r="P2216" s="2"/>
      <c r="Q2216" s="2"/>
    </row>
    <row r="2217" spans="4:17" x14ac:dyDescent="0.25">
      <c r="D2217" s="2"/>
      <c r="E2217" s="310"/>
      <c r="I2217" s="2"/>
      <c r="M2217" s="2"/>
      <c r="P2217" s="2"/>
      <c r="Q2217" s="2"/>
    </row>
    <row r="2218" spans="4:17" x14ac:dyDescent="0.25">
      <c r="D2218" s="2"/>
      <c r="E2218" s="310"/>
      <c r="I2218" s="2"/>
      <c r="M2218" s="2"/>
      <c r="P2218" s="2"/>
      <c r="Q2218" s="2"/>
    </row>
    <row r="2219" spans="4:17" x14ac:dyDescent="0.25">
      <c r="D2219" s="2"/>
      <c r="E2219" s="310"/>
      <c r="I2219" s="2"/>
      <c r="M2219" s="2"/>
      <c r="P2219" s="2"/>
      <c r="Q2219" s="2"/>
    </row>
    <row r="2220" spans="4:17" x14ac:dyDescent="0.25">
      <c r="D2220" s="2"/>
      <c r="E2220" s="310"/>
      <c r="I2220" s="2"/>
      <c r="M2220" s="2"/>
      <c r="P2220" s="2"/>
      <c r="Q2220" s="2"/>
    </row>
    <row r="2221" spans="4:17" x14ac:dyDescent="0.25">
      <c r="D2221" s="2"/>
      <c r="E2221" s="310"/>
      <c r="I2221" s="2"/>
      <c r="M2221" s="2"/>
      <c r="P2221" s="2"/>
      <c r="Q2221" s="2"/>
    </row>
    <row r="2222" spans="4:17" x14ac:dyDescent="0.25">
      <c r="D2222" s="2"/>
      <c r="E2222" s="310"/>
      <c r="I2222" s="2"/>
      <c r="M2222" s="2"/>
      <c r="P2222" s="2"/>
      <c r="Q2222" s="2"/>
    </row>
    <row r="2223" spans="4:17" x14ac:dyDescent="0.25">
      <c r="D2223" s="2"/>
      <c r="E2223" s="310"/>
      <c r="I2223" s="2"/>
      <c r="M2223" s="2"/>
      <c r="P2223" s="2"/>
      <c r="Q2223" s="2"/>
    </row>
    <row r="2224" spans="4:17" x14ac:dyDescent="0.25">
      <c r="D2224" s="2"/>
      <c r="E2224" s="310"/>
      <c r="I2224" s="2"/>
      <c r="M2224" s="2"/>
      <c r="P2224" s="2"/>
      <c r="Q2224" s="2"/>
    </row>
    <row r="2225" spans="4:17" x14ac:dyDescent="0.25">
      <c r="D2225" s="2"/>
      <c r="E2225" s="310"/>
      <c r="I2225" s="2"/>
      <c r="M2225" s="2"/>
      <c r="P2225" s="2"/>
      <c r="Q2225" s="2"/>
    </row>
    <row r="2226" spans="4:17" x14ac:dyDescent="0.25">
      <c r="D2226" s="2"/>
      <c r="E2226" s="310"/>
      <c r="I2226" s="2"/>
      <c r="M2226" s="2"/>
      <c r="P2226" s="2"/>
      <c r="Q2226" s="2"/>
    </row>
    <row r="2227" spans="4:17" x14ac:dyDescent="0.25">
      <c r="D2227" s="2"/>
      <c r="E2227" s="310"/>
      <c r="I2227" s="2"/>
      <c r="M2227" s="2"/>
      <c r="P2227" s="2"/>
      <c r="Q2227" s="2"/>
    </row>
    <row r="2228" spans="4:17" x14ac:dyDescent="0.25">
      <c r="D2228" s="2"/>
      <c r="E2228" s="310"/>
      <c r="I2228" s="2"/>
      <c r="M2228" s="2"/>
      <c r="P2228" s="2"/>
      <c r="Q2228" s="2"/>
    </row>
    <row r="2229" spans="4:17" x14ac:dyDescent="0.25">
      <c r="D2229" s="2"/>
      <c r="E2229" s="310"/>
      <c r="I2229" s="2"/>
      <c r="M2229" s="2"/>
      <c r="P2229" s="2"/>
      <c r="Q2229" s="2"/>
    </row>
    <row r="2230" spans="4:17" x14ac:dyDescent="0.25">
      <c r="D2230" s="2"/>
      <c r="E2230" s="310"/>
      <c r="I2230" s="2"/>
      <c r="M2230" s="2"/>
      <c r="P2230" s="2"/>
      <c r="Q2230" s="2"/>
    </row>
    <row r="2231" spans="4:17" x14ac:dyDescent="0.25">
      <c r="D2231" s="2"/>
      <c r="E2231" s="310"/>
      <c r="I2231" s="2"/>
      <c r="M2231" s="2"/>
      <c r="P2231" s="2"/>
      <c r="Q2231" s="2"/>
    </row>
    <row r="2232" spans="4:17" x14ac:dyDescent="0.25">
      <c r="D2232" s="2"/>
      <c r="E2232" s="310"/>
      <c r="I2232" s="2"/>
      <c r="M2232" s="2"/>
      <c r="P2232" s="2"/>
      <c r="Q2232" s="2"/>
    </row>
    <row r="2233" spans="4:17" x14ac:dyDescent="0.25">
      <c r="D2233" s="2"/>
      <c r="E2233" s="310"/>
      <c r="I2233" s="2"/>
      <c r="M2233" s="2"/>
      <c r="P2233" s="2"/>
      <c r="Q2233" s="2"/>
    </row>
    <row r="2234" spans="4:17" x14ac:dyDescent="0.25">
      <c r="D2234" s="2"/>
      <c r="E2234" s="310"/>
      <c r="I2234" s="2"/>
      <c r="M2234" s="2"/>
      <c r="P2234" s="2"/>
      <c r="Q2234" s="2"/>
    </row>
    <row r="2235" spans="4:17" x14ac:dyDescent="0.25">
      <c r="D2235" s="2"/>
      <c r="E2235" s="310"/>
      <c r="I2235" s="2"/>
      <c r="M2235" s="2"/>
      <c r="P2235" s="2"/>
      <c r="Q2235" s="2"/>
    </row>
    <row r="2236" spans="4:17" x14ac:dyDescent="0.25">
      <c r="D2236" s="2"/>
      <c r="E2236" s="310"/>
      <c r="I2236" s="2"/>
      <c r="M2236" s="2"/>
      <c r="P2236" s="2"/>
      <c r="Q2236" s="2"/>
    </row>
    <row r="2237" spans="4:17" x14ac:dyDescent="0.25">
      <c r="D2237" s="2"/>
      <c r="E2237" s="310"/>
      <c r="I2237" s="2"/>
      <c r="M2237" s="2"/>
      <c r="P2237" s="2"/>
      <c r="Q2237" s="2"/>
    </row>
    <row r="2238" spans="4:17" x14ac:dyDescent="0.25">
      <c r="D2238" s="2"/>
      <c r="E2238" s="310"/>
      <c r="I2238" s="2"/>
      <c r="M2238" s="2"/>
      <c r="P2238" s="2"/>
      <c r="Q2238" s="2"/>
    </row>
    <row r="2239" spans="4:17" x14ac:dyDescent="0.25">
      <c r="D2239" s="2"/>
      <c r="E2239" s="310"/>
      <c r="I2239" s="2"/>
      <c r="M2239" s="2"/>
      <c r="P2239" s="2"/>
      <c r="Q2239" s="2"/>
    </row>
    <row r="2240" spans="4:17" x14ac:dyDescent="0.25">
      <c r="D2240" s="2"/>
      <c r="E2240" s="310"/>
      <c r="I2240" s="2"/>
      <c r="M2240" s="2"/>
      <c r="P2240" s="2"/>
      <c r="Q2240" s="2"/>
    </row>
    <row r="2241" spans="4:17" x14ac:dyDescent="0.25">
      <c r="D2241" s="2"/>
      <c r="E2241" s="310"/>
      <c r="I2241" s="2"/>
      <c r="M2241" s="2"/>
      <c r="P2241" s="2"/>
      <c r="Q2241" s="2"/>
    </row>
    <row r="2242" spans="4:17" x14ac:dyDescent="0.25">
      <c r="D2242" s="2"/>
      <c r="E2242" s="310"/>
      <c r="I2242" s="2"/>
      <c r="M2242" s="2"/>
      <c r="P2242" s="2"/>
      <c r="Q2242" s="2"/>
    </row>
    <row r="2243" spans="4:17" x14ac:dyDescent="0.25">
      <c r="D2243" s="2"/>
      <c r="E2243" s="310"/>
      <c r="I2243" s="2"/>
      <c r="M2243" s="2"/>
      <c r="P2243" s="2"/>
      <c r="Q2243" s="2"/>
    </row>
    <row r="2244" spans="4:17" x14ac:dyDescent="0.25">
      <c r="D2244" s="2"/>
      <c r="E2244" s="310"/>
      <c r="I2244" s="2"/>
      <c r="M2244" s="2"/>
      <c r="P2244" s="2"/>
      <c r="Q2244" s="2"/>
    </row>
    <row r="2245" spans="4:17" x14ac:dyDescent="0.25">
      <c r="D2245" s="2"/>
      <c r="E2245" s="310"/>
      <c r="I2245" s="2"/>
      <c r="M2245" s="2"/>
      <c r="P2245" s="2"/>
      <c r="Q2245" s="2"/>
    </row>
    <row r="2246" spans="4:17" x14ac:dyDescent="0.25">
      <c r="D2246" s="2"/>
      <c r="E2246" s="310"/>
      <c r="I2246" s="2"/>
      <c r="M2246" s="2"/>
      <c r="P2246" s="2"/>
      <c r="Q2246" s="2"/>
    </row>
    <row r="2247" spans="4:17" x14ac:dyDescent="0.25">
      <c r="D2247" s="2"/>
      <c r="E2247" s="310"/>
      <c r="I2247" s="2"/>
      <c r="M2247" s="2"/>
      <c r="P2247" s="2"/>
      <c r="Q2247" s="2"/>
    </row>
    <row r="2248" spans="4:17" x14ac:dyDescent="0.25">
      <c r="D2248" s="2"/>
      <c r="E2248" s="310"/>
      <c r="I2248" s="2"/>
      <c r="M2248" s="2"/>
      <c r="P2248" s="2"/>
      <c r="Q2248" s="2"/>
    </row>
    <row r="2249" spans="4:17" x14ac:dyDescent="0.25">
      <c r="D2249" s="2"/>
      <c r="E2249" s="310"/>
      <c r="I2249" s="2"/>
      <c r="M2249" s="2"/>
      <c r="P2249" s="2"/>
      <c r="Q2249" s="2"/>
    </row>
    <row r="2250" spans="4:17" x14ac:dyDescent="0.25">
      <c r="D2250" s="2"/>
      <c r="E2250" s="310"/>
      <c r="I2250" s="2"/>
      <c r="M2250" s="2"/>
      <c r="P2250" s="2"/>
      <c r="Q2250" s="2"/>
    </row>
    <row r="2251" spans="4:17" x14ac:dyDescent="0.25">
      <c r="D2251" s="2"/>
      <c r="E2251" s="310"/>
      <c r="I2251" s="2"/>
      <c r="M2251" s="2"/>
      <c r="P2251" s="2"/>
      <c r="Q2251" s="2"/>
    </row>
    <row r="2252" spans="4:17" x14ac:dyDescent="0.25">
      <c r="D2252" s="2"/>
      <c r="E2252" s="310"/>
      <c r="I2252" s="2"/>
      <c r="M2252" s="2"/>
      <c r="P2252" s="2"/>
      <c r="Q2252" s="2"/>
    </row>
    <row r="2253" spans="4:17" x14ac:dyDescent="0.25">
      <c r="D2253" s="2"/>
      <c r="E2253" s="310"/>
      <c r="I2253" s="2"/>
      <c r="M2253" s="2"/>
      <c r="P2253" s="2"/>
      <c r="Q2253" s="2"/>
    </row>
    <row r="2254" spans="4:17" x14ac:dyDescent="0.25">
      <c r="D2254" s="2"/>
      <c r="E2254" s="310"/>
      <c r="I2254" s="2"/>
      <c r="M2254" s="2"/>
      <c r="P2254" s="2"/>
      <c r="Q2254" s="2"/>
    </row>
    <row r="2255" spans="4:17" x14ac:dyDescent="0.25">
      <c r="D2255" s="2"/>
      <c r="E2255" s="310"/>
      <c r="I2255" s="2"/>
      <c r="M2255" s="2"/>
      <c r="P2255" s="2"/>
      <c r="Q2255" s="2"/>
    </row>
    <row r="2256" spans="4:17" x14ac:dyDescent="0.25">
      <c r="D2256" s="2"/>
      <c r="E2256" s="310"/>
      <c r="I2256" s="2"/>
      <c r="M2256" s="2"/>
      <c r="P2256" s="2"/>
      <c r="Q2256" s="2"/>
    </row>
    <row r="2257" spans="4:17" x14ac:dyDescent="0.25">
      <c r="D2257" s="2"/>
      <c r="E2257" s="310"/>
      <c r="I2257" s="2"/>
      <c r="M2257" s="2"/>
      <c r="P2257" s="2"/>
      <c r="Q2257" s="2"/>
    </row>
    <row r="2258" spans="4:17" x14ac:dyDescent="0.25">
      <c r="D2258" s="2"/>
      <c r="E2258" s="310"/>
      <c r="I2258" s="2"/>
      <c r="M2258" s="2"/>
      <c r="P2258" s="2"/>
      <c r="Q2258" s="2"/>
    </row>
    <row r="2259" spans="4:17" x14ac:dyDescent="0.25">
      <c r="D2259" s="2"/>
      <c r="E2259" s="310"/>
      <c r="I2259" s="2"/>
      <c r="M2259" s="2"/>
      <c r="P2259" s="2"/>
      <c r="Q2259" s="2"/>
    </row>
    <row r="2260" spans="4:17" x14ac:dyDescent="0.25">
      <c r="D2260" s="2"/>
      <c r="E2260" s="310"/>
      <c r="I2260" s="2"/>
      <c r="M2260" s="2"/>
      <c r="P2260" s="2"/>
      <c r="Q2260" s="2"/>
    </row>
    <row r="2261" spans="4:17" x14ac:dyDescent="0.25">
      <c r="D2261" s="2"/>
      <c r="E2261" s="310"/>
      <c r="I2261" s="2"/>
      <c r="M2261" s="2"/>
      <c r="P2261" s="2"/>
      <c r="Q2261" s="2"/>
    </row>
    <row r="2262" spans="4:17" x14ac:dyDescent="0.25">
      <c r="D2262" s="2"/>
      <c r="E2262" s="310"/>
      <c r="I2262" s="2"/>
      <c r="M2262" s="2"/>
      <c r="P2262" s="2"/>
      <c r="Q2262" s="2"/>
    </row>
    <row r="2263" spans="4:17" x14ac:dyDescent="0.25">
      <c r="D2263" s="2"/>
      <c r="E2263" s="310"/>
      <c r="I2263" s="2"/>
      <c r="M2263" s="2"/>
      <c r="P2263" s="2"/>
      <c r="Q2263" s="2"/>
    </row>
    <row r="2264" spans="4:17" x14ac:dyDescent="0.25">
      <c r="D2264" s="2"/>
      <c r="E2264" s="310"/>
      <c r="I2264" s="2"/>
      <c r="M2264" s="2"/>
      <c r="P2264" s="2"/>
      <c r="Q2264" s="2"/>
    </row>
    <row r="2265" spans="4:17" x14ac:dyDescent="0.25">
      <c r="D2265" s="2"/>
      <c r="E2265" s="310"/>
      <c r="I2265" s="2"/>
      <c r="M2265" s="2"/>
      <c r="P2265" s="2"/>
      <c r="Q2265" s="2"/>
    </row>
    <row r="2266" spans="4:17" x14ac:dyDescent="0.25">
      <c r="D2266" s="2"/>
      <c r="E2266" s="310"/>
      <c r="I2266" s="2"/>
      <c r="M2266" s="2"/>
      <c r="P2266" s="2"/>
      <c r="Q2266" s="2"/>
    </row>
    <row r="2267" spans="4:17" x14ac:dyDescent="0.25">
      <c r="D2267" s="2"/>
      <c r="E2267" s="310"/>
      <c r="I2267" s="2"/>
      <c r="M2267" s="2"/>
      <c r="P2267" s="2"/>
      <c r="Q2267" s="2"/>
    </row>
    <row r="2268" spans="4:17" x14ac:dyDescent="0.25">
      <c r="D2268" s="2"/>
      <c r="E2268" s="310"/>
      <c r="I2268" s="2"/>
      <c r="M2268" s="2"/>
      <c r="P2268" s="2"/>
      <c r="Q2268" s="2"/>
    </row>
    <row r="2269" spans="4:17" x14ac:dyDescent="0.25">
      <c r="D2269" s="2"/>
      <c r="E2269" s="310"/>
      <c r="I2269" s="2"/>
      <c r="M2269" s="2"/>
      <c r="P2269" s="2"/>
      <c r="Q2269" s="2"/>
    </row>
    <row r="2270" spans="4:17" x14ac:dyDescent="0.25">
      <c r="D2270" s="2"/>
      <c r="E2270" s="310"/>
      <c r="I2270" s="2"/>
      <c r="M2270" s="2"/>
      <c r="P2270" s="2"/>
      <c r="Q2270" s="2"/>
    </row>
    <row r="2271" spans="4:17" x14ac:dyDescent="0.25">
      <c r="D2271" s="2"/>
      <c r="E2271" s="310"/>
      <c r="I2271" s="2"/>
      <c r="M2271" s="2"/>
      <c r="P2271" s="2"/>
      <c r="Q2271" s="2"/>
    </row>
    <row r="2279" spans="4:17" x14ac:dyDescent="0.25">
      <c r="D2279" s="2"/>
      <c r="E2279" s="310"/>
      <c r="I2279" s="2"/>
      <c r="M2279" s="2"/>
      <c r="P2279" s="2"/>
      <c r="Q2279" s="2"/>
    </row>
    <row r="2280" spans="4:17" x14ac:dyDescent="0.25">
      <c r="D2280" s="2"/>
      <c r="E2280" s="310"/>
      <c r="I2280" s="2"/>
      <c r="M2280" s="2"/>
      <c r="P2280" s="2"/>
      <c r="Q2280" s="2"/>
    </row>
    <row r="2281" spans="4:17" x14ac:dyDescent="0.25">
      <c r="D2281" s="2"/>
      <c r="E2281" s="310"/>
      <c r="I2281" s="2"/>
      <c r="M2281" s="2"/>
      <c r="P2281" s="2"/>
      <c r="Q2281" s="2"/>
    </row>
    <row r="2282" spans="4:17" x14ac:dyDescent="0.25">
      <c r="D2282" s="2"/>
      <c r="E2282" s="310"/>
      <c r="I2282" s="2"/>
      <c r="M2282" s="2"/>
      <c r="P2282" s="2"/>
      <c r="Q2282" s="2"/>
    </row>
    <row r="2283" spans="4:17" x14ac:dyDescent="0.25">
      <c r="D2283" s="2"/>
      <c r="E2283" s="310"/>
      <c r="I2283" s="2"/>
      <c r="M2283" s="2"/>
      <c r="P2283" s="2"/>
      <c r="Q2283" s="2"/>
    </row>
    <row r="2284" spans="4:17" x14ac:dyDescent="0.25">
      <c r="D2284" s="2"/>
      <c r="E2284" s="310"/>
      <c r="I2284" s="2"/>
      <c r="M2284" s="2"/>
      <c r="P2284" s="2"/>
      <c r="Q2284" s="2"/>
    </row>
    <row r="2285" spans="4:17" x14ac:dyDescent="0.25">
      <c r="D2285" s="2"/>
      <c r="E2285" s="310"/>
      <c r="I2285" s="2"/>
      <c r="M2285" s="2"/>
      <c r="P2285" s="2"/>
      <c r="Q2285" s="2"/>
    </row>
    <row r="2286" spans="4:17" x14ac:dyDescent="0.25">
      <c r="D2286" s="2"/>
      <c r="E2286" s="310"/>
      <c r="I2286" s="2"/>
      <c r="M2286" s="2"/>
      <c r="P2286" s="2"/>
      <c r="Q2286" s="2"/>
    </row>
    <row r="2287" spans="4:17" x14ac:dyDescent="0.25">
      <c r="D2287" s="2"/>
      <c r="E2287" s="310"/>
      <c r="I2287" s="2"/>
      <c r="M2287" s="2"/>
      <c r="P2287" s="2"/>
      <c r="Q2287" s="2"/>
    </row>
    <row r="2288" spans="4:17" x14ac:dyDescent="0.25">
      <c r="D2288" s="2"/>
      <c r="E2288" s="310"/>
      <c r="I2288" s="2"/>
      <c r="M2288" s="2"/>
      <c r="P2288" s="2"/>
      <c r="Q2288" s="2"/>
    </row>
    <row r="2289" spans="4:17" x14ac:dyDescent="0.25">
      <c r="D2289" s="2"/>
      <c r="E2289" s="310"/>
      <c r="I2289" s="2"/>
      <c r="M2289" s="2"/>
      <c r="P2289" s="2"/>
      <c r="Q2289" s="2"/>
    </row>
    <row r="2290" spans="4:17" x14ac:dyDescent="0.25">
      <c r="D2290" s="2"/>
      <c r="E2290" s="310"/>
      <c r="I2290" s="2"/>
      <c r="M2290" s="2"/>
      <c r="P2290" s="2"/>
      <c r="Q2290" s="2"/>
    </row>
    <row r="2291" spans="4:17" x14ac:dyDescent="0.25">
      <c r="D2291" s="2"/>
      <c r="E2291" s="310"/>
      <c r="I2291" s="2"/>
      <c r="M2291" s="2"/>
      <c r="P2291" s="2"/>
      <c r="Q2291" s="2"/>
    </row>
    <row r="2292" spans="4:17" x14ac:dyDescent="0.25">
      <c r="D2292" s="2"/>
      <c r="E2292" s="310"/>
      <c r="I2292" s="2"/>
      <c r="M2292" s="2"/>
      <c r="P2292" s="2"/>
      <c r="Q2292" s="2"/>
    </row>
    <row r="2293" spans="4:17" x14ac:dyDescent="0.25">
      <c r="D2293" s="2"/>
      <c r="E2293" s="310"/>
      <c r="I2293" s="2"/>
      <c r="M2293" s="2"/>
      <c r="P2293" s="2"/>
      <c r="Q2293" s="2"/>
    </row>
    <row r="2294" spans="4:17" x14ac:dyDescent="0.25">
      <c r="D2294" s="2"/>
      <c r="E2294" s="310"/>
      <c r="I2294" s="2"/>
      <c r="M2294" s="2"/>
      <c r="P2294" s="2"/>
      <c r="Q2294" s="2"/>
    </row>
    <row r="2295" spans="4:17" x14ac:dyDescent="0.25">
      <c r="D2295" s="2"/>
      <c r="E2295" s="310"/>
      <c r="I2295" s="2"/>
      <c r="M2295" s="2"/>
      <c r="P2295" s="2"/>
      <c r="Q2295" s="2"/>
    </row>
    <row r="2296" spans="4:17" x14ac:dyDescent="0.25">
      <c r="D2296" s="2"/>
      <c r="E2296" s="310"/>
      <c r="I2296" s="2"/>
      <c r="M2296" s="2"/>
      <c r="P2296" s="2"/>
      <c r="Q2296" s="2"/>
    </row>
    <row r="2297" spans="4:17" x14ac:dyDescent="0.25">
      <c r="D2297" s="2"/>
      <c r="E2297" s="310"/>
      <c r="I2297" s="2"/>
      <c r="M2297" s="2"/>
      <c r="P2297" s="2"/>
      <c r="Q2297" s="2"/>
    </row>
    <row r="2298" spans="4:17" x14ac:dyDescent="0.25">
      <c r="D2298" s="2"/>
      <c r="E2298" s="310"/>
      <c r="I2298" s="2"/>
      <c r="M2298" s="2"/>
      <c r="P2298" s="2"/>
      <c r="Q2298" s="2"/>
    </row>
    <row r="2299" spans="4:17" x14ac:dyDescent="0.25">
      <c r="D2299" s="2"/>
      <c r="E2299" s="310"/>
      <c r="I2299" s="2"/>
      <c r="M2299" s="2"/>
      <c r="P2299" s="2"/>
      <c r="Q2299" s="2"/>
    </row>
    <row r="2300" spans="4:17" x14ac:dyDescent="0.25">
      <c r="D2300" s="2"/>
      <c r="E2300" s="310"/>
      <c r="I2300" s="2"/>
      <c r="M2300" s="2"/>
      <c r="P2300" s="2"/>
      <c r="Q2300" s="2"/>
    </row>
    <row r="2301" spans="4:17" x14ac:dyDescent="0.25">
      <c r="D2301" s="2"/>
      <c r="E2301" s="310"/>
      <c r="I2301" s="2"/>
      <c r="M2301" s="2"/>
      <c r="P2301" s="2"/>
      <c r="Q2301" s="2"/>
    </row>
    <row r="2302" spans="4:17" x14ac:dyDescent="0.25">
      <c r="D2302" s="2"/>
      <c r="E2302" s="310"/>
      <c r="I2302" s="2"/>
      <c r="M2302" s="2"/>
      <c r="P2302" s="2"/>
      <c r="Q2302" s="2"/>
    </row>
    <row r="2303" spans="4:17" x14ac:dyDescent="0.25">
      <c r="D2303" s="2"/>
      <c r="E2303" s="310"/>
      <c r="I2303" s="2"/>
      <c r="M2303" s="2"/>
      <c r="P2303" s="2"/>
      <c r="Q2303" s="2"/>
    </row>
    <row r="2304" spans="4:17" x14ac:dyDescent="0.25">
      <c r="D2304" s="2"/>
      <c r="E2304" s="310"/>
      <c r="I2304" s="2"/>
      <c r="M2304" s="2"/>
      <c r="P2304" s="2"/>
      <c r="Q2304" s="2"/>
    </row>
    <row r="2305" spans="4:17" x14ac:dyDescent="0.25">
      <c r="D2305" s="2"/>
      <c r="E2305" s="310"/>
      <c r="I2305" s="2"/>
      <c r="M2305" s="2"/>
      <c r="P2305" s="2"/>
      <c r="Q2305" s="2"/>
    </row>
    <row r="2306" spans="4:17" x14ac:dyDescent="0.25">
      <c r="D2306" s="2"/>
      <c r="E2306" s="310"/>
      <c r="I2306" s="2"/>
      <c r="M2306" s="2"/>
      <c r="P2306" s="2"/>
      <c r="Q2306" s="2"/>
    </row>
    <row r="2307" spans="4:17" x14ac:dyDescent="0.25">
      <c r="D2307" s="2"/>
      <c r="E2307" s="310"/>
      <c r="I2307" s="2"/>
      <c r="M2307" s="2"/>
      <c r="P2307" s="2"/>
      <c r="Q2307" s="2"/>
    </row>
    <row r="2308" spans="4:17" x14ac:dyDescent="0.25">
      <c r="D2308" s="2"/>
      <c r="E2308" s="310"/>
      <c r="I2308" s="2"/>
      <c r="M2308" s="2"/>
      <c r="P2308" s="2"/>
      <c r="Q2308" s="2"/>
    </row>
    <row r="2309" spans="4:17" x14ac:dyDescent="0.25">
      <c r="D2309" s="2"/>
      <c r="E2309" s="310"/>
      <c r="I2309" s="2"/>
      <c r="M2309" s="2"/>
      <c r="P2309" s="2"/>
      <c r="Q2309" s="2"/>
    </row>
    <row r="2310" spans="4:17" x14ac:dyDescent="0.25">
      <c r="D2310" s="2"/>
      <c r="E2310" s="310"/>
      <c r="I2310" s="2"/>
      <c r="M2310" s="2"/>
      <c r="P2310" s="2"/>
      <c r="Q2310" s="2"/>
    </row>
    <row r="2311" spans="4:17" x14ac:dyDescent="0.25">
      <c r="D2311" s="2"/>
      <c r="E2311" s="310"/>
      <c r="I2311" s="2"/>
      <c r="M2311" s="2"/>
      <c r="P2311" s="2"/>
      <c r="Q2311" s="2"/>
    </row>
    <row r="2312" spans="4:17" x14ac:dyDescent="0.25">
      <c r="D2312" s="2"/>
      <c r="E2312" s="310"/>
      <c r="I2312" s="2"/>
      <c r="M2312" s="2"/>
      <c r="P2312" s="2"/>
      <c r="Q2312" s="2"/>
    </row>
    <row r="2313" spans="4:17" x14ac:dyDescent="0.25">
      <c r="D2313" s="2"/>
      <c r="E2313" s="310"/>
      <c r="I2313" s="2"/>
      <c r="M2313" s="2"/>
      <c r="P2313" s="2"/>
      <c r="Q2313" s="2"/>
    </row>
    <row r="2314" spans="4:17" x14ac:dyDescent="0.25">
      <c r="D2314" s="2"/>
      <c r="E2314" s="310"/>
      <c r="I2314" s="2"/>
      <c r="M2314" s="2"/>
      <c r="P2314" s="2"/>
      <c r="Q2314" s="2"/>
    </row>
    <row r="2315" spans="4:17" x14ac:dyDescent="0.25">
      <c r="D2315" s="2"/>
      <c r="E2315" s="310"/>
      <c r="I2315" s="2"/>
      <c r="M2315" s="2"/>
      <c r="P2315" s="2"/>
      <c r="Q2315" s="2"/>
    </row>
    <row r="2316" spans="4:17" x14ac:dyDescent="0.25">
      <c r="D2316" s="2"/>
      <c r="E2316" s="310"/>
      <c r="I2316" s="2"/>
      <c r="M2316" s="2"/>
      <c r="P2316" s="2"/>
      <c r="Q2316" s="2"/>
    </row>
    <row r="2317" spans="4:17" x14ac:dyDescent="0.25">
      <c r="D2317" s="2"/>
      <c r="E2317" s="310"/>
      <c r="I2317" s="2"/>
      <c r="M2317" s="2"/>
      <c r="P2317" s="2"/>
      <c r="Q2317" s="2"/>
    </row>
    <row r="2318" spans="4:17" x14ac:dyDescent="0.25">
      <c r="D2318" s="2"/>
      <c r="E2318" s="310"/>
      <c r="I2318" s="2"/>
      <c r="M2318" s="2"/>
      <c r="P2318" s="2"/>
      <c r="Q2318" s="2"/>
    </row>
    <row r="2319" spans="4:17" x14ac:dyDescent="0.25">
      <c r="D2319" s="2"/>
      <c r="E2319" s="310"/>
      <c r="I2319" s="2"/>
      <c r="M2319" s="2"/>
      <c r="P2319" s="2"/>
      <c r="Q2319" s="2"/>
    </row>
    <row r="2320" spans="4:17" x14ac:dyDescent="0.25">
      <c r="D2320" s="2"/>
      <c r="E2320" s="310"/>
      <c r="I2320" s="2"/>
      <c r="M2320" s="2"/>
      <c r="P2320" s="2"/>
      <c r="Q2320" s="2"/>
    </row>
    <row r="2321" spans="4:17" x14ac:dyDescent="0.25">
      <c r="D2321" s="2"/>
      <c r="E2321" s="310"/>
      <c r="I2321" s="2"/>
      <c r="M2321" s="2"/>
      <c r="P2321" s="2"/>
      <c r="Q2321" s="2"/>
    </row>
    <row r="2322" spans="4:17" x14ac:dyDescent="0.25">
      <c r="D2322" s="2"/>
      <c r="E2322" s="310"/>
      <c r="I2322" s="2"/>
      <c r="M2322" s="2"/>
      <c r="P2322" s="2"/>
      <c r="Q2322" s="2"/>
    </row>
    <row r="2323" spans="4:17" x14ac:dyDescent="0.25">
      <c r="D2323" s="2"/>
      <c r="E2323" s="310"/>
      <c r="I2323" s="2"/>
      <c r="M2323" s="2"/>
      <c r="P2323" s="2"/>
      <c r="Q2323" s="2"/>
    </row>
    <row r="2324" spans="4:17" x14ac:dyDescent="0.25">
      <c r="D2324" s="2"/>
      <c r="E2324" s="310"/>
      <c r="I2324" s="2"/>
      <c r="M2324" s="2"/>
      <c r="P2324" s="2"/>
      <c r="Q2324" s="2"/>
    </row>
    <row r="2325" spans="4:17" x14ac:dyDescent="0.25">
      <c r="D2325" s="2"/>
      <c r="E2325" s="310"/>
      <c r="I2325" s="2"/>
      <c r="M2325" s="2"/>
      <c r="P2325" s="2"/>
      <c r="Q2325" s="2"/>
    </row>
    <row r="2327" spans="4:17" x14ac:dyDescent="0.25">
      <c r="D2327" s="2"/>
      <c r="E2327" s="310"/>
      <c r="I2327" s="2"/>
      <c r="M2327" s="2"/>
      <c r="P2327" s="2"/>
      <c r="Q2327" s="2"/>
    </row>
    <row r="2328" spans="4:17" x14ac:dyDescent="0.25">
      <c r="D2328" s="2"/>
      <c r="E2328" s="310"/>
      <c r="I2328" s="2"/>
      <c r="M2328" s="2"/>
      <c r="P2328" s="2"/>
      <c r="Q2328" s="2"/>
    </row>
    <row r="2333" spans="4:17" x14ac:dyDescent="0.25">
      <c r="D2333" s="2"/>
      <c r="E2333" s="310"/>
      <c r="I2333" s="2"/>
      <c r="M2333" s="2"/>
      <c r="P2333" s="2"/>
      <c r="Q2333" s="2"/>
    </row>
    <row r="2334" spans="4:17" x14ac:dyDescent="0.25">
      <c r="D2334" s="2"/>
      <c r="E2334" s="310"/>
      <c r="I2334" s="2"/>
      <c r="M2334" s="2"/>
      <c r="P2334" s="2"/>
      <c r="Q2334" s="2"/>
    </row>
    <row r="2336" spans="4:17" x14ac:dyDescent="0.25">
      <c r="D2336" s="2"/>
      <c r="E2336" s="310"/>
      <c r="I2336" s="2"/>
      <c r="M2336" s="2"/>
      <c r="P2336" s="2"/>
      <c r="Q2336" s="2"/>
    </row>
    <row r="2337" spans="4:17" x14ac:dyDescent="0.25">
      <c r="D2337" s="2"/>
      <c r="E2337" s="310"/>
      <c r="I2337" s="2"/>
      <c r="M2337" s="2"/>
      <c r="P2337" s="2"/>
      <c r="Q2337" s="2"/>
    </row>
    <row r="2338" spans="4:17" x14ac:dyDescent="0.25">
      <c r="D2338" s="2"/>
      <c r="E2338" s="310"/>
      <c r="I2338" s="2"/>
      <c r="M2338" s="2"/>
      <c r="P2338" s="2"/>
      <c r="Q2338" s="2"/>
    </row>
    <row r="2339" spans="4:17" x14ac:dyDescent="0.25">
      <c r="D2339" s="2"/>
      <c r="E2339" s="310"/>
      <c r="I2339" s="2"/>
      <c r="M2339" s="2"/>
      <c r="P2339" s="2"/>
      <c r="Q2339" s="2"/>
    </row>
    <row r="2340" spans="4:17" x14ac:dyDescent="0.25">
      <c r="D2340" s="2"/>
      <c r="E2340" s="310"/>
      <c r="I2340" s="2"/>
      <c r="M2340" s="2"/>
      <c r="P2340" s="2"/>
      <c r="Q2340" s="2"/>
    </row>
    <row r="2341" spans="4:17" x14ac:dyDescent="0.25">
      <c r="D2341" s="2"/>
      <c r="E2341" s="310"/>
      <c r="I2341" s="2"/>
      <c r="M2341" s="2"/>
      <c r="P2341" s="2"/>
      <c r="Q2341" s="2"/>
    </row>
    <row r="2342" spans="4:17" x14ac:dyDescent="0.25">
      <c r="D2342" s="2"/>
      <c r="E2342" s="310"/>
      <c r="I2342" s="2"/>
      <c r="M2342" s="2"/>
      <c r="P2342" s="2"/>
      <c r="Q2342" s="2"/>
    </row>
    <row r="2343" spans="4:17" x14ac:dyDescent="0.25">
      <c r="D2343" s="2"/>
      <c r="E2343" s="310"/>
      <c r="I2343" s="2"/>
      <c r="M2343" s="2"/>
      <c r="P2343" s="2"/>
      <c r="Q2343" s="2"/>
    </row>
    <row r="2344" spans="4:17" x14ac:dyDescent="0.25">
      <c r="D2344" s="2"/>
      <c r="E2344" s="310"/>
      <c r="I2344" s="2"/>
      <c r="M2344" s="2"/>
      <c r="P2344" s="2"/>
      <c r="Q2344" s="2"/>
    </row>
    <row r="2345" spans="4:17" x14ac:dyDescent="0.25">
      <c r="D2345" s="2"/>
      <c r="E2345" s="310"/>
      <c r="I2345" s="2"/>
      <c r="M2345" s="2"/>
      <c r="P2345" s="2"/>
      <c r="Q2345" s="2"/>
    </row>
    <row r="2346" spans="4:17" x14ac:dyDescent="0.25">
      <c r="D2346" s="2"/>
      <c r="E2346" s="310"/>
      <c r="I2346" s="2"/>
      <c r="M2346" s="2"/>
      <c r="P2346" s="2"/>
      <c r="Q2346" s="2"/>
    </row>
    <row r="2347" spans="4:17" x14ac:dyDescent="0.25">
      <c r="D2347" s="2"/>
      <c r="E2347" s="310"/>
      <c r="I2347" s="2"/>
      <c r="M2347" s="2"/>
      <c r="P2347" s="2"/>
      <c r="Q2347" s="2"/>
    </row>
    <row r="2348" spans="4:17" x14ac:dyDescent="0.25">
      <c r="D2348" s="2"/>
      <c r="E2348" s="310"/>
      <c r="I2348" s="2"/>
      <c r="M2348" s="2"/>
      <c r="P2348" s="2"/>
      <c r="Q2348" s="2"/>
    </row>
    <row r="2349" spans="4:17" x14ac:dyDescent="0.25">
      <c r="D2349" s="2"/>
      <c r="E2349" s="310"/>
      <c r="I2349" s="2"/>
      <c r="M2349" s="2"/>
      <c r="P2349" s="2"/>
      <c r="Q2349" s="2"/>
    </row>
    <row r="2350" spans="4:17" x14ac:dyDescent="0.25">
      <c r="D2350" s="2"/>
      <c r="E2350" s="310"/>
      <c r="I2350" s="2"/>
      <c r="M2350" s="2"/>
      <c r="P2350" s="2"/>
      <c r="Q2350" s="2"/>
    </row>
    <row r="2351" spans="4:17" x14ac:dyDescent="0.25">
      <c r="D2351" s="2"/>
      <c r="E2351" s="310"/>
      <c r="I2351" s="2"/>
      <c r="M2351" s="2"/>
      <c r="P2351" s="2"/>
      <c r="Q2351" s="2"/>
    </row>
    <row r="2352" spans="4:17" x14ac:dyDescent="0.25">
      <c r="D2352" s="2"/>
      <c r="E2352" s="310"/>
      <c r="I2352" s="2"/>
      <c r="M2352" s="2"/>
      <c r="P2352" s="2"/>
      <c r="Q2352" s="2"/>
    </row>
    <row r="2353" spans="4:17" x14ac:dyDescent="0.25">
      <c r="D2353" s="2"/>
      <c r="E2353" s="310"/>
      <c r="I2353" s="2"/>
      <c r="M2353" s="2"/>
      <c r="P2353" s="2"/>
      <c r="Q2353" s="2"/>
    </row>
    <row r="2354" spans="4:17" x14ac:dyDescent="0.25">
      <c r="D2354" s="2"/>
      <c r="E2354" s="310"/>
      <c r="I2354" s="2"/>
      <c r="M2354" s="2"/>
      <c r="P2354" s="2"/>
      <c r="Q2354" s="2"/>
    </row>
    <row r="2355" spans="4:17" x14ac:dyDescent="0.25">
      <c r="D2355" s="2"/>
      <c r="E2355" s="310"/>
      <c r="I2355" s="2"/>
      <c r="M2355" s="2"/>
      <c r="P2355" s="2"/>
      <c r="Q2355" s="2"/>
    </row>
    <row r="2356" spans="4:17" x14ac:dyDescent="0.25">
      <c r="D2356" s="2"/>
      <c r="E2356" s="310"/>
      <c r="I2356" s="2"/>
      <c r="M2356" s="2"/>
      <c r="P2356" s="2"/>
      <c r="Q2356" s="2"/>
    </row>
    <row r="2357" spans="4:17" x14ac:dyDescent="0.25">
      <c r="D2357" s="2"/>
      <c r="E2357" s="310"/>
      <c r="I2357" s="2"/>
      <c r="M2357" s="2"/>
      <c r="P2357" s="2"/>
      <c r="Q2357" s="2"/>
    </row>
    <row r="2358" spans="4:17" x14ac:dyDescent="0.25">
      <c r="D2358" s="2"/>
      <c r="E2358" s="310"/>
      <c r="I2358" s="2"/>
      <c r="M2358" s="2"/>
      <c r="P2358" s="2"/>
      <c r="Q2358" s="2"/>
    </row>
    <row r="2359" spans="4:17" x14ac:dyDescent="0.25">
      <c r="D2359" s="2"/>
      <c r="E2359" s="310"/>
      <c r="I2359" s="2"/>
      <c r="M2359" s="2"/>
      <c r="P2359" s="2"/>
      <c r="Q2359" s="2"/>
    </row>
    <row r="2360" spans="4:17" x14ac:dyDescent="0.25">
      <c r="D2360" s="2"/>
      <c r="E2360" s="310"/>
      <c r="I2360" s="2"/>
      <c r="M2360" s="2"/>
      <c r="P2360" s="2"/>
      <c r="Q2360" s="2"/>
    </row>
    <row r="2361" spans="4:17" x14ac:dyDescent="0.25">
      <c r="D2361" s="2"/>
      <c r="E2361" s="310"/>
      <c r="I2361" s="2"/>
      <c r="M2361" s="2"/>
      <c r="P2361" s="2"/>
      <c r="Q2361" s="2"/>
    </row>
    <row r="2362" spans="4:17" x14ac:dyDescent="0.25">
      <c r="D2362" s="2"/>
      <c r="E2362" s="310"/>
      <c r="I2362" s="2"/>
      <c r="M2362" s="2"/>
      <c r="P2362" s="2"/>
      <c r="Q2362" s="2"/>
    </row>
    <row r="2363" spans="4:17" x14ac:dyDescent="0.25">
      <c r="D2363" s="2"/>
      <c r="E2363" s="310"/>
      <c r="I2363" s="2"/>
      <c r="M2363" s="2"/>
      <c r="P2363" s="2"/>
      <c r="Q2363" s="2"/>
    </row>
    <row r="2364" spans="4:17" x14ac:dyDescent="0.25">
      <c r="D2364" s="2"/>
      <c r="E2364" s="310"/>
      <c r="I2364" s="2"/>
      <c r="M2364" s="2"/>
      <c r="P2364" s="2"/>
      <c r="Q2364" s="2"/>
    </row>
    <row r="2365" spans="4:17" x14ac:dyDescent="0.25">
      <c r="D2365" s="2"/>
      <c r="E2365" s="310"/>
      <c r="I2365" s="2"/>
      <c r="M2365" s="2"/>
      <c r="P2365" s="2"/>
      <c r="Q2365" s="2"/>
    </row>
    <row r="2366" spans="4:17" x14ac:dyDescent="0.25">
      <c r="D2366" s="2"/>
      <c r="E2366" s="310"/>
      <c r="I2366" s="2"/>
      <c r="M2366" s="2"/>
      <c r="P2366" s="2"/>
      <c r="Q2366" s="2"/>
    </row>
    <row r="2367" spans="4:17" x14ac:dyDescent="0.25">
      <c r="D2367" s="2"/>
      <c r="E2367" s="310"/>
      <c r="I2367" s="2"/>
      <c r="M2367" s="2"/>
      <c r="P2367" s="2"/>
      <c r="Q2367" s="2"/>
    </row>
    <row r="2368" spans="4:17" x14ac:dyDescent="0.25">
      <c r="D2368" s="2"/>
      <c r="E2368" s="310"/>
      <c r="I2368" s="2"/>
      <c r="M2368" s="2"/>
      <c r="P2368" s="2"/>
      <c r="Q2368" s="2"/>
    </row>
    <row r="2369" spans="4:17" x14ac:dyDescent="0.25">
      <c r="D2369" s="2"/>
      <c r="E2369" s="310"/>
      <c r="I2369" s="2"/>
      <c r="M2369" s="2"/>
      <c r="P2369" s="2"/>
      <c r="Q2369" s="2"/>
    </row>
    <row r="2370" spans="4:17" x14ac:dyDescent="0.25">
      <c r="D2370" s="2"/>
      <c r="E2370" s="310"/>
      <c r="I2370" s="2"/>
      <c r="M2370" s="2"/>
      <c r="P2370" s="2"/>
      <c r="Q2370" s="2"/>
    </row>
    <row r="2371" spans="4:17" x14ac:dyDescent="0.25">
      <c r="D2371" s="2"/>
      <c r="E2371" s="310"/>
      <c r="I2371" s="2"/>
      <c r="M2371" s="2"/>
      <c r="P2371" s="2"/>
      <c r="Q2371" s="2"/>
    </row>
    <row r="2372" spans="4:17" x14ac:dyDescent="0.25">
      <c r="D2372" s="2"/>
      <c r="E2372" s="310"/>
      <c r="I2372" s="2"/>
      <c r="M2372" s="2"/>
      <c r="P2372" s="2"/>
      <c r="Q2372" s="2"/>
    </row>
    <row r="2373" spans="4:17" x14ac:dyDescent="0.25">
      <c r="D2373" s="2"/>
      <c r="E2373" s="310"/>
      <c r="I2373" s="2"/>
      <c r="M2373" s="2"/>
      <c r="P2373" s="2"/>
      <c r="Q2373" s="2"/>
    </row>
    <row r="2374" spans="4:17" x14ac:dyDescent="0.25">
      <c r="D2374" s="2"/>
      <c r="E2374" s="310"/>
      <c r="I2374" s="2"/>
      <c r="M2374" s="2"/>
      <c r="P2374" s="2"/>
      <c r="Q2374" s="2"/>
    </row>
    <row r="2375" spans="4:17" x14ac:dyDescent="0.25">
      <c r="D2375" s="2"/>
      <c r="E2375" s="310"/>
      <c r="I2375" s="2"/>
      <c r="M2375" s="2"/>
      <c r="P2375" s="2"/>
      <c r="Q2375" s="2"/>
    </row>
    <row r="2376" spans="4:17" x14ac:dyDescent="0.25">
      <c r="D2376" s="2"/>
      <c r="E2376" s="310"/>
      <c r="I2376" s="2"/>
      <c r="M2376" s="2"/>
      <c r="P2376" s="2"/>
      <c r="Q2376" s="2"/>
    </row>
    <row r="2377" spans="4:17" x14ac:dyDescent="0.25">
      <c r="D2377" s="2"/>
      <c r="E2377" s="310"/>
      <c r="I2377" s="2"/>
      <c r="M2377" s="2"/>
      <c r="P2377" s="2"/>
      <c r="Q2377" s="2"/>
    </row>
    <row r="2378" spans="4:17" x14ac:dyDescent="0.25">
      <c r="D2378" s="2"/>
      <c r="E2378" s="310"/>
      <c r="I2378" s="2"/>
      <c r="M2378" s="2"/>
      <c r="P2378" s="2"/>
      <c r="Q2378" s="2"/>
    </row>
    <row r="2379" spans="4:17" x14ac:dyDescent="0.25">
      <c r="D2379" s="2"/>
      <c r="E2379" s="310"/>
      <c r="I2379" s="2"/>
      <c r="M2379" s="2"/>
      <c r="P2379" s="2"/>
      <c r="Q2379" s="2"/>
    </row>
    <row r="2380" spans="4:17" x14ac:dyDescent="0.25">
      <c r="D2380" s="2"/>
      <c r="E2380" s="310"/>
      <c r="I2380" s="2"/>
      <c r="M2380" s="2"/>
      <c r="P2380" s="2"/>
      <c r="Q2380" s="2"/>
    </row>
    <row r="2381" spans="4:17" x14ac:dyDescent="0.25">
      <c r="D2381" s="2"/>
      <c r="E2381" s="310"/>
      <c r="I2381" s="2"/>
      <c r="M2381" s="2"/>
      <c r="P2381" s="2"/>
      <c r="Q2381" s="2"/>
    </row>
    <row r="2382" spans="4:17" x14ac:dyDescent="0.25">
      <c r="D2382" s="2"/>
      <c r="E2382" s="310"/>
      <c r="I2382" s="2"/>
      <c r="M2382" s="2"/>
      <c r="P2382" s="2"/>
      <c r="Q2382" s="2"/>
    </row>
    <row r="2383" spans="4:17" x14ac:dyDescent="0.25">
      <c r="D2383" s="2"/>
      <c r="E2383" s="310"/>
      <c r="I2383" s="2"/>
      <c r="M2383" s="2"/>
      <c r="P2383" s="2"/>
      <c r="Q2383" s="2"/>
    </row>
    <row r="2384" spans="4:17" x14ac:dyDescent="0.25">
      <c r="D2384" s="2"/>
      <c r="E2384" s="310"/>
      <c r="I2384" s="2"/>
      <c r="M2384" s="2"/>
      <c r="P2384" s="2"/>
      <c r="Q2384" s="2"/>
    </row>
    <row r="2385" spans="4:17" x14ac:dyDescent="0.25">
      <c r="D2385" s="2"/>
      <c r="E2385" s="310"/>
      <c r="I2385" s="2"/>
      <c r="M2385" s="2"/>
      <c r="P2385" s="2"/>
      <c r="Q2385" s="2"/>
    </row>
    <row r="2386" spans="4:17" x14ac:dyDescent="0.25">
      <c r="D2386" s="2"/>
      <c r="E2386" s="310"/>
      <c r="I2386" s="2"/>
      <c r="M2386" s="2"/>
      <c r="P2386" s="2"/>
      <c r="Q2386" s="2"/>
    </row>
    <row r="2387" spans="4:17" x14ac:dyDescent="0.25">
      <c r="D2387" s="2"/>
      <c r="E2387" s="310"/>
      <c r="I2387" s="2"/>
      <c r="M2387" s="2"/>
      <c r="P2387" s="2"/>
      <c r="Q2387" s="2"/>
    </row>
    <row r="2388" spans="4:17" x14ac:dyDescent="0.25">
      <c r="D2388" s="2"/>
      <c r="E2388" s="310"/>
      <c r="I2388" s="2"/>
      <c r="M2388" s="2"/>
      <c r="P2388" s="2"/>
      <c r="Q2388" s="2"/>
    </row>
    <row r="2389" spans="4:17" x14ac:dyDescent="0.25">
      <c r="D2389" s="2"/>
      <c r="E2389" s="310"/>
      <c r="I2389" s="2"/>
      <c r="M2389" s="2"/>
      <c r="P2389" s="2"/>
      <c r="Q2389" s="2"/>
    </row>
    <row r="2390" spans="4:17" x14ac:dyDescent="0.25">
      <c r="D2390" s="2"/>
      <c r="E2390" s="310"/>
      <c r="I2390" s="2"/>
      <c r="M2390" s="2"/>
      <c r="P2390" s="2"/>
      <c r="Q2390" s="2"/>
    </row>
    <row r="2391" spans="4:17" x14ac:dyDescent="0.25">
      <c r="D2391" s="2"/>
      <c r="E2391" s="310"/>
      <c r="I2391" s="2"/>
      <c r="M2391" s="2"/>
      <c r="P2391" s="2"/>
      <c r="Q2391" s="2"/>
    </row>
    <row r="2392" spans="4:17" x14ac:dyDescent="0.25">
      <c r="D2392" s="2"/>
      <c r="E2392" s="310"/>
      <c r="I2392" s="2"/>
      <c r="M2392" s="2"/>
      <c r="P2392" s="2"/>
      <c r="Q2392" s="2"/>
    </row>
    <row r="2393" spans="4:17" x14ac:dyDescent="0.25">
      <c r="D2393" s="2"/>
      <c r="E2393" s="310"/>
      <c r="I2393" s="2"/>
      <c r="M2393" s="2"/>
      <c r="P2393" s="2"/>
      <c r="Q2393" s="2"/>
    </row>
    <row r="2394" spans="4:17" x14ac:dyDescent="0.25">
      <c r="D2394" s="2"/>
      <c r="E2394" s="310"/>
      <c r="I2394" s="2"/>
      <c r="M2394" s="2"/>
      <c r="P2394" s="2"/>
      <c r="Q2394" s="2"/>
    </row>
    <row r="2395" spans="4:17" x14ac:dyDescent="0.25">
      <c r="D2395" s="2"/>
      <c r="E2395" s="310"/>
      <c r="I2395" s="2"/>
      <c r="M2395" s="2"/>
      <c r="P2395" s="2"/>
      <c r="Q2395" s="2"/>
    </row>
    <row r="2396" spans="4:17" x14ac:dyDescent="0.25">
      <c r="D2396" s="2"/>
      <c r="E2396" s="310"/>
      <c r="I2396" s="2"/>
      <c r="M2396" s="2"/>
      <c r="P2396" s="2"/>
      <c r="Q2396" s="2"/>
    </row>
    <row r="2397" spans="4:17" x14ac:dyDescent="0.25">
      <c r="D2397" s="2"/>
      <c r="E2397" s="310"/>
      <c r="I2397" s="2"/>
      <c r="M2397" s="2"/>
      <c r="P2397" s="2"/>
      <c r="Q2397" s="2"/>
    </row>
    <row r="2398" spans="4:17" x14ac:dyDescent="0.25">
      <c r="D2398" s="2"/>
      <c r="E2398" s="310"/>
      <c r="I2398" s="2"/>
      <c r="M2398" s="2"/>
      <c r="P2398" s="2"/>
      <c r="Q2398" s="2"/>
    </row>
    <row r="2399" spans="4:17" x14ac:dyDescent="0.25">
      <c r="D2399" s="2"/>
      <c r="E2399" s="310"/>
      <c r="I2399" s="2"/>
      <c r="M2399" s="2"/>
      <c r="P2399" s="2"/>
      <c r="Q2399" s="2"/>
    </row>
    <row r="2400" spans="4:17" x14ac:dyDescent="0.25">
      <c r="D2400" s="2"/>
      <c r="E2400" s="310"/>
      <c r="I2400" s="2"/>
      <c r="M2400" s="2"/>
      <c r="P2400" s="2"/>
      <c r="Q2400" s="2"/>
    </row>
    <row r="2401" spans="4:17" x14ac:dyDescent="0.25">
      <c r="D2401" s="2"/>
      <c r="E2401" s="310"/>
      <c r="I2401" s="2"/>
      <c r="M2401" s="2"/>
      <c r="P2401" s="2"/>
      <c r="Q2401" s="2"/>
    </row>
    <row r="2402" spans="4:17" x14ac:dyDescent="0.25">
      <c r="D2402" s="2"/>
      <c r="E2402" s="310"/>
      <c r="I2402" s="2"/>
      <c r="M2402" s="2"/>
      <c r="P2402" s="2"/>
      <c r="Q2402" s="2"/>
    </row>
    <row r="2403" spans="4:17" x14ac:dyDescent="0.25">
      <c r="D2403" s="2"/>
      <c r="E2403" s="310"/>
      <c r="I2403" s="2"/>
      <c r="M2403" s="2"/>
      <c r="P2403" s="2"/>
      <c r="Q2403" s="2"/>
    </row>
    <row r="2404" spans="4:17" x14ac:dyDescent="0.25">
      <c r="D2404" s="2"/>
      <c r="E2404" s="310"/>
      <c r="I2404" s="2"/>
      <c r="M2404" s="2"/>
      <c r="P2404" s="2"/>
      <c r="Q2404" s="2"/>
    </row>
    <row r="2405" spans="4:17" x14ac:dyDescent="0.25">
      <c r="D2405" s="2"/>
      <c r="E2405" s="310"/>
      <c r="I2405" s="2"/>
      <c r="M2405" s="2"/>
      <c r="P2405" s="2"/>
      <c r="Q2405" s="2"/>
    </row>
    <row r="2406" spans="4:17" x14ac:dyDescent="0.25">
      <c r="D2406" s="2"/>
      <c r="E2406" s="310"/>
      <c r="I2406" s="2"/>
      <c r="M2406" s="2"/>
      <c r="P2406" s="2"/>
      <c r="Q2406" s="2"/>
    </row>
    <row r="2407" spans="4:17" x14ac:dyDescent="0.25">
      <c r="D2407" s="2"/>
      <c r="E2407" s="310"/>
      <c r="I2407" s="2"/>
      <c r="M2407" s="2"/>
      <c r="P2407" s="2"/>
      <c r="Q2407" s="2"/>
    </row>
    <row r="2408" spans="4:17" x14ac:dyDescent="0.25">
      <c r="D2408" s="2"/>
      <c r="E2408" s="310"/>
      <c r="I2408" s="2"/>
      <c r="M2408" s="2"/>
      <c r="P2408" s="2"/>
      <c r="Q2408" s="2"/>
    </row>
    <row r="2409" spans="4:17" x14ac:dyDescent="0.25">
      <c r="D2409" s="2"/>
      <c r="E2409" s="310"/>
      <c r="I2409" s="2"/>
      <c r="M2409" s="2"/>
      <c r="P2409" s="2"/>
      <c r="Q2409" s="2"/>
    </row>
    <row r="2410" spans="4:17" x14ac:dyDescent="0.25">
      <c r="D2410" s="2"/>
      <c r="E2410" s="310"/>
      <c r="I2410" s="2"/>
      <c r="M2410" s="2"/>
      <c r="P2410" s="2"/>
      <c r="Q2410" s="2"/>
    </row>
    <row r="2411" spans="4:17" x14ac:dyDescent="0.25">
      <c r="D2411" s="2"/>
      <c r="E2411" s="310"/>
      <c r="I2411" s="2"/>
      <c r="M2411" s="2"/>
      <c r="P2411" s="2"/>
      <c r="Q2411" s="2"/>
    </row>
    <row r="2412" spans="4:17" x14ac:dyDescent="0.25">
      <c r="D2412" s="2"/>
      <c r="E2412" s="310"/>
      <c r="I2412" s="2"/>
      <c r="M2412" s="2"/>
      <c r="P2412" s="2"/>
      <c r="Q2412" s="2"/>
    </row>
    <row r="2413" spans="4:17" x14ac:dyDescent="0.25">
      <c r="D2413" s="2"/>
      <c r="E2413" s="310"/>
      <c r="I2413" s="2"/>
      <c r="M2413" s="2"/>
      <c r="P2413" s="2"/>
      <c r="Q2413" s="2"/>
    </row>
    <row r="2414" spans="4:17" x14ac:dyDescent="0.25">
      <c r="D2414" s="2"/>
      <c r="E2414" s="310"/>
      <c r="I2414" s="2"/>
      <c r="M2414" s="2"/>
      <c r="P2414" s="2"/>
      <c r="Q2414" s="2"/>
    </row>
    <row r="2415" spans="4:17" x14ac:dyDescent="0.25">
      <c r="D2415" s="2"/>
      <c r="E2415" s="310"/>
      <c r="I2415" s="2"/>
      <c r="M2415" s="2"/>
      <c r="P2415" s="2"/>
      <c r="Q2415" s="2"/>
    </row>
    <row r="2416" spans="4:17" x14ac:dyDescent="0.25">
      <c r="D2416" s="2"/>
      <c r="E2416" s="310"/>
      <c r="I2416" s="2"/>
      <c r="M2416" s="2"/>
      <c r="P2416" s="2"/>
      <c r="Q2416" s="2"/>
    </row>
    <row r="2417" spans="4:17" x14ac:dyDescent="0.25">
      <c r="D2417" s="2"/>
      <c r="E2417" s="310"/>
      <c r="I2417" s="2"/>
      <c r="M2417" s="2"/>
      <c r="P2417" s="2"/>
      <c r="Q2417" s="2"/>
    </row>
    <row r="2418" spans="4:17" x14ac:dyDescent="0.25">
      <c r="D2418" s="2"/>
      <c r="E2418" s="310"/>
      <c r="I2418" s="2"/>
      <c r="M2418" s="2"/>
      <c r="P2418" s="2"/>
      <c r="Q2418" s="2"/>
    </row>
    <row r="2419" spans="4:17" x14ac:dyDescent="0.25">
      <c r="D2419" s="2"/>
      <c r="E2419" s="310"/>
      <c r="I2419" s="2"/>
      <c r="M2419" s="2"/>
      <c r="P2419" s="2"/>
      <c r="Q2419" s="2"/>
    </row>
    <row r="2420" spans="4:17" x14ac:dyDescent="0.25">
      <c r="D2420" s="2"/>
      <c r="E2420" s="310"/>
      <c r="I2420" s="2"/>
      <c r="M2420" s="2"/>
      <c r="P2420" s="2"/>
      <c r="Q2420" s="2"/>
    </row>
    <row r="2421" spans="4:17" x14ac:dyDescent="0.25">
      <c r="D2421" s="2"/>
      <c r="E2421" s="310"/>
      <c r="I2421" s="2"/>
      <c r="M2421" s="2"/>
      <c r="P2421" s="2"/>
      <c r="Q2421" s="2"/>
    </row>
    <row r="2422" spans="4:17" x14ac:dyDescent="0.25">
      <c r="D2422" s="2"/>
      <c r="E2422" s="310"/>
      <c r="I2422" s="2"/>
      <c r="M2422" s="2"/>
      <c r="P2422" s="2"/>
      <c r="Q2422" s="2"/>
    </row>
    <row r="2423" spans="4:17" x14ac:dyDescent="0.25">
      <c r="D2423" s="2"/>
      <c r="E2423" s="310"/>
      <c r="I2423" s="2"/>
      <c r="M2423" s="2"/>
      <c r="P2423" s="2"/>
      <c r="Q2423" s="2"/>
    </row>
    <row r="2424" spans="4:17" x14ac:dyDescent="0.25">
      <c r="D2424" s="2"/>
      <c r="E2424" s="310"/>
      <c r="I2424" s="2"/>
      <c r="M2424" s="2"/>
      <c r="P2424" s="2"/>
      <c r="Q2424" s="2"/>
    </row>
    <row r="2425" spans="4:17" x14ac:dyDescent="0.25">
      <c r="D2425" s="2"/>
      <c r="E2425" s="310"/>
      <c r="I2425" s="2"/>
      <c r="M2425" s="2"/>
      <c r="P2425" s="2"/>
      <c r="Q2425" s="2"/>
    </row>
    <row r="2426" spans="4:17" x14ac:dyDescent="0.25">
      <c r="D2426" s="2"/>
      <c r="E2426" s="310"/>
      <c r="I2426" s="2"/>
      <c r="M2426" s="2"/>
      <c r="P2426" s="2"/>
      <c r="Q2426" s="2"/>
    </row>
    <row r="2427" spans="4:17" x14ac:dyDescent="0.25">
      <c r="D2427" s="2"/>
      <c r="E2427" s="310"/>
      <c r="I2427" s="2"/>
      <c r="M2427" s="2"/>
      <c r="P2427" s="2"/>
      <c r="Q2427" s="2"/>
    </row>
    <row r="2428" spans="4:17" x14ac:dyDescent="0.25">
      <c r="D2428" s="2"/>
      <c r="E2428" s="310"/>
      <c r="I2428" s="2"/>
      <c r="M2428" s="2"/>
      <c r="P2428" s="2"/>
      <c r="Q2428" s="2"/>
    </row>
    <row r="2429" spans="4:17" x14ac:dyDescent="0.25">
      <c r="D2429" s="2"/>
      <c r="E2429" s="310"/>
      <c r="I2429" s="2"/>
      <c r="M2429" s="2"/>
      <c r="P2429" s="2"/>
      <c r="Q2429" s="2"/>
    </row>
    <row r="2430" spans="4:17" x14ac:dyDescent="0.25">
      <c r="D2430" s="2"/>
      <c r="E2430" s="310"/>
      <c r="I2430" s="2"/>
      <c r="M2430" s="2"/>
      <c r="P2430" s="2"/>
      <c r="Q2430" s="2"/>
    </row>
    <row r="2431" spans="4:17" x14ac:dyDescent="0.25">
      <c r="D2431" s="2"/>
      <c r="E2431" s="310"/>
      <c r="I2431" s="2"/>
      <c r="M2431" s="2"/>
      <c r="P2431" s="2"/>
      <c r="Q2431" s="2"/>
    </row>
    <row r="2432" spans="4:17" x14ac:dyDescent="0.25">
      <c r="D2432" s="2"/>
      <c r="E2432" s="310"/>
      <c r="I2432" s="2"/>
      <c r="M2432" s="2"/>
      <c r="P2432" s="2"/>
      <c r="Q2432" s="2"/>
    </row>
    <row r="2433" spans="4:17" x14ac:dyDescent="0.25">
      <c r="D2433" s="2"/>
      <c r="E2433" s="310"/>
      <c r="I2433" s="2"/>
      <c r="M2433" s="2"/>
      <c r="P2433" s="2"/>
      <c r="Q2433" s="2"/>
    </row>
    <row r="2434" spans="4:17" x14ac:dyDescent="0.25">
      <c r="D2434" s="2"/>
      <c r="E2434" s="310"/>
      <c r="I2434" s="2"/>
      <c r="M2434" s="2"/>
      <c r="P2434" s="2"/>
      <c r="Q2434" s="2"/>
    </row>
    <row r="2435" spans="4:17" x14ac:dyDescent="0.25">
      <c r="D2435" s="2"/>
      <c r="E2435" s="310"/>
      <c r="I2435" s="2"/>
      <c r="M2435" s="2"/>
      <c r="P2435" s="2"/>
      <c r="Q2435" s="2"/>
    </row>
    <row r="2436" spans="4:17" x14ac:dyDescent="0.25">
      <c r="D2436" s="2"/>
      <c r="E2436" s="310"/>
      <c r="I2436" s="2"/>
      <c r="M2436" s="2"/>
      <c r="P2436" s="2"/>
      <c r="Q2436" s="2"/>
    </row>
    <row r="2437" spans="4:17" x14ac:dyDescent="0.25">
      <c r="D2437" s="2"/>
      <c r="E2437" s="310"/>
      <c r="I2437" s="2"/>
      <c r="M2437" s="2"/>
      <c r="P2437" s="2"/>
      <c r="Q2437" s="2"/>
    </row>
    <row r="2438" spans="4:17" x14ac:dyDescent="0.25">
      <c r="D2438" s="2"/>
      <c r="E2438" s="310"/>
      <c r="I2438" s="2"/>
      <c r="M2438" s="2"/>
      <c r="P2438" s="2"/>
      <c r="Q2438" s="2"/>
    </row>
    <row r="2439" spans="4:17" x14ac:dyDescent="0.25">
      <c r="D2439" s="2"/>
      <c r="E2439" s="310"/>
      <c r="I2439" s="2"/>
      <c r="M2439" s="2"/>
      <c r="P2439" s="2"/>
      <c r="Q2439" s="2"/>
    </row>
    <row r="2440" spans="4:17" x14ac:dyDescent="0.25">
      <c r="D2440" s="2"/>
      <c r="E2440" s="310"/>
      <c r="I2440" s="2"/>
      <c r="M2440" s="2"/>
      <c r="P2440" s="2"/>
      <c r="Q2440" s="2"/>
    </row>
    <row r="2441" spans="4:17" x14ac:dyDescent="0.25">
      <c r="D2441" s="2"/>
      <c r="E2441" s="310"/>
      <c r="I2441" s="2"/>
      <c r="M2441" s="2"/>
      <c r="P2441" s="2"/>
      <c r="Q2441" s="2"/>
    </row>
    <row r="2442" spans="4:17" x14ac:dyDescent="0.25">
      <c r="D2442" s="2"/>
      <c r="E2442" s="310"/>
      <c r="I2442" s="2"/>
      <c r="M2442" s="2"/>
      <c r="P2442" s="2"/>
      <c r="Q2442" s="2"/>
    </row>
    <row r="2443" spans="4:17" x14ac:dyDescent="0.25">
      <c r="D2443" s="2"/>
      <c r="E2443" s="310"/>
      <c r="I2443" s="2"/>
      <c r="M2443" s="2"/>
      <c r="P2443" s="2"/>
      <c r="Q2443" s="2"/>
    </row>
    <row r="2444" spans="4:17" x14ac:dyDescent="0.25">
      <c r="D2444" s="2"/>
      <c r="E2444" s="310"/>
      <c r="I2444" s="2"/>
      <c r="M2444" s="2"/>
      <c r="P2444" s="2"/>
      <c r="Q2444" s="2"/>
    </row>
    <row r="2445" spans="4:17" x14ac:dyDescent="0.25">
      <c r="D2445" s="2"/>
      <c r="E2445" s="310"/>
      <c r="I2445" s="2"/>
      <c r="M2445" s="2"/>
      <c r="P2445" s="2"/>
      <c r="Q2445" s="2"/>
    </row>
    <row r="2446" spans="4:17" x14ac:dyDescent="0.25">
      <c r="D2446" s="2"/>
      <c r="E2446" s="310"/>
      <c r="I2446" s="2"/>
      <c r="M2446" s="2"/>
      <c r="P2446" s="2"/>
      <c r="Q2446" s="2"/>
    </row>
    <row r="2447" spans="4:17" x14ac:dyDescent="0.25">
      <c r="D2447" s="2"/>
      <c r="E2447" s="310"/>
      <c r="I2447" s="2"/>
      <c r="M2447" s="2"/>
      <c r="P2447" s="2"/>
      <c r="Q2447" s="2"/>
    </row>
    <row r="2448" spans="4:17" x14ac:dyDescent="0.25">
      <c r="D2448" s="2"/>
      <c r="E2448" s="310"/>
      <c r="I2448" s="2"/>
      <c r="M2448" s="2"/>
      <c r="P2448" s="2"/>
      <c r="Q2448" s="2"/>
    </row>
    <row r="2449" spans="4:17" x14ac:dyDescent="0.25">
      <c r="D2449" s="2"/>
      <c r="E2449" s="310"/>
      <c r="I2449" s="2"/>
      <c r="M2449" s="2"/>
      <c r="P2449" s="2"/>
      <c r="Q2449" s="2"/>
    </row>
    <row r="2450" spans="4:17" x14ac:dyDescent="0.25">
      <c r="D2450" s="2"/>
      <c r="E2450" s="310"/>
      <c r="I2450" s="2"/>
      <c r="M2450" s="2"/>
      <c r="P2450" s="2"/>
      <c r="Q2450" s="2"/>
    </row>
    <row r="2451" spans="4:17" x14ac:dyDescent="0.25">
      <c r="D2451" s="2"/>
      <c r="E2451" s="310"/>
      <c r="I2451" s="2"/>
      <c r="M2451" s="2"/>
      <c r="P2451" s="2"/>
      <c r="Q2451" s="2"/>
    </row>
    <row r="2452" spans="4:17" x14ac:dyDescent="0.25">
      <c r="D2452" s="2"/>
      <c r="E2452" s="310"/>
      <c r="I2452" s="2"/>
      <c r="M2452" s="2"/>
      <c r="P2452" s="2"/>
      <c r="Q2452" s="2"/>
    </row>
    <row r="2453" spans="4:17" x14ac:dyDescent="0.25">
      <c r="D2453" s="2"/>
      <c r="E2453" s="310"/>
      <c r="I2453" s="2"/>
      <c r="M2453" s="2"/>
      <c r="P2453" s="2"/>
      <c r="Q2453" s="2"/>
    </row>
    <row r="2454" spans="4:17" x14ac:dyDescent="0.25">
      <c r="D2454" s="2"/>
      <c r="E2454" s="310"/>
      <c r="I2454" s="2"/>
      <c r="M2454" s="2"/>
      <c r="P2454" s="2"/>
      <c r="Q2454" s="2"/>
    </row>
    <row r="2455" spans="4:17" x14ac:dyDescent="0.25">
      <c r="D2455" s="2"/>
      <c r="E2455" s="310"/>
      <c r="I2455" s="2"/>
      <c r="M2455" s="2"/>
      <c r="P2455" s="2"/>
      <c r="Q2455" s="2"/>
    </row>
    <row r="2456" spans="4:17" x14ac:dyDescent="0.25">
      <c r="D2456" s="2"/>
      <c r="E2456" s="310"/>
      <c r="I2456" s="2"/>
      <c r="M2456" s="2"/>
      <c r="P2456" s="2"/>
      <c r="Q2456" s="2"/>
    </row>
    <row r="2457" spans="4:17" x14ac:dyDescent="0.25">
      <c r="D2457" s="2"/>
      <c r="E2457" s="310"/>
      <c r="I2457" s="2"/>
      <c r="M2457" s="2"/>
      <c r="P2457" s="2"/>
      <c r="Q2457" s="2"/>
    </row>
    <row r="2458" spans="4:17" x14ac:dyDescent="0.25">
      <c r="D2458" s="2"/>
      <c r="E2458" s="310"/>
      <c r="I2458" s="2"/>
      <c r="M2458" s="2"/>
      <c r="P2458" s="2"/>
      <c r="Q2458" s="2"/>
    </row>
    <row r="2459" spans="4:17" x14ac:dyDescent="0.25">
      <c r="D2459" s="2"/>
      <c r="E2459" s="310"/>
      <c r="I2459" s="2"/>
      <c r="M2459" s="2"/>
      <c r="P2459" s="2"/>
      <c r="Q2459" s="2"/>
    </row>
    <row r="2460" spans="4:17" x14ac:dyDescent="0.25">
      <c r="D2460" s="2"/>
      <c r="E2460" s="310"/>
      <c r="I2460" s="2"/>
      <c r="M2460" s="2"/>
      <c r="P2460" s="2"/>
      <c r="Q2460" s="2"/>
    </row>
    <row r="2461" spans="4:17" x14ac:dyDescent="0.25">
      <c r="D2461" s="2"/>
      <c r="E2461" s="310"/>
      <c r="I2461" s="2"/>
      <c r="M2461" s="2"/>
      <c r="P2461" s="2"/>
      <c r="Q2461" s="2"/>
    </row>
    <row r="2462" spans="4:17" x14ac:dyDescent="0.25">
      <c r="D2462" s="2"/>
      <c r="E2462" s="310"/>
      <c r="I2462" s="2"/>
      <c r="M2462" s="2"/>
      <c r="P2462" s="2"/>
      <c r="Q2462" s="2"/>
    </row>
    <row r="2463" spans="4:17" x14ac:dyDescent="0.25">
      <c r="D2463" s="2"/>
      <c r="E2463" s="310"/>
      <c r="I2463" s="2"/>
      <c r="M2463" s="2"/>
      <c r="P2463" s="2"/>
      <c r="Q2463" s="2"/>
    </row>
    <row r="2464" spans="4:17" x14ac:dyDescent="0.25">
      <c r="D2464" s="2"/>
      <c r="E2464" s="310"/>
      <c r="I2464" s="2"/>
      <c r="M2464" s="2"/>
      <c r="P2464" s="2"/>
      <c r="Q2464" s="2"/>
    </row>
    <row r="2465" spans="4:17" x14ac:dyDescent="0.25">
      <c r="D2465" s="2"/>
      <c r="E2465" s="310"/>
      <c r="I2465" s="2"/>
      <c r="M2465" s="2"/>
      <c r="P2465" s="2"/>
      <c r="Q2465" s="2"/>
    </row>
    <row r="2466" spans="4:17" x14ac:dyDescent="0.25">
      <c r="D2466" s="2"/>
      <c r="E2466" s="310"/>
      <c r="I2466" s="2"/>
      <c r="M2466" s="2"/>
      <c r="P2466" s="2"/>
      <c r="Q2466" s="2"/>
    </row>
    <row r="2467" spans="4:17" x14ac:dyDescent="0.25">
      <c r="D2467" s="2"/>
      <c r="E2467" s="310"/>
      <c r="I2467" s="2"/>
      <c r="M2467" s="2"/>
      <c r="P2467" s="2"/>
      <c r="Q2467" s="2"/>
    </row>
    <row r="2468" spans="4:17" x14ac:dyDescent="0.25">
      <c r="D2468" s="2"/>
      <c r="E2468" s="310"/>
      <c r="I2468" s="2"/>
      <c r="M2468" s="2"/>
      <c r="P2468" s="2"/>
      <c r="Q2468" s="2"/>
    </row>
    <row r="2469" spans="4:17" x14ac:dyDescent="0.25">
      <c r="D2469" s="2"/>
      <c r="E2469" s="310"/>
      <c r="I2469" s="2"/>
      <c r="M2469" s="2"/>
      <c r="P2469" s="2"/>
      <c r="Q2469" s="2"/>
    </row>
    <row r="2470" spans="4:17" x14ac:dyDescent="0.25">
      <c r="D2470" s="2"/>
      <c r="E2470" s="310"/>
      <c r="I2470" s="2"/>
      <c r="M2470" s="2"/>
      <c r="P2470" s="2"/>
      <c r="Q2470" s="2"/>
    </row>
    <row r="2471" spans="4:17" x14ac:dyDescent="0.25">
      <c r="D2471" s="2"/>
      <c r="E2471" s="310"/>
      <c r="I2471" s="2"/>
      <c r="M2471" s="2"/>
      <c r="P2471" s="2"/>
      <c r="Q2471" s="2"/>
    </row>
    <row r="2472" spans="4:17" x14ac:dyDescent="0.25">
      <c r="D2472" s="2"/>
      <c r="E2472" s="310"/>
      <c r="I2472" s="2"/>
      <c r="M2472" s="2"/>
      <c r="P2472" s="2"/>
      <c r="Q2472" s="2"/>
    </row>
    <row r="2473" spans="4:17" x14ac:dyDescent="0.25">
      <c r="D2473" s="2"/>
      <c r="E2473" s="310"/>
      <c r="I2473" s="2"/>
      <c r="M2473" s="2"/>
      <c r="P2473" s="2"/>
      <c r="Q2473" s="2"/>
    </row>
    <row r="2474" spans="4:17" x14ac:dyDescent="0.25">
      <c r="D2474" s="2"/>
      <c r="E2474" s="310"/>
      <c r="I2474" s="2"/>
      <c r="M2474" s="2"/>
      <c r="P2474" s="2"/>
      <c r="Q2474" s="2"/>
    </row>
    <row r="2475" spans="4:17" x14ac:dyDescent="0.25">
      <c r="D2475" s="2"/>
      <c r="E2475" s="310"/>
      <c r="I2475" s="2"/>
      <c r="M2475" s="2"/>
      <c r="P2475" s="2"/>
      <c r="Q2475" s="2"/>
    </row>
    <row r="2476" spans="4:17" x14ac:dyDescent="0.25">
      <c r="D2476" s="2"/>
      <c r="E2476" s="310"/>
      <c r="I2476" s="2"/>
      <c r="M2476" s="2"/>
      <c r="P2476" s="2"/>
      <c r="Q2476" s="2"/>
    </row>
    <row r="2477" spans="4:17" x14ac:dyDescent="0.25">
      <c r="D2477" s="2"/>
      <c r="E2477" s="310"/>
      <c r="I2477" s="2"/>
      <c r="M2477" s="2"/>
      <c r="P2477" s="2"/>
      <c r="Q2477" s="2"/>
    </row>
    <row r="2478" spans="4:17" x14ac:dyDescent="0.25">
      <c r="D2478" s="2"/>
      <c r="E2478" s="310"/>
      <c r="I2478" s="2"/>
      <c r="M2478" s="2"/>
      <c r="P2478" s="2"/>
      <c r="Q2478" s="2"/>
    </row>
    <row r="2479" spans="4:17" x14ac:dyDescent="0.25">
      <c r="D2479" s="2"/>
      <c r="E2479" s="310"/>
      <c r="I2479" s="2"/>
      <c r="M2479" s="2"/>
      <c r="P2479" s="2"/>
      <c r="Q2479" s="2"/>
    </row>
    <row r="2480" spans="4:17" x14ac:dyDescent="0.25">
      <c r="D2480" s="2"/>
      <c r="E2480" s="310"/>
      <c r="I2480" s="2"/>
      <c r="M2480" s="2"/>
      <c r="P2480" s="2"/>
      <c r="Q2480" s="2"/>
    </row>
    <row r="2481" spans="4:17" x14ac:dyDescent="0.25">
      <c r="D2481" s="2"/>
      <c r="E2481" s="310"/>
      <c r="I2481" s="2"/>
      <c r="M2481" s="2"/>
      <c r="P2481" s="2"/>
      <c r="Q2481" s="2"/>
    </row>
    <row r="2482" spans="4:17" x14ac:dyDescent="0.25">
      <c r="D2482" s="2"/>
      <c r="E2482" s="310"/>
      <c r="I2482" s="2"/>
      <c r="M2482" s="2"/>
      <c r="P2482" s="2"/>
      <c r="Q2482" s="2"/>
    </row>
    <row r="2483" spans="4:17" x14ac:dyDescent="0.25">
      <c r="D2483" s="2"/>
      <c r="E2483" s="310"/>
      <c r="I2483" s="2"/>
      <c r="M2483" s="2"/>
      <c r="P2483" s="2"/>
      <c r="Q2483" s="2"/>
    </row>
    <row r="2484" spans="4:17" x14ac:dyDescent="0.25">
      <c r="D2484" s="2"/>
      <c r="E2484" s="310"/>
      <c r="I2484" s="2"/>
      <c r="M2484" s="2"/>
      <c r="P2484" s="2"/>
      <c r="Q2484" s="2"/>
    </row>
    <row r="2485" spans="4:17" x14ac:dyDescent="0.25">
      <c r="D2485" s="2"/>
      <c r="E2485" s="310"/>
      <c r="I2485" s="2"/>
      <c r="M2485" s="2"/>
      <c r="P2485" s="2"/>
      <c r="Q2485" s="2"/>
    </row>
    <row r="2486" spans="4:17" x14ac:dyDescent="0.25">
      <c r="D2486" s="2"/>
      <c r="E2486" s="310"/>
      <c r="I2486" s="2"/>
      <c r="M2486" s="2"/>
      <c r="P2486" s="2"/>
      <c r="Q2486" s="2"/>
    </row>
    <row r="2487" spans="4:17" x14ac:dyDescent="0.25">
      <c r="D2487" s="2"/>
      <c r="E2487" s="310"/>
      <c r="I2487" s="2"/>
      <c r="M2487" s="2"/>
      <c r="P2487" s="2"/>
      <c r="Q2487" s="2"/>
    </row>
    <row r="2488" spans="4:17" x14ac:dyDescent="0.25">
      <c r="D2488" s="2"/>
      <c r="E2488" s="310"/>
      <c r="I2488" s="2"/>
      <c r="M2488" s="2"/>
      <c r="P2488" s="2"/>
      <c r="Q2488" s="2"/>
    </row>
    <row r="2489" spans="4:17" x14ac:dyDescent="0.25">
      <c r="D2489" s="2"/>
      <c r="E2489" s="310"/>
      <c r="I2489" s="2"/>
      <c r="M2489" s="2"/>
      <c r="P2489" s="2"/>
      <c r="Q2489" s="2"/>
    </row>
    <row r="2490" spans="4:17" x14ac:dyDescent="0.25">
      <c r="D2490" s="2"/>
      <c r="E2490" s="310"/>
      <c r="I2490" s="2"/>
      <c r="M2490" s="2"/>
      <c r="P2490" s="2"/>
      <c r="Q2490" s="2"/>
    </row>
    <row r="2491" spans="4:17" x14ac:dyDescent="0.25">
      <c r="D2491" s="2"/>
      <c r="E2491" s="310"/>
      <c r="I2491" s="2"/>
      <c r="M2491" s="2"/>
      <c r="P2491" s="2"/>
      <c r="Q2491" s="2"/>
    </row>
    <row r="2492" spans="4:17" x14ac:dyDescent="0.25">
      <c r="D2492" s="2"/>
      <c r="E2492" s="310"/>
      <c r="I2492" s="2"/>
      <c r="M2492" s="2"/>
      <c r="P2492" s="2"/>
      <c r="Q2492" s="2"/>
    </row>
    <row r="2493" spans="4:17" x14ac:dyDescent="0.25">
      <c r="D2493" s="2"/>
      <c r="E2493" s="310"/>
      <c r="I2493" s="2"/>
      <c r="M2493" s="2"/>
      <c r="P2493" s="2"/>
      <c r="Q2493" s="2"/>
    </row>
    <row r="2501" spans="4:17" x14ac:dyDescent="0.25">
      <c r="D2501" s="2"/>
      <c r="E2501" s="310"/>
      <c r="I2501" s="2"/>
      <c r="M2501" s="2"/>
      <c r="P2501" s="2"/>
      <c r="Q2501" s="2"/>
    </row>
    <row r="2502" spans="4:17" x14ac:dyDescent="0.25">
      <c r="D2502" s="2"/>
      <c r="E2502" s="310"/>
      <c r="I2502" s="2"/>
      <c r="M2502" s="2"/>
      <c r="P2502" s="2"/>
      <c r="Q2502" s="2"/>
    </row>
    <row r="2503" spans="4:17" x14ac:dyDescent="0.25">
      <c r="D2503" s="2"/>
      <c r="E2503" s="310"/>
      <c r="I2503" s="2"/>
      <c r="M2503" s="2"/>
      <c r="P2503" s="2"/>
      <c r="Q2503" s="2"/>
    </row>
    <row r="2504" spans="4:17" x14ac:dyDescent="0.25">
      <c r="D2504" s="2"/>
      <c r="E2504" s="310"/>
      <c r="I2504" s="2"/>
      <c r="M2504" s="2"/>
      <c r="P2504" s="2"/>
      <c r="Q2504" s="2"/>
    </row>
    <row r="2505" spans="4:17" x14ac:dyDescent="0.25">
      <c r="D2505" s="2"/>
      <c r="E2505" s="310"/>
      <c r="I2505" s="2"/>
      <c r="M2505" s="2"/>
      <c r="P2505" s="2"/>
      <c r="Q2505" s="2"/>
    </row>
    <row r="2506" spans="4:17" x14ac:dyDescent="0.25">
      <c r="D2506" s="2"/>
      <c r="E2506" s="310"/>
      <c r="I2506" s="2"/>
      <c r="M2506" s="2"/>
      <c r="P2506" s="2"/>
      <c r="Q2506" s="2"/>
    </row>
    <row r="2507" spans="4:17" x14ac:dyDescent="0.25">
      <c r="D2507" s="2"/>
      <c r="E2507" s="310"/>
      <c r="I2507" s="2"/>
      <c r="M2507" s="2"/>
      <c r="P2507" s="2"/>
      <c r="Q2507" s="2"/>
    </row>
    <row r="2508" spans="4:17" x14ac:dyDescent="0.25">
      <c r="D2508" s="2"/>
      <c r="E2508" s="310"/>
      <c r="I2508" s="2"/>
      <c r="M2508" s="2"/>
      <c r="P2508" s="2"/>
      <c r="Q2508" s="2"/>
    </row>
    <row r="2509" spans="4:17" x14ac:dyDescent="0.25">
      <c r="D2509" s="2"/>
      <c r="E2509" s="310"/>
      <c r="I2509" s="2"/>
      <c r="M2509" s="2"/>
      <c r="P2509" s="2"/>
      <c r="Q2509" s="2"/>
    </row>
    <row r="2510" spans="4:17" x14ac:dyDescent="0.25">
      <c r="D2510" s="2"/>
      <c r="E2510" s="310"/>
      <c r="I2510" s="2"/>
      <c r="M2510" s="2"/>
      <c r="P2510" s="2"/>
      <c r="Q2510" s="2"/>
    </row>
    <row r="2511" spans="4:17" x14ac:dyDescent="0.25">
      <c r="D2511" s="2"/>
      <c r="E2511" s="310"/>
      <c r="I2511" s="2"/>
      <c r="M2511" s="2"/>
      <c r="P2511" s="2"/>
      <c r="Q2511" s="2"/>
    </row>
    <row r="2512" spans="4:17" x14ac:dyDescent="0.25">
      <c r="D2512" s="2"/>
      <c r="E2512" s="310"/>
      <c r="I2512" s="2"/>
      <c r="M2512" s="2"/>
      <c r="P2512" s="2"/>
      <c r="Q2512" s="2"/>
    </row>
    <row r="2513" spans="4:17" x14ac:dyDescent="0.25">
      <c r="D2513" s="2"/>
      <c r="E2513" s="310"/>
      <c r="I2513" s="2"/>
      <c r="M2513" s="2"/>
      <c r="P2513" s="2"/>
      <c r="Q2513" s="2"/>
    </row>
    <row r="2514" spans="4:17" x14ac:dyDescent="0.25">
      <c r="D2514" s="2"/>
      <c r="E2514" s="310"/>
      <c r="I2514" s="2"/>
      <c r="M2514" s="2"/>
      <c r="P2514" s="2"/>
      <c r="Q2514" s="2"/>
    </row>
    <row r="2515" spans="4:17" x14ac:dyDescent="0.25">
      <c r="D2515" s="2"/>
      <c r="E2515" s="310"/>
      <c r="I2515" s="2"/>
      <c r="M2515" s="2"/>
      <c r="P2515" s="2"/>
      <c r="Q2515" s="2"/>
    </row>
    <row r="2516" spans="4:17" x14ac:dyDescent="0.25">
      <c r="D2516" s="2"/>
      <c r="E2516" s="310"/>
      <c r="I2516" s="2"/>
      <c r="M2516" s="2"/>
      <c r="P2516" s="2"/>
      <c r="Q2516" s="2"/>
    </row>
    <row r="2517" spans="4:17" x14ac:dyDescent="0.25">
      <c r="D2517" s="2"/>
      <c r="E2517" s="310"/>
      <c r="I2517" s="2"/>
      <c r="M2517" s="2"/>
      <c r="P2517" s="2"/>
      <c r="Q2517" s="2"/>
    </row>
    <row r="2518" spans="4:17" x14ac:dyDescent="0.25">
      <c r="D2518" s="2"/>
      <c r="E2518" s="310"/>
      <c r="I2518" s="2"/>
      <c r="M2518" s="2"/>
      <c r="P2518" s="2"/>
      <c r="Q2518" s="2"/>
    </row>
    <row r="2519" spans="4:17" x14ac:dyDescent="0.25">
      <c r="D2519" s="2"/>
      <c r="E2519" s="310"/>
      <c r="I2519" s="2"/>
      <c r="M2519" s="2"/>
      <c r="P2519" s="2"/>
      <c r="Q2519" s="2"/>
    </row>
    <row r="2520" spans="4:17" x14ac:dyDescent="0.25">
      <c r="D2520" s="2"/>
      <c r="E2520" s="310"/>
      <c r="I2520" s="2"/>
      <c r="M2520" s="2"/>
      <c r="P2520" s="2"/>
      <c r="Q2520" s="2"/>
    </row>
    <row r="2521" spans="4:17" x14ac:dyDescent="0.25">
      <c r="D2521" s="2"/>
      <c r="E2521" s="310"/>
      <c r="I2521" s="2"/>
      <c r="M2521" s="2"/>
      <c r="P2521" s="2"/>
      <c r="Q2521" s="2"/>
    </row>
    <row r="2522" spans="4:17" x14ac:dyDescent="0.25">
      <c r="D2522" s="2"/>
      <c r="E2522" s="310"/>
      <c r="I2522" s="2"/>
      <c r="M2522" s="2"/>
      <c r="P2522" s="2"/>
      <c r="Q2522" s="2"/>
    </row>
    <row r="2523" spans="4:17" x14ac:dyDescent="0.25">
      <c r="D2523" s="2"/>
      <c r="E2523" s="310"/>
      <c r="I2523" s="2"/>
      <c r="M2523" s="2"/>
      <c r="P2523" s="2"/>
      <c r="Q2523" s="2"/>
    </row>
    <row r="2524" spans="4:17" x14ac:dyDescent="0.25">
      <c r="D2524" s="2"/>
      <c r="E2524" s="310"/>
      <c r="I2524" s="2"/>
      <c r="M2524" s="2"/>
      <c r="P2524" s="2"/>
      <c r="Q2524" s="2"/>
    </row>
    <row r="2525" spans="4:17" x14ac:dyDescent="0.25">
      <c r="D2525" s="2"/>
      <c r="E2525" s="310"/>
      <c r="I2525" s="2"/>
      <c r="M2525" s="2"/>
      <c r="P2525" s="2"/>
      <c r="Q2525" s="2"/>
    </row>
    <row r="2526" spans="4:17" x14ac:dyDescent="0.25">
      <c r="D2526" s="2"/>
      <c r="E2526" s="310"/>
      <c r="I2526" s="2"/>
      <c r="M2526" s="2"/>
      <c r="P2526" s="2"/>
      <c r="Q2526" s="2"/>
    </row>
    <row r="2527" spans="4:17" x14ac:dyDescent="0.25">
      <c r="D2527" s="2"/>
      <c r="E2527" s="310"/>
      <c r="I2527" s="2"/>
      <c r="M2527" s="2"/>
      <c r="P2527" s="2"/>
      <c r="Q2527" s="2"/>
    </row>
    <row r="2528" spans="4:17" x14ac:dyDescent="0.25">
      <c r="D2528" s="2"/>
      <c r="E2528" s="310"/>
      <c r="I2528" s="2"/>
      <c r="M2528" s="2"/>
      <c r="P2528" s="2"/>
      <c r="Q2528" s="2"/>
    </row>
    <row r="2529" spans="4:17" x14ac:dyDescent="0.25">
      <c r="D2529" s="2"/>
      <c r="E2529" s="310"/>
      <c r="I2529" s="2"/>
      <c r="M2529" s="2"/>
      <c r="P2529" s="2"/>
      <c r="Q2529" s="2"/>
    </row>
    <row r="2530" spans="4:17" x14ac:dyDescent="0.25">
      <c r="D2530" s="2"/>
      <c r="E2530" s="310"/>
      <c r="I2530" s="2"/>
      <c r="M2530" s="2"/>
      <c r="P2530" s="2"/>
      <c r="Q2530" s="2"/>
    </row>
    <row r="2531" spans="4:17" x14ac:dyDescent="0.25">
      <c r="D2531" s="2"/>
      <c r="E2531" s="310"/>
      <c r="I2531" s="2"/>
      <c r="M2531" s="2"/>
      <c r="P2531" s="2"/>
      <c r="Q2531" s="2"/>
    </row>
    <row r="2532" spans="4:17" x14ac:dyDescent="0.25">
      <c r="D2532" s="2"/>
      <c r="E2532" s="310"/>
      <c r="I2532" s="2"/>
      <c r="M2532" s="2"/>
      <c r="P2532" s="2"/>
      <c r="Q2532" s="2"/>
    </row>
    <row r="2533" spans="4:17" x14ac:dyDescent="0.25">
      <c r="D2533" s="2"/>
      <c r="E2533" s="310"/>
      <c r="I2533" s="2"/>
      <c r="M2533" s="2"/>
      <c r="P2533" s="2"/>
      <c r="Q2533" s="2"/>
    </row>
    <row r="2534" spans="4:17" x14ac:dyDescent="0.25">
      <c r="D2534" s="2"/>
      <c r="E2534" s="310"/>
      <c r="I2534" s="2"/>
      <c r="M2534" s="2"/>
      <c r="P2534" s="2"/>
      <c r="Q2534" s="2"/>
    </row>
    <row r="2535" spans="4:17" x14ac:dyDescent="0.25">
      <c r="D2535" s="2"/>
      <c r="E2535" s="310"/>
      <c r="I2535" s="2"/>
      <c r="M2535" s="2"/>
      <c r="P2535" s="2"/>
      <c r="Q2535" s="2"/>
    </row>
    <row r="2536" spans="4:17" x14ac:dyDescent="0.25">
      <c r="D2536" s="2"/>
      <c r="E2536" s="310"/>
      <c r="I2536" s="2"/>
      <c r="M2536" s="2"/>
      <c r="P2536" s="2"/>
      <c r="Q2536" s="2"/>
    </row>
    <row r="2538" spans="4:17" x14ac:dyDescent="0.25">
      <c r="D2538" s="2"/>
      <c r="E2538" s="310"/>
      <c r="I2538" s="2"/>
      <c r="M2538" s="2"/>
      <c r="P2538" s="2"/>
      <c r="Q2538" s="2"/>
    </row>
    <row r="2539" spans="4:17" x14ac:dyDescent="0.25">
      <c r="D2539" s="2"/>
      <c r="E2539" s="310"/>
      <c r="I2539" s="2"/>
      <c r="M2539" s="2"/>
      <c r="P2539" s="2"/>
      <c r="Q2539" s="2"/>
    </row>
    <row r="2544" spans="4:17" x14ac:dyDescent="0.25">
      <c r="D2544" s="2"/>
      <c r="E2544" s="310"/>
      <c r="I2544" s="2"/>
      <c r="M2544" s="2"/>
      <c r="P2544" s="2"/>
      <c r="Q2544" s="2"/>
    </row>
    <row r="2545" spans="4:17" x14ac:dyDescent="0.25">
      <c r="D2545" s="2"/>
      <c r="E2545" s="310"/>
      <c r="I2545" s="2"/>
      <c r="M2545" s="2"/>
      <c r="P2545" s="2"/>
      <c r="Q2545" s="2"/>
    </row>
    <row r="2547" spans="4:17" x14ac:dyDescent="0.25">
      <c r="D2547" s="2"/>
      <c r="E2547" s="310"/>
      <c r="I2547" s="2"/>
      <c r="M2547" s="2"/>
      <c r="P2547" s="2"/>
      <c r="Q2547" s="2"/>
    </row>
    <row r="2548" spans="4:17" x14ac:dyDescent="0.25">
      <c r="D2548" s="2"/>
      <c r="E2548" s="310"/>
      <c r="I2548" s="2"/>
      <c r="M2548" s="2"/>
      <c r="P2548" s="2"/>
      <c r="Q2548" s="2"/>
    </row>
    <row r="2549" spans="4:17" x14ac:dyDescent="0.25">
      <c r="D2549" s="2"/>
      <c r="E2549" s="310"/>
      <c r="I2549" s="2"/>
      <c r="M2549" s="2"/>
      <c r="P2549" s="2"/>
      <c r="Q2549" s="2"/>
    </row>
    <row r="2550" spans="4:17" x14ac:dyDescent="0.25">
      <c r="D2550" s="2"/>
      <c r="E2550" s="310"/>
      <c r="I2550" s="2"/>
      <c r="M2550" s="2"/>
      <c r="P2550" s="2"/>
      <c r="Q2550" s="2"/>
    </row>
    <row r="2551" spans="4:17" x14ac:dyDescent="0.25">
      <c r="D2551" s="2"/>
      <c r="E2551" s="310"/>
      <c r="I2551" s="2"/>
      <c r="M2551" s="2"/>
      <c r="P2551" s="2"/>
      <c r="Q2551" s="2"/>
    </row>
    <row r="2552" spans="4:17" x14ac:dyDescent="0.25">
      <c r="D2552" s="2"/>
      <c r="E2552" s="310"/>
      <c r="I2552" s="2"/>
      <c r="M2552" s="2"/>
      <c r="P2552" s="2"/>
      <c r="Q2552" s="2"/>
    </row>
    <row r="2553" spans="4:17" x14ac:dyDescent="0.25">
      <c r="D2553" s="2"/>
      <c r="E2553" s="310"/>
      <c r="I2553" s="2"/>
      <c r="M2553" s="2"/>
      <c r="P2553" s="2"/>
      <c r="Q2553" s="2"/>
    </row>
    <row r="2554" spans="4:17" x14ac:dyDescent="0.25">
      <c r="D2554" s="2"/>
      <c r="E2554" s="310"/>
      <c r="I2554" s="2"/>
      <c r="M2554" s="2"/>
      <c r="P2554" s="2"/>
      <c r="Q2554" s="2"/>
    </row>
    <row r="2555" spans="4:17" x14ac:dyDescent="0.25">
      <c r="D2555" s="2"/>
      <c r="E2555" s="310"/>
      <c r="I2555" s="2"/>
      <c r="M2555" s="2"/>
      <c r="P2555" s="2"/>
      <c r="Q2555" s="2"/>
    </row>
    <row r="2556" spans="4:17" x14ac:dyDescent="0.25">
      <c r="D2556" s="2"/>
      <c r="E2556" s="310"/>
      <c r="I2556" s="2"/>
      <c r="M2556" s="2"/>
      <c r="P2556" s="2"/>
      <c r="Q2556" s="2"/>
    </row>
    <row r="2557" spans="4:17" x14ac:dyDescent="0.25">
      <c r="D2557" s="2"/>
      <c r="E2557" s="310"/>
      <c r="I2557" s="2"/>
      <c r="M2557" s="2"/>
      <c r="P2557" s="2"/>
      <c r="Q2557" s="2"/>
    </row>
    <row r="2558" spans="4:17" x14ac:dyDescent="0.25">
      <c r="D2558" s="2"/>
      <c r="E2558" s="310"/>
      <c r="I2558" s="2"/>
      <c r="M2558" s="2"/>
      <c r="P2558" s="2"/>
      <c r="Q2558" s="2"/>
    </row>
    <row r="2559" spans="4:17" x14ac:dyDescent="0.25">
      <c r="D2559" s="2"/>
      <c r="E2559" s="310"/>
      <c r="I2559" s="2"/>
      <c r="M2559" s="2"/>
      <c r="P2559" s="2"/>
      <c r="Q2559" s="2"/>
    </row>
    <row r="2560" spans="4:17" x14ac:dyDescent="0.25">
      <c r="D2560" s="2"/>
      <c r="E2560" s="310"/>
      <c r="I2560" s="2"/>
      <c r="M2560" s="2"/>
      <c r="P2560" s="2"/>
      <c r="Q2560" s="2"/>
    </row>
    <row r="2561" spans="4:17" x14ac:dyDescent="0.25">
      <c r="D2561" s="2"/>
      <c r="E2561" s="310"/>
      <c r="I2561" s="2"/>
      <c r="M2561" s="2"/>
      <c r="P2561" s="2"/>
      <c r="Q2561" s="2"/>
    </row>
    <row r="2562" spans="4:17" x14ac:dyDescent="0.25">
      <c r="D2562" s="2"/>
      <c r="E2562" s="310"/>
      <c r="I2562" s="2"/>
      <c r="M2562" s="2"/>
      <c r="P2562" s="2"/>
      <c r="Q2562" s="2"/>
    </row>
    <row r="2563" spans="4:17" x14ac:dyDescent="0.25">
      <c r="D2563" s="2"/>
      <c r="E2563" s="310"/>
      <c r="I2563" s="2"/>
      <c r="M2563" s="2"/>
      <c r="P2563" s="2"/>
      <c r="Q2563" s="2"/>
    </row>
    <row r="2564" spans="4:17" x14ac:dyDescent="0.25">
      <c r="D2564" s="2"/>
      <c r="E2564" s="310"/>
      <c r="I2564" s="2"/>
      <c r="M2564" s="2"/>
      <c r="P2564" s="2"/>
      <c r="Q2564" s="2"/>
    </row>
    <row r="2565" spans="4:17" x14ac:dyDescent="0.25">
      <c r="D2565" s="2"/>
      <c r="E2565" s="310"/>
      <c r="I2565" s="2"/>
      <c r="M2565" s="2"/>
      <c r="P2565" s="2"/>
      <c r="Q2565" s="2"/>
    </row>
    <row r="2566" spans="4:17" x14ac:dyDescent="0.25">
      <c r="D2566" s="2"/>
      <c r="E2566" s="310"/>
      <c r="I2566" s="2"/>
      <c r="M2566" s="2"/>
      <c r="P2566" s="2"/>
      <c r="Q2566" s="2"/>
    </row>
    <row r="2567" spans="4:17" x14ac:dyDescent="0.25">
      <c r="D2567" s="2"/>
      <c r="E2567" s="310"/>
      <c r="I2567" s="2"/>
      <c r="M2567" s="2"/>
      <c r="P2567" s="2"/>
      <c r="Q2567" s="2"/>
    </row>
    <row r="2568" spans="4:17" x14ac:dyDescent="0.25">
      <c r="D2568" s="2"/>
      <c r="E2568" s="310"/>
      <c r="I2568" s="2"/>
      <c r="M2568" s="2"/>
      <c r="P2568" s="2"/>
      <c r="Q2568" s="2"/>
    </row>
    <row r="2569" spans="4:17" x14ac:dyDescent="0.25">
      <c r="D2569" s="2"/>
      <c r="E2569" s="310"/>
      <c r="I2569" s="2"/>
      <c r="M2569" s="2"/>
      <c r="P2569" s="2"/>
      <c r="Q2569" s="2"/>
    </row>
    <row r="2570" spans="4:17" x14ac:dyDescent="0.25">
      <c r="D2570" s="2"/>
      <c r="E2570" s="310"/>
      <c r="I2570" s="2"/>
      <c r="M2570" s="2"/>
      <c r="P2570" s="2"/>
      <c r="Q2570" s="2"/>
    </row>
    <row r="2571" spans="4:17" x14ac:dyDescent="0.25">
      <c r="D2571" s="2"/>
      <c r="E2571" s="310"/>
      <c r="I2571" s="2"/>
      <c r="M2571" s="2"/>
      <c r="P2571" s="2"/>
      <c r="Q2571" s="2"/>
    </row>
    <row r="2572" spans="4:17" x14ac:dyDescent="0.25">
      <c r="D2572" s="2"/>
      <c r="E2572" s="310"/>
      <c r="I2572" s="2"/>
      <c r="M2572" s="2"/>
      <c r="P2572" s="2"/>
      <c r="Q2572" s="2"/>
    </row>
    <row r="2573" spans="4:17" x14ac:dyDescent="0.25">
      <c r="D2573" s="2"/>
      <c r="E2573" s="310"/>
      <c r="I2573" s="2"/>
      <c r="M2573" s="2"/>
      <c r="P2573" s="2"/>
      <c r="Q2573" s="2"/>
    </row>
    <row r="2574" spans="4:17" x14ac:dyDescent="0.25">
      <c r="D2574" s="2"/>
      <c r="E2574" s="310"/>
      <c r="I2574" s="2"/>
      <c r="M2574" s="2"/>
      <c r="P2574" s="2"/>
      <c r="Q2574" s="2"/>
    </row>
    <row r="2575" spans="4:17" x14ac:dyDescent="0.25">
      <c r="D2575" s="2"/>
      <c r="E2575" s="310"/>
      <c r="I2575" s="2"/>
      <c r="M2575" s="2"/>
      <c r="P2575" s="2"/>
      <c r="Q2575" s="2"/>
    </row>
    <row r="2576" spans="4:17" x14ac:dyDescent="0.25">
      <c r="D2576" s="2"/>
      <c r="E2576" s="310"/>
      <c r="I2576" s="2"/>
      <c r="M2576" s="2"/>
      <c r="P2576" s="2"/>
      <c r="Q2576" s="2"/>
    </row>
    <row r="2577" spans="4:17" x14ac:dyDescent="0.25">
      <c r="D2577" s="2"/>
      <c r="E2577" s="310"/>
      <c r="I2577" s="2"/>
      <c r="M2577" s="2"/>
      <c r="P2577" s="2"/>
      <c r="Q2577" s="2"/>
    </row>
    <row r="2578" spans="4:17" x14ac:dyDescent="0.25">
      <c r="D2578" s="2"/>
      <c r="E2578" s="310"/>
      <c r="I2578" s="2"/>
      <c r="M2578" s="2"/>
      <c r="P2578" s="2"/>
      <c r="Q2578" s="2"/>
    </row>
    <row r="2579" spans="4:17" x14ac:dyDescent="0.25">
      <c r="D2579" s="2"/>
      <c r="E2579" s="310"/>
      <c r="I2579" s="2"/>
      <c r="M2579" s="2"/>
      <c r="P2579" s="2"/>
      <c r="Q2579" s="2"/>
    </row>
    <row r="2580" spans="4:17" x14ac:dyDescent="0.25">
      <c r="D2580" s="2"/>
      <c r="E2580" s="310"/>
      <c r="I2580" s="2"/>
      <c r="M2580" s="2"/>
      <c r="P2580" s="2"/>
      <c r="Q2580" s="2"/>
    </row>
    <row r="2581" spans="4:17" x14ac:dyDescent="0.25">
      <c r="D2581" s="2"/>
      <c r="E2581" s="310"/>
      <c r="I2581" s="2"/>
      <c r="M2581" s="2"/>
      <c r="P2581" s="2"/>
      <c r="Q2581" s="2"/>
    </row>
    <row r="2582" spans="4:17" x14ac:dyDescent="0.25">
      <c r="D2582" s="2"/>
      <c r="E2582" s="310"/>
      <c r="I2582" s="2"/>
      <c r="M2582" s="2"/>
      <c r="P2582" s="2"/>
      <c r="Q2582" s="2"/>
    </row>
    <row r="2583" spans="4:17" x14ac:dyDescent="0.25">
      <c r="D2583" s="2"/>
      <c r="E2583" s="310"/>
      <c r="I2583" s="2"/>
      <c r="M2583" s="2"/>
      <c r="P2583" s="2"/>
      <c r="Q2583" s="2"/>
    </row>
    <row r="2584" spans="4:17" x14ac:dyDescent="0.25">
      <c r="D2584" s="2"/>
      <c r="E2584" s="310"/>
      <c r="I2584" s="2"/>
      <c r="M2584" s="2"/>
      <c r="P2584" s="2"/>
      <c r="Q2584" s="2"/>
    </row>
    <row r="2585" spans="4:17" x14ac:dyDescent="0.25">
      <c r="D2585" s="2"/>
      <c r="E2585" s="310"/>
      <c r="I2585" s="2"/>
      <c r="M2585" s="2"/>
      <c r="P2585" s="2"/>
      <c r="Q2585" s="2"/>
    </row>
    <row r="2586" spans="4:17" x14ac:dyDescent="0.25">
      <c r="D2586" s="2"/>
      <c r="E2586" s="310"/>
      <c r="I2586" s="2"/>
      <c r="M2586" s="2"/>
      <c r="P2586" s="2"/>
      <c r="Q2586" s="2"/>
    </row>
    <row r="2587" spans="4:17" x14ac:dyDescent="0.25">
      <c r="D2587" s="2"/>
      <c r="E2587" s="310"/>
      <c r="I2587" s="2"/>
      <c r="M2587" s="2"/>
      <c r="P2587" s="2"/>
      <c r="Q2587" s="2"/>
    </row>
    <row r="2588" spans="4:17" x14ac:dyDescent="0.25">
      <c r="D2588" s="2"/>
      <c r="E2588" s="310"/>
      <c r="I2588" s="2"/>
      <c r="M2588" s="2"/>
      <c r="P2588" s="2"/>
      <c r="Q2588" s="2"/>
    </row>
    <row r="2589" spans="4:17" x14ac:dyDescent="0.25">
      <c r="D2589" s="2"/>
      <c r="E2589" s="310"/>
      <c r="I2589" s="2"/>
      <c r="M2589" s="2"/>
      <c r="P2589" s="2"/>
      <c r="Q2589" s="2"/>
    </row>
    <row r="2590" spans="4:17" x14ac:dyDescent="0.25">
      <c r="D2590" s="2"/>
      <c r="E2590" s="310"/>
      <c r="I2590" s="2"/>
      <c r="M2590" s="2"/>
      <c r="P2590" s="2"/>
      <c r="Q2590" s="2"/>
    </row>
    <row r="2591" spans="4:17" x14ac:dyDescent="0.25">
      <c r="D2591" s="2"/>
      <c r="E2591" s="310"/>
      <c r="I2591" s="2"/>
      <c r="M2591" s="2"/>
      <c r="P2591" s="2"/>
      <c r="Q2591" s="2"/>
    </row>
    <row r="2592" spans="4:17" x14ac:dyDescent="0.25">
      <c r="D2592" s="2"/>
      <c r="E2592" s="310"/>
      <c r="I2592" s="2"/>
      <c r="M2592" s="2"/>
      <c r="P2592" s="2"/>
      <c r="Q2592" s="2"/>
    </row>
    <row r="2593" spans="4:17" x14ac:dyDescent="0.25">
      <c r="D2593" s="2"/>
      <c r="E2593" s="310"/>
      <c r="I2593" s="2"/>
      <c r="M2593" s="2"/>
      <c r="P2593" s="2"/>
      <c r="Q2593" s="2"/>
    </row>
    <row r="2594" spans="4:17" x14ac:dyDescent="0.25">
      <c r="D2594" s="2"/>
      <c r="E2594" s="310"/>
      <c r="I2594" s="2"/>
      <c r="M2594" s="2"/>
      <c r="P2594" s="2"/>
      <c r="Q2594" s="2"/>
    </row>
    <row r="2595" spans="4:17" x14ac:dyDescent="0.25">
      <c r="D2595" s="2"/>
      <c r="E2595" s="310"/>
      <c r="I2595" s="2"/>
      <c r="M2595" s="2"/>
      <c r="P2595" s="2"/>
      <c r="Q2595" s="2"/>
    </row>
    <row r="2596" spans="4:17" x14ac:dyDescent="0.25">
      <c r="D2596" s="2"/>
      <c r="E2596" s="310"/>
      <c r="I2596" s="2"/>
      <c r="M2596" s="2"/>
      <c r="P2596" s="2"/>
      <c r="Q2596" s="2"/>
    </row>
    <row r="2597" spans="4:17" x14ac:dyDescent="0.25">
      <c r="D2597" s="2"/>
      <c r="E2597" s="310"/>
      <c r="I2597" s="2"/>
      <c r="M2597" s="2"/>
      <c r="P2597" s="2"/>
      <c r="Q2597" s="2"/>
    </row>
    <row r="2598" spans="4:17" x14ac:dyDescent="0.25">
      <c r="D2598" s="2"/>
      <c r="E2598" s="310"/>
      <c r="I2598" s="2"/>
      <c r="M2598" s="2"/>
      <c r="P2598" s="2"/>
      <c r="Q2598" s="2"/>
    </row>
    <row r="2599" spans="4:17" x14ac:dyDescent="0.25">
      <c r="D2599" s="2"/>
      <c r="E2599" s="310"/>
      <c r="I2599" s="2"/>
      <c r="M2599" s="2"/>
      <c r="P2599" s="2"/>
      <c r="Q2599" s="2"/>
    </row>
    <row r="2600" spans="4:17" x14ac:dyDescent="0.25">
      <c r="D2600" s="2"/>
      <c r="E2600" s="310"/>
      <c r="I2600" s="2"/>
      <c r="M2600" s="2"/>
      <c r="P2600" s="2"/>
      <c r="Q2600" s="2"/>
    </row>
    <row r="2601" spans="4:17" x14ac:dyDescent="0.25">
      <c r="D2601" s="2"/>
      <c r="E2601" s="310"/>
      <c r="I2601" s="2"/>
      <c r="M2601" s="2"/>
      <c r="P2601" s="2"/>
      <c r="Q2601" s="2"/>
    </row>
    <row r="2602" spans="4:17" x14ac:dyDescent="0.25">
      <c r="D2602" s="2"/>
      <c r="E2602" s="310"/>
      <c r="I2602" s="2"/>
      <c r="M2602" s="2"/>
      <c r="P2602" s="2"/>
      <c r="Q2602" s="2"/>
    </row>
    <row r="2603" spans="4:17" x14ac:dyDescent="0.25">
      <c r="D2603" s="2"/>
      <c r="E2603" s="310"/>
      <c r="I2603" s="2"/>
      <c r="M2603" s="2"/>
      <c r="P2603" s="2"/>
      <c r="Q2603" s="2"/>
    </row>
    <row r="2604" spans="4:17" x14ac:dyDescent="0.25">
      <c r="D2604" s="2"/>
      <c r="E2604" s="310"/>
      <c r="I2604" s="2"/>
      <c r="M2604" s="2"/>
      <c r="P2604" s="2"/>
      <c r="Q2604" s="2"/>
    </row>
    <row r="2605" spans="4:17" x14ac:dyDescent="0.25">
      <c r="D2605" s="2"/>
      <c r="E2605" s="310"/>
      <c r="I2605" s="2"/>
      <c r="M2605" s="2"/>
      <c r="P2605" s="2"/>
      <c r="Q2605" s="2"/>
    </row>
    <row r="2606" spans="4:17" x14ac:dyDescent="0.25">
      <c r="D2606" s="2"/>
      <c r="E2606" s="310"/>
      <c r="I2606" s="2"/>
      <c r="M2606" s="2"/>
      <c r="P2606" s="2"/>
      <c r="Q2606" s="2"/>
    </row>
    <row r="2607" spans="4:17" x14ac:dyDescent="0.25">
      <c r="D2607" s="2"/>
      <c r="E2607" s="310"/>
      <c r="I2607" s="2"/>
      <c r="M2607" s="2"/>
      <c r="P2607" s="2"/>
      <c r="Q2607" s="2"/>
    </row>
    <row r="2608" spans="4:17" x14ac:dyDescent="0.25">
      <c r="D2608" s="2"/>
      <c r="E2608" s="310"/>
      <c r="I2608" s="2"/>
      <c r="M2608" s="2"/>
      <c r="P2608" s="2"/>
      <c r="Q2608" s="2"/>
    </row>
    <row r="2609" spans="4:17" x14ac:dyDescent="0.25">
      <c r="D2609" s="2"/>
      <c r="E2609" s="310"/>
      <c r="I2609" s="2"/>
      <c r="M2609" s="2"/>
      <c r="P2609" s="2"/>
      <c r="Q2609" s="2"/>
    </row>
    <row r="2610" spans="4:17" x14ac:dyDescent="0.25">
      <c r="D2610" s="2"/>
      <c r="E2610" s="310"/>
      <c r="I2610" s="2"/>
      <c r="M2610" s="2"/>
      <c r="P2610" s="2"/>
      <c r="Q2610" s="2"/>
    </row>
    <row r="2611" spans="4:17" x14ac:dyDescent="0.25">
      <c r="D2611" s="2"/>
      <c r="E2611" s="310"/>
      <c r="I2611" s="2"/>
      <c r="M2611" s="2"/>
      <c r="P2611" s="2"/>
      <c r="Q2611" s="2"/>
    </row>
    <row r="2612" spans="4:17" x14ac:dyDescent="0.25">
      <c r="D2612" s="2"/>
      <c r="E2612" s="310"/>
      <c r="I2612" s="2"/>
      <c r="M2612" s="2"/>
      <c r="P2612" s="2"/>
      <c r="Q2612" s="2"/>
    </row>
    <row r="2613" spans="4:17" x14ac:dyDescent="0.25">
      <c r="D2613" s="2"/>
      <c r="E2613" s="310"/>
      <c r="I2613" s="2"/>
      <c r="M2613" s="2"/>
      <c r="P2613" s="2"/>
      <c r="Q2613" s="2"/>
    </row>
    <row r="2614" spans="4:17" x14ac:dyDescent="0.25">
      <c r="D2614" s="2"/>
      <c r="E2614" s="310"/>
      <c r="I2614" s="2"/>
      <c r="M2614" s="2"/>
      <c r="P2614" s="2"/>
      <c r="Q2614" s="2"/>
    </row>
    <row r="2615" spans="4:17" x14ac:dyDescent="0.25">
      <c r="D2615" s="2"/>
      <c r="E2615" s="310"/>
      <c r="I2615" s="2"/>
      <c r="M2615" s="2"/>
      <c r="P2615" s="2"/>
      <c r="Q2615" s="2"/>
    </row>
    <row r="2616" spans="4:17" x14ac:dyDescent="0.25">
      <c r="D2616" s="2"/>
      <c r="E2616" s="310"/>
      <c r="I2616" s="2"/>
      <c r="M2616" s="2"/>
      <c r="P2616" s="2"/>
      <c r="Q2616" s="2"/>
    </row>
    <row r="2617" spans="4:17" x14ac:dyDescent="0.25">
      <c r="D2617" s="2"/>
      <c r="E2617" s="310"/>
      <c r="I2617" s="2"/>
      <c r="M2617" s="2"/>
      <c r="P2617" s="2"/>
      <c r="Q2617" s="2"/>
    </row>
    <row r="2618" spans="4:17" x14ac:dyDescent="0.25">
      <c r="D2618" s="2"/>
      <c r="E2618" s="310"/>
      <c r="I2618" s="2"/>
      <c r="M2618" s="2"/>
      <c r="P2618" s="2"/>
      <c r="Q2618" s="2"/>
    </row>
    <row r="2619" spans="4:17" x14ac:dyDescent="0.25">
      <c r="D2619" s="2"/>
      <c r="E2619" s="310"/>
      <c r="I2619" s="2"/>
      <c r="M2619" s="2"/>
      <c r="P2619" s="2"/>
      <c r="Q2619" s="2"/>
    </row>
    <row r="2620" spans="4:17" x14ac:dyDescent="0.25">
      <c r="D2620" s="2"/>
      <c r="E2620" s="310"/>
      <c r="I2620" s="2"/>
      <c r="M2620" s="2"/>
      <c r="P2620" s="2"/>
      <c r="Q2620" s="2"/>
    </row>
    <row r="2621" spans="4:17" x14ac:dyDescent="0.25">
      <c r="D2621" s="2"/>
      <c r="E2621" s="310"/>
      <c r="I2621" s="2"/>
      <c r="M2621" s="2"/>
      <c r="P2621" s="2"/>
      <c r="Q2621" s="2"/>
    </row>
    <row r="2622" spans="4:17" x14ac:dyDescent="0.25">
      <c r="D2622" s="2"/>
      <c r="E2622" s="310"/>
      <c r="I2622" s="2"/>
      <c r="M2622" s="2"/>
      <c r="P2622" s="2"/>
      <c r="Q2622" s="2"/>
    </row>
    <row r="2623" spans="4:17" x14ac:dyDescent="0.25">
      <c r="D2623" s="2"/>
      <c r="E2623" s="310"/>
      <c r="I2623" s="2"/>
      <c r="M2623" s="2"/>
      <c r="P2623" s="2"/>
      <c r="Q2623" s="2"/>
    </row>
    <row r="2624" spans="4:17" x14ac:dyDescent="0.25">
      <c r="D2624" s="2"/>
      <c r="E2624" s="310"/>
      <c r="I2624" s="2"/>
      <c r="M2624" s="2"/>
      <c r="P2624" s="2"/>
      <c r="Q2624" s="2"/>
    </row>
    <row r="2625" spans="4:17" x14ac:dyDescent="0.25">
      <c r="D2625" s="2"/>
      <c r="E2625" s="310"/>
      <c r="I2625" s="2"/>
      <c r="M2625" s="2"/>
      <c r="P2625" s="2"/>
      <c r="Q2625" s="2"/>
    </row>
    <row r="2626" spans="4:17" x14ac:dyDescent="0.25">
      <c r="D2626" s="2"/>
      <c r="E2626" s="310"/>
      <c r="I2626" s="2"/>
      <c r="M2626" s="2"/>
      <c r="P2626" s="2"/>
      <c r="Q2626" s="2"/>
    </row>
    <row r="2627" spans="4:17" x14ac:dyDescent="0.25">
      <c r="D2627" s="2"/>
      <c r="E2627" s="310"/>
      <c r="I2627" s="2"/>
      <c r="M2627" s="2"/>
      <c r="P2627" s="2"/>
      <c r="Q2627" s="2"/>
    </row>
    <row r="2628" spans="4:17" x14ac:dyDescent="0.25">
      <c r="D2628" s="2"/>
      <c r="E2628" s="310"/>
      <c r="I2628" s="2"/>
      <c r="M2628" s="2"/>
      <c r="P2628" s="2"/>
      <c r="Q2628" s="2"/>
    </row>
    <row r="2629" spans="4:17" x14ac:dyDescent="0.25">
      <c r="D2629" s="2"/>
      <c r="E2629" s="310"/>
      <c r="I2629" s="2"/>
      <c r="M2629" s="2"/>
      <c r="P2629" s="2"/>
      <c r="Q2629" s="2"/>
    </row>
    <row r="2630" spans="4:17" x14ac:dyDescent="0.25">
      <c r="D2630" s="2"/>
      <c r="E2630" s="310"/>
      <c r="I2630" s="2"/>
      <c r="M2630" s="2"/>
      <c r="P2630" s="2"/>
      <c r="Q2630" s="2"/>
    </row>
    <row r="2631" spans="4:17" x14ac:dyDescent="0.25">
      <c r="D2631" s="2"/>
      <c r="E2631" s="310"/>
      <c r="I2631" s="2"/>
      <c r="M2631" s="2"/>
      <c r="P2631" s="2"/>
      <c r="Q2631" s="2"/>
    </row>
    <row r="2632" spans="4:17" x14ac:dyDescent="0.25">
      <c r="D2632" s="2"/>
      <c r="E2632" s="310"/>
      <c r="I2632" s="2"/>
      <c r="M2632" s="2"/>
      <c r="P2632" s="2"/>
      <c r="Q2632" s="2"/>
    </row>
    <row r="2633" spans="4:17" x14ac:dyDescent="0.25">
      <c r="D2633" s="2"/>
      <c r="E2633" s="310"/>
      <c r="I2633" s="2"/>
      <c r="M2633" s="2"/>
      <c r="P2633" s="2"/>
      <c r="Q2633" s="2"/>
    </row>
    <row r="2634" spans="4:17" x14ac:dyDescent="0.25">
      <c r="D2634" s="2"/>
      <c r="E2634" s="310"/>
      <c r="I2634" s="2"/>
      <c r="M2634" s="2"/>
      <c r="P2634" s="2"/>
      <c r="Q2634" s="2"/>
    </row>
    <row r="2635" spans="4:17" x14ac:dyDescent="0.25">
      <c r="D2635" s="2"/>
      <c r="E2635" s="310"/>
      <c r="I2635" s="2"/>
      <c r="M2635" s="2"/>
      <c r="P2635" s="2"/>
      <c r="Q2635" s="2"/>
    </row>
    <row r="2636" spans="4:17" x14ac:dyDescent="0.25">
      <c r="D2636" s="2"/>
      <c r="E2636" s="310"/>
      <c r="I2636" s="2"/>
      <c r="M2636" s="2"/>
      <c r="P2636" s="2"/>
      <c r="Q2636" s="2"/>
    </row>
    <row r="2637" spans="4:17" x14ac:dyDescent="0.25">
      <c r="D2637" s="2"/>
      <c r="E2637" s="310"/>
      <c r="I2637" s="2"/>
      <c r="M2637" s="2"/>
      <c r="P2637" s="2"/>
      <c r="Q2637" s="2"/>
    </row>
    <row r="2638" spans="4:17" x14ac:dyDescent="0.25">
      <c r="D2638" s="2"/>
      <c r="E2638" s="310"/>
      <c r="I2638" s="2"/>
      <c r="M2638" s="2"/>
      <c r="P2638" s="2"/>
      <c r="Q2638" s="2"/>
    </row>
    <row r="2639" spans="4:17" x14ac:dyDescent="0.25">
      <c r="D2639" s="2"/>
      <c r="E2639" s="310"/>
      <c r="I2639" s="2"/>
      <c r="M2639" s="2"/>
      <c r="P2639" s="2"/>
      <c r="Q2639" s="2"/>
    </row>
    <row r="2640" spans="4:17" x14ac:dyDescent="0.25">
      <c r="D2640" s="2"/>
      <c r="E2640" s="310"/>
      <c r="I2640" s="2"/>
      <c r="M2640" s="2"/>
      <c r="P2640" s="2"/>
      <c r="Q2640" s="2"/>
    </row>
    <row r="2641" spans="4:17" x14ac:dyDescent="0.25">
      <c r="D2641" s="2"/>
      <c r="E2641" s="310"/>
      <c r="I2641" s="2"/>
      <c r="M2641" s="2"/>
      <c r="P2641" s="2"/>
      <c r="Q2641" s="2"/>
    </row>
    <row r="2642" spans="4:17" x14ac:dyDescent="0.25">
      <c r="D2642" s="2"/>
      <c r="E2642" s="310"/>
      <c r="I2642" s="2"/>
      <c r="M2642" s="2"/>
      <c r="P2642" s="2"/>
      <c r="Q2642" s="2"/>
    </row>
    <row r="2643" spans="4:17" x14ac:dyDescent="0.25">
      <c r="D2643" s="2"/>
      <c r="E2643" s="310"/>
      <c r="I2643" s="2"/>
      <c r="M2643" s="2"/>
      <c r="P2643" s="2"/>
      <c r="Q2643" s="2"/>
    </row>
    <row r="2644" spans="4:17" x14ac:dyDescent="0.25">
      <c r="D2644" s="2"/>
      <c r="E2644" s="310"/>
      <c r="I2644" s="2"/>
      <c r="M2644" s="2"/>
      <c r="P2644" s="2"/>
      <c r="Q2644" s="2"/>
    </row>
    <row r="2645" spans="4:17" x14ac:dyDescent="0.25">
      <c r="D2645" s="2"/>
      <c r="E2645" s="310"/>
      <c r="I2645" s="2"/>
      <c r="M2645" s="2"/>
      <c r="P2645" s="2"/>
      <c r="Q2645" s="2"/>
    </row>
    <row r="2646" spans="4:17" x14ac:dyDescent="0.25">
      <c r="D2646" s="2"/>
      <c r="E2646" s="310"/>
      <c r="I2646" s="2"/>
      <c r="M2646" s="2"/>
      <c r="P2646" s="2"/>
      <c r="Q2646" s="2"/>
    </row>
    <row r="2647" spans="4:17" x14ac:dyDescent="0.25">
      <c r="D2647" s="2"/>
      <c r="E2647" s="310"/>
      <c r="I2647" s="2"/>
      <c r="M2647" s="2"/>
      <c r="P2647" s="2"/>
      <c r="Q2647" s="2"/>
    </row>
    <row r="2648" spans="4:17" x14ac:dyDescent="0.25">
      <c r="D2648" s="2"/>
      <c r="E2648" s="310"/>
      <c r="I2648" s="2"/>
      <c r="M2648" s="2"/>
      <c r="P2648" s="2"/>
      <c r="Q2648" s="2"/>
    </row>
    <row r="2649" spans="4:17" x14ac:dyDescent="0.25">
      <c r="D2649" s="2"/>
      <c r="E2649" s="310"/>
      <c r="I2649" s="2"/>
      <c r="M2649" s="2"/>
      <c r="P2649" s="2"/>
      <c r="Q2649" s="2"/>
    </row>
    <row r="2650" spans="4:17" x14ac:dyDescent="0.25">
      <c r="D2650" s="2"/>
      <c r="E2650" s="310"/>
      <c r="I2650" s="2"/>
      <c r="M2650" s="2"/>
      <c r="P2650" s="2"/>
      <c r="Q2650" s="2"/>
    </row>
    <row r="2651" spans="4:17" x14ac:dyDescent="0.25">
      <c r="D2651" s="2"/>
      <c r="E2651" s="310"/>
      <c r="I2651" s="2"/>
      <c r="M2651" s="2"/>
      <c r="P2651" s="2"/>
      <c r="Q2651" s="2"/>
    </row>
    <row r="2652" spans="4:17" x14ac:dyDescent="0.25">
      <c r="D2652" s="2"/>
      <c r="E2652" s="310"/>
      <c r="I2652" s="2"/>
      <c r="M2652" s="2"/>
      <c r="P2652" s="2"/>
      <c r="Q2652" s="2"/>
    </row>
    <row r="2653" spans="4:17" x14ac:dyDescent="0.25">
      <c r="D2653" s="2"/>
      <c r="E2653" s="310"/>
      <c r="I2653" s="2"/>
      <c r="M2653" s="2"/>
      <c r="P2653" s="2"/>
      <c r="Q2653" s="2"/>
    </row>
    <row r="2654" spans="4:17" x14ac:dyDescent="0.25">
      <c r="D2654" s="2"/>
      <c r="E2654" s="310"/>
      <c r="I2654" s="2"/>
      <c r="M2654" s="2"/>
      <c r="P2654" s="2"/>
      <c r="Q2654" s="2"/>
    </row>
    <row r="2655" spans="4:17" x14ac:dyDescent="0.25">
      <c r="D2655" s="2"/>
      <c r="E2655" s="310"/>
      <c r="I2655" s="2"/>
      <c r="M2655" s="2"/>
      <c r="P2655" s="2"/>
      <c r="Q2655" s="2"/>
    </row>
    <row r="2656" spans="4:17" x14ac:dyDescent="0.25">
      <c r="D2656" s="2"/>
      <c r="E2656" s="310"/>
      <c r="I2656" s="2"/>
      <c r="M2656" s="2"/>
      <c r="P2656" s="2"/>
      <c r="Q2656" s="2"/>
    </row>
    <row r="2657" spans="4:17" x14ac:dyDescent="0.25">
      <c r="D2657" s="2"/>
      <c r="E2657" s="310"/>
      <c r="I2657" s="2"/>
      <c r="M2657" s="2"/>
      <c r="P2657" s="2"/>
      <c r="Q2657" s="2"/>
    </row>
    <row r="2658" spans="4:17" x14ac:dyDescent="0.25">
      <c r="D2658" s="2"/>
      <c r="E2658" s="310"/>
      <c r="I2658" s="2"/>
      <c r="M2658" s="2"/>
      <c r="P2658" s="2"/>
      <c r="Q2658" s="2"/>
    </row>
    <row r="2659" spans="4:17" x14ac:dyDescent="0.25">
      <c r="D2659" s="2"/>
      <c r="E2659" s="310"/>
      <c r="I2659" s="2"/>
      <c r="M2659" s="2"/>
      <c r="P2659" s="2"/>
      <c r="Q2659" s="2"/>
    </row>
    <row r="2660" spans="4:17" x14ac:dyDescent="0.25">
      <c r="D2660" s="2"/>
      <c r="E2660" s="310"/>
      <c r="I2660" s="2"/>
      <c r="M2660" s="2"/>
      <c r="P2660" s="2"/>
      <c r="Q2660" s="2"/>
    </row>
    <row r="2661" spans="4:17" x14ac:dyDescent="0.25">
      <c r="D2661" s="2"/>
      <c r="E2661" s="310"/>
      <c r="I2661" s="2"/>
      <c r="M2661" s="2"/>
      <c r="P2661" s="2"/>
      <c r="Q2661" s="2"/>
    </row>
    <row r="2662" spans="4:17" x14ac:dyDescent="0.25">
      <c r="D2662" s="2"/>
      <c r="E2662" s="310"/>
      <c r="I2662" s="2"/>
      <c r="M2662" s="2"/>
      <c r="P2662" s="2"/>
      <c r="Q2662" s="2"/>
    </row>
    <row r="2663" spans="4:17" x14ac:dyDescent="0.25">
      <c r="D2663" s="2"/>
      <c r="E2663" s="310"/>
      <c r="I2663" s="2"/>
      <c r="M2663" s="2"/>
      <c r="P2663" s="2"/>
      <c r="Q2663" s="2"/>
    </row>
    <row r="2664" spans="4:17" x14ac:dyDescent="0.25">
      <c r="D2664" s="2"/>
      <c r="E2664" s="310"/>
      <c r="I2664" s="2"/>
      <c r="M2664" s="2"/>
      <c r="P2664" s="2"/>
      <c r="Q2664" s="2"/>
    </row>
    <row r="2665" spans="4:17" x14ac:dyDescent="0.25">
      <c r="D2665" s="2"/>
      <c r="E2665" s="310"/>
      <c r="I2665" s="2"/>
      <c r="M2665" s="2"/>
      <c r="P2665" s="2"/>
      <c r="Q2665" s="2"/>
    </row>
    <row r="2666" spans="4:17" x14ac:dyDescent="0.25">
      <c r="D2666" s="2"/>
      <c r="E2666" s="310"/>
      <c r="I2666" s="2"/>
      <c r="M2666" s="2"/>
      <c r="P2666" s="2"/>
      <c r="Q2666" s="2"/>
    </row>
    <row r="2667" spans="4:17" x14ac:dyDescent="0.25">
      <c r="D2667" s="2"/>
      <c r="E2667" s="310"/>
      <c r="I2667" s="2"/>
      <c r="M2667" s="2"/>
      <c r="P2667" s="2"/>
      <c r="Q2667" s="2"/>
    </row>
    <row r="2668" spans="4:17" x14ac:dyDescent="0.25">
      <c r="D2668" s="2"/>
      <c r="E2668" s="310"/>
      <c r="I2668" s="2"/>
      <c r="M2668" s="2"/>
      <c r="P2668" s="2"/>
      <c r="Q2668" s="2"/>
    </row>
    <row r="2669" spans="4:17" x14ac:dyDescent="0.25">
      <c r="D2669" s="2"/>
      <c r="E2669" s="310"/>
      <c r="I2669" s="2"/>
      <c r="M2669" s="2"/>
      <c r="P2669" s="2"/>
      <c r="Q2669" s="2"/>
    </row>
    <row r="2670" spans="4:17" x14ac:dyDescent="0.25">
      <c r="D2670" s="2"/>
      <c r="E2670" s="310"/>
      <c r="I2670" s="2"/>
      <c r="M2670" s="2"/>
      <c r="P2670" s="2"/>
      <c r="Q2670" s="2"/>
    </row>
    <row r="2671" spans="4:17" x14ac:dyDescent="0.25">
      <c r="D2671" s="2"/>
      <c r="E2671" s="310"/>
      <c r="I2671" s="2"/>
      <c r="M2671" s="2"/>
      <c r="P2671" s="2"/>
      <c r="Q2671" s="2"/>
    </row>
    <row r="2672" spans="4:17" x14ac:dyDescent="0.25">
      <c r="D2672" s="2"/>
      <c r="E2672" s="310"/>
      <c r="I2672" s="2"/>
      <c r="M2672" s="2"/>
      <c r="P2672" s="2"/>
      <c r="Q2672" s="2"/>
    </row>
    <row r="2673" spans="4:17" x14ac:dyDescent="0.25">
      <c r="D2673" s="2"/>
      <c r="E2673" s="310"/>
      <c r="I2673" s="2"/>
      <c r="M2673" s="2"/>
      <c r="P2673" s="2"/>
      <c r="Q2673" s="2"/>
    </row>
    <row r="2674" spans="4:17" x14ac:dyDescent="0.25">
      <c r="D2674" s="2"/>
      <c r="E2674" s="310"/>
      <c r="I2674" s="2"/>
      <c r="M2674" s="2"/>
      <c r="P2674" s="2"/>
      <c r="Q2674" s="2"/>
    </row>
    <row r="2675" spans="4:17" x14ac:dyDescent="0.25">
      <c r="D2675" s="2"/>
      <c r="E2675" s="310"/>
      <c r="I2675" s="2"/>
      <c r="M2675" s="2"/>
      <c r="P2675" s="2"/>
      <c r="Q2675" s="2"/>
    </row>
    <row r="2676" spans="4:17" x14ac:dyDescent="0.25">
      <c r="D2676" s="2"/>
      <c r="E2676" s="310"/>
      <c r="I2676" s="2"/>
      <c r="M2676" s="2"/>
      <c r="P2676" s="2"/>
      <c r="Q2676" s="2"/>
    </row>
    <row r="2677" spans="4:17" x14ac:dyDescent="0.25">
      <c r="D2677" s="2"/>
      <c r="E2677" s="310"/>
      <c r="I2677" s="2"/>
      <c r="M2677" s="2"/>
      <c r="P2677" s="2"/>
      <c r="Q2677" s="2"/>
    </row>
    <row r="2678" spans="4:17" x14ac:dyDescent="0.25">
      <c r="D2678" s="2"/>
      <c r="E2678" s="310"/>
      <c r="I2678" s="2"/>
      <c r="M2678" s="2"/>
      <c r="P2678" s="2"/>
      <c r="Q2678" s="2"/>
    </row>
    <row r="2679" spans="4:17" x14ac:dyDescent="0.25">
      <c r="D2679" s="2"/>
      <c r="E2679" s="310"/>
      <c r="I2679" s="2"/>
      <c r="M2679" s="2"/>
      <c r="P2679" s="2"/>
      <c r="Q2679" s="2"/>
    </row>
    <row r="2680" spans="4:17" x14ac:dyDescent="0.25">
      <c r="D2680" s="2"/>
      <c r="E2680" s="310"/>
      <c r="I2680" s="2"/>
      <c r="M2680" s="2"/>
      <c r="P2680" s="2"/>
      <c r="Q2680" s="2"/>
    </row>
    <row r="2681" spans="4:17" x14ac:dyDescent="0.25">
      <c r="D2681" s="2"/>
      <c r="E2681" s="310"/>
      <c r="I2681" s="2"/>
      <c r="M2681" s="2"/>
      <c r="P2681" s="2"/>
      <c r="Q2681" s="2"/>
    </row>
    <row r="2682" spans="4:17" x14ac:dyDescent="0.25">
      <c r="D2682" s="2"/>
      <c r="E2682" s="310"/>
      <c r="I2682" s="2"/>
      <c r="M2682" s="2"/>
      <c r="P2682" s="2"/>
      <c r="Q2682" s="2"/>
    </row>
    <row r="2683" spans="4:17" x14ac:dyDescent="0.25">
      <c r="D2683" s="2"/>
      <c r="E2683" s="310"/>
      <c r="I2683" s="2"/>
      <c r="M2683" s="2"/>
      <c r="P2683" s="2"/>
      <c r="Q2683" s="2"/>
    </row>
    <row r="2684" spans="4:17" x14ac:dyDescent="0.25">
      <c r="D2684" s="2"/>
      <c r="E2684" s="310"/>
      <c r="I2684" s="2"/>
      <c r="M2684" s="2"/>
      <c r="P2684" s="2"/>
      <c r="Q2684" s="2"/>
    </row>
    <row r="2685" spans="4:17" x14ac:dyDescent="0.25">
      <c r="D2685" s="2"/>
      <c r="E2685" s="310"/>
      <c r="I2685" s="2"/>
      <c r="M2685" s="2"/>
      <c r="P2685" s="2"/>
      <c r="Q2685" s="2"/>
    </row>
    <row r="2686" spans="4:17" x14ac:dyDescent="0.25">
      <c r="D2686" s="2"/>
      <c r="E2686" s="310"/>
      <c r="I2686" s="2"/>
      <c r="M2686" s="2"/>
      <c r="P2686" s="2"/>
      <c r="Q2686" s="2"/>
    </row>
    <row r="2687" spans="4:17" x14ac:dyDescent="0.25">
      <c r="D2687" s="2"/>
      <c r="E2687" s="310"/>
      <c r="I2687" s="2"/>
      <c r="M2687" s="2"/>
      <c r="P2687" s="2"/>
      <c r="Q2687" s="2"/>
    </row>
    <row r="2688" spans="4:17" x14ac:dyDescent="0.25">
      <c r="D2688" s="2"/>
      <c r="E2688" s="310"/>
      <c r="I2688" s="2"/>
      <c r="M2688" s="2"/>
      <c r="P2688" s="2"/>
      <c r="Q2688" s="2"/>
    </row>
    <row r="2689" spans="4:17" x14ac:dyDescent="0.25">
      <c r="D2689" s="2"/>
      <c r="E2689" s="310"/>
      <c r="I2689" s="2"/>
      <c r="M2689" s="2"/>
      <c r="P2689" s="2"/>
      <c r="Q2689" s="2"/>
    </row>
    <row r="2690" spans="4:17" x14ac:dyDescent="0.25">
      <c r="D2690" s="2"/>
      <c r="E2690" s="310"/>
      <c r="I2690" s="2"/>
      <c r="M2690" s="2"/>
      <c r="P2690" s="2"/>
      <c r="Q2690" s="2"/>
    </row>
    <row r="2691" spans="4:17" x14ac:dyDescent="0.25">
      <c r="D2691" s="2"/>
      <c r="E2691" s="310"/>
      <c r="I2691" s="2"/>
      <c r="M2691" s="2"/>
      <c r="P2691" s="2"/>
      <c r="Q2691" s="2"/>
    </row>
    <row r="2692" spans="4:17" x14ac:dyDescent="0.25">
      <c r="D2692" s="2"/>
      <c r="E2692" s="310"/>
      <c r="I2692" s="2"/>
      <c r="M2692" s="2"/>
      <c r="P2692" s="2"/>
      <c r="Q2692" s="2"/>
    </row>
    <row r="2693" spans="4:17" x14ac:dyDescent="0.25">
      <c r="D2693" s="2"/>
      <c r="E2693" s="310"/>
      <c r="I2693" s="2"/>
      <c r="M2693" s="2"/>
      <c r="P2693" s="2"/>
      <c r="Q2693" s="2"/>
    </row>
    <row r="2694" spans="4:17" x14ac:dyDescent="0.25">
      <c r="D2694" s="2"/>
      <c r="E2694" s="310"/>
      <c r="I2694" s="2"/>
      <c r="M2694" s="2"/>
      <c r="P2694" s="2"/>
      <c r="Q2694" s="2"/>
    </row>
    <row r="2695" spans="4:17" x14ac:dyDescent="0.25">
      <c r="D2695" s="2"/>
      <c r="E2695" s="310"/>
      <c r="I2695" s="2"/>
      <c r="M2695" s="2"/>
      <c r="P2695" s="2"/>
      <c r="Q2695" s="2"/>
    </row>
    <row r="2696" spans="4:17" x14ac:dyDescent="0.25">
      <c r="D2696" s="2"/>
      <c r="E2696" s="310"/>
      <c r="I2696" s="2"/>
      <c r="M2696" s="2"/>
      <c r="P2696" s="2"/>
      <c r="Q2696" s="2"/>
    </row>
    <row r="2697" spans="4:17" x14ac:dyDescent="0.25">
      <c r="D2697" s="2"/>
      <c r="E2697" s="310"/>
      <c r="I2697" s="2"/>
      <c r="M2697" s="2"/>
      <c r="P2697" s="2"/>
      <c r="Q2697" s="2"/>
    </row>
    <row r="2698" spans="4:17" x14ac:dyDescent="0.25">
      <c r="D2698" s="2"/>
      <c r="E2698" s="310"/>
      <c r="I2698" s="2"/>
      <c r="M2698" s="2"/>
      <c r="P2698" s="2"/>
      <c r="Q2698" s="2"/>
    </row>
    <row r="2699" spans="4:17" x14ac:dyDescent="0.25">
      <c r="D2699" s="2"/>
      <c r="E2699" s="310"/>
      <c r="I2699" s="2"/>
      <c r="M2699" s="2"/>
      <c r="P2699" s="2"/>
      <c r="Q2699" s="2"/>
    </row>
    <row r="2700" spans="4:17" x14ac:dyDescent="0.25">
      <c r="D2700" s="2"/>
      <c r="E2700" s="310"/>
      <c r="I2700" s="2"/>
      <c r="M2700" s="2"/>
      <c r="P2700" s="2"/>
      <c r="Q2700" s="2"/>
    </row>
    <row r="2701" spans="4:17" x14ac:dyDescent="0.25">
      <c r="D2701" s="2"/>
      <c r="E2701" s="310"/>
      <c r="I2701" s="2"/>
      <c r="M2701" s="2"/>
      <c r="P2701" s="2"/>
      <c r="Q2701" s="2"/>
    </row>
    <row r="2702" spans="4:17" x14ac:dyDescent="0.25">
      <c r="D2702" s="2"/>
      <c r="E2702" s="310"/>
      <c r="I2702" s="2"/>
      <c r="M2702" s="2"/>
      <c r="P2702" s="2"/>
      <c r="Q2702" s="2"/>
    </row>
    <row r="2703" spans="4:17" x14ac:dyDescent="0.25">
      <c r="D2703" s="2"/>
      <c r="E2703" s="310"/>
      <c r="I2703" s="2"/>
      <c r="M2703" s="2"/>
      <c r="P2703" s="2"/>
      <c r="Q2703" s="2"/>
    </row>
    <row r="2704" spans="4:17" x14ac:dyDescent="0.25">
      <c r="D2704" s="2"/>
      <c r="E2704" s="310"/>
      <c r="I2704" s="2"/>
      <c r="M2704" s="2"/>
      <c r="P2704" s="2"/>
      <c r="Q2704" s="2"/>
    </row>
    <row r="2705" spans="4:17" x14ac:dyDescent="0.25">
      <c r="D2705" s="2"/>
      <c r="E2705" s="310"/>
      <c r="I2705" s="2"/>
      <c r="M2705" s="2"/>
      <c r="P2705" s="2"/>
      <c r="Q2705" s="2"/>
    </row>
    <row r="2706" spans="4:17" x14ac:dyDescent="0.25">
      <c r="D2706" s="2"/>
      <c r="E2706" s="310"/>
      <c r="I2706" s="2"/>
      <c r="M2706" s="2"/>
      <c r="P2706" s="2"/>
      <c r="Q2706" s="2"/>
    </row>
    <row r="2709" spans="4:17" x14ac:dyDescent="0.25">
      <c r="D2709" s="2"/>
      <c r="E2709" s="310"/>
      <c r="I2709" s="2"/>
      <c r="M2709" s="2"/>
      <c r="P2709" s="2"/>
      <c r="Q2709" s="2"/>
    </row>
    <row r="2710" spans="4:17" x14ac:dyDescent="0.25">
      <c r="D2710" s="2"/>
      <c r="E2710" s="310"/>
      <c r="I2710" s="2"/>
      <c r="M2710" s="2"/>
      <c r="P2710" s="2"/>
      <c r="Q2710" s="2"/>
    </row>
    <row r="2712" spans="4:17" x14ac:dyDescent="0.25">
      <c r="D2712" s="2"/>
      <c r="E2712" s="310"/>
      <c r="I2712" s="2"/>
      <c r="M2712" s="2"/>
      <c r="P2712" s="2"/>
      <c r="Q2712" s="2"/>
    </row>
    <row r="2713" spans="4:17" x14ac:dyDescent="0.25">
      <c r="D2713" s="2"/>
      <c r="E2713" s="310"/>
      <c r="I2713" s="2"/>
      <c r="M2713" s="2"/>
      <c r="P2713" s="2"/>
      <c r="Q2713" s="2"/>
    </row>
    <row r="2714" spans="4:17" x14ac:dyDescent="0.25">
      <c r="D2714" s="2"/>
      <c r="E2714" s="310"/>
      <c r="I2714" s="2"/>
      <c r="M2714" s="2"/>
      <c r="P2714" s="2"/>
      <c r="Q2714" s="2"/>
    </row>
    <row r="2715" spans="4:17" x14ac:dyDescent="0.25">
      <c r="D2715" s="2"/>
      <c r="E2715" s="310"/>
      <c r="I2715" s="2"/>
      <c r="M2715" s="2"/>
      <c r="P2715" s="2"/>
      <c r="Q2715" s="2"/>
    </row>
    <row r="2716" spans="4:17" x14ac:dyDescent="0.25">
      <c r="D2716" s="2"/>
      <c r="E2716" s="310"/>
      <c r="I2716" s="2"/>
      <c r="M2716" s="2"/>
      <c r="P2716" s="2"/>
      <c r="Q2716" s="2"/>
    </row>
    <row r="2717" spans="4:17" x14ac:dyDescent="0.25">
      <c r="D2717" s="2"/>
      <c r="E2717" s="310"/>
      <c r="I2717" s="2"/>
      <c r="M2717" s="2"/>
      <c r="P2717" s="2"/>
      <c r="Q2717" s="2"/>
    </row>
    <row r="2718" spans="4:17" x14ac:dyDescent="0.25">
      <c r="D2718" s="2"/>
      <c r="E2718" s="310"/>
      <c r="I2718" s="2"/>
      <c r="M2718" s="2"/>
      <c r="P2718" s="2"/>
      <c r="Q2718" s="2"/>
    </row>
    <row r="2719" spans="4:17" x14ac:dyDescent="0.25">
      <c r="D2719" s="2"/>
      <c r="E2719" s="310"/>
      <c r="I2719" s="2"/>
      <c r="M2719" s="2"/>
      <c r="P2719" s="2"/>
      <c r="Q2719" s="2"/>
    </row>
    <row r="2720" spans="4:17" x14ac:dyDescent="0.25">
      <c r="D2720" s="2"/>
      <c r="E2720" s="310"/>
      <c r="I2720" s="2"/>
      <c r="M2720" s="2"/>
      <c r="P2720" s="2"/>
      <c r="Q2720" s="2"/>
    </row>
    <row r="2721" spans="4:17" x14ac:dyDescent="0.25">
      <c r="D2721" s="2"/>
      <c r="E2721" s="310"/>
      <c r="I2721" s="2"/>
      <c r="M2721" s="2"/>
      <c r="P2721" s="2"/>
      <c r="Q2721" s="2"/>
    </row>
    <row r="2722" spans="4:17" x14ac:dyDescent="0.25">
      <c r="D2722" s="2"/>
      <c r="E2722" s="310"/>
      <c r="I2722" s="2"/>
      <c r="M2722" s="2"/>
      <c r="P2722" s="2"/>
      <c r="Q2722" s="2"/>
    </row>
    <row r="2723" spans="4:17" x14ac:dyDescent="0.25">
      <c r="D2723" s="2"/>
      <c r="E2723" s="310"/>
      <c r="I2723" s="2"/>
      <c r="M2723" s="2"/>
      <c r="P2723" s="2"/>
      <c r="Q2723" s="2"/>
    </row>
    <row r="2724" spans="4:17" x14ac:dyDescent="0.25">
      <c r="D2724" s="2"/>
      <c r="E2724" s="310"/>
      <c r="I2724" s="2"/>
      <c r="M2724" s="2"/>
      <c r="P2724" s="2"/>
      <c r="Q2724" s="2"/>
    </row>
    <row r="2725" spans="4:17" x14ac:dyDescent="0.25">
      <c r="D2725" s="2"/>
      <c r="E2725" s="310"/>
      <c r="I2725" s="2"/>
      <c r="M2725" s="2"/>
      <c r="P2725" s="2"/>
      <c r="Q2725" s="2"/>
    </row>
    <row r="2726" spans="4:17" x14ac:dyDescent="0.25">
      <c r="D2726" s="2"/>
      <c r="E2726" s="310"/>
      <c r="I2726" s="2"/>
      <c r="M2726" s="2"/>
      <c r="P2726" s="2"/>
      <c r="Q2726" s="2"/>
    </row>
    <row r="2727" spans="4:17" x14ac:dyDescent="0.25">
      <c r="D2727" s="2"/>
      <c r="E2727" s="310"/>
      <c r="I2727" s="2"/>
      <c r="M2727" s="2"/>
      <c r="P2727" s="2"/>
      <c r="Q2727" s="2"/>
    </row>
    <row r="2728" spans="4:17" x14ac:dyDescent="0.25">
      <c r="D2728" s="2"/>
      <c r="E2728" s="310"/>
      <c r="I2728" s="2"/>
      <c r="M2728" s="2"/>
      <c r="P2728" s="2"/>
      <c r="Q2728" s="2"/>
    </row>
    <row r="2729" spans="4:17" x14ac:dyDescent="0.25">
      <c r="D2729" s="2"/>
      <c r="E2729" s="310"/>
      <c r="I2729" s="2"/>
      <c r="M2729" s="2"/>
      <c r="P2729" s="2"/>
      <c r="Q2729" s="2"/>
    </row>
    <row r="2730" spans="4:17" x14ac:dyDescent="0.25">
      <c r="D2730" s="2"/>
      <c r="E2730" s="310"/>
      <c r="I2730" s="2"/>
      <c r="M2730" s="2"/>
      <c r="P2730" s="2"/>
      <c r="Q2730" s="2"/>
    </row>
    <row r="2731" spans="4:17" x14ac:dyDescent="0.25">
      <c r="D2731" s="2"/>
      <c r="E2731" s="310"/>
      <c r="I2731" s="2"/>
      <c r="M2731" s="2"/>
      <c r="P2731" s="2"/>
      <c r="Q2731" s="2"/>
    </row>
    <row r="2732" spans="4:17" x14ac:dyDescent="0.25">
      <c r="D2732" s="2"/>
      <c r="E2732" s="310"/>
      <c r="I2732" s="2"/>
      <c r="M2732" s="2"/>
      <c r="P2732" s="2"/>
      <c r="Q2732" s="2"/>
    </row>
    <row r="2733" spans="4:17" x14ac:dyDescent="0.25">
      <c r="D2733" s="2"/>
      <c r="E2733" s="310"/>
      <c r="I2733" s="2"/>
      <c r="M2733" s="2"/>
      <c r="P2733" s="2"/>
      <c r="Q2733" s="2"/>
    </row>
    <row r="2734" spans="4:17" x14ac:dyDescent="0.25">
      <c r="D2734" s="2"/>
      <c r="E2734" s="310"/>
      <c r="I2734" s="2"/>
      <c r="M2734" s="2"/>
      <c r="P2734" s="2"/>
      <c r="Q2734" s="2"/>
    </row>
    <row r="2735" spans="4:17" x14ac:dyDescent="0.25">
      <c r="D2735" s="2"/>
      <c r="E2735" s="310"/>
      <c r="I2735" s="2"/>
      <c r="M2735" s="2"/>
      <c r="P2735" s="2"/>
      <c r="Q2735" s="2"/>
    </row>
    <row r="2736" spans="4:17" x14ac:dyDescent="0.25">
      <c r="D2736" s="2"/>
      <c r="E2736" s="310"/>
      <c r="I2736" s="2"/>
      <c r="M2736" s="2"/>
      <c r="P2736" s="2"/>
      <c r="Q2736" s="2"/>
    </row>
    <row r="2737" spans="4:17" x14ac:dyDescent="0.25">
      <c r="D2737" s="2"/>
      <c r="E2737" s="310"/>
      <c r="I2737" s="2"/>
      <c r="M2737" s="2"/>
      <c r="P2737" s="2"/>
      <c r="Q2737" s="2"/>
    </row>
    <row r="2738" spans="4:17" x14ac:dyDescent="0.25">
      <c r="D2738" s="2"/>
      <c r="E2738" s="310"/>
      <c r="I2738" s="2"/>
      <c r="M2738" s="2"/>
      <c r="P2738" s="2"/>
      <c r="Q2738" s="2"/>
    </row>
    <row r="2739" spans="4:17" x14ac:dyDescent="0.25">
      <c r="D2739" s="2"/>
      <c r="E2739" s="310"/>
      <c r="I2739" s="2"/>
      <c r="M2739" s="2"/>
      <c r="P2739" s="2"/>
      <c r="Q2739" s="2"/>
    </row>
    <row r="2740" spans="4:17" x14ac:dyDescent="0.25">
      <c r="D2740" s="2"/>
      <c r="E2740" s="310"/>
      <c r="I2740" s="2"/>
      <c r="M2740" s="2"/>
      <c r="P2740" s="2"/>
      <c r="Q2740" s="2"/>
    </row>
    <row r="2741" spans="4:17" x14ac:dyDescent="0.25">
      <c r="D2741" s="2"/>
      <c r="E2741" s="310"/>
      <c r="I2741" s="2"/>
      <c r="M2741" s="2"/>
      <c r="P2741" s="2"/>
      <c r="Q2741" s="2"/>
    </row>
    <row r="2742" spans="4:17" x14ac:dyDescent="0.25">
      <c r="D2742" s="2"/>
      <c r="E2742" s="310"/>
      <c r="I2742" s="2"/>
      <c r="M2742" s="2"/>
      <c r="P2742" s="2"/>
      <c r="Q2742" s="2"/>
    </row>
    <row r="2743" spans="4:17" x14ac:dyDescent="0.25">
      <c r="D2743" s="2"/>
      <c r="E2743" s="310"/>
      <c r="I2743" s="2"/>
      <c r="M2743" s="2"/>
      <c r="P2743" s="2"/>
      <c r="Q2743" s="2"/>
    </row>
    <row r="2744" spans="4:17" x14ac:dyDescent="0.25">
      <c r="D2744" s="2"/>
      <c r="E2744" s="310"/>
      <c r="I2744" s="2"/>
      <c r="M2744" s="2"/>
      <c r="P2744" s="2"/>
      <c r="Q2744" s="2"/>
    </row>
    <row r="2745" spans="4:17" x14ac:dyDescent="0.25">
      <c r="D2745" s="2"/>
      <c r="E2745" s="310"/>
      <c r="I2745" s="2"/>
      <c r="M2745" s="2"/>
      <c r="P2745" s="2"/>
      <c r="Q2745" s="2"/>
    </row>
    <row r="2746" spans="4:17" x14ac:dyDescent="0.25">
      <c r="D2746" s="2"/>
      <c r="E2746" s="310"/>
      <c r="I2746" s="2"/>
      <c r="M2746" s="2"/>
      <c r="P2746" s="2"/>
      <c r="Q2746" s="2"/>
    </row>
    <row r="2747" spans="4:17" x14ac:dyDescent="0.25">
      <c r="D2747" s="2"/>
      <c r="E2747" s="310"/>
      <c r="I2747" s="2"/>
      <c r="M2747" s="2"/>
      <c r="P2747" s="2"/>
      <c r="Q2747" s="2"/>
    </row>
    <row r="2749" spans="4:17" x14ac:dyDescent="0.25">
      <c r="D2749" s="2"/>
      <c r="E2749" s="310"/>
      <c r="I2749" s="2"/>
      <c r="M2749" s="2"/>
      <c r="P2749" s="2"/>
      <c r="Q2749" s="2"/>
    </row>
    <row r="2750" spans="4:17" x14ac:dyDescent="0.25">
      <c r="D2750" s="2"/>
      <c r="E2750" s="310"/>
      <c r="I2750" s="2"/>
      <c r="M2750" s="2"/>
      <c r="P2750" s="2"/>
      <c r="Q2750" s="2"/>
    </row>
    <row r="2755" spans="4:17" x14ac:dyDescent="0.25">
      <c r="D2755" s="2"/>
      <c r="E2755" s="310"/>
      <c r="I2755" s="2"/>
      <c r="M2755" s="2"/>
      <c r="P2755" s="2"/>
      <c r="Q2755" s="2"/>
    </row>
    <row r="2756" spans="4:17" x14ac:dyDescent="0.25">
      <c r="D2756" s="2"/>
      <c r="E2756" s="310"/>
      <c r="I2756" s="2"/>
      <c r="M2756" s="2"/>
      <c r="P2756" s="2"/>
      <c r="Q2756" s="2"/>
    </row>
    <row r="2758" spans="4:17" x14ac:dyDescent="0.25">
      <c r="D2758" s="2"/>
      <c r="E2758" s="310"/>
      <c r="I2758" s="2"/>
      <c r="M2758" s="2"/>
      <c r="P2758" s="2"/>
      <c r="Q2758" s="2"/>
    </row>
    <row r="2759" spans="4:17" x14ac:dyDescent="0.25">
      <c r="D2759" s="2"/>
      <c r="E2759" s="310"/>
      <c r="I2759" s="2"/>
      <c r="M2759" s="2"/>
      <c r="P2759" s="2"/>
      <c r="Q2759" s="2"/>
    </row>
    <row r="2760" spans="4:17" x14ac:dyDescent="0.25">
      <c r="D2760" s="2"/>
      <c r="E2760" s="310"/>
      <c r="I2760" s="2"/>
      <c r="M2760" s="2"/>
      <c r="P2760" s="2"/>
      <c r="Q2760" s="2"/>
    </row>
    <row r="2761" spans="4:17" x14ac:dyDescent="0.25">
      <c r="D2761" s="2"/>
      <c r="E2761" s="310"/>
      <c r="I2761" s="2"/>
      <c r="M2761" s="2"/>
      <c r="P2761" s="2"/>
      <c r="Q2761" s="2"/>
    </row>
    <row r="2762" spans="4:17" x14ac:dyDescent="0.25">
      <c r="D2762" s="2"/>
      <c r="E2762" s="310"/>
      <c r="I2762" s="2"/>
      <c r="M2762" s="2"/>
      <c r="P2762" s="2"/>
      <c r="Q2762" s="2"/>
    </row>
    <row r="2763" spans="4:17" x14ac:dyDescent="0.25">
      <c r="D2763" s="2"/>
      <c r="E2763" s="310"/>
      <c r="I2763" s="2"/>
      <c r="M2763" s="2"/>
      <c r="P2763" s="2"/>
      <c r="Q2763" s="2"/>
    </row>
    <row r="2764" spans="4:17" x14ac:dyDescent="0.25">
      <c r="D2764" s="2"/>
      <c r="E2764" s="310"/>
      <c r="I2764" s="2"/>
      <c r="M2764" s="2"/>
      <c r="P2764" s="2"/>
      <c r="Q2764" s="2"/>
    </row>
    <row r="2765" spans="4:17" x14ac:dyDescent="0.25">
      <c r="D2765" s="2"/>
      <c r="E2765" s="310"/>
      <c r="I2765" s="2"/>
      <c r="M2765" s="2"/>
      <c r="P2765" s="2"/>
      <c r="Q2765" s="2"/>
    </row>
    <row r="2766" spans="4:17" x14ac:dyDescent="0.25">
      <c r="D2766" s="2"/>
      <c r="E2766" s="310"/>
      <c r="I2766" s="2"/>
      <c r="M2766" s="2"/>
      <c r="P2766" s="2"/>
      <c r="Q2766" s="2"/>
    </row>
    <row r="2767" spans="4:17" x14ac:dyDescent="0.25">
      <c r="D2767" s="2"/>
      <c r="E2767" s="310"/>
      <c r="I2767" s="2"/>
      <c r="M2767" s="2"/>
      <c r="P2767" s="2"/>
      <c r="Q2767" s="2"/>
    </row>
    <row r="2768" spans="4:17" x14ac:dyDescent="0.25">
      <c r="D2768" s="2"/>
      <c r="E2768" s="310"/>
      <c r="I2768" s="2"/>
      <c r="M2768" s="2"/>
      <c r="P2768" s="2"/>
      <c r="Q2768" s="2"/>
    </row>
    <row r="2769" spans="4:17" x14ac:dyDescent="0.25">
      <c r="D2769" s="2"/>
      <c r="E2769" s="310"/>
      <c r="I2769" s="2"/>
      <c r="M2769" s="2"/>
      <c r="P2769" s="2"/>
      <c r="Q2769" s="2"/>
    </row>
    <row r="2770" spans="4:17" x14ac:dyDescent="0.25">
      <c r="D2770" s="2"/>
      <c r="E2770" s="310"/>
      <c r="I2770" s="2"/>
      <c r="M2770" s="2"/>
      <c r="P2770" s="2"/>
      <c r="Q2770" s="2"/>
    </row>
    <row r="2771" spans="4:17" x14ac:dyDescent="0.25">
      <c r="D2771" s="2"/>
      <c r="E2771" s="310"/>
      <c r="I2771" s="2"/>
      <c r="M2771" s="2"/>
      <c r="P2771" s="2"/>
      <c r="Q2771" s="2"/>
    </row>
    <row r="2772" spans="4:17" x14ac:dyDescent="0.25">
      <c r="D2772" s="2"/>
      <c r="E2772" s="310"/>
      <c r="I2772" s="2"/>
      <c r="M2772" s="2"/>
      <c r="P2772" s="2"/>
      <c r="Q2772" s="2"/>
    </row>
    <row r="2773" spans="4:17" x14ac:dyDescent="0.25">
      <c r="D2773" s="2"/>
      <c r="E2773" s="310"/>
      <c r="I2773" s="2"/>
      <c r="M2773" s="2"/>
      <c r="P2773" s="2"/>
      <c r="Q2773" s="2"/>
    </row>
    <row r="2774" spans="4:17" x14ac:dyDescent="0.25">
      <c r="D2774" s="2"/>
      <c r="E2774" s="310"/>
      <c r="I2774" s="2"/>
      <c r="M2774" s="2"/>
      <c r="P2774" s="2"/>
      <c r="Q2774" s="2"/>
    </row>
    <row r="2775" spans="4:17" x14ac:dyDescent="0.25">
      <c r="D2775" s="2"/>
      <c r="E2775" s="310"/>
      <c r="I2775" s="2"/>
      <c r="M2775" s="2"/>
      <c r="P2775" s="2"/>
      <c r="Q2775" s="2"/>
    </row>
    <row r="2776" spans="4:17" x14ac:dyDescent="0.25">
      <c r="D2776" s="2"/>
      <c r="E2776" s="310"/>
      <c r="I2776" s="2"/>
      <c r="M2776" s="2"/>
      <c r="P2776" s="2"/>
      <c r="Q2776" s="2"/>
    </row>
    <row r="2777" spans="4:17" x14ac:dyDescent="0.25">
      <c r="D2777" s="2"/>
      <c r="E2777" s="310"/>
      <c r="I2777" s="2"/>
      <c r="M2777" s="2"/>
      <c r="P2777" s="2"/>
      <c r="Q2777" s="2"/>
    </row>
    <row r="2778" spans="4:17" x14ac:dyDescent="0.25">
      <c r="D2778" s="2"/>
      <c r="E2778" s="310"/>
      <c r="I2778" s="2"/>
      <c r="M2778" s="2"/>
      <c r="P2778" s="2"/>
      <c r="Q2778" s="2"/>
    </row>
    <row r="2779" spans="4:17" x14ac:dyDescent="0.25">
      <c r="D2779" s="2"/>
      <c r="E2779" s="310"/>
      <c r="I2779" s="2"/>
      <c r="M2779" s="2"/>
      <c r="P2779" s="2"/>
      <c r="Q2779" s="2"/>
    </row>
    <row r="2780" spans="4:17" x14ac:dyDescent="0.25">
      <c r="D2780" s="2"/>
      <c r="E2780" s="310"/>
      <c r="I2780" s="2"/>
      <c r="M2780" s="2"/>
      <c r="P2780" s="2"/>
      <c r="Q2780" s="2"/>
    </row>
    <row r="2781" spans="4:17" x14ac:dyDescent="0.25">
      <c r="D2781" s="2"/>
      <c r="E2781" s="310"/>
      <c r="I2781" s="2"/>
      <c r="M2781" s="2"/>
      <c r="P2781" s="2"/>
      <c r="Q2781" s="2"/>
    </row>
    <row r="2782" spans="4:17" x14ac:dyDescent="0.25">
      <c r="D2782" s="2"/>
      <c r="E2782" s="310"/>
      <c r="I2782" s="2"/>
      <c r="M2782" s="2"/>
      <c r="P2782" s="2"/>
      <c r="Q2782" s="2"/>
    </row>
    <row r="2783" spans="4:17" x14ac:dyDescent="0.25">
      <c r="D2783" s="2"/>
      <c r="E2783" s="310"/>
      <c r="I2783" s="2"/>
      <c r="M2783" s="2"/>
      <c r="P2783" s="2"/>
      <c r="Q2783" s="2"/>
    </row>
    <row r="2784" spans="4:17" x14ac:dyDescent="0.25">
      <c r="D2784" s="2"/>
      <c r="E2784" s="310"/>
      <c r="I2784" s="2"/>
      <c r="M2784" s="2"/>
      <c r="P2784" s="2"/>
      <c r="Q2784" s="2"/>
    </row>
    <row r="2785" spans="4:17" x14ac:dyDescent="0.25">
      <c r="D2785" s="2"/>
      <c r="E2785" s="310"/>
      <c r="I2785" s="2"/>
      <c r="M2785" s="2"/>
      <c r="P2785" s="2"/>
      <c r="Q2785" s="2"/>
    </row>
    <row r="2786" spans="4:17" x14ac:dyDescent="0.25">
      <c r="D2786" s="2"/>
      <c r="E2786" s="310"/>
      <c r="I2786" s="2"/>
      <c r="M2786" s="2"/>
      <c r="P2786" s="2"/>
      <c r="Q2786" s="2"/>
    </row>
    <row r="2787" spans="4:17" x14ac:dyDescent="0.25">
      <c r="D2787" s="2"/>
      <c r="E2787" s="310"/>
      <c r="I2787" s="2"/>
      <c r="M2787" s="2"/>
      <c r="P2787" s="2"/>
      <c r="Q2787" s="2"/>
    </row>
    <row r="2788" spans="4:17" x14ac:dyDescent="0.25">
      <c r="D2788" s="2"/>
      <c r="E2788" s="310"/>
      <c r="I2788" s="2"/>
      <c r="M2788" s="2"/>
      <c r="P2788" s="2"/>
      <c r="Q2788" s="2"/>
    </row>
    <row r="2789" spans="4:17" x14ac:dyDescent="0.25">
      <c r="D2789" s="2"/>
      <c r="E2789" s="310"/>
      <c r="I2789" s="2"/>
      <c r="M2789" s="2"/>
      <c r="P2789" s="2"/>
      <c r="Q2789" s="2"/>
    </row>
    <row r="2790" spans="4:17" x14ac:dyDescent="0.25">
      <c r="D2790" s="2"/>
      <c r="E2790" s="310"/>
      <c r="I2790" s="2"/>
      <c r="M2790" s="2"/>
      <c r="P2790" s="2"/>
      <c r="Q2790" s="2"/>
    </row>
    <row r="2791" spans="4:17" x14ac:dyDescent="0.25">
      <c r="D2791" s="2"/>
      <c r="E2791" s="310"/>
      <c r="I2791" s="2"/>
      <c r="M2791" s="2"/>
      <c r="P2791" s="2"/>
      <c r="Q2791" s="2"/>
    </row>
    <row r="2792" spans="4:17" x14ac:dyDescent="0.25">
      <c r="D2792" s="2"/>
      <c r="E2792" s="310"/>
      <c r="I2792" s="2"/>
      <c r="M2792" s="2"/>
      <c r="P2792" s="2"/>
      <c r="Q2792" s="2"/>
    </row>
    <row r="2793" spans="4:17" x14ac:dyDescent="0.25">
      <c r="D2793" s="2"/>
      <c r="E2793" s="310"/>
      <c r="I2793" s="2"/>
      <c r="M2793" s="2"/>
      <c r="P2793" s="2"/>
      <c r="Q2793" s="2"/>
    </row>
    <row r="2794" spans="4:17" x14ac:dyDescent="0.25">
      <c r="D2794" s="2"/>
      <c r="E2794" s="310"/>
      <c r="I2794" s="2"/>
      <c r="M2794" s="2"/>
      <c r="P2794" s="2"/>
      <c r="Q2794" s="2"/>
    </row>
    <row r="2795" spans="4:17" x14ac:dyDescent="0.25">
      <c r="D2795" s="2"/>
      <c r="E2795" s="310"/>
      <c r="I2795" s="2"/>
      <c r="M2795" s="2"/>
      <c r="P2795" s="2"/>
      <c r="Q2795" s="2"/>
    </row>
    <row r="2796" spans="4:17" x14ac:dyDescent="0.25">
      <c r="D2796" s="2"/>
      <c r="E2796" s="310"/>
      <c r="I2796" s="2"/>
      <c r="M2796" s="2"/>
      <c r="P2796" s="2"/>
      <c r="Q2796" s="2"/>
    </row>
    <row r="2797" spans="4:17" x14ac:dyDescent="0.25">
      <c r="D2797" s="2"/>
      <c r="E2797" s="310"/>
      <c r="I2797" s="2"/>
      <c r="M2797" s="2"/>
      <c r="P2797" s="2"/>
      <c r="Q2797" s="2"/>
    </row>
    <row r="2798" spans="4:17" x14ac:dyDescent="0.25">
      <c r="D2798" s="2"/>
      <c r="E2798" s="310"/>
      <c r="I2798" s="2"/>
      <c r="M2798" s="2"/>
      <c r="P2798" s="2"/>
      <c r="Q2798" s="2"/>
    </row>
    <row r="2799" spans="4:17" x14ac:dyDescent="0.25">
      <c r="D2799" s="2"/>
      <c r="E2799" s="310"/>
      <c r="I2799" s="2"/>
      <c r="M2799" s="2"/>
      <c r="P2799" s="2"/>
      <c r="Q2799" s="2"/>
    </row>
    <row r="2800" spans="4:17" x14ac:dyDescent="0.25">
      <c r="D2800" s="2"/>
      <c r="E2800" s="310"/>
      <c r="I2800" s="2"/>
      <c r="M2800" s="2"/>
      <c r="P2800" s="2"/>
      <c r="Q2800" s="2"/>
    </row>
    <row r="2801" spans="4:17" x14ac:dyDescent="0.25">
      <c r="D2801" s="2"/>
      <c r="E2801" s="310"/>
      <c r="I2801" s="2"/>
      <c r="M2801" s="2"/>
      <c r="P2801" s="2"/>
      <c r="Q2801" s="2"/>
    </row>
    <row r="2802" spans="4:17" x14ac:dyDescent="0.25">
      <c r="D2802" s="2"/>
      <c r="E2802" s="310"/>
      <c r="I2802" s="2"/>
      <c r="M2802" s="2"/>
      <c r="P2802" s="2"/>
      <c r="Q2802" s="2"/>
    </row>
    <row r="2803" spans="4:17" x14ac:dyDescent="0.25">
      <c r="D2803" s="2"/>
      <c r="E2803" s="310"/>
      <c r="I2803" s="2"/>
      <c r="M2803" s="2"/>
      <c r="P2803" s="2"/>
      <c r="Q2803" s="2"/>
    </row>
    <row r="2804" spans="4:17" x14ac:dyDescent="0.25">
      <c r="D2804" s="2"/>
      <c r="E2804" s="310"/>
      <c r="I2804" s="2"/>
      <c r="M2804" s="2"/>
      <c r="P2804" s="2"/>
      <c r="Q2804" s="2"/>
    </row>
    <row r="2805" spans="4:17" x14ac:dyDescent="0.25">
      <c r="D2805" s="2"/>
      <c r="E2805" s="310"/>
      <c r="I2805" s="2"/>
      <c r="M2805" s="2"/>
      <c r="P2805" s="2"/>
      <c r="Q2805" s="2"/>
    </row>
    <row r="2806" spans="4:17" x14ac:dyDescent="0.25">
      <c r="D2806" s="2"/>
      <c r="E2806" s="310"/>
      <c r="I2806" s="2"/>
      <c r="M2806" s="2"/>
      <c r="P2806" s="2"/>
      <c r="Q2806" s="2"/>
    </row>
    <row r="2807" spans="4:17" x14ac:dyDescent="0.25">
      <c r="D2807" s="2"/>
      <c r="E2807" s="310"/>
      <c r="I2807" s="2"/>
      <c r="M2807" s="2"/>
      <c r="P2807" s="2"/>
      <c r="Q2807" s="2"/>
    </row>
    <row r="2808" spans="4:17" x14ac:dyDescent="0.25">
      <c r="D2808" s="2"/>
      <c r="E2808" s="310"/>
      <c r="I2808" s="2"/>
      <c r="M2808" s="2"/>
      <c r="P2808" s="2"/>
      <c r="Q2808" s="2"/>
    </row>
    <row r="2809" spans="4:17" x14ac:dyDescent="0.25">
      <c r="D2809" s="2"/>
      <c r="E2809" s="310"/>
      <c r="I2809" s="2"/>
      <c r="M2809" s="2"/>
      <c r="P2809" s="2"/>
      <c r="Q2809" s="2"/>
    </row>
    <row r="2810" spans="4:17" x14ac:dyDescent="0.25">
      <c r="D2810" s="2"/>
      <c r="E2810" s="310"/>
      <c r="I2810" s="2"/>
      <c r="M2810" s="2"/>
      <c r="P2810" s="2"/>
      <c r="Q2810" s="2"/>
    </row>
    <row r="2811" spans="4:17" x14ac:dyDescent="0.25">
      <c r="D2811" s="2"/>
      <c r="E2811" s="310"/>
      <c r="I2811" s="2"/>
      <c r="M2811" s="2"/>
      <c r="P2811" s="2"/>
      <c r="Q2811" s="2"/>
    </row>
    <row r="2812" spans="4:17" x14ac:dyDescent="0.25">
      <c r="D2812" s="2"/>
      <c r="E2812" s="310"/>
      <c r="I2812" s="2"/>
      <c r="M2812" s="2"/>
      <c r="P2812" s="2"/>
      <c r="Q2812" s="2"/>
    </row>
    <row r="2813" spans="4:17" x14ac:dyDescent="0.25">
      <c r="D2813" s="2"/>
      <c r="E2813" s="310"/>
      <c r="I2813" s="2"/>
      <c r="M2813" s="2"/>
      <c r="P2813" s="2"/>
      <c r="Q2813" s="2"/>
    </row>
    <row r="2814" spans="4:17" x14ac:dyDescent="0.25">
      <c r="D2814" s="2"/>
      <c r="E2814" s="310"/>
      <c r="I2814" s="2"/>
      <c r="M2814" s="2"/>
      <c r="P2814" s="2"/>
      <c r="Q2814" s="2"/>
    </row>
    <row r="2815" spans="4:17" x14ac:dyDescent="0.25">
      <c r="D2815" s="2"/>
      <c r="E2815" s="310"/>
      <c r="I2815" s="2"/>
      <c r="M2815" s="2"/>
      <c r="P2815" s="2"/>
      <c r="Q2815" s="2"/>
    </row>
    <row r="2816" spans="4:17" x14ac:dyDescent="0.25">
      <c r="D2816" s="2"/>
      <c r="E2816" s="310"/>
      <c r="I2816" s="2"/>
      <c r="M2816" s="2"/>
      <c r="P2816" s="2"/>
      <c r="Q2816" s="2"/>
    </row>
    <row r="2817" spans="4:17" x14ac:dyDescent="0.25">
      <c r="D2817" s="2"/>
      <c r="E2817" s="310"/>
      <c r="I2817" s="2"/>
      <c r="M2817" s="2"/>
      <c r="P2817" s="2"/>
      <c r="Q2817" s="2"/>
    </row>
    <row r="2818" spans="4:17" x14ac:dyDescent="0.25">
      <c r="D2818" s="2"/>
      <c r="E2818" s="310"/>
      <c r="I2818" s="2"/>
      <c r="M2818" s="2"/>
      <c r="P2818" s="2"/>
      <c r="Q2818" s="2"/>
    </row>
    <row r="2819" spans="4:17" x14ac:dyDescent="0.25">
      <c r="D2819" s="2"/>
      <c r="E2819" s="310"/>
      <c r="I2819" s="2"/>
      <c r="M2819" s="2"/>
      <c r="P2819" s="2"/>
      <c r="Q2819" s="2"/>
    </row>
    <row r="2820" spans="4:17" x14ac:dyDescent="0.25">
      <c r="D2820" s="2"/>
      <c r="E2820" s="310"/>
      <c r="I2820" s="2"/>
      <c r="M2820" s="2"/>
      <c r="P2820" s="2"/>
      <c r="Q2820" s="2"/>
    </row>
    <row r="2821" spans="4:17" x14ac:dyDescent="0.25">
      <c r="D2821" s="2"/>
      <c r="E2821" s="310"/>
      <c r="I2821" s="2"/>
      <c r="M2821" s="2"/>
      <c r="P2821" s="2"/>
      <c r="Q2821" s="2"/>
    </row>
    <row r="2822" spans="4:17" x14ac:dyDescent="0.25">
      <c r="D2822" s="2"/>
      <c r="E2822" s="310"/>
      <c r="I2822" s="2"/>
      <c r="M2822" s="2"/>
      <c r="P2822" s="2"/>
      <c r="Q2822" s="2"/>
    </row>
    <row r="2823" spans="4:17" x14ac:dyDescent="0.25">
      <c r="D2823" s="2"/>
      <c r="E2823" s="310"/>
      <c r="I2823" s="2"/>
      <c r="M2823" s="2"/>
      <c r="P2823" s="2"/>
      <c r="Q2823" s="2"/>
    </row>
    <row r="2824" spans="4:17" x14ac:dyDescent="0.25">
      <c r="D2824" s="2"/>
      <c r="E2824" s="310"/>
      <c r="I2824" s="2"/>
      <c r="M2824" s="2"/>
      <c r="P2824" s="2"/>
      <c r="Q2824" s="2"/>
    </row>
    <row r="2825" spans="4:17" x14ac:dyDescent="0.25">
      <c r="D2825" s="2"/>
      <c r="E2825" s="310"/>
      <c r="I2825" s="2"/>
      <c r="M2825" s="2"/>
      <c r="P2825" s="2"/>
      <c r="Q2825" s="2"/>
    </row>
    <row r="2826" spans="4:17" x14ac:dyDescent="0.25">
      <c r="D2826" s="2"/>
      <c r="E2826" s="310"/>
      <c r="I2826" s="2"/>
      <c r="M2826" s="2"/>
      <c r="P2826" s="2"/>
      <c r="Q2826" s="2"/>
    </row>
    <row r="2827" spans="4:17" x14ac:dyDescent="0.25">
      <c r="D2827" s="2"/>
      <c r="E2827" s="310"/>
      <c r="I2827" s="2"/>
      <c r="M2827" s="2"/>
      <c r="P2827" s="2"/>
      <c r="Q2827" s="2"/>
    </row>
    <row r="2828" spans="4:17" x14ac:dyDescent="0.25">
      <c r="D2828" s="2"/>
      <c r="E2828" s="310"/>
      <c r="I2828" s="2"/>
      <c r="M2828" s="2"/>
      <c r="P2828" s="2"/>
      <c r="Q2828" s="2"/>
    </row>
    <row r="2829" spans="4:17" x14ac:dyDescent="0.25">
      <c r="D2829" s="2"/>
      <c r="E2829" s="310"/>
      <c r="I2829" s="2"/>
      <c r="M2829" s="2"/>
      <c r="P2829" s="2"/>
      <c r="Q2829" s="2"/>
    </row>
    <row r="2830" spans="4:17" x14ac:dyDescent="0.25">
      <c r="D2830" s="2"/>
      <c r="E2830" s="310"/>
      <c r="I2830" s="2"/>
      <c r="M2830" s="2"/>
      <c r="P2830" s="2"/>
      <c r="Q2830" s="2"/>
    </row>
    <row r="2831" spans="4:17" x14ac:dyDescent="0.25">
      <c r="D2831" s="2"/>
      <c r="E2831" s="310"/>
      <c r="I2831" s="2"/>
      <c r="M2831" s="2"/>
      <c r="P2831" s="2"/>
      <c r="Q2831" s="2"/>
    </row>
    <row r="2832" spans="4:17" x14ac:dyDescent="0.25">
      <c r="D2832" s="2"/>
      <c r="E2832" s="310"/>
      <c r="I2832" s="2"/>
      <c r="M2832" s="2"/>
      <c r="P2832" s="2"/>
      <c r="Q2832" s="2"/>
    </row>
    <row r="2833" spans="4:17" x14ac:dyDescent="0.25">
      <c r="D2833" s="2"/>
      <c r="E2833" s="310"/>
      <c r="I2833" s="2"/>
      <c r="M2833" s="2"/>
      <c r="P2833" s="2"/>
      <c r="Q2833" s="2"/>
    </row>
    <row r="2834" spans="4:17" x14ac:dyDescent="0.25">
      <c r="D2834" s="2"/>
      <c r="E2834" s="310"/>
      <c r="I2834" s="2"/>
      <c r="M2834" s="2"/>
      <c r="P2834" s="2"/>
      <c r="Q2834" s="2"/>
    </row>
    <row r="2835" spans="4:17" x14ac:dyDescent="0.25">
      <c r="D2835" s="2"/>
      <c r="E2835" s="310"/>
      <c r="I2835" s="2"/>
      <c r="M2835" s="2"/>
      <c r="P2835" s="2"/>
      <c r="Q2835" s="2"/>
    </row>
    <row r="2836" spans="4:17" x14ac:dyDescent="0.25">
      <c r="D2836" s="2"/>
      <c r="E2836" s="310"/>
      <c r="I2836" s="2"/>
      <c r="M2836" s="2"/>
      <c r="P2836" s="2"/>
      <c r="Q2836" s="2"/>
    </row>
    <row r="2837" spans="4:17" x14ac:dyDescent="0.25">
      <c r="D2837" s="2"/>
      <c r="E2837" s="310"/>
      <c r="I2837" s="2"/>
      <c r="M2837" s="2"/>
      <c r="P2837" s="2"/>
      <c r="Q2837" s="2"/>
    </row>
    <row r="2838" spans="4:17" x14ac:dyDescent="0.25">
      <c r="D2838" s="2"/>
      <c r="E2838" s="310"/>
      <c r="I2838" s="2"/>
      <c r="M2838" s="2"/>
      <c r="P2838" s="2"/>
      <c r="Q2838" s="2"/>
    </row>
    <row r="2839" spans="4:17" x14ac:dyDescent="0.25">
      <c r="D2839" s="2"/>
      <c r="E2839" s="310"/>
      <c r="I2839" s="2"/>
      <c r="M2839" s="2"/>
      <c r="P2839" s="2"/>
      <c r="Q2839" s="2"/>
    </row>
    <row r="2840" spans="4:17" x14ac:dyDescent="0.25">
      <c r="D2840" s="2"/>
      <c r="E2840" s="310"/>
      <c r="I2840" s="2"/>
      <c r="M2840" s="2"/>
      <c r="P2840" s="2"/>
      <c r="Q2840" s="2"/>
    </row>
    <row r="2841" spans="4:17" x14ac:dyDescent="0.25">
      <c r="D2841" s="2"/>
      <c r="E2841" s="310"/>
      <c r="I2841" s="2"/>
      <c r="M2841" s="2"/>
      <c r="P2841" s="2"/>
      <c r="Q2841" s="2"/>
    </row>
    <row r="2842" spans="4:17" x14ac:dyDescent="0.25">
      <c r="D2842" s="2"/>
      <c r="E2842" s="310"/>
      <c r="I2842" s="2"/>
      <c r="M2842" s="2"/>
      <c r="P2842" s="2"/>
      <c r="Q2842" s="2"/>
    </row>
    <row r="2843" spans="4:17" x14ac:dyDescent="0.25">
      <c r="D2843" s="2"/>
      <c r="E2843" s="310"/>
      <c r="I2843" s="2"/>
      <c r="M2843" s="2"/>
      <c r="P2843" s="2"/>
      <c r="Q2843" s="2"/>
    </row>
    <row r="2844" spans="4:17" x14ac:dyDescent="0.25">
      <c r="D2844" s="2"/>
      <c r="E2844" s="310"/>
      <c r="I2844" s="2"/>
      <c r="M2844" s="2"/>
      <c r="P2844" s="2"/>
      <c r="Q2844" s="2"/>
    </row>
    <row r="2845" spans="4:17" x14ac:dyDescent="0.25">
      <c r="D2845" s="2"/>
      <c r="E2845" s="310"/>
      <c r="I2845" s="2"/>
      <c r="M2845" s="2"/>
      <c r="P2845" s="2"/>
      <c r="Q2845" s="2"/>
    </row>
    <row r="2846" spans="4:17" x14ac:dyDescent="0.25">
      <c r="D2846" s="2"/>
      <c r="E2846" s="310"/>
      <c r="I2846" s="2"/>
      <c r="M2846" s="2"/>
      <c r="P2846" s="2"/>
      <c r="Q2846" s="2"/>
    </row>
    <row r="2847" spans="4:17" x14ac:dyDescent="0.25">
      <c r="D2847" s="2"/>
      <c r="E2847" s="310"/>
      <c r="I2847" s="2"/>
      <c r="M2847" s="2"/>
      <c r="P2847" s="2"/>
      <c r="Q2847" s="2"/>
    </row>
    <row r="2848" spans="4:17" x14ac:dyDescent="0.25">
      <c r="D2848" s="2"/>
      <c r="E2848" s="310"/>
      <c r="I2848" s="2"/>
      <c r="M2848" s="2"/>
      <c r="P2848" s="2"/>
      <c r="Q2848" s="2"/>
    </row>
    <row r="2849" spans="4:17" x14ac:dyDescent="0.25">
      <c r="D2849" s="2"/>
      <c r="E2849" s="310"/>
      <c r="I2849" s="2"/>
      <c r="M2849" s="2"/>
      <c r="P2849" s="2"/>
      <c r="Q2849" s="2"/>
    </row>
    <row r="2850" spans="4:17" x14ac:dyDescent="0.25">
      <c r="D2850" s="2"/>
      <c r="E2850" s="310"/>
      <c r="I2850" s="2"/>
      <c r="M2850" s="2"/>
      <c r="P2850" s="2"/>
      <c r="Q2850" s="2"/>
    </row>
    <row r="2851" spans="4:17" x14ac:dyDescent="0.25">
      <c r="D2851" s="2"/>
      <c r="E2851" s="310"/>
      <c r="I2851" s="2"/>
      <c r="M2851" s="2"/>
      <c r="P2851" s="2"/>
      <c r="Q2851" s="2"/>
    </row>
    <row r="2852" spans="4:17" x14ac:dyDescent="0.25">
      <c r="D2852" s="2"/>
      <c r="E2852" s="310"/>
      <c r="I2852" s="2"/>
      <c r="M2852" s="2"/>
      <c r="P2852" s="2"/>
      <c r="Q2852" s="2"/>
    </row>
    <row r="2853" spans="4:17" x14ac:dyDescent="0.25">
      <c r="D2853" s="2"/>
      <c r="E2853" s="310"/>
      <c r="I2853" s="2"/>
      <c r="M2853" s="2"/>
      <c r="P2853" s="2"/>
      <c r="Q2853" s="2"/>
    </row>
    <row r="2854" spans="4:17" x14ac:dyDescent="0.25">
      <c r="D2854" s="2"/>
      <c r="E2854" s="310"/>
      <c r="I2854" s="2"/>
      <c r="M2854" s="2"/>
      <c r="P2854" s="2"/>
      <c r="Q2854" s="2"/>
    </row>
    <row r="2855" spans="4:17" x14ac:dyDescent="0.25">
      <c r="D2855" s="2"/>
      <c r="E2855" s="310"/>
      <c r="I2855" s="2"/>
      <c r="M2855" s="2"/>
      <c r="P2855" s="2"/>
      <c r="Q2855" s="2"/>
    </row>
    <row r="2856" spans="4:17" x14ac:dyDescent="0.25">
      <c r="D2856" s="2"/>
      <c r="E2856" s="310"/>
      <c r="I2856" s="2"/>
      <c r="M2856" s="2"/>
      <c r="P2856" s="2"/>
      <c r="Q2856" s="2"/>
    </row>
    <row r="2857" spans="4:17" x14ac:dyDescent="0.25">
      <c r="D2857" s="2"/>
      <c r="E2857" s="310"/>
      <c r="I2857" s="2"/>
      <c r="M2857" s="2"/>
      <c r="P2857" s="2"/>
      <c r="Q2857" s="2"/>
    </row>
    <row r="2858" spans="4:17" x14ac:dyDescent="0.25">
      <c r="D2858" s="2"/>
      <c r="E2858" s="310"/>
      <c r="I2858" s="2"/>
      <c r="M2858" s="2"/>
      <c r="P2858" s="2"/>
      <c r="Q2858" s="2"/>
    </row>
    <row r="2859" spans="4:17" x14ac:dyDescent="0.25">
      <c r="D2859" s="2"/>
      <c r="E2859" s="310"/>
      <c r="I2859" s="2"/>
      <c r="M2859" s="2"/>
      <c r="P2859" s="2"/>
      <c r="Q2859" s="2"/>
    </row>
    <row r="2860" spans="4:17" x14ac:dyDescent="0.25">
      <c r="D2860" s="2"/>
      <c r="E2860" s="310"/>
      <c r="I2860" s="2"/>
      <c r="M2860" s="2"/>
      <c r="P2860" s="2"/>
      <c r="Q2860" s="2"/>
    </row>
    <row r="2861" spans="4:17" x14ac:dyDescent="0.25">
      <c r="D2861" s="2"/>
      <c r="E2861" s="310"/>
      <c r="I2861" s="2"/>
      <c r="M2861" s="2"/>
      <c r="P2861" s="2"/>
      <c r="Q2861" s="2"/>
    </row>
    <row r="2862" spans="4:17" x14ac:dyDescent="0.25">
      <c r="D2862" s="2"/>
      <c r="E2862" s="310"/>
      <c r="I2862" s="2"/>
      <c r="M2862" s="2"/>
      <c r="P2862" s="2"/>
      <c r="Q2862" s="2"/>
    </row>
    <row r="2863" spans="4:17" x14ac:dyDescent="0.25">
      <c r="D2863" s="2"/>
      <c r="E2863" s="310"/>
      <c r="I2863" s="2"/>
      <c r="M2863" s="2"/>
      <c r="P2863" s="2"/>
      <c r="Q2863" s="2"/>
    </row>
    <row r="2864" spans="4:17" x14ac:dyDescent="0.25">
      <c r="D2864" s="2"/>
      <c r="E2864" s="310"/>
      <c r="I2864" s="2"/>
      <c r="M2864" s="2"/>
      <c r="P2864" s="2"/>
      <c r="Q2864" s="2"/>
    </row>
    <row r="2865" spans="4:17" x14ac:dyDescent="0.25">
      <c r="D2865" s="2"/>
      <c r="E2865" s="310"/>
      <c r="I2865" s="2"/>
      <c r="M2865" s="2"/>
      <c r="P2865" s="2"/>
      <c r="Q2865" s="2"/>
    </row>
    <row r="2866" spans="4:17" x14ac:dyDescent="0.25">
      <c r="D2866" s="2"/>
      <c r="E2866" s="310"/>
      <c r="I2866" s="2"/>
      <c r="M2866" s="2"/>
      <c r="P2866" s="2"/>
      <c r="Q2866" s="2"/>
    </row>
    <row r="2867" spans="4:17" x14ac:dyDescent="0.25">
      <c r="D2867" s="2"/>
      <c r="E2867" s="310"/>
      <c r="I2867" s="2"/>
      <c r="M2867" s="2"/>
      <c r="P2867" s="2"/>
      <c r="Q2867" s="2"/>
    </row>
    <row r="2868" spans="4:17" x14ac:dyDescent="0.25">
      <c r="D2868" s="2"/>
      <c r="E2868" s="310"/>
      <c r="I2868" s="2"/>
      <c r="M2868" s="2"/>
      <c r="P2868" s="2"/>
      <c r="Q2868" s="2"/>
    </row>
    <row r="2869" spans="4:17" x14ac:dyDescent="0.25">
      <c r="D2869" s="2"/>
      <c r="E2869" s="310"/>
      <c r="I2869" s="2"/>
      <c r="M2869" s="2"/>
      <c r="P2869" s="2"/>
      <c r="Q2869" s="2"/>
    </row>
    <row r="2870" spans="4:17" x14ac:dyDescent="0.25">
      <c r="D2870" s="2"/>
      <c r="E2870" s="310"/>
      <c r="I2870" s="2"/>
      <c r="M2870" s="2"/>
      <c r="P2870" s="2"/>
      <c r="Q2870" s="2"/>
    </row>
    <row r="2871" spans="4:17" x14ac:dyDescent="0.25">
      <c r="D2871" s="2"/>
      <c r="E2871" s="310"/>
      <c r="I2871" s="2"/>
      <c r="M2871" s="2"/>
      <c r="P2871" s="2"/>
      <c r="Q2871" s="2"/>
    </row>
    <row r="2872" spans="4:17" x14ac:dyDescent="0.25">
      <c r="D2872" s="2"/>
      <c r="E2872" s="310"/>
      <c r="I2872" s="2"/>
      <c r="M2872" s="2"/>
      <c r="P2872" s="2"/>
      <c r="Q2872" s="2"/>
    </row>
    <row r="2873" spans="4:17" x14ac:dyDescent="0.25">
      <c r="D2873" s="2"/>
      <c r="E2873" s="310"/>
      <c r="I2873" s="2"/>
      <c r="M2873" s="2"/>
      <c r="P2873" s="2"/>
      <c r="Q2873" s="2"/>
    </row>
    <row r="2874" spans="4:17" x14ac:dyDescent="0.25">
      <c r="D2874" s="2"/>
      <c r="E2874" s="310"/>
      <c r="I2874" s="2"/>
      <c r="M2874" s="2"/>
      <c r="P2874" s="2"/>
      <c r="Q2874" s="2"/>
    </row>
    <row r="2875" spans="4:17" x14ac:dyDescent="0.25">
      <c r="D2875" s="2"/>
      <c r="E2875" s="310"/>
      <c r="I2875" s="2"/>
      <c r="M2875" s="2"/>
      <c r="P2875" s="2"/>
      <c r="Q2875" s="2"/>
    </row>
    <row r="2876" spans="4:17" x14ac:dyDescent="0.25">
      <c r="D2876" s="2"/>
      <c r="E2876" s="310"/>
      <c r="I2876" s="2"/>
      <c r="M2876" s="2"/>
      <c r="P2876" s="2"/>
      <c r="Q2876" s="2"/>
    </row>
    <row r="2877" spans="4:17" x14ac:dyDescent="0.25">
      <c r="D2877" s="2"/>
      <c r="E2877" s="310"/>
      <c r="I2877" s="2"/>
      <c r="M2877" s="2"/>
      <c r="P2877" s="2"/>
      <c r="Q2877" s="2"/>
    </row>
    <row r="2878" spans="4:17" x14ac:dyDescent="0.25">
      <c r="D2878" s="2"/>
      <c r="E2878" s="310"/>
      <c r="I2878" s="2"/>
      <c r="M2878" s="2"/>
      <c r="P2878" s="2"/>
      <c r="Q2878" s="2"/>
    </row>
    <row r="2879" spans="4:17" x14ac:dyDescent="0.25">
      <c r="D2879" s="2"/>
      <c r="E2879" s="310"/>
      <c r="I2879" s="2"/>
      <c r="M2879" s="2"/>
      <c r="P2879" s="2"/>
      <c r="Q2879" s="2"/>
    </row>
    <row r="2880" spans="4:17" x14ac:dyDescent="0.25">
      <c r="D2880" s="2"/>
      <c r="E2880" s="310"/>
      <c r="I2880" s="2"/>
      <c r="M2880" s="2"/>
      <c r="P2880" s="2"/>
      <c r="Q2880" s="2"/>
    </row>
    <row r="2881" spans="4:17" x14ac:dyDescent="0.25">
      <c r="D2881" s="2"/>
      <c r="E2881" s="310"/>
      <c r="I2881" s="2"/>
      <c r="M2881" s="2"/>
      <c r="P2881" s="2"/>
      <c r="Q2881" s="2"/>
    </row>
    <row r="2882" spans="4:17" x14ac:dyDescent="0.25">
      <c r="D2882" s="2"/>
      <c r="E2882" s="310"/>
      <c r="I2882" s="2"/>
      <c r="M2882" s="2"/>
      <c r="P2882" s="2"/>
      <c r="Q2882" s="2"/>
    </row>
    <row r="2883" spans="4:17" x14ac:dyDescent="0.25">
      <c r="D2883" s="2"/>
      <c r="E2883" s="310"/>
      <c r="I2883" s="2"/>
      <c r="M2883" s="2"/>
      <c r="P2883" s="2"/>
      <c r="Q2883" s="2"/>
    </row>
    <row r="2884" spans="4:17" x14ac:dyDescent="0.25">
      <c r="D2884" s="2"/>
      <c r="E2884" s="310"/>
      <c r="I2884" s="2"/>
      <c r="M2884" s="2"/>
      <c r="P2884" s="2"/>
      <c r="Q2884" s="2"/>
    </row>
    <row r="2885" spans="4:17" x14ac:dyDescent="0.25">
      <c r="D2885" s="2"/>
      <c r="E2885" s="310"/>
      <c r="I2885" s="2"/>
      <c r="M2885" s="2"/>
      <c r="P2885" s="2"/>
      <c r="Q2885" s="2"/>
    </row>
    <row r="2886" spans="4:17" x14ac:dyDescent="0.25">
      <c r="D2886" s="2"/>
      <c r="E2886" s="310"/>
      <c r="I2886" s="2"/>
      <c r="M2886" s="2"/>
      <c r="P2886" s="2"/>
      <c r="Q2886" s="2"/>
    </row>
    <row r="2887" spans="4:17" x14ac:dyDescent="0.25">
      <c r="D2887" s="2"/>
      <c r="E2887" s="310"/>
      <c r="I2887" s="2"/>
      <c r="M2887" s="2"/>
      <c r="P2887" s="2"/>
      <c r="Q2887" s="2"/>
    </row>
    <row r="2888" spans="4:17" x14ac:dyDescent="0.25">
      <c r="D2888" s="2"/>
      <c r="E2888" s="310"/>
      <c r="I2888" s="2"/>
      <c r="M2888" s="2"/>
      <c r="P2888" s="2"/>
      <c r="Q2888" s="2"/>
    </row>
    <row r="2889" spans="4:17" x14ac:dyDescent="0.25">
      <c r="D2889" s="2"/>
      <c r="E2889" s="310"/>
      <c r="I2889" s="2"/>
      <c r="M2889" s="2"/>
      <c r="P2889" s="2"/>
      <c r="Q2889" s="2"/>
    </row>
    <row r="2890" spans="4:17" x14ac:dyDescent="0.25">
      <c r="D2890" s="2"/>
      <c r="E2890" s="310"/>
      <c r="I2890" s="2"/>
      <c r="M2890" s="2"/>
      <c r="P2890" s="2"/>
      <c r="Q2890" s="2"/>
    </row>
    <row r="2891" spans="4:17" x14ac:dyDescent="0.25">
      <c r="D2891" s="2"/>
      <c r="E2891" s="310"/>
      <c r="I2891" s="2"/>
      <c r="M2891" s="2"/>
      <c r="P2891" s="2"/>
      <c r="Q2891" s="2"/>
    </row>
    <row r="2892" spans="4:17" x14ac:dyDescent="0.25">
      <c r="D2892" s="2"/>
      <c r="E2892" s="310"/>
      <c r="I2892" s="2"/>
      <c r="M2892" s="2"/>
      <c r="P2892" s="2"/>
      <c r="Q2892" s="2"/>
    </row>
    <row r="2893" spans="4:17" x14ac:dyDescent="0.25">
      <c r="D2893" s="2"/>
      <c r="E2893" s="310"/>
      <c r="I2893" s="2"/>
      <c r="M2893" s="2"/>
      <c r="P2893" s="2"/>
      <c r="Q2893" s="2"/>
    </row>
    <row r="2894" spans="4:17" x14ac:dyDescent="0.25">
      <c r="D2894" s="2"/>
      <c r="E2894" s="310"/>
      <c r="I2894" s="2"/>
      <c r="M2894" s="2"/>
      <c r="P2894" s="2"/>
      <c r="Q2894" s="2"/>
    </row>
    <row r="2895" spans="4:17" x14ac:dyDescent="0.25">
      <c r="D2895" s="2"/>
      <c r="E2895" s="310"/>
      <c r="I2895" s="2"/>
      <c r="M2895" s="2"/>
      <c r="P2895" s="2"/>
      <c r="Q2895" s="2"/>
    </row>
    <row r="2896" spans="4:17" x14ac:dyDescent="0.25">
      <c r="D2896" s="2"/>
      <c r="E2896" s="310"/>
      <c r="I2896" s="2"/>
      <c r="M2896" s="2"/>
      <c r="P2896" s="2"/>
      <c r="Q2896" s="2"/>
    </row>
    <row r="2897" spans="4:17" x14ac:dyDescent="0.25">
      <c r="D2897" s="2"/>
      <c r="E2897" s="310"/>
      <c r="I2897" s="2"/>
      <c r="M2897" s="2"/>
      <c r="P2897" s="2"/>
      <c r="Q2897" s="2"/>
    </row>
    <row r="2898" spans="4:17" x14ac:dyDescent="0.25">
      <c r="D2898" s="2"/>
      <c r="E2898" s="310"/>
      <c r="I2898" s="2"/>
      <c r="M2898" s="2"/>
      <c r="P2898" s="2"/>
      <c r="Q2898" s="2"/>
    </row>
    <row r="2899" spans="4:17" x14ac:dyDescent="0.25">
      <c r="D2899" s="2"/>
      <c r="E2899" s="310"/>
      <c r="I2899" s="2"/>
      <c r="M2899" s="2"/>
      <c r="P2899" s="2"/>
      <c r="Q2899" s="2"/>
    </row>
    <row r="2900" spans="4:17" x14ac:dyDescent="0.25">
      <c r="D2900" s="2"/>
      <c r="E2900" s="310"/>
      <c r="I2900" s="2"/>
      <c r="M2900" s="2"/>
      <c r="P2900" s="2"/>
      <c r="Q2900" s="2"/>
    </row>
    <row r="2901" spans="4:17" x14ac:dyDescent="0.25">
      <c r="D2901" s="2"/>
      <c r="E2901" s="310"/>
      <c r="I2901" s="2"/>
      <c r="M2901" s="2"/>
      <c r="P2901" s="2"/>
      <c r="Q2901" s="2"/>
    </row>
    <row r="2902" spans="4:17" x14ac:dyDescent="0.25">
      <c r="D2902" s="2"/>
      <c r="E2902" s="310"/>
      <c r="I2902" s="2"/>
      <c r="M2902" s="2"/>
      <c r="P2902" s="2"/>
      <c r="Q2902" s="2"/>
    </row>
    <row r="2903" spans="4:17" x14ac:dyDescent="0.25">
      <c r="D2903" s="2"/>
      <c r="E2903" s="310"/>
      <c r="I2903" s="2"/>
      <c r="M2903" s="2"/>
      <c r="P2903" s="2"/>
      <c r="Q2903" s="2"/>
    </row>
    <row r="2904" spans="4:17" x14ac:dyDescent="0.25">
      <c r="D2904" s="2"/>
      <c r="E2904" s="310"/>
      <c r="I2904" s="2"/>
      <c r="M2904" s="2"/>
      <c r="P2904" s="2"/>
      <c r="Q2904" s="2"/>
    </row>
    <row r="2905" spans="4:17" x14ac:dyDescent="0.25">
      <c r="D2905" s="2"/>
      <c r="E2905" s="310"/>
      <c r="I2905" s="2"/>
      <c r="M2905" s="2"/>
      <c r="P2905" s="2"/>
      <c r="Q2905" s="2"/>
    </row>
    <row r="2906" spans="4:17" x14ac:dyDescent="0.25">
      <c r="D2906" s="2"/>
      <c r="E2906" s="310"/>
      <c r="I2906" s="2"/>
      <c r="M2906" s="2"/>
      <c r="P2906" s="2"/>
      <c r="Q2906" s="2"/>
    </row>
    <row r="2907" spans="4:17" x14ac:dyDescent="0.25">
      <c r="D2907" s="2"/>
      <c r="E2907" s="310"/>
      <c r="I2907" s="2"/>
      <c r="M2907" s="2"/>
      <c r="P2907" s="2"/>
      <c r="Q2907" s="2"/>
    </row>
    <row r="2908" spans="4:17" x14ac:dyDescent="0.25">
      <c r="D2908" s="2"/>
      <c r="E2908" s="310"/>
      <c r="I2908" s="2"/>
      <c r="M2908" s="2"/>
      <c r="P2908" s="2"/>
      <c r="Q2908" s="2"/>
    </row>
    <row r="2909" spans="4:17" x14ac:dyDescent="0.25">
      <c r="D2909" s="2"/>
      <c r="E2909" s="310"/>
      <c r="I2909" s="2"/>
      <c r="M2909" s="2"/>
      <c r="P2909" s="2"/>
      <c r="Q2909" s="2"/>
    </row>
    <row r="2910" spans="4:17" x14ac:dyDescent="0.25">
      <c r="D2910" s="2"/>
      <c r="E2910" s="310"/>
      <c r="I2910" s="2"/>
      <c r="M2910" s="2"/>
      <c r="P2910" s="2"/>
      <c r="Q2910" s="2"/>
    </row>
    <row r="2911" spans="4:17" x14ac:dyDescent="0.25">
      <c r="D2911" s="2"/>
      <c r="E2911" s="310"/>
      <c r="I2911" s="2"/>
      <c r="M2911" s="2"/>
      <c r="P2911" s="2"/>
      <c r="Q2911" s="2"/>
    </row>
    <row r="2912" spans="4:17" x14ac:dyDescent="0.25">
      <c r="D2912" s="2"/>
      <c r="E2912" s="310"/>
      <c r="I2912" s="2"/>
      <c r="M2912" s="2"/>
      <c r="P2912" s="2"/>
      <c r="Q2912" s="2"/>
    </row>
    <row r="2913" spans="4:17" x14ac:dyDescent="0.25">
      <c r="D2913" s="2"/>
      <c r="E2913" s="310"/>
      <c r="I2913" s="2"/>
      <c r="M2913" s="2"/>
      <c r="P2913" s="2"/>
      <c r="Q2913" s="2"/>
    </row>
    <row r="2914" spans="4:17" x14ac:dyDescent="0.25">
      <c r="D2914" s="2"/>
      <c r="E2914" s="310"/>
      <c r="I2914" s="2"/>
      <c r="M2914" s="2"/>
      <c r="P2914" s="2"/>
      <c r="Q2914" s="2"/>
    </row>
    <row r="2915" spans="4:17" x14ac:dyDescent="0.25">
      <c r="D2915" s="2"/>
      <c r="E2915" s="310"/>
      <c r="I2915" s="2"/>
      <c r="M2915" s="2"/>
      <c r="P2915" s="2"/>
      <c r="Q2915" s="2"/>
    </row>
    <row r="2918" spans="4:17" x14ac:dyDescent="0.25">
      <c r="D2918" s="2"/>
      <c r="E2918" s="310"/>
      <c r="I2918" s="2"/>
      <c r="M2918" s="2"/>
      <c r="P2918" s="2"/>
      <c r="Q2918" s="2"/>
    </row>
    <row r="2919" spans="4:17" x14ac:dyDescent="0.25">
      <c r="D2919" s="2"/>
      <c r="E2919" s="310"/>
      <c r="I2919" s="2"/>
      <c r="M2919" s="2"/>
      <c r="P2919" s="2"/>
      <c r="Q2919" s="2"/>
    </row>
    <row r="2920" spans="4:17" x14ac:dyDescent="0.25">
      <c r="D2920" s="2"/>
      <c r="E2920" s="310"/>
      <c r="I2920" s="2"/>
      <c r="M2920" s="2"/>
      <c r="P2920" s="2"/>
      <c r="Q2920" s="2"/>
    </row>
    <row r="2921" spans="4:17" x14ac:dyDescent="0.25">
      <c r="D2921" s="2"/>
      <c r="E2921" s="310"/>
      <c r="I2921" s="2"/>
      <c r="M2921" s="2"/>
      <c r="P2921" s="2"/>
      <c r="Q2921" s="2"/>
    </row>
    <row r="2922" spans="4:17" x14ac:dyDescent="0.25">
      <c r="D2922" s="2"/>
      <c r="E2922" s="310"/>
      <c r="I2922" s="2"/>
      <c r="M2922" s="2"/>
      <c r="P2922" s="2"/>
      <c r="Q2922" s="2"/>
    </row>
    <row r="2923" spans="4:17" x14ac:dyDescent="0.25">
      <c r="D2923" s="2"/>
      <c r="E2923" s="310"/>
      <c r="I2923" s="2"/>
      <c r="M2923" s="2"/>
      <c r="P2923" s="2"/>
      <c r="Q2923" s="2"/>
    </row>
    <row r="2924" spans="4:17" x14ac:dyDescent="0.25">
      <c r="D2924" s="2"/>
      <c r="E2924" s="310"/>
      <c r="I2924" s="2"/>
      <c r="M2924" s="2"/>
      <c r="P2924" s="2"/>
      <c r="Q2924" s="2"/>
    </row>
    <row r="2927" spans="4:17" x14ac:dyDescent="0.25">
      <c r="D2927" s="2"/>
      <c r="E2927" s="310"/>
      <c r="I2927" s="2"/>
      <c r="M2927" s="2"/>
      <c r="P2927" s="2"/>
      <c r="Q2927" s="2"/>
    </row>
    <row r="2928" spans="4:17" x14ac:dyDescent="0.25">
      <c r="D2928" s="2"/>
      <c r="E2928" s="310"/>
      <c r="I2928" s="2"/>
      <c r="M2928" s="2"/>
      <c r="P2928" s="2"/>
      <c r="Q2928" s="2"/>
    </row>
    <row r="2930" spans="4:17" x14ac:dyDescent="0.25">
      <c r="D2930" s="2"/>
      <c r="E2930" s="310"/>
      <c r="I2930" s="2"/>
      <c r="M2930" s="2"/>
      <c r="P2930" s="2"/>
      <c r="Q2930" s="2"/>
    </row>
    <row r="2931" spans="4:17" x14ac:dyDescent="0.25">
      <c r="D2931" s="2"/>
      <c r="E2931" s="310"/>
      <c r="I2931" s="2"/>
      <c r="M2931" s="2"/>
      <c r="P2931" s="2"/>
      <c r="Q2931" s="2"/>
    </row>
    <row r="2932" spans="4:17" x14ac:dyDescent="0.25">
      <c r="D2932" s="2"/>
      <c r="E2932" s="310"/>
      <c r="I2932" s="2"/>
      <c r="M2932" s="2"/>
      <c r="P2932" s="2"/>
      <c r="Q2932" s="2"/>
    </row>
    <row r="2933" spans="4:17" x14ac:dyDescent="0.25">
      <c r="D2933" s="2"/>
      <c r="E2933" s="310"/>
      <c r="I2933" s="2"/>
      <c r="M2933" s="2"/>
      <c r="P2933" s="2"/>
      <c r="Q2933" s="2"/>
    </row>
    <row r="2934" spans="4:17" x14ac:dyDescent="0.25">
      <c r="D2934" s="2"/>
      <c r="E2934" s="310"/>
      <c r="I2934" s="2"/>
      <c r="M2934" s="2"/>
      <c r="P2934" s="2"/>
      <c r="Q2934" s="2"/>
    </row>
    <row r="2935" spans="4:17" x14ac:dyDescent="0.25">
      <c r="D2935" s="2"/>
      <c r="E2935" s="310"/>
      <c r="I2935" s="2"/>
      <c r="M2935" s="2"/>
      <c r="P2935" s="2"/>
      <c r="Q2935" s="2"/>
    </row>
    <row r="2936" spans="4:17" x14ac:dyDescent="0.25">
      <c r="D2936" s="2"/>
      <c r="E2936" s="310"/>
      <c r="I2936" s="2"/>
      <c r="M2936" s="2"/>
      <c r="P2936" s="2"/>
      <c r="Q2936" s="2"/>
    </row>
    <row r="2937" spans="4:17" x14ac:dyDescent="0.25">
      <c r="D2937" s="2"/>
      <c r="E2937" s="310"/>
      <c r="I2937" s="2"/>
      <c r="M2937" s="2"/>
      <c r="P2937" s="2"/>
      <c r="Q2937" s="2"/>
    </row>
    <row r="2938" spans="4:17" x14ac:dyDescent="0.25">
      <c r="D2938" s="2"/>
      <c r="E2938" s="310"/>
      <c r="I2938" s="2"/>
      <c r="M2938" s="2"/>
      <c r="P2938" s="2"/>
      <c r="Q2938" s="2"/>
    </row>
    <row r="2939" spans="4:17" x14ac:dyDescent="0.25">
      <c r="D2939" s="2"/>
      <c r="E2939" s="310"/>
      <c r="I2939" s="2"/>
      <c r="M2939" s="2"/>
      <c r="P2939" s="2"/>
      <c r="Q2939" s="2"/>
    </row>
    <row r="2940" spans="4:17" x14ac:dyDescent="0.25">
      <c r="D2940" s="2"/>
      <c r="E2940" s="310"/>
      <c r="I2940" s="2"/>
      <c r="M2940" s="2"/>
      <c r="P2940" s="2"/>
      <c r="Q2940" s="2"/>
    </row>
    <row r="2941" spans="4:17" x14ac:dyDescent="0.25">
      <c r="D2941" s="2"/>
      <c r="E2941" s="310"/>
      <c r="I2941" s="2"/>
      <c r="M2941" s="2"/>
      <c r="P2941" s="2"/>
      <c r="Q2941" s="2"/>
    </row>
    <row r="2942" spans="4:17" x14ac:dyDescent="0.25">
      <c r="D2942" s="2"/>
      <c r="E2942" s="310"/>
      <c r="I2942" s="2"/>
      <c r="M2942" s="2"/>
      <c r="P2942" s="2"/>
      <c r="Q2942" s="2"/>
    </row>
    <row r="2943" spans="4:17" x14ac:dyDescent="0.25">
      <c r="D2943" s="2"/>
      <c r="E2943" s="310"/>
      <c r="I2943" s="2"/>
      <c r="M2943" s="2"/>
      <c r="P2943" s="2"/>
      <c r="Q2943" s="2"/>
    </row>
    <row r="2944" spans="4:17" x14ac:dyDescent="0.25">
      <c r="D2944" s="2"/>
      <c r="E2944" s="310"/>
      <c r="I2944" s="2"/>
      <c r="M2944" s="2"/>
      <c r="P2944" s="2"/>
      <c r="Q2944" s="2"/>
    </row>
    <row r="2945" spans="4:17" x14ac:dyDescent="0.25">
      <c r="D2945" s="2"/>
      <c r="E2945" s="310"/>
      <c r="I2945" s="2"/>
      <c r="M2945" s="2"/>
      <c r="P2945" s="2"/>
      <c r="Q2945" s="2"/>
    </row>
    <row r="2946" spans="4:17" x14ac:dyDescent="0.25">
      <c r="D2946" s="2"/>
      <c r="E2946" s="310"/>
      <c r="I2946" s="2"/>
      <c r="M2946" s="2"/>
      <c r="P2946" s="2"/>
      <c r="Q2946" s="2"/>
    </row>
    <row r="2947" spans="4:17" x14ac:dyDescent="0.25">
      <c r="D2947" s="2"/>
      <c r="E2947" s="310"/>
      <c r="I2947" s="2"/>
      <c r="M2947" s="2"/>
      <c r="P2947" s="2"/>
      <c r="Q2947" s="2"/>
    </row>
    <row r="2948" spans="4:17" x14ac:dyDescent="0.25">
      <c r="D2948" s="2"/>
      <c r="E2948" s="310"/>
      <c r="I2948" s="2"/>
      <c r="M2948" s="2"/>
      <c r="P2948" s="2"/>
      <c r="Q2948" s="2"/>
    </row>
    <row r="2949" spans="4:17" x14ac:dyDescent="0.25">
      <c r="D2949" s="2"/>
      <c r="E2949" s="310"/>
      <c r="I2949" s="2"/>
      <c r="M2949" s="2"/>
      <c r="P2949" s="2"/>
      <c r="Q2949" s="2"/>
    </row>
    <row r="2950" spans="4:17" x14ac:dyDescent="0.25">
      <c r="D2950" s="2"/>
      <c r="E2950" s="310"/>
      <c r="I2950" s="2"/>
      <c r="M2950" s="2"/>
      <c r="P2950" s="2"/>
      <c r="Q2950" s="2"/>
    </row>
    <row r="2951" spans="4:17" x14ac:dyDescent="0.25">
      <c r="D2951" s="2"/>
      <c r="E2951" s="310"/>
      <c r="I2951" s="2"/>
      <c r="M2951" s="2"/>
      <c r="P2951" s="2"/>
      <c r="Q2951" s="2"/>
    </row>
    <row r="2952" spans="4:17" x14ac:dyDescent="0.25">
      <c r="D2952" s="2"/>
      <c r="E2952" s="310"/>
      <c r="I2952" s="2"/>
      <c r="M2952" s="2"/>
      <c r="P2952" s="2"/>
      <c r="Q2952" s="2"/>
    </row>
    <row r="2953" spans="4:17" x14ac:dyDescent="0.25">
      <c r="D2953" s="2"/>
      <c r="E2953" s="310"/>
      <c r="I2953" s="2"/>
      <c r="M2953" s="2"/>
      <c r="P2953" s="2"/>
      <c r="Q2953" s="2"/>
    </row>
    <row r="2954" spans="4:17" x14ac:dyDescent="0.25">
      <c r="D2954" s="2"/>
      <c r="E2954" s="310"/>
      <c r="I2954" s="2"/>
      <c r="M2954" s="2"/>
      <c r="P2954" s="2"/>
      <c r="Q2954" s="2"/>
    </row>
    <row r="2955" spans="4:17" x14ac:dyDescent="0.25">
      <c r="D2955" s="2"/>
      <c r="E2955" s="310"/>
      <c r="I2955" s="2"/>
      <c r="M2955" s="2"/>
      <c r="P2955" s="2"/>
      <c r="Q2955" s="2"/>
    </row>
    <row r="2956" spans="4:17" x14ac:dyDescent="0.25">
      <c r="D2956" s="2"/>
      <c r="E2956" s="310"/>
      <c r="I2956" s="2"/>
      <c r="M2956" s="2"/>
      <c r="P2956" s="2"/>
      <c r="Q2956" s="2"/>
    </row>
    <row r="2957" spans="4:17" x14ac:dyDescent="0.25">
      <c r="D2957" s="2"/>
      <c r="E2957" s="310"/>
      <c r="I2957" s="2"/>
      <c r="M2957" s="2"/>
      <c r="P2957" s="2"/>
      <c r="Q2957" s="2"/>
    </row>
    <row r="2958" spans="4:17" x14ac:dyDescent="0.25">
      <c r="D2958" s="2"/>
      <c r="E2958" s="310"/>
      <c r="I2958" s="2"/>
      <c r="M2958" s="2"/>
      <c r="P2958" s="2"/>
      <c r="Q2958" s="2"/>
    </row>
    <row r="2959" spans="4:17" x14ac:dyDescent="0.25">
      <c r="D2959" s="2"/>
      <c r="E2959" s="310"/>
      <c r="I2959" s="2"/>
      <c r="M2959" s="2"/>
      <c r="P2959" s="2"/>
      <c r="Q2959" s="2"/>
    </row>
    <row r="2960" spans="4:17" x14ac:dyDescent="0.25">
      <c r="D2960" s="2"/>
      <c r="E2960" s="310"/>
      <c r="I2960" s="2"/>
      <c r="M2960" s="2"/>
      <c r="P2960" s="2"/>
      <c r="Q2960" s="2"/>
    </row>
    <row r="2961" spans="4:17" x14ac:dyDescent="0.25">
      <c r="D2961" s="2"/>
      <c r="E2961" s="310"/>
      <c r="I2961" s="2"/>
      <c r="M2961" s="2"/>
      <c r="P2961" s="2"/>
      <c r="Q2961" s="2"/>
    </row>
    <row r="2962" spans="4:17" x14ac:dyDescent="0.25">
      <c r="D2962" s="2"/>
      <c r="E2962" s="310"/>
      <c r="I2962" s="2"/>
      <c r="M2962" s="2"/>
      <c r="P2962" s="2"/>
      <c r="Q2962" s="2"/>
    </row>
    <row r="2963" spans="4:17" x14ac:dyDescent="0.25">
      <c r="D2963" s="2"/>
      <c r="E2963" s="310"/>
      <c r="I2963" s="2"/>
      <c r="M2963" s="2"/>
      <c r="P2963" s="2"/>
      <c r="Q2963" s="2"/>
    </row>
    <row r="2964" spans="4:17" x14ac:dyDescent="0.25">
      <c r="D2964" s="2"/>
      <c r="E2964" s="310"/>
      <c r="I2964" s="2"/>
      <c r="M2964" s="2"/>
      <c r="P2964" s="2"/>
      <c r="Q2964" s="2"/>
    </row>
    <row r="2965" spans="4:17" x14ac:dyDescent="0.25">
      <c r="D2965" s="2"/>
      <c r="E2965" s="310"/>
      <c r="I2965" s="2"/>
      <c r="M2965" s="2"/>
      <c r="P2965" s="2"/>
      <c r="Q2965" s="2"/>
    </row>
    <row r="2967" spans="4:17" x14ac:dyDescent="0.25">
      <c r="D2967" s="2"/>
      <c r="E2967" s="310"/>
      <c r="I2967" s="2"/>
      <c r="M2967" s="2"/>
      <c r="P2967" s="2"/>
      <c r="Q2967" s="2"/>
    </row>
    <row r="2968" spans="4:17" x14ac:dyDescent="0.25">
      <c r="D2968" s="2"/>
      <c r="E2968" s="310"/>
      <c r="I2968" s="2"/>
      <c r="M2968" s="2"/>
      <c r="P2968" s="2"/>
      <c r="Q2968" s="2"/>
    </row>
    <row r="2973" spans="4:17" x14ac:dyDescent="0.25">
      <c r="D2973" s="2"/>
      <c r="E2973" s="310"/>
      <c r="I2973" s="2"/>
      <c r="M2973" s="2"/>
      <c r="P2973" s="2"/>
      <c r="Q2973" s="2"/>
    </row>
    <row r="2974" spans="4:17" x14ac:dyDescent="0.25">
      <c r="D2974" s="2"/>
      <c r="E2974" s="310"/>
      <c r="I2974" s="2"/>
      <c r="M2974" s="2"/>
      <c r="P2974" s="2"/>
      <c r="Q2974" s="2"/>
    </row>
    <row r="2976" spans="4:17" x14ac:dyDescent="0.25">
      <c r="D2976" s="2"/>
      <c r="E2976" s="310"/>
      <c r="I2976" s="2"/>
      <c r="M2976" s="2"/>
      <c r="P2976" s="2"/>
      <c r="Q2976" s="2"/>
    </row>
    <row r="2977" spans="4:17" x14ac:dyDescent="0.25">
      <c r="D2977" s="2"/>
      <c r="E2977" s="310"/>
      <c r="I2977" s="2"/>
      <c r="M2977" s="2"/>
      <c r="P2977" s="2"/>
      <c r="Q2977" s="2"/>
    </row>
    <row r="2978" spans="4:17" x14ac:dyDescent="0.25">
      <c r="D2978" s="2"/>
      <c r="E2978" s="310"/>
      <c r="I2978" s="2"/>
      <c r="M2978" s="2"/>
      <c r="P2978" s="2"/>
      <c r="Q2978" s="2"/>
    </row>
    <row r="2979" spans="4:17" x14ac:dyDescent="0.25">
      <c r="D2979" s="2"/>
      <c r="E2979" s="310"/>
      <c r="I2979" s="2"/>
      <c r="M2979" s="2"/>
      <c r="P2979" s="2"/>
      <c r="Q2979" s="2"/>
    </row>
    <row r="2980" spans="4:17" x14ac:dyDescent="0.25">
      <c r="D2980" s="2"/>
      <c r="E2980" s="310"/>
      <c r="I2980" s="2"/>
      <c r="M2980" s="2"/>
      <c r="P2980" s="2"/>
      <c r="Q2980" s="2"/>
    </row>
    <row r="2981" spans="4:17" x14ac:dyDescent="0.25">
      <c r="D2981" s="2"/>
      <c r="E2981" s="310"/>
      <c r="I2981" s="2"/>
      <c r="M2981" s="2"/>
      <c r="P2981" s="2"/>
      <c r="Q2981" s="2"/>
    </row>
    <row r="2982" spans="4:17" x14ac:dyDescent="0.25">
      <c r="D2982" s="2"/>
      <c r="E2982" s="310"/>
      <c r="I2982" s="2"/>
      <c r="M2982" s="2"/>
      <c r="P2982" s="2"/>
      <c r="Q2982" s="2"/>
    </row>
    <row r="2983" spans="4:17" x14ac:dyDescent="0.25">
      <c r="D2983" s="2"/>
      <c r="E2983" s="310"/>
      <c r="I2983" s="2"/>
      <c r="M2983" s="2"/>
      <c r="P2983" s="2"/>
      <c r="Q2983" s="2"/>
    </row>
    <row r="2984" spans="4:17" x14ac:dyDescent="0.25">
      <c r="D2984" s="2"/>
      <c r="E2984" s="310"/>
      <c r="I2984" s="2"/>
      <c r="M2984" s="2"/>
      <c r="P2984" s="2"/>
      <c r="Q2984" s="2"/>
    </row>
    <row r="2985" spans="4:17" x14ac:dyDescent="0.25">
      <c r="D2985" s="2"/>
      <c r="E2985" s="310"/>
      <c r="I2985" s="2"/>
      <c r="M2985" s="2"/>
      <c r="P2985" s="2"/>
      <c r="Q2985" s="2"/>
    </row>
    <row r="2986" spans="4:17" x14ac:dyDescent="0.25">
      <c r="D2986" s="2"/>
      <c r="E2986" s="310"/>
      <c r="I2986" s="2"/>
      <c r="M2986" s="2"/>
      <c r="P2986" s="2"/>
      <c r="Q2986" s="2"/>
    </row>
    <row r="2987" spans="4:17" x14ac:dyDescent="0.25">
      <c r="D2987" s="2"/>
      <c r="E2987" s="310"/>
      <c r="I2987" s="2"/>
      <c r="M2987" s="2"/>
      <c r="P2987" s="2"/>
      <c r="Q2987" s="2"/>
    </row>
    <row r="2988" spans="4:17" x14ac:dyDescent="0.25">
      <c r="D2988" s="2"/>
      <c r="E2988" s="310"/>
      <c r="I2988" s="2"/>
      <c r="M2988" s="2"/>
      <c r="P2988" s="2"/>
      <c r="Q2988" s="2"/>
    </row>
    <row r="2989" spans="4:17" x14ac:dyDescent="0.25">
      <c r="D2989" s="2"/>
      <c r="E2989" s="310"/>
      <c r="I2989" s="2"/>
      <c r="M2989" s="2"/>
      <c r="P2989" s="2"/>
      <c r="Q2989" s="2"/>
    </row>
    <row r="2990" spans="4:17" x14ac:dyDescent="0.25">
      <c r="D2990" s="2"/>
      <c r="E2990" s="310"/>
      <c r="I2990" s="2"/>
      <c r="M2990" s="2"/>
      <c r="P2990" s="2"/>
      <c r="Q2990" s="2"/>
    </row>
    <row r="2991" spans="4:17" x14ac:dyDescent="0.25">
      <c r="D2991" s="2"/>
      <c r="E2991" s="310"/>
      <c r="I2991" s="2"/>
      <c r="M2991" s="2"/>
      <c r="P2991" s="2"/>
      <c r="Q2991" s="2"/>
    </row>
    <row r="2992" spans="4:17" x14ac:dyDescent="0.25">
      <c r="D2992" s="2"/>
      <c r="E2992" s="310"/>
      <c r="I2992" s="2"/>
      <c r="M2992" s="2"/>
      <c r="P2992" s="2"/>
      <c r="Q2992" s="2"/>
    </row>
    <row r="2993" spans="4:17" x14ac:dyDescent="0.25">
      <c r="D2993" s="2"/>
      <c r="E2993" s="310"/>
      <c r="I2993" s="2"/>
      <c r="M2993" s="2"/>
      <c r="P2993" s="2"/>
      <c r="Q2993" s="2"/>
    </row>
    <row r="2994" spans="4:17" x14ac:dyDescent="0.25">
      <c r="D2994" s="2"/>
      <c r="E2994" s="310"/>
      <c r="I2994" s="2"/>
      <c r="M2994" s="2"/>
      <c r="P2994" s="2"/>
      <c r="Q2994" s="2"/>
    </row>
    <row r="2995" spans="4:17" x14ac:dyDescent="0.25">
      <c r="D2995" s="2"/>
      <c r="E2995" s="310"/>
      <c r="I2995" s="2"/>
      <c r="M2995" s="2"/>
      <c r="P2995" s="2"/>
      <c r="Q2995" s="2"/>
    </row>
    <row r="2996" spans="4:17" x14ac:dyDescent="0.25">
      <c r="D2996" s="2"/>
      <c r="E2996" s="310"/>
      <c r="I2996" s="2"/>
      <c r="M2996" s="2"/>
      <c r="P2996" s="2"/>
      <c r="Q2996" s="2"/>
    </row>
    <row r="2997" spans="4:17" x14ac:dyDescent="0.25">
      <c r="D2997" s="2"/>
      <c r="E2997" s="310"/>
      <c r="I2997" s="2"/>
      <c r="M2997" s="2"/>
      <c r="P2997" s="2"/>
      <c r="Q2997" s="2"/>
    </row>
    <row r="2998" spans="4:17" x14ac:dyDescent="0.25">
      <c r="D2998" s="2"/>
      <c r="E2998" s="310"/>
      <c r="I2998" s="2"/>
      <c r="M2998" s="2"/>
      <c r="P2998" s="2"/>
      <c r="Q2998" s="2"/>
    </row>
    <row r="2999" spans="4:17" x14ac:dyDescent="0.25">
      <c r="D2999" s="2"/>
      <c r="E2999" s="310"/>
      <c r="I2999" s="2"/>
      <c r="M2999" s="2"/>
      <c r="P2999" s="2"/>
      <c r="Q2999" s="2"/>
    </row>
    <row r="3000" spans="4:17" x14ac:dyDescent="0.25">
      <c r="D3000" s="2"/>
      <c r="E3000" s="310"/>
      <c r="I3000" s="2"/>
      <c r="M3000" s="2"/>
      <c r="P3000" s="2"/>
      <c r="Q3000" s="2"/>
    </row>
    <row r="3001" spans="4:17" x14ac:dyDescent="0.25">
      <c r="D3001" s="2"/>
      <c r="E3001" s="310"/>
      <c r="I3001" s="2"/>
      <c r="M3001" s="2"/>
      <c r="P3001" s="2"/>
      <c r="Q3001" s="2"/>
    </row>
    <row r="3002" spans="4:17" x14ac:dyDescent="0.25">
      <c r="D3002" s="2"/>
      <c r="E3002" s="310"/>
      <c r="I3002" s="2"/>
      <c r="M3002" s="2"/>
      <c r="P3002" s="2"/>
      <c r="Q3002" s="2"/>
    </row>
    <row r="3003" spans="4:17" x14ac:dyDescent="0.25">
      <c r="D3003" s="2"/>
      <c r="E3003" s="310"/>
      <c r="I3003" s="2"/>
      <c r="M3003" s="2"/>
      <c r="P3003" s="2"/>
      <c r="Q3003" s="2"/>
    </row>
    <row r="3004" spans="4:17" x14ac:dyDescent="0.25">
      <c r="D3004" s="2"/>
      <c r="E3004" s="310"/>
      <c r="I3004" s="2"/>
      <c r="M3004" s="2"/>
      <c r="P3004" s="2"/>
      <c r="Q3004" s="2"/>
    </row>
    <row r="3005" spans="4:17" x14ac:dyDescent="0.25">
      <c r="D3005" s="2"/>
      <c r="E3005" s="310"/>
      <c r="I3005" s="2"/>
      <c r="M3005" s="2"/>
      <c r="P3005" s="2"/>
      <c r="Q3005" s="2"/>
    </row>
    <row r="3006" spans="4:17" x14ac:dyDescent="0.25">
      <c r="D3006" s="2"/>
      <c r="E3006" s="310"/>
      <c r="I3006" s="2"/>
      <c r="M3006" s="2"/>
      <c r="P3006" s="2"/>
      <c r="Q3006" s="2"/>
    </row>
    <row r="3007" spans="4:17" x14ac:dyDescent="0.25">
      <c r="D3007" s="2"/>
      <c r="E3007" s="310"/>
      <c r="I3007" s="2"/>
      <c r="M3007" s="2"/>
      <c r="P3007" s="2"/>
      <c r="Q3007" s="2"/>
    </row>
    <row r="3008" spans="4:17" x14ac:dyDescent="0.25">
      <c r="D3008" s="2"/>
      <c r="E3008" s="310"/>
      <c r="I3008" s="2"/>
      <c r="M3008" s="2"/>
      <c r="P3008" s="2"/>
      <c r="Q3008" s="2"/>
    </row>
    <row r="3009" spans="4:17" x14ac:dyDescent="0.25">
      <c r="D3009" s="2"/>
      <c r="E3009" s="310"/>
      <c r="I3009" s="2"/>
      <c r="M3009" s="2"/>
      <c r="P3009" s="2"/>
      <c r="Q3009" s="2"/>
    </row>
    <row r="3010" spans="4:17" x14ac:dyDescent="0.25">
      <c r="D3010" s="2"/>
      <c r="E3010" s="310"/>
      <c r="I3010" s="2"/>
      <c r="M3010" s="2"/>
      <c r="P3010" s="2"/>
      <c r="Q3010" s="2"/>
    </row>
    <row r="3011" spans="4:17" x14ac:dyDescent="0.25">
      <c r="D3011" s="2"/>
      <c r="E3011" s="310"/>
      <c r="I3011" s="2"/>
      <c r="M3011" s="2"/>
      <c r="P3011" s="2"/>
      <c r="Q3011" s="2"/>
    </row>
    <row r="3012" spans="4:17" x14ac:dyDescent="0.25">
      <c r="D3012" s="2"/>
      <c r="E3012" s="310"/>
      <c r="I3012" s="2"/>
      <c r="M3012" s="2"/>
      <c r="P3012" s="2"/>
      <c r="Q3012" s="2"/>
    </row>
    <row r="3013" spans="4:17" x14ac:dyDescent="0.25">
      <c r="D3013" s="2"/>
      <c r="E3013" s="310"/>
      <c r="I3013" s="2"/>
      <c r="M3013" s="2"/>
      <c r="P3013" s="2"/>
      <c r="Q3013" s="2"/>
    </row>
    <row r="3014" spans="4:17" x14ac:dyDescent="0.25">
      <c r="D3014" s="2"/>
      <c r="E3014" s="310"/>
      <c r="I3014" s="2"/>
      <c r="M3014" s="2"/>
      <c r="P3014" s="2"/>
      <c r="Q3014" s="2"/>
    </row>
    <row r="3015" spans="4:17" x14ac:dyDescent="0.25">
      <c r="D3015" s="2"/>
      <c r="E3015" s="310"/>
      <c r="I3015" s="2"/>
      <c r="M3015" s="2"/>
      <c r="P3015" s="2"/>
      <c r="Q3015" s="2"/>
    </row>
    <row r="3016" spans="4:17" x14ac:dyDescent="0.25">
      <c r="D3016" s="2"/>
      <c r="E3016" s="310"/>
      <c r="I3016" s="2"/>
      <c r="M3016" s="2"/>
      <c r="P3016" s="2"/>
      <c r="Q3016" s="2"/>
    </row>
    <row r="3017" spans="4:17" x14ac:dyDescent="0.25">
      <c r="D3017" s="2"/>
      <c r="E3017" s="310"/>
      <c r="I3017" s="2"/>
      <c r="M3017" s="2"/>
      <c r="P3017" s="2"/>
      <c r="Q3017" s="2"/>
    </row>
    <row r="3018" spans="4:17" x14ac:dyDescent="0.25">
      <c r="D3018" s="2"/>
      <c r="E3018" s="310"/>
      <c r="I3018" s="2"/>
      <c r="M3018" s="2"/>
      <c r="P3018" s="2"/>
      <c r="Q3018" s="2"/>
    </row>
    <row r="3019" spans="4:17" x14ac:dyDescent="0.25">
      <c r="D3019" s="2"/>
      <c r="E3019" s="310"/>
      <c r="I3019" s="2"/>
      <c r="M3019" s="2"/>
      <c r="P3019" s="2"/>
      <c r="Q3019" s="2"/>
    </row>
    <row r="3020" spans="4:17" x14ac:dyDescent="0.25">
      <c r="D3020" s="2"/>
      <c r="E3020" s="310"/>
      <c r="I3020" s="2"/>
      <c r="M3020" s="2"/>
      <c r="P3020" s="2"/>
      <c r="Q3020" s="2"/>
    </row>
    <row r="3021" spans="4:17" x14ac:dyDescent="0.25">
      <c r="D3021" s="2"/>
      <c r="E3021" s="310"/>
      <c r="I3021" s="2"/>
      <c r="M3021" s="2"/>
      <c r="P3021" s="2"/>
      <c r="Q3021" s="2"/>
    </row>
    <row r="3022" spans="4:17" x14ac:dyDescent="0.25">
      <c r="D3022" s="2"/>
      <c r="E3022" s="310"/>
      <c r="I3022" s="2"/>
      <c r="M3022" s="2"/>
      <c r="P3022" s="2"/>
      <c r="Q3022" s="2"/>
    </row>
    <row r="3023" spans="4:17" x14ac:dyDescent="0.25">
      <c r="D3023" s="2"/>
      <c r="E3023" s="310"/>
      <c r="I3023" s="2"/>
      <c r="M3023" s="2"/>
      <c r="P3023" s="2"/>
      <c r="Q3023" s="2"/>
    </row>
    <row r="3024" spans="4:17" x14ac:dyDescent="0.25">
      <c r="D3024" s="2"/>
      <c r="E3024" s="310"/>
      <c r="I3024" s="2"/>
      <c r="M3024" s="2"/>
      <c r="P3024" s="2"/>
      <c r="Q3024" s="2"/>
    </row>
    <row r="3025" spans="4:17" x14ac:dyDescent="0.25">
      <c r="D3025" s="2"/>
      <c r="E3025" s="310"/>
      <c r="I3025" s="2"/>
      <c r="M3025" s="2"/>
      <c r="P3025" s="2"/>
      <c r="Q3025" s="2"/>
    </row>
    <row r="3026" spans="4:17" x14ac:dyDescent="0.25">
      <c r="D3026" s="2"/>
      <c r="E3026" s="310"/>
      <c r="I3026" s="2"/>
      <c r="M3026" s="2"/>
      <c r="P3026" s="2"/>
      <c r="Q3026" s="2"/>
    </row>
    <row r="3027" spans="4:17" x14ac:dyDescent="0.25">
      <c r="D3027" s="2"/>
      <c r="E3027" s="310"/>
      <c r="I3027" s="2"/>
      <c r="M3027" s="2"/>
      <c r="P3027" s="2"/>
      <c r="Q3027" s="2"/>
    </row>
    <row r="3028" spans="4:17" x14ac:dyDescent="0.25">
      <c r="D3028" s="2"/>
      <c r="E3028" s="310"/>
      <c r="I3028" s="2"/>
      <c r="M3028" s="2"/>
      <c r="P3028" s="2"/>
      <c r="Q3028" s="2"/>
    </row>
    <row r="3029" spans="4:17" x14ac:dyDescent="0.25">
      <c r="D3029" s="2"/>
      <c r="E3029" s="310"/>
      <c r="I3029" s="2"/>
      <c r="M3029" s="2"/>
      <c r="P3029" s="2"/>
      <c r="Q3029" s="2"/>
    </row>
    <row r="3030" spans="4:17" x14ac:dyDescent="0.25">
      <c r="D3030" s="2"/>
      <c r="E3030" s="310"/>
      <c r="I3030" s="2"/>
      <c r="M3030" s="2"/>
      <c r="P3030" s="2"/>
      <c r="Q3030" s="2"/>
    </row>
    <row r="3031" spans="4:17" x14ac:dyDescent="0.25">
      <c r="D3031" s="2"/>
      <c r="E3031" s="310"/>
      <c r="I3031" s="2"/>
      <c r="M3031" s="2"/>
      <c r="P3031" s="2"/>
      <c r="Q3031" s="2"/>
    </row>
    <row r="3032" spans="4:17" x14ac:dyDescent="0.25">
      <c r="D3032" s="2"/>
      <c r="E3032" s="310"/>
      <c r="I3032" s="2"/>
      <c r="M3032" s="2"/>
      <c r="P3032" s="2"/>
      <c r="Q3032" s="2"/>
    </row>
    <row r="3033" spans="4:17" x14ac:dyDescent="0.25">
      <c r="D3033" s="2"/>
      <c r="E3033" s="310"/>
      <c r="I3033" s="2"/>
      <c r="M3033" s="2"/>
      <c r="P3033" s="2"/>
      <c r="Q3033" s="2"/>
    </row>
    <row r="3034" spans="4:17" x14ac:dyDescent="0.25">
      <c r="D3034" s="2"/>
      <c r="E3034" s="310"/>
      <c r="I3034" s="2"/>
      <c r="M3034" s="2"/>
      <c r="P3034" s="2"/>
      <c r="Q3034" s="2"/>
    </row>
    <row r="3035" spans="4:17" x14ac:dyDescent="0.25">
      <c r="D3035" s="2"/>
      <c r="E3035" s="310"/>
      <c r="I3035" s="2"/>
      <c r="M3035" s="2"/>
      <c r="P3035" s="2"/>
      <c r="Q3035" s="2"/>
    </row>
    <row r="3036" spans="4:17" x14ac:dyDescent="0.25">
      <c r="D3036" s="2"/>
      <c r="E3036" s="310"/>
      <c r="I3036" s="2"/>
      <c r="M3036" s="2"/>
      <c r="P3036" s="2"/>
      <c r="Q3036" s="2"/>
    </row>
    <row r="3037" spans="4:17" x14ac:dyDescent="0.25">
      <c r="D3037" s="2"/>
      <c r="E3037" s="310"/>
      <c r="I3037" s="2"/>
      <c r="M3037" s="2"/>
      <c r="P3037" s="2"/>
      <c r="Q3037" s="2"/>
    </row>
    <row r="3038" spans="4:17" x14ac:dyDescent="0.25">
      <c r="D3038" s="2"/>
      <c r="E3038" s="310"/>
      <c r="I3038" s="2"/>
      <c r="M3038" s="2"/>
      <c r="P3038" s="2"/>
      <c r="Q3038" s="2"/>
    </row>
    <row r="3039" spans="4:17" x14ac:dyDescent="0.25">
      <c r="D3039" s="2"/>
      <c r="E3039" s="310"/>
      <c r="I3039" s="2"/>
      <c r="M3039" s="2"/>
      <c r="P3039" s="2"/>
      <c r="Q3039" s="2"/>
    </row>
    <row r="3040" spans="4:17" x14ac:dyDescent="0.25">
      <c r="D3040" s="2"/>
      <c r="E3040" s="310"/>
      <c r="I3040" s="2"/>
      <c r="M3040" s="2"/>
      <c r="P3040" s="2"/>
      <c r="Q3040" s="2"/>
    </row>
    <row r="3041" spans="4:17" x14ac:dyDescent="0.25">
      <c r="D3041" s="2"/>
      <c r="E3041" s="310"/>
      <c r="I3041" s="2"/>
      <c r="M3041" s="2"/>
      <c r="P3041" s="2"/>
      <c r="Q3041" s="2"/>
    </row>
    <row r="3042" spans="4:17" x14ac:dyDescent="0.25">
      <c r="D3042" s="2"/>
      <c r="E3042" s="310"/>
      <c r="I3042" s="2"/>
      <c r="M3042" s="2"/>
      <c r="P3042" s="2"/>
      <c r="Q3042" s="2"/>
    </row>
    <row r="3043" spans="4:17" x14ac:dyDescent="0.25">
      <c r="D3043" s="2"/>
      <c r="E3043" s="310"/>
      <c r="I3043" s="2"/>
      <c r="M3043" s="2"/>
      <c r="P3043" s="2"/>
      <c r="Q3043" s="2"/>
    </row>
    <row r="3044" spans="4:17" x14ac:dyDescent="0.25">
      <c r="D3044" s="2"/>
      <c r="E3044" s="310"/>
      <c r="I3044" s="2"/>
      <c r="M3044" s="2"/>
      <c r="P3044" s="2"/>
      <c r="Q3044" s="2"/>
    </row>
    <row r="3045" spans="4:17" x14ac:dyDescent="0.25">
      <c r="D3045" s="2"/>
      <c r="E3045" s="310"/>
      <c r="I3045" s="2"/>
      <c r="M3045" s="2"/>
      <c r="P3045" s="2"/>
      <c r="Q3045" s="2"/>
    </row>
    <row r="3046" spans="4:17" x14ac:dyDescent="0.25">
      <c r="D3046" s="2"/>
      <c r="E3046" s="310"/>
      <c r="I3046" s="2"/>
      <c r="M3046" s="2"/>
      <c r="P3046" s="2"/>
      <c r="Q3046" s="2"/>
    </row>
    <row r="3047" spans="4:17" x14ac:dyDescent="0.25">
      <c r="D3047" s="2"/>
      <c r="E3047" s="310"/>
      <c r="I3047" s="2"/>
      <c r="M3047" s="2"/>
      <c r="P3047" s="2"/>
      <c r="Q3047" s="2"/>
    </row>
    <row r="3048" spans="4:17" x14ac:dyDescent="0.25">
      <c r="D3048" s="2"/>
      <c r="E3048" s="310"/>
      <c r="I3048" s="2"/>
      <c r="M3048" s="2"/>
      <c r="P3048" s="2"/>
      <c r="Q3048" s="2"/>
    </row>
    <row r="3049" spans="4:17" x14ac:dyDescent="0.25">
      <c r="D3049" s="2"/>
      <c r="E3049" s="310"/>
      <c r="I3049" s="2"/>
      <c r="M3049" s="2"/>
      <c r="P3049" s="2"/>
      <c r="Q3049" s="2"/>
    </row>
    <row r="3050" spans="4:17" x14ac:dyDescent="0.25">
      <c r="D3050" s="2"/>
      <c r="E3050" s="310"/>
      <c r="I3050" s="2"/>
      <c r="M3050" s="2"/>
      <c r="P3050" s="2"/>
      <c r="Q3050" s="2"/>
    </row>
    <row r="3051" spans="4:17" x14ac:dyDescent="0.25">
      <c r="D3051" s="2"/>
      <c r="E3051" s="310"/>
      <c r="I3051" s="2"/>
      <c r="M3051" s="2"/>
      <c r="P3051" s="2"/>
      <c r="Q3051" s="2"/>
    </row>
    <row r="3052" spans="4:17" x14ac:dyDescent="0.25">
      <c r="D3052" s="2"/>
      <c r="E3052" s="310"/>
      <c r="I3052" s="2"/>
      <c r="M3052" s="2"/>
      <c r="P3052" s="2"/>
      <c r="Q3052" s="2"/>
    </row>
    <row r="3053" spans="4:17" x14ac:dyDescent="0.25">
      <c r="D3053" s="2"/>
      <c r="E3053" s="310"/>
      <c r="I3053" s="2"/>
      <c r="M3053" s="2"/>
      <c r="P3053" s="2"/>
      <c r="Q3053" s="2"/>
    </row>
    <row r="3054" spans="4:17" x14ac:dyDescent="0.25">
      <c r="D3054" s="2"/>
      <c r="E3054" s="310"/>
      <c r="I3054" s="2"/>
      <c r="M3054" s="2"/>
      <c r="P3054" s="2"/>
      <c r="Q3054" s="2"/>
    </row>
    <row r="3055" spans="4:17" x14ac:dyDescent="0.25">
      <c r="D3055" s="2"/>
      <c r="E3055" s="310"/>
      <c r="I3055" s="2"/>
      <c r="M3055" s="2"/>
      <c r="P3055" s="2"/>
      <c r="Q3055" s="2"/>
    </row>
    <row r="3056" spans="4:17" x14ac:dyDescent="0.25">
      <c r="D3056" s="2"/>
      <c r="E3056" s="310"/>
      <c r="I3056" s="2"/>
      <c r="M3056" s="2"/>
      <c r="P3056" s="2"/>
      <c r="Q3056" s="2"/>
    </row>
    <row r="3057" spans="4:17" x14ac:dyDescent="0.25">
      <c r="D3057" s="2"/>
      <c r="E3057" s="310"/>
      <c r="I3057" s="2"/>
      <c r="M3057" s="2"/>
      <c r="P3057" s="2"/>
      <c r="Q3057" s="2"/>
    </row>
    <row r="3058" spans="4:17" x14ac:dyDescent="0.25">
      <c r="D3058" s="2"/>
      <c r="E3058" s="310"/>
      <c r="I3058" s="2"/>
      <c r="M3058" s="2"/>
      <c r="P3058" s="2"/>
      <c r="Q3058" s="2"/>
    </row>
    <row r="3059" spans="4:17" x14ac:dyDescent="0.25">
      <c r="D3059" s="2"/>
      <c r="E3059" s="310"/>
      <c r="I3059" s="2"/>
      <c r="M3059" s="2"/>
      <c r="P3059" s="2"/>
      <c r="Q3059" s="2"/>
    </row>
    <row r="3060" spans="4:17" x14ac:dyDescent="0.25">
      <c r="D3060" s="2"/>
      <c r="E3060" s="310"/>
      <c r="I3060" s="2"/>
      <c r="M3060" s="2"/>
      <c r="P3060" s="2"/>
      <c r="Q3060" s="2"/>
    </row>
    <row r="3061" spans="4:17" x14ac:dyDescent="0.25">
      <c r="D3061" s="2"/>
      <c r="E3061" s="310"/>
      <c r="I3061" s="2"/>
      <c r="M3061" s="2"/>
      <c r="P3061" s="2"/>
      <c r="Q3061" s="2"/>
    </row>
    <row r="3062" spans="4:17" x14ac:dyDescent="0.25">
      <c r="D3062" s="2"/>
      <c r="E3062" s="310"/>
      <c r="I3062" s="2"/>
      <c r="M3062" s="2"/>
      <c r="P3062" s="2"/>
      <c r="Q3062" s="2"/>
    </row>
    <row r="3063" spans="4:17" x14ac:dyDescent="0.25">
      <c r="D3063" s="2"/>
      <c r="E3063" s="310"/>
      <c r="I3063" s="2"/>
      <c r="M3063" s="2"/>
      <c r="P3063" s="2"/>
      <c r="Q3063" s="2"/>
    </row>
    <row r="3064" spans="4:17" x14ac:dyDescent="0.25">
      <c r="D3064" s="2"/>
      <c r="E3064" s="310"/>
      <c r="I3064" s="2"/>
      <c r="M3064" s="2"/>
      <c r="P3064" s="2"/>
      <c r="Q3064" s="2"/>
    </row>
    <row r="3065" spans="4:17" x14ac:dyDescent="0.25">
      <c r="D3065" s="2"/>
      <c r="E3065" s="310"/>
      <c r="I3065" s="2"/>
      <c r="M3065" s="2"/>
      <c r="P3065" s="2"/>
      <c r="Q3065" s="2"/>
    </row>
    <row r="3066" spans="4:17" x14ac:dyDescent="0.25">
      <c r="D3066" s="2"/>
      <c r="E3066" s="310"/>
      <c r="I3066" s="2"/>
      <c r="M3066" s="2"/>
      <c r="P3066" s="2"/>
      <c r="Q3066" s="2"/>
    </row>
    <row r="3067" spans="4:17" x14ac:dyDescent="0.25">
      <c r="D3067" s="2"/>
      <c r="E3067" s="310"/>
      <c r="I3067" s="2"/>
      <c r="M3067" s="2"/>
      <c r="P3067" s="2"/>
      <c r="Q3067" s="2"/>
    </row>
    <row r="3068" spans="4:17" x14ac:dyDescent="0.25">
      <c r="D3068" s="2"/>
      <c r="E3068" s="310"/>
      <c r="I3068" s="2"/>
      <c r="M3068" s="2"/>
      <c r="P3068" s="2"/>
      <c r="Q3068" s="2"/>
    </row>
    <row r="3069" spans="4:17" x14ac:dyDescent="0.25">
      <c r="D3069" s="2"/>
      <c r="E3069" s="310"/>
      <c r="I3069" s="2"/>
      <c r="M3069" s="2"/>
      <c r="P3069" s="2"/>
      <c r="Q3069" s="2"/>
    </row>
    <row r="3070" spans="4:17" x14ac:dyDescent="0.25">
      <c r="D3070" s="2"/>
      <c r="E3070" s="310"/>
      <c r="I3070" s="2"/>
      <c r="M3070" s="2"/>
      <c r="P3070" s="2"/>
      <c r="Q3070" s="2"/>
    </row>
    <row r="3071" spans="4:17" x14ac:dyDescent="0.25">
      <c r="D3071" s="2"/>
      <c r="E3071" s="310"/>
      <c r="I3071" s="2"/>
      <c r="M3071" s="2"/>
      <c r="P3071" s="2"/>
      <c r="Q3071" s="2"/>
    </row>
    <row r="3072" spans="4:17" x14ac:dyDescent="0.25">
      <c r="D3072" s="2"/>
      <c r="E3072" s="310"/>
      <c r="I3072" s="2"/>
      <c r="M3072" s="2"/>
      <c r="P3072" s="2"/>
      <c r="Q3072" s="2"/>
    </row>
    <row r="3073" spans="4:17" x14ac:dyDescent="0.25">
      <c r="D3073" s="2"/>
      <c r="E3073" s="310"/>
      <c r="I3073" s="2"/>
      <c r="M3073" s="2"/>
      <c r="P3073" s="2"/>
      <c r="Q3073" s="2"/>
    </row>
    <row r="3074" spans="4:17" x14ac:dyDescent="0.25">
      <c r="D3074" s="2"/>
      <c r="E3074" s="310"/>
      <c r="I3074" s="2"/>
      <c r="M3074" s="2"/>
      <c r="P3074" s="2"/>
      <c r="Q3074" s="2"/>
    </row>
    <row r="3075" spans="4:17" x14ac:dyDescent="0.25">
      <c r="D3075" s="2"/>
      <c r="E3075" s="310"/>
      <c r="I3075" s="2"/>
      <c r="M3075" s="2"/>
      <c r="P3075" s="2"/>
      <c r="Q3075" s="2"/>
    </row>
    <row r="3076" spans="4:17" x14ac:dyDescent="0.25">
      <c r="D3076" s="2"/>
      <c r="E3076" s="310"/>
      <c r="I3076" s="2"/>
      <c r="M3076" s="2"/>
      <c r="P3076" s="2"/>
      <c r="Q3076" s="2"/>
    </row>
    <row r="3077" spans="4:17" x14ac:dyDescent="0.25">
      <c r="D3077" s="2"/>
      <c r="E3077" s="310"/>
      <c r="I3077" s="2"/>
      <c r="M3077" s="2"/>
      <c r="P3077" s="2"/>
      <c r="Q3077" s="2"/>
    </row>
    <row r="3078" spans="4:17" x14ac:dyDescent="0.25">
      <c r="D3078" s="2"/>
      <c r="E3078" s="310"/>
      <c r="I3078" s="2"/>
      <c r="M3078" s="2"/>
      <c r="P3078" s="2"/>
      <c r="Q3078" s="2"/>
    </row>
    <row r="3079" spans="4:17" x14ac:dyDescent="0.25">
      <c r="D3079" s="2"/>
      <c r="E3079" s="310"/>
      <c r="I3079" s="2"/>
      <c r="M3079" s="2"/>
      <c r="P3079" s="2"/>
      <c r="Q3079" s="2"/>
    </row>
    <row r="3080" spans="4:17" x14ac:dyDescent="0.25">
      <c r="D3080" s="2"/>
      <c r="E3080" s="310"/>
      <c r="I3080" s="2"/>
      <c r="M3080" s="2"/>
      <c r="P3080" s="2"/>
      <c r="Q3080" s="2"/>
    </row>
    <row r="3081" spans="4:17" x14ac:dyDescent="0.25">
      <c r="D3081" s="2"/>
      <c r="E3081" s="310"/>
      <c r="I3081" s="2"/>
      <c r="M3081" s="2"/>
      <c r="P3081" s="2"/>
      <c r="Q3081" s="2"/>
    </row>
    <row r="3082" spans="4:17" x14ac:dyDescent="0.25">
      <c r="D3082" s="2"/>
      <c r="E3082" s="310"/>
      <c r="I3082" s="2"/>
      <c r="M3082" s="2"/>
      <c r="P3082" s="2"/>
      <c r="Q3082" s="2"/>
    </row>
    <row r="3083" spans="4:17" x14ac:dyDescent="0.25">
      <c r="D3083" s="2"/>
      <c r="E3083" s="310"/>
      <c r="I3083" s="2"/>
      <c r="M3083" s="2"/>
      <c r="P3083" s="2"/>
      <c r="Q3083" s="2"/>
    </row>
    <row r="3084" spans="4:17" x14ac:dyDescent="0.25">
      <c r="D3084" s="2"/>
      <c r="E3084" s="310"/>
      <c r="I3084" s="2"/>
      <c r="M3084" s="2"/>
      <c r="P3084" s="2"/>
      <c r="Q3084" s="2"/>
    </row>
    <row r="3085" spans="4:17" x14ac:dyDescent="0.25">
      <c r="D3085" s="2"/>
      <c r="E3085" s="310"/>
      <c r="I3085" s="2"/>
      <c r="M3085" s="2"/>
      <c r="P3085" s="2"/>
      <c r="Q3085" s="2"/>
    </row>
    <row r="3086" spans="4:17" x14ac:dyDescent="0.25">
      <c r="D3086" s="2"/>
      <c r="E3086" s="310"/>
      <c r="I3086" s="2"/>
      <c r="M3086" s="2"/>
      <c r="P3086" s="2"/>
      <c r="Q3086" s="2"/>
    </row>
    <row r="3087" spans="4:17" x14ac:dyDescent="0.25">
      <c r="D3087" s="2"/>
      <c r="E3087" s="310"/>
      <c r="I3087" s="2"/>
      <c r="M3087" s="2"/>
      <c r="P3087" s="2"/>
      <c r="Q3087" s="2"/>
    </row>
    <row r="3088" spans="4:17" x14ac:dyDescent="0.25">
      <c r="D3088" s="2"/>
      <c r="E3088" s="310"/>
      <c r="I3088" s="2"/>
      <c r="M3088" s="2"/>
      <c r="P3088" s="2"/>
      <c r="Q3088" s="2"/>
    </row>
    <row r="3089" spans="4:17" x14ac:dyDescent="0.25">
      <c r="D3089" s="2"/>
      <c r="E3089" s="310"/>
      <c r="I3089" s="2"/>
      <c r="M3089" s="2"/>
      <c r="P3089" s="2"/>
      <c r="Q3089" s="2"/>
    </row>
    <row r="3090" spans="4:17" x14ac:dyDescent="0.25">
      <c r="D3090" s="2"/>
      <c r="E3090" s="310"/>
      <c r="I3090" s="2"/>
      <c r="M3090" s="2"/>
      <c r="P3090" s="2"/>
      <c r="Q3090" s="2"/>
    </row>
    <row r="3091" spans="4:17" x14ac:dyDescent="0.25">
      <c r="D3091" s="2"/>
      <c r="E3091" s="310"/>
      <c r="I3091" s="2"/>
      <c r="M3091" s="2"/>
      <c r="P3091" s="2"/>
      <c r="Q3091" s="2"/>
    </row>
    <row r="3092" spans="4:17" x14ac:dyDescent="0.25">
      <c r="D3092" s="2"/>
      <c r="E3092" s="310"/>
      <c r="I3092" s="2"/>
      <c r="M3092" s="2"/>
      <c r="P3092" s="2"/>
      <c r="Q3092" s="2"/>
    </row>
    <row r="3093" spans="4:17" x14ac:dyDescent="0.25">
      <c r="D3093" s="2"/>
      <c r="E3093" s="310"/>
      <c r="I3093" s="2"/>
      <c r="M3093" s="2"/>
      <c r="P3093" s="2"/>
      <c r="Q3093" s="2"/>
    </row>
    <row r="3094" spans="4:17" x14ac:dyDescent="0.25">
      <c r="D3094" s="2"/>
      <c r="E3094" s="310"/>
      <c r="I3094" s="2"/>
      <c r="M3094" s="2"/>
      <c r="P3094" s="2"/>
      <c r="Q3094" s="2"/>
    </row>
    <row r="3095" spans="4:17" x14ac:dyDescent="0.25">
      <c r="D3095" s="2"/>
      <c r="E3095" s="310"/>
      <c r="I3095" s="2"/>
      <c r="M3095" s="2"/>
      <c r="P3095" s="2"/>
      <c r="Q3095" s="2"/>
    </row>
    <row r="3096" spans="4:17" x14ac:dyDescent="0.25">
      <c r="D3096" s="2"/>
      <c r="E3096" s="310"/>
      <c r="I3096" s="2"/>
      <c r="M3096" s="2"/>
      <c r="P3096" s="2"/>
      <c r="Q3096" s="2"/>
    </row>
    <row r="3097" spans="4:17" x14ac:dyDescent="0.25">
      <c r="D3097" s="2"/>
      <c r="E3097" s="310"/>
      <c r="I3097" s="2"/>
      <c r="M3097" s="2"/>
      <c r="P3097" s="2"/>
      <c r="Q3097" s="2"/>
    </row>
    <row r="3098" spans="4:17" x14ac:dyDescent="0.25">
      <c r="D3098" s="2"/>
      <c r="E3098" s="310"/>
      <c r="I3098" s="2"/>
      <c r="M3098" s="2"/>
      <c r="P3098" s="2"/>
      <c r="Q3098" s="2"/>
    </row>
    <row r="3099" spans="4:17" x14ac:dyDescent="0.25">
      <c r="D3099" s="2"/>
      <c r="E3099" s="310"/>
      <c r="I3099" s="2"/>
      <c r="M3099" s="2"/>
      <c r="P3099" s="2"/>
      <c r="Q3099" s="2"/>
    </row>
    <row r="3100" spans="4:17" x14ac:dyDescent="0.25">
      <c r="D3100" s="2"/>
      <c r="E3100" s="310"/>
      <c r="I3100" s="2"/>
      <c r="M3100" s="2"/>
      <c r="P3100" s="2"/>
      <c r="Q3100" s="2"/>
    </row>
    <row r="3101" spans="4:17" x14ac:dyDescent="0.25">
      <c r="D3101" s="2"/>
      <c r="E3101" s="310"/>
      <c r="I3101" s="2"/>
      <c r="M3101" s="2"/>
      <c r="P3101" s="2"/>
      <c r="Q3101" s="2"/>
    </row>
    <row r="3102" spans="4:17" x14ac:dyDescent="0.25">
      <c r="D3102" s="2"/>
      <c r="E3102" s="310"/>
      <c r="I3102" s="2"/>
      <c r="M3102" s="2"/>
      <c r="P3102" s="2"/>
      <c r="Q3102" s="2"/>
    </row>
    <row r="3103" spans="4:17" x14ac:dyDescent="0.25">
      <c r="D3103" s="2"/>
      <c r="E3103" s="310"/>
      <c r="I3103" s="2"/>
      <c r="M3103" s="2"/>
      <c r="P3103" s="2"/>
      <c r="Q3103" s="2"/>
    </row>
    <row r="3104" spans="4:17" x14ac:dyDescent="0.25">
      <c r="D3104" s="2"/>
      <c r="E3104" s="310"/>
      <c r="I3104" s="2"/>
      <c r="M3104" s="2"/>
      <c r="P3104" s="2"/>
      <c r="Q3104" s="2"/>
    </row>
    <row r="3105" spans="4:17" x14ac:dyDescent="0.25">
      <c r="D3105" s="2"/>
      <c r="E3105" s="310"/>
      <c r="I3105" s="2"/>
      <c r="M3105" s="2"/>
      <c r="P3105" s="2"/>
      <c r="Q3105" s="2"/>
    </row>
    <row r="3106" spans="4:17" x14ac:dyDescent="0.25">
      <c r="D3106" s="2"/>
      <c r="E3106" s="310"/>
      <c r="I3106" s="2"/>
      <c r="M3106" s="2"/>
      <c r="P3106" s="2"/>
      <c r="Q3106" s="2"/>
    </row>
    <row r="3107" spans="4:17" x14ac:dyDescent="0.25">
      <c r="D3107" s="2"/>
      <c r="E3107" s="310"/>
      <c r="I3107" s="2"/>
      <c r="M3107" s="2"/>
      <c r="P3107" s="2"/>
      <c r="Q3107" s="2"/>
    </row>
    <row r="3108" spans="4:17" x14ac:dyDescent="0.25">
      <c r="D3108" s="2"/>
      <c r="E3108" s="310"/>
      <c r="I3108" s="2"/>
      <c r="M3108" s="2"/>
      <c r="P3108" s="2"/>
      <c r="Q3108" s="2"/>
    </row>
    <row r="3109" spans="4:17" x14ac:dyDescent="0.25">
      <c r="D3109" s="2"/>
      <c r="E3109" s="310"/>
      <c r="I3109" s="2"/>
      <c r="M3109" s="2"/>
      <c r="P3109" s="2"/>
      <c r="Q3109" s="2"/>
    </row>
    <row r="3110" spans="4:17" x14ac:dyDescent="0.25">
      <c r="D3110" s="2"/>
      <c r="E3110" s="310"/>
      <c r="I3110" s="2"/>
      <c r="M3110" s="2"/>
      <c r="P3110" s="2"/>
      <c r="Q3110" s="2"/>
    </row>
    <row r="3111" spans="4:17" x14ac:dyDescent="0.25">
      <c r="D3111" s="2"/>
      <c r="E3111" s="310"/>
      <c r="I3111" s="2"/>
      <c r="M3111" s="2"/>
      <c r="P3111" s="2"/>
      <c r="Q3111" s="2"/>
    </row>
    <row r="3112" spans="4:17" x14ac:dyDescent="0.25">
      <c r="D3112" s="2"/>
      <c r="E3112" s="310"/>
      <c r="I3112" s="2"/>
      <c r="M3112" s="2"/>
      <c r="P3112" s="2"/>
      <c r="Q3112" s="2"/>
    </row>
    <row r="3113" spans="4:17" x14ac:dyDescent="0.25">
      <c r="D3113" s="2"/>
      <c r="E3113" s="310"/>
      <c r="I3113" s="2"/>
      <c r="M3113" s="2"/>
      <c r="P3113" s="2"/>
      <c r="Q3113" s="2"/>
    </row>
    <row r="3114" spans="4:17" x14ac:dyDescent="0.25">
      <c r="D3114" s="2"/>
      <c r="E3114" s="310"/>
      <c r="I3114" s="2"/>
      <c r="M3114" s="2"/>
      <c r="P3114" s="2"/>
      <c r="Q3114" s="2"/>
    </row>
    <row r="3115" spans="4:17" x14ac:dyDescent="0.25">
      <c r="D3115" s="2"/>
      <c r="E3115" s="310"/>
      <c r="I3115" s="2"/>
      <c r="M3115" s="2"/>
      <c r="P3115" s="2"/>
      <c r="Q3115" s="2"/>
    </row>
    <row r="3116" spans="4:17" x14ac:dyDescent="0.25">
      <c r="D3116" s="2"/>
      <c r="E3116" s="310"/>
      <c r="I3116" s="2"/>
      <c r="M3116" s="2"/>
      <c r="P3116" s="2"/>
      <c r="Q3116" s="2"/>
    </row>
    <row r="3117" spans="4:17" x14ac:dyDescent="0.25">
      <c r="D3117" s="2"/>
      <c r="E3117" s="310"/>
      <c r="I3117" s="2"/>
      <c r="M3117" s="2"/>
      <c r="P3117" s="2"/>
      <c r="Q3117" s="2"/>
    </row>
    <row r="3118" spans="4:17" x14ac:dyDescent="0.25">
      <c r="D3118" s="2"/>
      <c r="E3118" s="310"/>
      <c r="I3118" s="2"/>
      <c r="M3118" s="2"/>
      <c r="P3118" s="2"/>
      <c r="Q3118" s="2"/>
    </row>
    <row r="3119" spans="4:17" x14ac:dyDescent="0.25">
      <c r="D3119" s="2"/>
      <c r="E3119" s="310"/>
      <c r="I3119" s="2"/>
      <c r="M3119" s="2"/>
      <c r="P3119" s="2"/>
      <c r="Q3119" s="2"/>
    </row>
    <row r="3120" spans="4:17" x14ac:dyDescent="0.25">
      <c r="D3120" s="2"/>
      <c r="E3120" s="310"/>
      <c r="I3120" s="2"/>
      <c r="M3120" s="2"/>
      <c r="P3120" s="2"/>
      <c r="Q3120" s="2"/>
    </row>
    <row r="3121" spans="4:17" x14ac:dyDescent="0.25">
      <c r="D3121" s="2"/>
      <c r="E3121" s="310"/>
      <c r="I3121" s="2"/>
      <c r="M3121" s="2"/>
      <c r="P3121" s="2"/>
      <c r="Q3121" s="2"/>
    </row>
    <row r="3122" spans="4:17" x14ac:dyDescent="0.25">
      <c r="D3122" s="2"/>
      <c r="E3122" s="310"/>
      <c r="I3122" s="2"/>
      <c r="M3122" s="2"/>
      <c r="P3122" s="2"/>
      <c r="Q3122" s="2"/>
    </row>
    <row r="3123" spans="4:17" x14ac:dyDescent="0.25">
      <c r="D3123" s="2"/>
      <c r="E3123" s="310"/>
      <c r="I3123" s="2"/>
      <c r="M3123" s="2"/>
      <c r="P3123" s="2"/>
      <c r="Q3123" s="2"/>
    </row>
    <row r="3124" spans="4:17" x14ac:dyDescent="0.25">
      <c r="D3124" s="2"/>
      <c r="E3124" s="310"/>
      <c r="I3124" s="2"/>
      <c r="M3124" s="2"/>
      <c r="P3124" s="2"/>
      <c r="Q3124" s="2"/>
    </row>
    <row r="3125" spans="4:17" x14ac:dyDescent="0.25">
      <c r="D3125" s="2"/>
      <c r="E3125" s="310"/>
      <c r="I3125" s="2"/>
      <c r="M3125" s="2"/>
      <c r="P3125" s="2"/>
      <c r="Q3125" s="2"/>
    </row>
    <row r="3126" spans="4:17" x14ac:dyDescent="0.25">
      <c r="D3126" s="2"/>
      <c r="E3126" s="310"/>
      <c r="I3126" s="2"/>
      <c r="M3126" s="2"/>
      <c r="P3126" s="2"/>
      <c r="Q3126" s="2"/>
    </row>
    <row r="3127" spans="4:17" x14ac:dyDescent="0.25">
      <c r="D3127" s="2"/>
      <c r="E3127" s="310"/>
      <c r="I3127" s="2"/>
      <c r="M3127" s="2"/>
      <c r="P3127" s="2"/>
      <c r="Q3127" s="2"/>
    </row>
    <row r="3128" spans="4:17" x14ac:dyDescent="0.25">
      <c r="D3128" s="2"/>
      <c r="E3128" s="310"/>
      <c r="I3128" s="2"/>
      <c r="M3128" s="2"/>
      <c r="P3128" s="2"/>
      <c r="Q3128" s="2"/>
    </row>
    <row r="3129" spans="4:17" x14ac:dyDescent="0.25">
      <c r="D3129" s="2"/>
      <c r="E3129" s="310"/>
      <c r="I3129" s="2"/>
      <c r="M3129" s="2"/>
      <c r="P3129" s="2"/>
      <c r="Q3129" s="2"/>
    </row>
    <row r="3130" spans="4:17" x14ac:dyDescent="0.25">
      <c r="D3130" s="2"/>
      <c r="E3130" s="310"/>
      <c r="I3130" s="2"/>
      <c r="M3130" s="2"/>
      <c r="P3130" s="2"/>
      <c r="Q3130" s="2"/>
    </row>
    <row r="3131" spans="4:17" x14ac:dyDescent="0.25">
      <c r="D3131" s="2"/>
      <c r="E3131" s="310"/>
      <c r="I3131" s="2"/>
      <c r="M3131" s="2"/>
      <c r="P3131" s="2"/>
      <c r="Q3131" s="2"/>
    </row>
    <row r="3132" spans="4:17" x14ac:dyDescent="0.25">
      <c r="D3132" s="2"/>
      <c r="E3132" s="310"/>
      <c r="I3132" s="2"/>
      <c r="M3132" s="2"/>
      <c r="P3132" s="2"/>
      <c r="Q3132" s="2"/>
    </row>
    <row r="3133" spans="4:17" x14ac:dyDescent="0.25">
      <c r="D3133" s="2"/>
      <c r="E3133" s="310"/>
      <c r="I3133" s="2"/>
      <c r="M3133" s="2"/>
      <c r="P3133" s="2"/>
      <c r="Q3133" s="2"/>
    </row>
    <row r="3143" spans="4:17" x14ac:dyDescent="0.25">
      <c r="D3143" s="2"/>
      <c r="E3143" s="310"/>
      <c r="I3143" s="2"/>
      <c r="M3143" s="2"/>
      <c r="P3143" s="2"/>
      <c r="Q3143" s="2"/>
    </row>
    <row r="3144" spans="4:17" x14ac:dyDescent="0.25">
      <c r="D3144" s="2"/>
      <c r="E3144" s="310"/>
      <c r="I3144" s="2"/>
      <c r="M3144" s="2"/>
      <c r="P3144" s="2"/>
      <c r="Q3144" s="2"/>
    </row>
    <row r="3145" spans="4:17" x14ac:dyDescent="0.25">
      <c r="D3145" s="2"/>
      <c r="E3145" s="310"/>
      <c r="I3145" s="2"/>
      <c r="M3145" s="2"/>
      <c r="P3145" s="2"/>
      <c r="Q3145" s="2"/>
    </row>
    <row r="3146" spans="4:17" x14ac:dyDescent="0.25">
      <c r="D3146" s="2"/>
      <c r="E3146" s="310"/>
      <c r="I3146" s="2"/>
      <c r="M3146" s="2"/>
      <c r="P3146" s="2"/>
      <c r="Q3146" s="2"/>
    </row>
    <row r="3147" spans="4:17" x14ac:dyDescent="0.25">
      <c r="D3147" s="2"/>
      <c r="E3147" s="310"/>
      <c r="I3147" s="2"/>
      <c r="M3147" s="2"/>
      <c r="P3147" s="2"/>
      <c r="Q3147" s="2"/>
    </row>
    <row r="3148" spans="4:17" x14ac:dyDescent="0.25">
      <c r="D3148" s="2"/>
      <c r="E3148" s="310"/>
      <c r="I3148" s="2"/>
      <c r="M3148" s="2"/>
      <c r="P3148" s="2"/>
      <c r="Q3148" s="2"/>
    </row>
    <row r="3149" spans="4:17" x14ac:dyDescent="0.25">
      <c r="D3149" s="2"/>
      <c r="E3149" s="310"/>
      <c r="I3149" s="2"/>
      <c r="M3149" s="2"/>
      <c r="P3149" s="2"/>
      <c r="Q3149" s="2"/>
    </row>
    <row r="3150" spans="4:17" x14ac:dyDescent="0.25">
      <c r="D3150" s="2"/>
      <c r="E3150" s="310"/>
      <c r="I3150" s="2"/>
      <c r="M3150" s="2"/>
      <c r="P3150" s="2"/>
      <c r="Q3150" s="2"/>
    </row>
    <row r="3151" spans="4:17" x14ac:dyDescent="0.25">
      <c r="D3151" s="2"/>
      <c r="E3151" s="310"/>
      <c r="I3151" s="2"/>
      <c r="M3151" s="2"/>
      <c r="P3151" s="2"/>
      <c r="Q3151" s="2"/>
    </row>
    <row r="3152" spans="4:17" x14ac:dyDescent="0.25">
      <c r="D3152" s="2"/>
      <c r="E3152" s="310"/>
      <c r="I3152" s="2"/>
      <c r="M3152" s="2"/>
      <c r="P3152" s="2"/>
      <c r="Q3152" s="2"/>
    </row>
    <row r="3153" spans="4:17" x14ac:dyDescent="0.25">
      <c r="D3153" s="2"/>
      <c r="E3153" s="310"/>
      <c r="I3153" s="2"/>
      <c r="M3153" s="2"/>
      <c r="P3153" s="2"/>
      <c r="Q3153" s="2"/>
    </row>
    <row r="3154" spans="4:17" x14ac:dyDescent="0.25">
      <c r="D3154" s="2"/>
      <c r="E3154" s="310"/>
      <c r="I3154" s="2"/>
      <c r="M3154" s="2"/>
      <c r="P3154" s="2"/>
      <c r="Q3154" s="2"/>
    </row>
    <row r="3155" spans="4:17" x14ac:dyDescent="0.25">
      <c r="D3155" s="2"/>
      <c r="E3155" s="310"/>
      <c r="I3155" s="2"/>
      <c r="M3155" s="2"/>
      <c r="P3155" s="2"/>
      <c r="Q3155" s="2"/>
    </row>
    <row r="3156" spans="4:17" x14ac:dyDescent="0.25">
      <c r="D3156" s="2"/>
      <c r="E3156" s="310"/>
      <c r="I3156" s="2"/>
      <c r="M3156" s="2"/>
      <c r="P3156" s="2"/>
      <c r="Q3156" s="2"/>
    </row>
    <row r="3157" spans="4:17" x14ac:dyDescent="0.25">
      <c r="D3157" s="2"/>
      <c r="E3157" s="310"/>
      <c r="I3157" s="2"/>
      <c r="M3157" s="2"/>
      <c r="P3157" s="2"/>
      <c r="Q3157" s="2"/>
    </row>
    <row r="3158" spans="4:17" x14ac:dyDescent="0.25">
      <c r="D3158" s="2"/>
      <c r="E3158" s="310"/>
      <c r="I3158" s="2"/>
      <c r="M3158" s="2"/>
      <c r="P3158" s="2"/>
      <c r="Q3158" s="2"/>
    </row>
    <row r="3159" spans="4:17" x14ac:dyDescent="0.25">
      <c r="D3159" s="2"/>
      <c r="E3159" s="310"/>
      <c r="I3159" s="2"/>
      <c r="M3159" s="2"/>
      <c r="P3159" s="2"/>
      <c r="Q3159" s="2"/>
    </row>
    <row r="3160" spans="4:17" x14ac:dyDescent="0.25">
      <c r="D3160" s="2"/>
      <c r="E3160" s="310"/>
      <c r="I3160" s="2"/>
      <c r="M3160" s="2"/>
      <c r="P3160" s="2"/>
      <c r="Q3160" s="2"/>
    </row>
    <row r="3161" spans="4:17" x14ac:dyDescent="0.25">
      <c r="D3161" s="2"/>
      <c r="E3161" s="310"/>
      <c r="I3161" s="2"/>
      <c r="M3161" s="2"/>
      <c r="P3161" s="2"/>
      <c r="Q3161" s="2"/>
    </row>
    <row r="3162" spans="4:17" x14ac:dyDescent="0.25">
      <c r="D3162" s="2"/>
      <c r="E3162" s="310"/>
      <c r="I3162" s="2"/>
      <c r="M3162" s="2"/>
      <c r="P3162" s="2"/>
      <c r="Q3162" s="2"/>
    </row>
    <row r="3163" spans="4:17" x14ac:dyDescent="0.25">
      <c r="D3163" s="2"/>
      <c r="E3163" s="310"/>
      <c r="I3163" s="2"/>
      <c r="M3163" s="2"/>
      <c r="P3163" s="2"/>
      <c r="Q3163" s="2"/>
    </row>
    <row r="3165" spans="4:17" x14ac:dyDescent="0.25">
      <c r="D3165" s="2"/>
      <c r="E3165" s="310"/>
      <c r="I3165" s="2"/>
      <c r="M3165" s="2"/>
      <c r="P3165" s="2"/>
      <c r="Q3165" s="2"/>
    </row>
    <row r="3166" spans="4:17" x14ac:dyDescent="0.25">
      <c r="D3166" s="2"/>
      <c r="E3166" s="310"/>
      <c r="I3166" s="2"/>
      <c r="M3166" s="2"/>
      <c r="P3166" s="2"/>
      <c r="Q3166" s="2"/>
    </row>
    <row r="3167" spans="4:17" x14ac:dyDescent="0.25">
      <c r="D3167" s="2"/>
      <c r="E3167" s="310"/>
      <c r="I3167" s="2"/>
      <c r="M3167" s="2"/>
      <c r="P3167" s="2"/>
      <c r="Q3167" s="2"/>
    </row>
    <row r="3169" spans="4:17" x14ac:dyDescent="0.25">
      <c r="D3169" s="2"/>
      <c r="E3169" s="310"/>
      <c r="I3169" s="2"/>
      <c r="M3169" s="2"/>
      <c r="P3169" s="2"/>
      <c r="Q3169" s="2"/>
    </row>
    <row r="3170" spans="4:17" x14ac:dyDescent="0.25">
      <c r="D3170" s="2"/>
      <c r="E3170" s="310"/>
      <c r="I3170" s="2"/>
      <c r="M3170" s="2"/>
      <c r="P3170" s="2"/>
      <c r="Q3170" s="2"/>
    </row>
    <row r="3171" spans="4:17" x14ac:dyDescent="0.25">
      <c r="D3171" s="2"/>
      <c r="E3171" s="310"/>
      <c r="I3171" s="2"/>
      <c r="M3171" s="2"/>
      <c r="P3171" s="2"/>
      <c r="Q3171" s="2"/>
    </row>
    <row r="3172" spans="4:17" x14ac:dyDescent="0.25">
      <c r="D3172" s="2"/>
      <c r="E3172" s="310"/>
      <c r="I3172" s="2"/>
      <c r="M3172" s="2"/>
      <c r="P3172" s="2"/>
      <c r="Q3172" s="2"/>
    </row>
    <row r="3173" spans="4:17" x14ac:dyDescent="0.25">
      <c r="D3173" s="2"/>
      <c r="E3173" s="310"/>
      <c r="I3173" s="2"/>
      <c r="M3173" s="2"/>
      <c r="P3173" s="2"/>
      <c r="Q3173" s="2"/>
    </row>
    <row r="3174" spans="4:17" x14ac:dyDescent="0.25">
      <c r="D3174" s="2"/>
      <c r="E3174" s="310"/>
      <c r="I3174" s="2"/>
      <c r="M3174" s="2"/>
      <c r="P3174" s="2"/>
      <c r="Q3174" s="2"/>
    </row>
    <row r="3175" spans="4:17" x14ac:dyDescent="0.25">
      <c r="D3175" s="2"/>
      <c r="E3175" s="310"/>
      <c r="I3175" s="2"/>
      <c r="M3175" s="2"/>
      <c r="P3175" s="2"/>
      <c r="Q3175" s="2"/>
    </row>
    <row r="3176" spans="4:17" x14ac:dyDescent="0.25">
      <c r="D3176" s="2"/>
      <c r="E3176" s="310"/>
      <c r="I3176" s="2"/>
      <c r="M3176" s="2"/>
      <c r="P3176" s="2"/>
      <c r="Q3176" s="2"/>
    </row>
    <row r="3177" spans="4:17" x14ac:dyDescent="0.25">
      <c r="D3177" s="2"/>
      <c r="E3177" s="310"/>
      <c r="I3177" s="2"/>
      <c r="M3177" s="2"/>
      <c r="P3177" s="2"/>
      <c r="Q3177" s="2"/>
    </row>
    <row r="3178" spans="4:17" x14ac:dyDescent="0.25">
      <c r="D3178" s="2"/>
      <c r="E3178" s="310"/>
      <c r="I3178" s="2"/>
      <c r="M3178" s="2"/>
      <c r="P3178" s="2"/>
      <c r="Q3178" s="2"/>
    </row>
    <row r="3179" spans="4:17" x14ac:dyDescent="0.25">
      <c r="D3179" s="2"/>
      <c r="E3179" s="310"/>
      <c r="I3179" s="2"/>
      <c r="M3179" s="2"/>
      <c r="P3179" s="2"/>
      <c r="Q3179" s="2"/>
    </row>
    <row r="3180" spans="4:17" x14ac:dyDescent="0.25">
      <c r="D3180" s="2"/>
      <c r="E3180" s="310"/>
      <c r="I3180" s="2"/>
      <c r="M3180" s="2"/>
      <c r="P3180" s="2"/>
      <c r="Q3180" s="2"/>
    </row>
    <row r="3181" spans="4:17" x14ac:dyDescent="0.25">
      <c r="D3181" s="2"/>
      <c r="E3181" s="310"/>
      <c r="I3181" s="2"/>
      <c r="M3181" s="2"/>
      <c r="P3181" s="2"/>
      <c r="Q3181" s="2"/>
    </row>
    <row r="3182" spans="4:17" x14ac:dyDescent="0.25">
      <c r="D3182" s="2"/>
      <c r="E3182" s="310"/>
      <c r="I3182" s="2"/>
      <c r="M3182" s="2"/>
      <c r="P3182" s="2"/>
      <c r="Q3182" s="2"/>
    </row>
    <row r="3183" spans="4:17" x14ac:dyDescent="0.25">
      <c r="D3183" s="2"/>
      <c r="E3183" s="310"/>
      <c r="I3183" s="2"/>
      <c r="M3183" s="2"/>
      <c r="P3183" s="2"/>
      <c r="Q3183" s="2"/>
    </row>
    <row r="3184" spans="4:17" x14ac:dyDescent="0.25">
      <c r="D3184" s="2"/>
      <c r="E3184" s="310"/>
      <c r="I3184" s="2"/>
      <c r="M3184" s="2"/>
      <c r="P3184" s="2"/>
      <c r="Q3184" s="2"/>
    </row>
    <row r="3185" spans="4:17" x14ac:dyDescent="0.25">
      <c r="D3185" s="2"/>
      <c r="E3185" s="310"/>
      <c r="I3185" s="2"/>
      <c r="M3185" s="2"/>
      <c r="P3185" s="2"/>
      <c r="Q3185" s="2"/>
    </row>
    <row r="3186" spans="4:17" x14ac:dyDescent="0.25">
      <c r="D3186" s="2"/>
      <c r="E3186" s="310"/>
      <c r="I3186" s="2"/>
      <c r="M3186" s="2"/>
      <c r="P3186" s="2"/>
      <c r="Q3186" s="2"/>
    </row>
    <row r="3187" spans="4:17" x14ac:dyDescent="0.25">
      <c r="D3187" s="2"/>
      <c r="E3187" s="310"/>
      <c r="I3187" s="2"/>
      <c r="M3187" s="2"/>
      <c r="P3187" s="2"/>
      <c r="Q3187" s="2"/>
    </row>
    <row r="3188" spans="4:17" x14ac:dyDescent="0.25">
      <c r="D3188" s="2"/>
      <c r="E3188" s="310"/>
      <c r="I3188" s="2"/>
      <c r="M3188" s="2"/>
      <c r="P3188" s="2"/>
      <c r="Q3188" s="2"/>
    </row>
    <row r="3189" spans="4:17" x14ac:dyDescent="0.25">
      <c r="D3189" s="2"/>
      <c r="E3189" s="310"/>
      <c r="I3189" s="2"/>
      <c r="M3189" s="2"/>
      <c r="P3189" s="2"/>
      <c r="Q3189" s="2"/>
    </row>
    <row r="3190" spans="4:17" x14ac:dyDescent="0.25">
      <c r="D3190" s="2"/>
      <c r="E3190" s="310"/>
      <c r="I3190" s="2"/>
      <c r="M3190" s="2"/>
      <c r="P3190" s="2"/>
      <c r="Q3190" s="2"/>
    </row>
    <row r="3191" spans="4:17" x14ac:dyDescent="0.25">
      <c r="D3191" s="2"/>
      <c r="E3191" s="310"/>
      <c r="I3191" s="2"/>
      <c r="M3191" s="2"/>
      <c r="P3191" s="2"/>
      <c r="Q3191" s="2"/>
    </row>
    <row r="3192" spans="4:17" x14ac:dyDescent="0.25">
      <c r="D3192" s="2"/>
      <c r="E3192" s="310"/>
      <c r="I3192" s="2"/>
      <c r="M3192" s="2"/>
      <c r="P3192" s="2"/>
      <c r="Q3192" s="2"/>
    </row>
    <row r="3193" spans="4:17" x14ac:dyDescent="0.25">
      <c r="D3193" s="2"/>
      <c r="E3193" s="310"/>
      <c r="I3193" s="2"/>
      <c r="M3193" s="2"/>
      <c r="P3193" s="2"/>
      <c r="Q3193" s="2"/>
    </row>
    <row r="3194" spans="4:17" x14ac:dyDescent="0.25">
      <c r="D3194" s="2"/>
      <c r="E3194" s="310"/>
      <c r="I3194" s="2"/>
      <c r="M3194" s="2"/>
      <c r="P3194" s="2"/>
      <c r="Q3194" s="2"/>
    </row>
    <row r="3195" spans="4:17" x14ac:dyDescent="0.25">
      <c r="D3195" s="2"/>
      <c r="E3195" s="310"/>
      <c r="I3195" s="2"/>
      <c r="M3195" s="2"/>
      <c r="P3195" s="2"/>
      <c r="Q3195" s="2"/>
    </row>
    <row r="3196" spans="4:17" x14ac:dyDescent="0.25">
      <c r="D3196" s="2"/>
      <c r="E3196" s="310"/>
      <c r="I3196" s="2"/>
      <c r="M3196" s="2"/>
      <c r="P3196" s="2"/>
      <c r="Q3196" s="2"/>
    </row>
    <row r="3197" spans="4:17" x14ac:dyDescent="0.25">
      <c r="D3197" s="2"/>
      <c r="E3197" s="310"/>
      <c r="I3197" s="2"/>
      <c r="M3197" s="2"/>
      <c r="P3197" s="2"/>
      <c r="Q3197" s="2"/>
    </row>
    <row r="3198" spans="4:17" x14ac:dyDescent="0.25">
      <c r="D3198" s="2"/>
      <c r="E3198" s="310"/>
      <c r="I3198" s="2"/>
      <c r="M3198" s="2"/>
      <c r="P3198" s="2"/>
      <c r="Q3198" s="2"/>
    </row>
    <row r="3199" spans="4:17" x14ac:dyDescent="0.25">
      <c r="D3199" s="2"/>
      <c r="E3199" s="310"/>
      <c r="I3199" s="2"/>
      <c r="M3199" s="2"/>
      <c r="P3199" s="2"/>
      <c r="Q3199" s="2"/>
    </row>
    <row r="3200" spans="4:17" x14ac:dyDescent="0.25">
      <c r="D3200" s="2"/>
      <c r="E3200" s="310"/>
      <c r="I3200" s="2"/>
      <c r="M3200" s="2"/>
      <c r="P3200" s="2"/>
      <c r="Q3200" s="2"/>
    </row>
    <row r="3201" spans="4:17" x14ac:dyDescent="0.25">
      <c r="D3201" s="2"/>
      <c r="E3201" s="310"/>
      <c r="I3201" s="2"/>
      <c r="M3201" s="2"/>
      <c r="P3201" s="2"/>
      <c r="Q3201" s="2"/>
    </row>
    <row r="3202" spans="4:17" x14ac:dyDescent="0.25">
      <c r="D3202" s="2"/>
      <c r="E3202" s="310"/>
      <c r="I3202" s="2"/>
      <c r="M3202" s="2"/>
      <c r="P3202" s="2"/>
      <c r="Q3202" s="2"/>
    </row>
    <row r="3203" spans="4:17" x14ac:dyDescent="0.25">
      <c r="D3203" s="2"/>
      <c r="E3203" s="310"/>
      <c r="I3203" s="2"/>
      <c r="M3203" s="2"/>
      <c r="P3203" s="2"/>
      <c r="Q3203" s="2"/>
    </row>
    <row r="3204" spans="4:17" x14ac:dyDescent="0.25">
      <c r="D3204" s="2"/>
      <c r="E3204" s="310"/>
      <c r="I3204" s="2"/>
      <c r="M3204" s="2"/>
      <c r="P3204" s="2"/>
      <c r="Q3204" s="2"/>
    </row>
    <row r="3205" spans="4:17" x14ac:dyDescent="0.25">
      <c r="D3205" s="2"/>
      <c r="E3205" s="310"/>
      <c r="I3205" s="2"/>
      <c r="M3205" s="2"/>
      <c r="P3205" s="2"/>
      <c r="Q3205" s="2"/>
    </row>
    <row r="3206" spans="4:17" x14ac:dyDescent="0.25">
      <c r="D3206" s="2"/>
      <c r="E3206" s="310"/>
      <c r="I3206" s="2"/>
      <c r="M3206" s="2"/>
      <c r="P3206" s="2"/>
      <c r="Q3206" s="2"/>
    </row>
    <row r="3207" spans="4:17" x14ac:dyDescent="0.25">
      <c r="D3207" s="2"/>
      <c r="E3207" s="310"/>
      <c r="I3207" s="2"/>
      <c r="M3207" s="2"/>
      <c r="P3207" s="2"/>
      <c r="Q3207" s="2"/>
    </row>
    <row r="3208" spans="4:17" x14ac:dyDescent="0.25">
      <c r="D3208" s="2"/>
      <c r="E3208" s="310"/>
      <c r="I3208" s="2"/>
      <c r="M3208" s="2"/>
      <c r="P3208" s="2"/>
      <c r="Q3208" s="2"/>
    </row>
    <row r="3209" spans="4:17" x14ac:dyDescent="0.25">
      <c r="D3209" s="2"/>
      <c r="E3209" s="310"/>
      <c r="I3209" s="2"/>
      <c r="M3209" s="2"/>
      <c r="P3209" s="2"/>
      <c r="Q3209" s="2"/>
    </row>
    <row r="3210" spans="4:17" x14ac:dyDescent="0.25">
      <c r="D3210" s="2"/>
      <c r="E3210" s="310"/>
      <c r="I3210" s="2"/>
      <c r="M3210" s="2"/>
      <c r="P3210" s="2"/>
      <c r="Q3210" s="2"/>
    </row>
    <row r="3211" spans="4:17" x14ac:dyDescent="0.25">
      <c r="D3211" s="2"/>
      <c r="E3211" s="310"/>
      <c r="I3211" s="2"/>
      <c r="M3211" s="2"/>
      <c r="P3211" s="2"/>
      <c r="Q3211" s="2"/>
    </row>
    <row r="3212" spans="4:17" x14ac:dyDescent="0.25">
      <c r="D3212" s="2"/>
      <c r="E3212" s="310"/>
      <c r="I3212" s="2"/>
      <c r="M3212" s="2"/>
      <c r="P3212" s="2"/>
      <c r="Q3212" s="2"/>
    </row>
    <row r="3213" spans="4:17" x14ac:dyDescent="0.25">
      <c r="D3213" s="2"/>
      <c r="E3213" s="310"/>
      <c r="I3213" s="2"/>
      <c r="M3213" s="2"/>
      <c r="P3213" s="2"/>
      <c r="Q3213" s="2"/>
    </row>
    <row r="3214" spans="4:17" x14ac:dyDescent="0.25">
      <c r="D3214" s="2"/>
      <c r="E3214" s="310"/>
      <c r="I3214" s="2"/>
      <c r="M3214" s="2"/>
      <c r="P3214" s="2"/>
      <c r="Q3214" s="2"/>
    </row>
    <row r="3215" spans="4:17" x14ac:dyDescent="0.25">
      <c r="D3215" s="2"/>
      <c r="E3215" s="310"/>
      <c r="I3215" s="2"/>
      <c r="M3215" s="2"/>
      <c r="P3215" s="2"/>
      <c r="Q3215" s="2"/>
    </row>
    <row r="3216" spans="4:17" x14ac:dyDescent="0.25">
      <c r="D3216" s="2"/>
      <c r="E3216" s="310"/>
      <c r="I3216" s="2"/>
      <c r="M3216" s="2"/>
      <c r="P3216" s="2"/>
      <c r="Q3216" s="2"/>
    </row>
    <row r="3217" spans="4:17" x14ac:dyDescent="0.25">
      <c r="D3217" s="2"/>
      <c r="E3217" s="310"/>
      <c r="I3217" s="2"/>
      <c r="M3217" s="2"/>
      <c r="P3217" s="2"/>
      <c r="Q3217" s="2"/>
    </row>
    <row r="3218" spans="4:17" x14ac:dyDescent="0.25">
      <c r="D3218" s="2"/>
      <c r="E3218" s="310"/>
      <c r="I3218" s="2"/>
      <c r="M3218" s="2"/>
      <c r="P3218" s="2"/>
      <c r="Q3218" s="2"/>
    </row>
    <row r="3219" spans="4:17" x14ac:dyDescent="0.25">
      <c r="D3219" s="2"/>
      <c r="E3219" s="310"/>
      <c r="I3219" s="2"/>
      <c r="M3219" s="2"/>
      <c r="P3219" s="2"/>
      <c r="Q3219" s="2"/>
    </row>
    <row r="3220" spans="4:17" x14ac:dyDescent="0.25">
      <c r="D3220" s="2"/>
      <c r="E3220" s="310"/>
      <c r="I3220" s="2"/>
      <c r="M3220" s="2"/>
      <c r="P3220" s="2"/>
      <c r="Q3220" s="2"/>
    </row>
    <row r="3221" spans="4:17" x14ac:dyDescent="0.25">
      <c r="D3221" s="2"/>
      <c r="E3221" s="310"/>
      <c r="I3221" s="2"/>
      <c r="M3221" s="2"/>
      <c r="P3221" s="2"/>
      <c r="Q3221" s="2"/>
    </row>
    <row r="3222" spans="4:17" x14ac:dyDescent="0.25">
      <c r="D3222" s="2"/>
      <c r="E3222" s="310"/>
      <c r="I3222" s="2"/>
      <c r="M3222" s="2"/>
      <c r="P3222" s="2"/>
      <c r="Q3222" s="2"/>
    </row>
    <row r="3223" spans="4:17" x14ac:dyDescent="0.25">
      <c r="D3223" s="2"/>
      <c r="E3223" s="310"/>
      <c r="I3223" s="2"/>
      <c r="M3223" s="2"/>
      <c r="P3223" s="2"/>
      <c r="Q3223" s="2"/>
    </row>
    <row r="3224" spans="4:17" x14ac:dyDescent="0.25">
      <c r="D3224" s="2"/>
      <c r="E3224" s="310"/>
      <c r="I3224" s="2"/>
      <c r="M3224" s="2"/>
      <c r="P3224" s="2"/>
      <c r="Q3224" s="2"/>
    </row>
    <row r="3225" spans="4:17" x14ac:dyDescent="0.25">
      <c r="D3225" s="2"/>
      <c r="E3225" s="310"/>
      <c r="I3225" s="2"/>
      <c r="M3225" s="2"/>
      <c r="P3225" s="2"/>
      <c r="Q3225" s="2"/>
    </row>
    <row r="3226" spans="4:17" x14ac:dyDescent="0.25">
      <c r="D3226" s="2"/>
      <c r="E3226" s="310"/>
      <c r="I3226" s="2"/>
      <c r="M3226" s="2"/>
      <c r="P3226" s="2"/>
      <c r="Q3226" s="2"/>
    </row>
    <row r="3227" spans="4:17" x14ac:dyDescent="0.25">
      <c r="D3227" s="2"/>
      <c r="E3227" s="310"/>
      <c r="I3227" s="2"/>
      <c r="M3227" s="2"/>
      <c r="P3227" s="2"/>
      <c r="Q3227" s="2"/>
    </row>
    <row r="3228" spans="4:17" x14ac:dyDescent="0.25">
      <c r="D3228" s="2"/>
      <c r="E3228" s="310"/>
      <c r="I3228" s="2"/>
      <c r="M3228" s="2"/>
      <c r="P3228" s="2"/>
      <c r="Q3228" s="2"/>
    </row>
    <row r="3229" spans="4:17" x14ac:dyDescent="0.25">
      <c r="D3229" s="2"/>
      <c r="E3229" s="310"/>
      <c r="I3229" s="2"/>
      <c r="M3229" s="2"/>
      <c r="P3229" s="2"/>
      <c r="Q3229" s="2"/>
    </row>
    <row r="3230" spans="4:17" x14ac:dyDescent="0.25">
      <c r="D3230" s="2"/>
      <c r="E3230" s="310"/>
      <c r="I3230" s="2"/>
      <c r="M3230" s="2"/>
      <c r="P3230" s="2"/>
      <c r="Q3230" s="2"/>
    </row>
    <row r="3231" spans="4:17" x14ac:dyDescent="0.25">
      <c r="D3231" s="2"/>
      <c r="E3231" s="310"/>
      <c r="I3231" s="2"/>
      <c r="M3231" s="2"/>
      <c r="P3231" s="2"/>
      <c r="Q3231" s="2"/>
    </row>
    <row r="3232" spans="4:17" x14ac:dyDescent="0.25">
      <c r="D3232" s="2"/>
      <c r="E3232" s="310"/>
      <c r="I3232" s="2"/>
      <c r="M3232" s="2"/>
      <c r="P3232" s="2"/>
      <c r="Q3232" s="2"/>
    </row>
    <row r="3233" spans="4:17" x14ac:dyDescent="0.25">
      <c r="D3233" s="2"/>
      <c r="E3233" s="310"/>
      <c r="I3233" s="2"/>
      <c r="M3233" s="2"/>
      <c r="P3233" s="2"/>
      <c r="Q3233" s="2"/>
    </row>
    <row r="3234" spans="4:17" x14ac:dyDescent="0.25">
      <c r="D3234" s="2"/>
      <c r="E3234" s="310"/>
      <c r="I3234" s="2"/>
      <c r="M3234" s="2"/>
      <c r="P3234" s="2"/>
      <c r="Q3234" s="2"/>
    </row>
    <row r="3235" spans="4:17" x14ac:dyDescent="0.25">
      <c r="D3235" s="2"/>
      <c r="E3235" s="310"/>
      <c r="I3235" s="2"/>
      <c r="M3235" s="2"/>
      <c r="P3235" s="2"/>
      <c r="Q3235" s="2"/>
    </row>
    <row r="3236" spans="4:17" x14ac:dyDescent="0.25">
      <c r="D3236" s="2"/>
      <c r="E3236" s="310"/>
      <c r="I3236" s="2"/>
      <c r="M3236" s="2"/>
      <c r="P3236" s="2"/>
      <c r="Q3236" s="2"/>
    </row>
    <row r="3237" spans="4:17" x14ac:dyDescent="0.25">
      <c r="D3237" s="2"/>
      <c r="E3237" s="310"/>
      <c r="I3237" s="2"/>
      <c r="M3237" s="2"/>
      <c r="P3237" s="2"/>
      <c r="Q3237" s="2"/>
    </row>
    <row r="3238" spans="4:17" x14ac:dyDescent="0.25">
      <c r="D3238" s="2"/>
      <c r="E3238" s="310"/>
      <c r="I3238" s="2"/>
      <c r="M3238" s="2"/>
      <c r="P3238" s="2"/>
      <c r="Q3238" s="2"/>
    </row>
    <row r="3239" spans="4:17" x14ac:dyDescent="0.25">
      <c r="D3239" s="2"/>
      <c r="E3239" s="310"/>
      <c r="I3239" s="2"/>
      <c r="M3239" s="2"/>
      <c r="P3239" s="2"/>
      <c r="Q3239" s="2"/>
    </row>
    <row r="3240" spans="4:17" x14ac:dyDescent="0.25">
      <c r="D3240" s="2"/>
      <c r="E3240" s="310"/>
      <c r="I3240" s="2"/>
      <c r="M3240" s="2"/>
      <c r="P3240" s="2"/>
      <c r="Q3240" s="2"/>
    </row>
    <row r="3241" spans="4:17" x14ac:dyDescent="0.25">
      <c r="D3241" s="2"/>
      <c r="E3241" s="310"/>
      <c r="I3241" s="2"/>
      <c r="M3241" s="2"/>
      <c r="P3241" s="2"/>
      <c r="Q3241" s="2"/>
    </row>
    <row r="3242" spans="4:17" x14ac:dyDescent="0.25">
      <c r="D3242" s="2"/>
      <c r="E3242" s="310"/>
      <c r="I3242" s="2"/>
      <c r="M3242" s="2"/>
      <c r="P3242" s="2"/>
      <c r="Q3242" s="2"/>
    </row>
    <row r="3243" spans="4:17" x14ac:dyDescent="0.25">
      <c r="D3243" s="2"/>
      <c r="E3243" s="310"/>
      <c r="I3243" s="2"/>
      <c r="M3243" s="2"/>
      <c r="P3243" s="2"/>
      <c r="Q3243" s="2"/>
    </row>
    <row r="3244" spans="4:17" x14ac:dyDescent="0.25">
      <c r="D3244" s="2"/>
      <c r="E3244" s="310"/>
      <c r="I3244" s="2"/>
      <c r="M3244" s="2"/>
      <c r="P3244" s="2"/>
      <c r="Q3244" s="2"/>
    </row>
    <row r="3245" spans="4:17" x14ac:dyDescent="0.25">
      <c r="D3245" s="2"/>
      <c r="E3245" s="310"/>
      <c r="I3245" s="2"/>
      <c r="M3245" s="2"/>
      <c r="P3245" s="2"/>
      <c r="Q3245" s="2"/>
    </row>
    <row r="3246" spans="4:17" x14ac:dyDescent="0.25">
      <c r="D3246" s="2"/>
      <c r="E3246" s="310"/>
      <c r="I3246" s="2"/>
      <c r="M3246" s="2"/>
      <c r="P3246" s="2"/>
      <c r="Q3246" s="2"/>
    </row>
    <row r="3247" spans="4:17" x14ac:dyDescent="0.25">
      <c r="D3247" s="2"/>
      <c r="E3247" s="310"/>
      <c r="I3247" s="2"/>
      <c r="M3247" s="2"/>
      <c r="P3247" s="2"/>
      <c r="Q3247" s="2"/>
    </row>
    <row r="3248" spans="4:17" x14ac:dyDescent="0.25">
      <c r="D3248" s="2"/>
      <c r="E3248" s="310"/>
      <c r="I3248" s="2"/>
      <c r="M3248" s="2"/>
      <c r="P3248" s="2"/>
      <c r="Q3248" s="2"/>
    </row>
    <row r="3249" spans="4:17" x14ac:dyDescent="0.25">
      <c r="D3249" s="2"/>
      <c r="E3249" s="310"/>
      <c r="I3249" s="2"/>
      <c r="M3249" s="2"/>
      <c r="P3249" s="2"/>
      <c r="Q3249" s="2"/>
    </row>
    <row r="3250" spans="4:17" x14ac:dyDescent="0.25">
      <c r="D3250" s="2"/>
      <c r="E3250" s="310"/>
      <c r="I3250" s="2"/>
      <c r="M3250" s="2"/>
      <c r="P3250" s="2"/>
      <c r="Q3250" s="2"/>
    </row>
    <row r="3251" spans="4:17" x14ac:dyDescent="0.25">
      <c r="D3251" s="2"/>
      <c r="E3251" s="310"/>
      <c r="I3251" s="2"/>
      <c r="M3251" s="2"/>
      <c r="P3251" s="2"/>
      <c r="Q3251" s="2"/>
    </row>
    <row r="3252" spans="4:17" x14ac:dyDescent="0.25">
      <c r="D3252" s="2"/>
      <c r="E3252" s="310"/>
      <c r="I3252" s="2"/>
      <c r="M3252" s="2"/>
      <c r="P3252" s="2"/>
      <c r="Q3252" s="2"/>
    </row>
    <row r="3253" spans="4:17" x14ac:dyDescent="0.25">
      <c r="D3253" s="2"/>
      <c r="E3253" s="310"/>
      <c r="I3253" s="2"/>
      <c r="M3253" s="2"/>
      <c r="P3253" s="2"/>
      <c r="Q3253" s="2"/>
    </row>
    <row r="3254" spans="4:17" x14ac:dyDescent="0.25">
      <c r="D3254" s="2"/>
      <c r="E3254" s="310"/>
      <c r="I3254" s="2"/>
      <c r="M3254" s="2"/>
      <c r="P3254" s="2"/>
      <c r="Q3254" s="2"/>
    </row>
    <row r="3255" spans="4:17" x14ac:dyDescent="0.25">
      <c r="D3255" s="2"/>
      <c r="E3255" s="310"/>
      <c r="I3255" s="2"/>
      <c r="M3255" s="2"/>
      <c r="P3255" s="2"/>
      <c r="Q3255" s="2"/>
    </row>
    <row r="3256" spans="4:17" x14ac:dyDescent="0.25">
      <c r="D3256" s="2"/>
      <c r="E3256" s="310"/>
      <c r="I3256" s="2"/>
      <c r="M3256" s="2"/>
      <c r="P3256" s="2"/>
      <c r="Q3256" s="2"/>
    </row>
    <row r="3257" spans="4:17" x14ac:dyDescent="0.25">
      <c r="D3257" s="2"/>
      <c r="E3257" s="310"/>
      <c r="I3257" s="2"/>
      <c r="M3257" s="2"/>
      <c r="P3257" s="2"/>
      <c r="Q3257" s="2"/>
    </row>
    <row r="3258" spans="4:17" x14ac:dyDescent="0.25">
      <c r="D3258" s="2"/>
      <c r="E3258" s="310"/>
      <c r="I3258" s="2"/>
      <c r="M3258" s="2"/>
      <c r="P3258" s="2"/>
      <c r="Q3258" s="2"/>
    </row>
    <row r="3259" spans="4:17" x14ac:dyDescent="0.25">
      <c r="D3259" s="2"/>
      <c r="E3259" s="310"/>
      <c r="I3259" s="2"/>
      <c r="M3259" s="2"/>
      <c r="P3259" s="2"/>
      <c r="Q3259" s="2"/>
    </row>
    <row r="3260" spans="4:17" x14ac:dyDescent="0.25">
      <c r="D3260" s="2"/>
      <c r="E3260" s="310"/>
      <c r="I3260" s="2"/>
      <c r="M3260" s="2"/>
      <c r="P3260" s="2"/>
      <c r="Q3260" s="2"/>
    </row>
    <row r="3261" spans="4:17" x14ac:dyDescent="0.25">
      <c r="D3261" s="2"/>
      <c r="E3261" s="310"/>
      <c r="I3261" s="2"/>
      <c r="M3261" s="2"/>
      <c r="P3261" s="2"/>
      <c r="Q3261" s="2"/>
    </row>
    <row r="3262" spans="4:17" x14ac:dyDescent="0.25">
      <c r="D3262" s="2"/>
      <c r="E3262" s="310"/>
      <c r="I3262" s="2"/>
      <c r="M3262" s="2"/>
      <c r="P3262" s="2"/>
      <c r="Q3262" s="2"/>
    </row>
    <row r="3263" spans="4:17" x14ac:dyDescent="0.25">
      <c r="D3263" s="2"/>
      <c r="E3263" s="310"/>
      <c r="I3263" s="2"/>
      <c r="M3263" s="2"/>
      <c r="P3263" s="2"/>
      <c r="Q3263" s="2"/>
    </row>
    <row r="3264" spans="4:17" x14ac:dyDescent="0.25">
      <c r="D3264" s="2"/>
      <c r="E3264" s="310"/>
      <c r="I3264" s="2"/>
      <c r="M3264" s="2"/>
      <c r="P3264" s="2"/>
      <c r="Q3264" s="2"/>
    </row>
    <row r="3265" spans="4:17" x14ac:dyDescent="0.25">
      <c r="D3265" s="2"/>
      <c r="E3265" s="310"/>
      <c r="I3265" s="2"/>
      <c r="M3265" s="2"/>
      <c r="P3265" s="2"/>
      <c r="Q3265" s="2"/>
    </row>
    <row r="3266" spans="4:17" x14ac:dyDescent="0.25">
      <c r="D3266" s="2"/>
      <c r="E3266" s="310"/>
      <c r="I3266" s="2"/>
      <c r="M3266" s="2"/>
      <c r="P3266" s="2"/>
      <c r="Q3266" s="2"/>
    </row>
    <row r="3267" spans="4:17" x14ac:dyDescent="0.25">
      <c r="D3267" s="2"/>
      <c r="E3267" s="310"/>
      <c r="I3267" s="2"/>
      <c r="M3267" s="2"/>
      <c r="P3267" s="2"/>
      <c r="Q3267" s="2"/>
    </row>
    <row r="3268" spans="4:17" x14ac:dyDescent="0.25">
      <c r="D3268" s="2"/>
      <c r="E3268" s="310"/>
      <c r="I3268" s="2"/>
      <c r="M3268" s="2"/>
      <c r="P3268" s="2"/>
      <c r="Q3268" s="2"/>
    </row>
    <row r="3269" spans="4:17" x14ac:dyDescent="0.25">
      <c r="D3269" s="2"/>
      <c r="E3269" s="310"/>
      <c r="I3269" s="2"/>
      <c r="M3269" s="2"/>
      <c r="P3269" s="2"/>
      <c r="Q3269" s="2"/>
    </row>
    <row r="3270" spans="4:17" x14ac:dyDescent="0.25">
      <c r="D3270" s="2"/>
      <c r="E3270" s="310"/>
      <c r="I3270" s="2"/>
      <c r="M3270" s="2"/>
      <c r="P3270" s="2"/>
      <c r="Q3270" s="2"/>
    </row>
    <row r="3271" spans="4:17" x14ac:dyDescent="0.25">
      <c r="D3271" s="2"/>
      <c r="E3271" s="310"/>
      <c r="I3271" s="2"/>
      <c r="M3271" s="2"/>
      <c r="P3271" s="2"/>
      <c r="Q3271" s="2"/>
    </row>
    <row r="3272" spans="4:17" x14ac:dyDescent="0.25">
      <c r="D3272" s="2"/>
      <c r="E3272" s="310"/>
      <c r="I3272" s="2"/>
      <c r="M3272" s="2"/>
      <c r="P3272" s="2"/>
      <c r="Q3272" s="2"/>
    </row>
    <row r="3273" spans="4:17" x14ac:dyDescent="0.25">
      <c r="D3273" s="2"/>
      <c r="E3273" s="310"/>
      <c r="I3273" s="2"/>
      <c r="M3273" s="2"/>
      <c r="P3273" s="2"/>
      <c r="Q3273" s="2"/>
    </row>
    <row r="3274" spans="4:17" x14ac:dyDescent="0.25">
      <c r="D3274" s="2"/>
      <c r="E3274" s="310"/>
      <c r="I3274" s="2"/>
      <c r="M3274" s="2"/>
      <c r="P3274" s="2"/>
      <c r="Q3274" s="2"/>
    </row>
    <row r="3275" spans="4:17" x14ac:dyDescent="0.25">
      <c r="D3275" s="2"/>
      <c r="E3275" s="310"/>
      <c r="I3275" s="2"/>
      <c r="M3275" s="2"/>
      <c r="P3275" s="2"/>
      <c r="Q3275" s="2"/>
    </row>
    <row r="3276" spans="4:17" x14ac:dyDescent="0.25">
      <c r="D3276" s="2"/>
      <c r="E3276" s="310"/>
      <c r="I3276" s="2"/>
      <c r="M3276" s="2"/>
      <c r="P3276" s="2"/>
      <c r="Q3276" s="2"/>
    </row>
    <row r="3277" spans="4:17" x14ac:dyDescent="0.25">
      <c r="D3277" s="2"/>
      <c r="E3277" s="310"/>
      <c r="I3277" s="2"/>
      <c r="M3277" s="2"/>
      <c r="P3277" s="2"/>
      <c r="Q3277" s="2"/>
    </row>
    <row r="3278" spans="4:17" x14ac:dyDescent="0.25">
      <c r="D3278" s="2"/>
      <c r="E3278" s="310"/>
      <c r="I3278" s="2"/>
      <c r="M3278" s="2"/>
      <c r="P3278" s="2"/>
      <c r="Q3278" s="2"/>
    </row>
    <row r="3279" spans="4:17" x14ac:dyDescent="0.25">
      <c r="D3279" s="2"/>
      <c r="E3279" s="310"/>
      <c r="I3279" s="2"/>
      <c r="M3279" s="2"/>
      <c r="P3279" s="2"/>
      <c r="Q3279" s="2"/>
    </row>
    <row r="3280" spans="4:17" x14ac:dyDescent="0.25">
      <c r="D3280" s="2"/>
      <c r="E3280" s="310"/>
      <c r="I3280" s="2"/>
      <c r="M3280" s="2"/>
      <c r="P3280" s="2"/>
      <c r="Q3280" s="2"/>
    </row>
    <row r="3281" spans="4:17" x14ac:dyDescent="0.25">
      <c r="D3281" s="2"/>
      <c r="E3281" s="310"/>
      <c r="I3281" s="2"/>
      <c r="M3281" s="2"/>
      <c r="P3281" s="2"/>
      <c r="Q3281" s="2"/>
    </row>
    <row r="3282" spans="4:17" x14ac:dyDescent="0.25">
      <c r="D3282" s="2"/>
      <c r="E3282" s="310"/>
      <c r="I3282" s="2"/>
      <c r="M3282" s="2"/>
      <c r="P3282" s="2"/>
      <c r="Q3282" s="2"/>
    </row>
    <row r="3283" spans="4:17" x14ac:dyDescent="0.25">
      <c r="D3283" s="2"/>
      <c r="E3283" s="310"/>
      <c r="I3283" s="2"/>
      <c r="M3283" s="2"/>
      <c r="P3283" s="2"/>
      <c r="Q3283" s="2"/>
    </row>
    <row r="3284" spans="4:17" x14ac:dyDescent="0.25">
      <c r="D3284" s="2"/>
      <c r="E3284" s="310"/>
      <c r="I3284" s="2"/>
      <c r="M3284" s="2"/>
      <c r="P3284" s="2"/>
      <c r="Q3284" s="2"/>
    </row>
    <row r="3285" spans="4:17" x14ac:dyDescent="0.25">
      <c r="D3285" s="2"/>
      <c r="E3285" s="310"/>
      <c r="I3285" s="2"/>
      <c r="M3285" s="2"/>
      <c r="P3285" s="2"/>
      <c r="Q3285" s="2"/>
    </row>
    <row r="3286" spans="4:17" x14ac:dyDescent="0.25">
      <c r="D3286" s="2"/>
      <c r="E3286" s="310"/>
      <c r="I3286" s="2"/>
      <c r="M3286" s="2"/>
      <c r="P3286" s="2"/>
      <c r="Q3286" s="2"/>
    </row>
    <row r="3287" spans="4:17" x14ac:dyDescent="0.25">
      <c r="D3287" s="2"/>
      <c r="E3287" s="310"/>
      <c r="I3287" s="2"/>
      <c r="M3287" s="2"/>
      <c r="P3287" s="2"/>
      <c r="Q3287" s="2"/>
    </row>
    <row r="3288" spans="4:17" x14ac:dyDescent="0.25">
      <c r="D3288" s="2"/>
      <c r="E3288" s="310"/>
      <c r="I3288" s="2"/>
      <c r="M3288" s="2"/>
      <c r="P3288" s="2"/>
      <c r="Q3288" s="2"/>
    </row>
    <row r="3289" spans="4:17" x14ac:dyDescent="0.25">
      <c r="D3289" s="2"/>
      <c r="E3289" s="310"/>
      <c r="I3289" s="2"/>
      <c r="M3289" s="2"/>
      <c r="P3289" s="2"/>
      <c r="Q3289" s="2"/>
    </row>
    <row r="3290" spans="4:17" x14ac:dyDescent="0.25">
      <c r="D3290" s="2"/>
      <c r="E3290" s="310"/>
      <c r="I3290" s="2"/>
      <c r="M3290" s="2"/>
      <c r="P3290" s="2"/>
      <c r="Q3290" s="2"/>
    </row>
    <row r="3291" spans="4:17" x14ac:dyDescent="0.25">
      <c r="D3291" s="2"/>
      <c r="E3291" s="310"/>
      <c r="I3291" s="2"/>
      <c r="M3291" s="2"/>
      <c r="P3291" s="2"/>
      <c r="Q3291" s="2"/>
    </row>
    <row r="3292" spans="4:17" x14ac:dyDescent="0.25">
      <c r="D3292" s="2"/>
      <c r="E3292" s="310"/>
      <c r="I3292" s="2"/>
      <c r="M3292" s="2"/>
      <c r="P3292" s="2"/>
      <c r="Q3292" s="2"/>
    </row>
    <row r="3293" spans="4:17" x14ac:dyDescent="0.25">
      <c r="D3293" s="2"/>
      <c r="E3293" s="310"/>
      <c r="I3293" s="2"/>
      <c r="M3293" s="2"/>
      <c r="P3293" s="2"/>
      <c r="Q3293" s="2"/>
    </row>
    <row r="3294" spans="4:17" x14ac:dyDescent="0.25">
      <c r="D3294" s="2"/>
      <c r="E3294" s="310"/>
      <c r="I3294" s="2"/>
      <c r="M3294" s="2"/>
      <c r="P3294" s="2"/>
      <c r="Q3294" s="2"/>
    </row>
    <row r="3295" spans="4:17" x14ac:dyDescent="0.25">
      <c r="D3295" s="2"/>
      <c r="E3295" s="310"/>
      <c r="I3295" s="2"/>
      <c r="M3295" s="2"/>
      <c r="P3295" s="2"/>
      <c r="Q3295" s="2"/>
    </row>
    <row r="3296" spans="4:17" x14ac:dyDescent="0.25">
      <c r="D3296" s="2"/>
      <c r="E3296" s="310"/>
      <c r="I3296" s="2"/>
      <c r="M3296" s="2"/>
      <c r="P3296" s="2"/>
      <c r="Q3296" s="2"/>
    </row>
    <row r="3297" spans="4:17" x14ac:dyDescent="0.25">
      <c r="D3297" s="2"/>
      <c r="E3297" s="310"/>
      <c r="I3297" s="2"/>
      <c r="M3297" s="2"/>
      <c r="P3297" s="2"/>
      <c r="Q3297" s="2"/>
    </row>
    <row r="3298" spans="4:17" x14ac:dyDescent="0.25">
      <c r="D3298" s="2"/>
      <c r="E3298" s="310"/>
      <c r="I3298" s="2"/>
      <c r="M3298" s="2"/>
      <c r="P3298" s="2"/>
      <c r="Q3298" s="2"/>
    </row>
    <row r="3299" spans="4:17" x14ac:dyDescent="0.25">
      <c r="D3299" s="2"/>
      <c r="E3299" s="310"/>
      <c r="I3299" s="2"/>
      <c r="M3299" s="2"/>
      <c r="P3299" s="2"/>
      <c r="Q3299" s="2"/>
    </row>
    <row r="3300" spans="4:17" x14ac:dyDescent="0.25">
      <c r="D3300" s="2"/>
      <c r="E3300" s="310"/>
      <c r="I3300" s="2"/>
      <c r="M3300" s="2"/>
      <c r="P3300" s="2"/>
      <c r="Q3300" s="2"/>
    </row>
    <row r="3301" spans="4:17" x14ac:dyDescent="0.25">
      <c r="D3301" s="2"/>
      <c r="E3301" s="310"/>
      <c r="I3301" s="2"/>
      <c r="M3301" s="2"/>
      <c r="P3301" s="2"/>
      <c r="Q3301" s="2"/>
    </row>
    <row r="3302" spans="4:17" x14ac:dyDescent="0.25">
      <c r="D3302" s="2"/>
      <c r="E3302" s="310"/>
      <c r="I3302" s="2"/>
      <c r="M3302" s="2"/>
      <c r="P3302" s="2"/>
      <c r="Q3302" s="2"/>
    </row>
    <row r="3303" spans="4:17" x14ac:dyDescent="0.25">
      <c r="D3303" s="2"/>
      <c r="E3303" s="310"/>
      <c r="I3303" s="2"/>
      <c r="M3303" s="2"/>
      <c r="P3303" s="2"/>
      <c r="Q3303" s="2"/>
    </row>
    <row r="3304" spans="4:17" x14ac:dyDescent="0.25">
      <c r="D3304" s="2"/>
      <c r="E3304" s="310"/>
      <c r="I3304" s="2"/>
      <c r="M3304" s="2"/>
      <c r="P3304" s="2"/>
      <c r="Q3304" s="2"/>
    </row>
    <row r="3305" spans="4:17" x14ac:dyDescent="0.25">
      <c r="D3305" s="2"/>
      <c r="E3305" s="310"/>
      <c r="I3305" s="2"/>
      <c r="M3305" s="2"/>
      <c r="P3305" s="2"/>
      <c r="Q3305" s="2"/>
    </row>
    <row r="3306" spans="4:17" x14ac:dyDescent="0.25">
      <c r="D3306" s="2"/>
      <c r="E3306" s="310"/>
      <c r="I3306" s="2"/>
      <c r="M3306" s="2"/>
      <c r="P3306" s="2"/>
      <c r="Q3306" s="2"/>
    </row>
    <row r="3307" spans="4:17" x14ac:dyDescent="0.25">
      <c r="D3307" s="2"/>
      <c r="E3307" s="310"/>
      <c r="I3307" s="2"/>
      <c r="M3307" s="2"/>
      <c r="P3307" s="2"/>
      <c r="Q3307" s="2"/>
    </row>
    <row r="3308" spans="4:17" x14ac:dyDescent="0.25">
      <c r="D3308" s="2"/>
      <c r="E3308" s="310"/>
      <c r="I3308" s="2"/>
      <c r="M3308" s="2"/>
      <c r="P3308" s="2"/>
      <c r="Q3308" s="2"/>
    </row>
    <row r="3309" spans="4:17" x14ac:dyDescent="0.25">
      <c r="D3309" s="2"/>
      <c r="E3309" s="310"/>
      <c r="I3309" s="2"/>
      <c r="M3309" s="2"/>
      <c r="P3309" s="2"/>
      <c r="Q3309" s="2"/>
    </row>
    <row r="3310" spans="4:17" x14ac:dyDescent="0.25">
      <c r="D3310" s="2"/>
      <c r="E3310" s="310"/>
      <c r="I3310" s="2"/>
      <c r="M3310" s="2"/>
      <c r="P3310" s="2"/>
      <c r="Q3310" s="2"/>
    </row>
    <row r="3311" spans="4:17" x14ac:dyDescent="0.25">
      <c r="D3311" s="2"/>
      <c r="E3311" s="310"/>
      <c r="I3311" s="2"/>
      <c r="M3311" s="2"/>
      <c r="P3311" s="2"/>
      <c r="Q3311" s="2"/>
    </row>
    <row r="3312" spans="4:17" x14ac:dyDescent="0.25">
      <c r="D3312" s="2"/>
      <c r="E3312" s="310"/>
      <c r="I3312" s="2"/>
      <c r="M3312" s="2"/>
      <c r="P3312" s="2"/>
      <c r="Q3312" s="2"/>
    </row>
    <row r="3313" spans="4:17" x14ac:dyDescent="0.25">
      <c r="D3313" s="2"/>
      <c r="E3313" s="310"/>
      <c r="I3313" s="2"/>
      <c r="M3313" s="2"/>
      <c r="P3313" s="2"/>
      <c r="Q3313" s="2"/>
    </row>
    <row r="3314" spans="4:17" x14ac:dyDescent="0.25">
      <c r="D3314" s="2"/>
      <c r="E3314" s="310"/>
      <c r="I3314" s="2"/>
      <c r="M3314" s="2"/>
      <c r="P3314" s="2"/>
      <c r="Q3314" s="2"/>
    </row>
    <row r="3315" spans="4:17" x14ac:dyDescent="0.25">
      <c r="D3315" s="2"/>
      <c r="E3315" s="310"/>
      <c r="I3315" s="2"/>
      <c r="M3315" s="2"/>
      <c r="P3315" s="2"/>
      <c r="Q3315" s="2"/>
    </row>
    <row r="3316" spans="4:17" x14ac:dyDescent="0.25">
      <c r="D3316" s="2"/>
      <c r="E3316" s="310"/>
      <c r="I3316" s="2"/>
      <c r="M3316" s="2"/>
      <c r="P3316" s="2"/>
      <c r="Q3316" s="2"/>
    </row>
    <row r="3317" spans="4:17" x14ac:dyDescent="0.25">
      <c r="D3317" s="2"/>
      <c r="E3317" s="310"/>
      <c r="I3317" s="2"/>
      <c r="M3317" s="2"/>
      <c r="P3317" s="2"/>
      <c r="Q3317" s="2"/>
    </row>
    <row r="3318" spans="4:17" x14ac:dyDescent="0.25">
      <c r="D3318" s="2"/>
      <c r="E3318" s="310"/>
      <c r="I3318" s="2"/>
      <c r="M3318" s="2"/>
      <c r="P3318" s="2"/>
      <c r="Q3318" s="2"/>
    </row>
    <row r="3319" spans="4:17" x14ac:dyDescent="0.25">
      <c r="D3319" s="2"/>
      <c r="E3319" s="310"/>
      <c r="I3319" s="2"/>
      <c r="M3319" s="2"/>
      <c r="P3319" s="2"/>
      <c r="Q3319" s="2"/>
    </row>
    <row r="3320" spans="4:17" x14ac:dyDescent="0.25">
      <c r="D3320" s="2"/>
      <c r="E3320" s="310"/>
      <c r="I3320" s="2"/>
      <c r="M3320" s="2"/>
      <c r="P3320" s="2"/>
      <c r="Q3320" s="2"/>
    </row>
    <row r="3321" spans="4:17" x14ac:dyDescent="0.25">
      <c r="D3321" s="2"/>
      <c r="E3321" s="310"/>
      <c r="I3321" s="2"/>
      <c r="M3321" s="2"/>
      <c r="P3321" s="2"/>
      <c r="Q3321" s="2"/>
    </row>
    <row r="3322" spans="4:17" x14ac:dyDescent="0.25">
      <c r="D3322" s="2"/>
      <c r="E3322" s="310"/>
      <c r="I3322" s="2"/>
      <c r="M3322" s="2"/>
      <c r="P3322" s="2"/>
      <c r="Q3322" s="2"/>
    </row>
    <row r="3323" spans="4:17" x14ac:dyDescent="0.25">
      <c r="D3323" s="2"/>
      <c r="E3323" s="310"/>
      <c r="I3323" s="2"/>
      <c r="M3323" s="2"/>
      <c r="P3323" s="2"/>
      <c r="Q3323" s="2"/>
    </row>
    <row r="3324" spans="4:17" x14ac:dyDescent="0.25">
      <c r="D3324" s="2"/>
      <c r="E3324" s="310"/>
      <c r="I3324" s="2"/>
      <c r="M3324" s="2"/>
      <c r="P3324" s="2"/>
      <c r="Q3324" s="2"/>
    </row>
    <row r="3325" spans="4:17" x14ac:dyDescent="0.25">
      <c r="D3325" s="2"/>
      <c r="E3325" s="310"/>
      <c r="I3325" s="2"/>
      <c r="M3325" s="2"/>
      <c r="P3325" s="2"/>
      <c r="Q3325" s="2"/>
    </row>
    <row r="3326" spans="4:17" x14ac:dyDescent="0.25">
      <c r="D3326" s="2"/>
      <c r="E3326" s="310"/>
      <c r="I3326" s="2"/>
      <c r="M3326" s="2"/>
      <c r="P3326" s="2"/>
      <c r="Q3326" s="2"/>
    </row>
    <row r="3327" spans="4:17" x14ac:dyDescent="0.25">
      <c r="D3327" s="2"/>
      <c r="E3327" s="310"/>
      <c r="I3327" s="2"/>
      <c r="M3327" s="2"/>
      <c r="P3327" s="2"/>
      <c r="Q3327" s="2"/>
    </row>
    <row r="3328" spans="4:17" x14ac:dyDescent="0.25">
      <c r="D3328" s="2"/>
      <c r="E3328" s="310"/>
      <c r="I3328" s="2"/>
      <c r="M3328" s="2"/>
      <c r="P3328" s="2"/>
      <c r="Q3328" s="2"/>
    </row>
    <row r="3329" spans="4:17" x14ac:dyDescent="0.25">
      <c r="D3329" s="2"/>
      <c r="E3329" s="310"/>
      <c r="I3329" s="2"/>
      <c r="M3329" s="2"/>
      <c r="P3329" s="2"/>
      <c r="Q3329" s="2"/>
    </row>
    <row r="3330" spans="4:17" x14ac:dyDescent="0.25">
      <c r="D3330" s="2"/>
      <c r="E3330" s="310"/>
      <c r="I3330" s="2"/>
      <c r="M3330" s="2"/>
      <c r="P3330" s="2"/>
      <c r="Q3330" s="2"/>
    </row>
    <row r="3331" spans="4:17" x14ac:dyDescent="0.25">
      <c r="D3331" s="2"/>
      <c r="E3331" s="310"/>
      <c r="I3331" s="2"/>
      <c r="M3331" s="2"/>
      <c r="P3331" s="2"/>
      <c r="Q3331" s="2"/>
    </row>
    <row r="3332" spans="4:17" x14ac:dyDescent="0.25">
      <c r="D3332" s="2"/>
      <c r="E3332" s="310"/>
      <c r="I3332" s="2"/>
      <c r="M3332" s="2"/>
      <c r="P3332" s="2"/>
      <c r="Q3332" s="2"/>
    </row>
    <row r="3333" spans="4:17" x14ac:dyDescent="0.25">
      <c r="D3333" s="2"/>
      <c r="E3333" s="310"/>
      <c r="I3333" s="2"/>
      <c r="M3333" s="2"/>
      <c r="P3333" s="2"/>
      <c r="Q3333" s="2"/>
    </row>
    <row r="3336" spans="4:17" x14ac:dyDescent="0.25">
      <c r="D3336" s="2"/>
      <c r="E3336" s="310"/>
      <c r="I3336" s="2"/>
      <c r="M3336" s="2"/>
      <c r="P3336" s="2"/>
      <c r="Q3336" s="2"/>
    </row>
    <row r="3337" spans="4:17" x14ac:dyDescent="0.25">
      <c r="D3337" s="2"/>
      <c r="E3337" s="310"/>
      <c r="I3337" s="2"/>
      <c r="M3337" s="2"/>
      <c r="P3337" s="2"/>
      <c r="Q3337" s="2"/>
    </row>
    <row r="3338" spans="4:17" x14ac:dyDescent="0.25">
      <c r="D3338" s="2"/>
      <c r="E3338" s="310"/>
      <c r="I3338" s="2"/>
      <c r="M3338" s="2"/>
      <c r="P3338" s="2"/>
      <c r="Q3338" s="2"/>
    </row>
    <row r="3339" spans="4:17" x14ac:dyDescent="0.25">
      <c r="D3339" s="2"/>
      <c r="E3339" s="310"/>
      <c r="I3339" s="2"/>
      <c r="M3339" s="2"/>
      <c r="P3339" s="2"/>
      <c r="Q3339" s="2"/>
    </row>
    <row r="3340" spans="4:17" x14ac:dyDescent="0.25">
      <c r="D3340" s="2"/>
      <c r="E3340" s="310"/>
      <c r="I3340" s="2"/>
      <c r="M3340" s="2"/>
      <c r="P3340" s="2"/>
      <c r="Q3340" s="2"/>
    </row>
    <row r="3341" spans="4:17" x14ac:dyDescent="0.25">
      <c r="D3341" s="2"/>
      <c r="E3341" s="310"/>
      <c r="I3341" s="2"/>
      <c r="M3341" s="2"/>
      <c r="P3341" s="2"/>
      <c r="Q3341" s="2"/>
    </row>
    <row r="3342" spans="4:17" x14ac:dyDescent="0.25">
      <c r="D3342" s="2"/>
      <c r="E3342" s="310"/>
      <c r="I3342" s="2"/>
      <c r="M3342" s="2"/>
      <c r="P3342" s="2"/>
      <c r="Q3342" s="2"/>
    </row>
    <row r="3343" spans="4:17" x14ac:dyDescent="0.25">
      <c r="D3343" s="2"/>
      <c r="E3343" s="310"/>
      <c r="I3343" s="2"/>
      <c r="M3343" s="2"/>
      <c r="P3343" s="2"/>
      <c r="Q3343" s="2"/>
    </row>
    <row r="3344" spans="4:17" x14ac:dyDescent="0.25">
      <c r="D3344" s="2"/>
      <c r="E3344" s="310"/>
      <c r="I3344" s="2"/>
      <c r="M3344" s="2"/>
      <c r="P3344" s="2"/>
      <c r="Q3344" s="2"/>
    </row>
    <row r="3345" spans="4:17" x14ac:dyDescent="0.25">
      <c r="D3345" s="2"/>
      <c r="E3345" s="310"/>
      <c r="I3345" s="2"/>
      <c r="M3345" s="2"/>
      <c r="P3345" s="2"/>
      <c r="Q3345" s="2"/>
    </row>
    <row r="3346" spans="4:17" x14ac:dyDescent="0.25">
      <c r="D3346" s="2"/>
      <c r="E3346" s="310"/>
      <c r="I3346" s="2"/>
      <c r="M3346" s="2"/>
      <c r="P3346" s="2"/>
      <c r="Q3346" s="2"/>
    </row>
    <row r="3347" spans="4:17" x14ac:dyDescent="0.25">
      <c r="D3347" s="2"/>
      <c r="E3347" s="310"/>
      <c r="I3347" s="2"/>
      <c r="M3347" s="2"/>
      <c r="P3347" s="2"/>
      <c r="Q3347" s="2"/>
    </row>
    <row r="3348" spans="4:17" x14ac:dyDescent="0.25">
      <c r="D3348" s="2"/>
      <c r="E3348" s="310"/>
      <c r="I3348" s="2"/>
      <c r="M3348" s="2"/>
      <c r="P3348" s="2"/>
      <c r="Q3348" s="2"/>
    </row>
    <row r="3349" spans="4:17" x14ac:dyDescent="0.25">
      <c r="D3349" s="2"/>
      <c r="E3349" s="310"/>
      <c r="I3349" s="2"/>
      <c r="M3349" s="2"/>
      <c r="P3349" s="2"/>
      <c r="Q3349" s="2"/>
    </row>
    <row r="3350" spans="4:17" x14ac:dyDescent="0.25">
      <c r="D3350" s="2"/>
      <c r="E3350" s="310"/>
      <c r="I3350" s="2"/>
      <c r="M3350" s="2"/>
      <c r="P3350" s="2"/>
      <c r="Q3350" s="2"/>
    </row>
    <row r="3351" spans="4:17" x14ac:dyDescent="0.25">
      <c r="D3351" s="2"/>
      <c r="E3351" s="310"/>
      <c r="I3351" s="2"/>
      <c r="M3351" s="2"/>
      <c r="P3351" s="2"/>
      <c r="Q3351" s="2"/>
    </row>
    <row r="3352" spans="4:17" x14ac:dyDescent="0.25">
      <c r="D3352" s="2"/>
      <c r="E3352" s="310"/>
      <c r="I3352" s="2"/>
      <c r="M3352" s="2"/>
      <c r="P3352" s="2"/>
      <c r="Q3352" s="2"/>
    </row>
    <row r="3353" spans="4:17" x14ac:dyDescent="0.25">
      <c r="D3353" s="2"/>
      <c r="E3353" s="310"/>
      <c r="I3353" s="2"/>
      <c r="M3353" s="2"/>
      <c r="P3353" s="2"/>
      <c r="Q3353" s="2"/>
    </row>
    <row r="3354" spans="4:17" x14ac:dyDescent="0.25">
      <c r="D3354" s="2"/>
      <c r="E3354" s="310"/>
      <c r="I3354" s="2"/>
      <c r="M3354" s="2"/>
      <c r="P3354" s="2"/>
      <c r="Q3354" s="2"/>
    </row>
    <row r="3355" spans="4:17" x14ac:dyDescent="0.25">
      <c r="D3355" s="2"/>
      <c r="E3355" s="310"/>
      <c r="I3355" s="2"/>
      <c r="M3355" s="2"/>
      <c r="P3355" s="2"/>
      <c r="Q3355" s="2"/>
    </row>
    <row r="3356" spans="4:17" x14ac:dyDescent="0.25">
      <c r="D3356" s="2"/>
      <c r="E3356" s="310"/>
      <c r="I3356" s="2"/>
      <c r="M3356" s="2"/>
      <c r="P3356" s="2"/>
      <c r="Q3356" s="2"/>
    </row>
    <row r="3357" spans="4:17" x14ac:dyDescent="0.25">
      <c r="D3357" s="2"/>
      <c r="E3357" s="310"/>
      <c r="I3357" s="2"/>
      <c r="M3357" s="2"/>
      <c r="P3357" s="2"/>
      <c r="Q3357" s="2"/>
    </row>
    <row r="3358" spans="4:17" x14ac:dyDescent="0.25">
      <c r="D3358" s="2"/>
      <c r="E3358" s="310"/>
      <c r="I3358" s="2"/>
      <c r="M3358" s="2"/>
      <c r="P3358" s="2"/>
      <c r="Q3358" s="2"/>
    </row>
    <row r="3359" spans="4:17" x14ac:dyDescent="0.25">
      <c r="D3359" s="2"/>
      <c r="E3359" s="310"/>
      <c r="I3359" s="2"/>
      <c r="M3359" s="2"/>
      <c r="P3359" s="2"/>
      <c r="Q3359" s="2"/>
    </row>
    <row r="3360" spans="4:17" x14ac:dyDescent="0.25">
      <c r="D3360" s="2"/>
      <c r="E3360" s="310"/>
      <c r="I3360" s="2"/>
      <c r="M3360" s="2"/>
      <c r="P3360" s="2"/>
      <c r="Q3360" s="2"/>
    </row>
    <row r="3362" spans="4:17" x14ac:dyDescent="0.25">
      <c r="D3362" s="2"/>
      <c r="E3362" s="310"/>
      <c r="I3362" s="2"/>
      <c r="M3362" s="2"/>
      <c r="P3362" s="2"/>
      <c r="Q3362" s="2"/>
    </row>
    <row r="3363" spans="4:17" x14ac:dyDescent="0.25">
      <c r="D3363" s="2"/>
      <c r="E3363" s="310"/>
      <c r="I3363" s="2"/>
      <c r="M3363" s="2"/>
      <c r="P3363" s="2"/>
      <c r="Q3363" s="2"/>
    </row>
    <row r="3364" spans="4:17" x14ac:dyDescent="0.25">
      <c r="D3364" s="2"/>
      <c r="E3364" s="310"/>
      <c r="I3364" s="2"/>
      <c r="M3364" s="2"/>
      <c r="P3364" s="2"/>
      <c r="Q3364" s="2"/>
    </row>
    <row r="3365" spans="4:17" x14ac:dyDescent="0.25">
      <c r="D3365" s="2"/>
      <c r="E3365" s="310"/>
      <c r="I3365" s="2"/>
      <c r="M3365" s="2"/>
      <c r="P3365" s="2"/>
      <c r="Q3365" s="2"/>
    </row>
    <row r="3367" spans="4:17" x14ac:dyDescent="0.25">
      <c r="D3367" s="2"/>
      <c r="E3367" s="310"/>
      <c r="I3367" s="2"/>
      <c r="M3367" s="2"/>
      <c r="P3367" s="2"/>
      <c r="Q3367" s="2"/>
    </row>
    <row r="3368" spans="4:17" x14ac:dyDescent="0.25">
      <c r="D3368" s="2"/>
      <c r="E3368" s="310"/>
      <c r="I3368" s="2"/>
      <c r="M3368" s="2"/>
      <c r="P3368" s="2"/>
      <c r="Q3368" s="2"/>
    </row>
    <row r="3369" spans="4:17" x14ac:dyDescent="0.25">
      <c r="D3369" s="2"/>
      <c r="E3369" s="310"/>
      <c r="I3369" s="2"/>
      <c r="M3369" s="2"/>
      <c r="P3369" s="2"/>
      <c r="Q3369" s="2"/>
    </row>
    <row r="3370" spans="4:17" x14ac:dyDescent="0.25">
      <c r="D3370" s="2"/>
      <c r="E3370" s="310"/>
      <c r="I3370" s="2"/>
      <c r="M3370" s="2"/>
      <c r="P3370" s="2"/>
      <c r="Q3370" s="2"/>
    </row>
    <row r="3371" spans="4:17" x14ac:dyDescent="0.25">
      <c r="D3371" s="2"/>
      <c r="E3371" s="310"/>
      <c r="I3371" s="2"/>
      <c r="M3371" s="2"/>
      <c r="P3371" s="2"/>
      <c r="Q3371" s="2"/>
    </row>
    <row r="3372" spans="4:17" x14ac:dyDescent="0.25">
      <c r="D3372" s="2"/>
      <c r="E3372" s="310"/>
      <c r="I3372" s="2"/>
      <c r="M3372" s="2"/>
      <c r="P3372" s="2"/>
      <c r="Q3372" s="2"/>
    </row>
    <row r="3373" spans="4:17" x14ac:dyDescent="0.25">
      <c r="D3373" s="2"/>
      <c r="E3373" s="310"/>
      <c r="I3373" s="2"/>
      <c r="M3373" s="2"/>
      <c r="P3373" s="2"/>
      <c r="Q3373" s="2"/>
    </row>
    <row r="3374" spans="4:17" x14ac:dyDescent="0.25">
      <c r="D3374" s="2"/>
      <c r="E3374" s="310"/>
      <c r="I3374" s="2"/>
      <c r="M3374" s="2"/>
      <c r="P3374" s="2"/>
      <c r="Q3374" s="2"/>
    </row>
    <row r="3375" spans="4:17" x14ac:dyDescent="0.25">
      <c r="D3375" s="2"/>
      <c r="E3375" s="310"/>
      <c r="I3375" s="2"/>
      <c r="M3375" s="2"/>
      <c r="P3375" s="2"/>
      <c r="Q3375" s="2"/>
    </row>
    <row r="3376" spans="4:17" x14ac:dyDescent="0.25">
      <c r="D3376" s="2"/>
      <c r="E3376" s="310"/>
      <c r="I3376" s="2"/>
      <c r="M3376" s="2"/>
      <c r="P3376" s="2"/>
      <c r="Q3376" s="2"/>
    </row>
    <row r="3377" spans="4:17" x14ac:dyDescent="0.25">
      <c r="D3377" s="2"/>
      <c r="E3377" s="310"/>
      <c r="I3377" s="2"/>
      <c r="M3377" s="2"/>
      <c r="P3377" s="2"/>
      <c r="Q3377" s="2"/>
    </row>
    <row r="3378" spans="4:17" x14ac:dyDescent="0.25">
      <c r="D3378" s="2"/>
      <c r="E3378" s="310"/>
      <c r="I3378" s="2"/>
      <c r="M3378" s="2"/>
      <c r="P3378" s="2"/>
      <c r="Q3378" s="2"/>
    </row>
    <row r="3379" spans="4:17" x14ac:dyDescent="0.25">
      <c r="D3379" s="2"/>
      <c r="E3379" s="310"/>
      <c r="I3379" s="2"/>
      <c r="M3379" s="2"/>
      <c r="P3379" s="2"/>
      <c r="Q3379" s="2"/>
    </row>
    <row r="3380" spans="4:17" x14ac:dyDescent="0.25">
      <c r="D3380" s="2"/>
      <c r="E3380" s="310"/>
      <c r="I3380" s="2"/>
      <c r="M3380" s="2"/>
      <c r="P3380" s="2"/>
      <c r="Q3380" s="2"/>
    </row>
    <row r="3381" spans="4:17" x14ac:dyDescent="0.25">
      <c r="D3381" s="2"/>
      <c r="E3381" s="310"/>
      <c r="I3381" s="2"/>
      <c r="M3381" s="2"/>
      <c r="P3381" s="2"/>
      <c r="Q3381" s="2"/>
    </row>
    <row r="3382" spans="4:17" x14ac:dyDescent="0.25">
      <c r="D3382" s="2"/>
      <c r="E3382" s="310"/>
      <c r="I3382" s="2"/>
      <c r="M3382" s="2"/>
      <c r="P3382" s="2"/>
      <c r="Q3382" s="2"/>
    </row>
    <row r="3383" spans="4:17" x14ac:dyDescent="0.25">
      <c r="D3383" s="2"/>
      <c r="E3383" s="310"/>
      <c r="I3383" s="2"/>
      <c r="M3383" s="2"/>
      <c r="P3383" s="2"/>
      <c r="Q3383" s="2"/>
    </row>
    <row r="3384" spans="4:17" x14ac:dyDescent="0.25">
      <c r="D3384" s="2"/>
      <c r="E3384" s="310"/>
      <c r="I3384" s="2"/>
      <c r="M3384" s="2"/>
      <c r="P3384" s="2"/>
      <c r="Q3384" s="2"/>
    </row>
    <row r="3385" spans="4:17" x14ac:dyDescent="0.25">
      <c r="D3385" s="2"/>
      <c r="E3385" s="310"/>
      <c r="I3385" s="2"/>
      <c r="M3385" s="2"/>
      <c r="P3385" s="2"/>
      <c r="Q3385" s="2"/>
    </row>
    <row r="3386" spans="4:17" x14ac:dyDescent="0.25">
      <c r="D3386" s="2"/>
      <c r="E3386" s="310"/>
      <c r="I3386" s="2"/>
      <c r="M3386" s="2"/>
      <c r="P3386" s="2"/>
      <c r="Q3386" s="2"/>
    </row>
    <row r="3387" spans="4:17" x14ac:dyDescent="0.25">
      <c r="D3387" s="2"/>
      <c r="E3387" s="310"/>
      <c r="I3387" s="2"/>
      <c r="M3387" s="2"/>
      <c r="P3387" s="2"/>
      <c r="Q3387" s="2"/>
    </row>
    <row r="3388" spans="4:17" x14ac:dyDescent="0.25">
      <c r="D3388" s="2"/>
      <c r="E3388" s="310"/>
      <c r="I3388" s="2"/>
      <c r="M3388" s="2"/>
      <c r="P3388" s="2"/>
      <c r="Q3388" s="2"/>
    </row>
    <row r="3389" spans="4:17" x14ac:dyDescent="0.25">
      <c r="D3389" s="2"/>
      <c r="E3389" s="310"/>
      <c r="I3389" s="2"/>
      <c r="M3389" s="2"/>
      <c r="P3389" s="2"/>
      <c r="Q3389" s="2"/>
    </row>
    <row r="3390" spans="4:17" x14ac:dyDescent="0.25">
      <c r="D3390" s="2"/>
      <c r="E3390" s="310"/>
      <c r="I3390" s="2"/>
      <c r="M3390" s="2"/>
      <c r="P3390" s="2"/>
      <c r="Q3390" s="2"/>
    </row>
    <row r="3391" spans="4:17" x14ac:dyDescent="0.25">
      <c r="D3391" s="2"/>
      <c r="E3391" s="310"/>
      <c r="I3391" s="2"/>
      <c r="M3391" s="2"/>
      <c r="P3391" s="2"/>
      <c r="Q3391" s="2"/>
    </row>
    <row r="3392" spans="4:17" x14ac:dyDescent="0.25">
      <c r="D3392" s="2"/>
      <c r="E3392" s="310"/>
      <c r="I3392" s="2"/>
      <c r="M3392" s="2"/>
      <c r="P3392" s="2"/>
      <c r="Q3392" s="2"/>
    </row>
    <row r="3393" spans="4:17" x14ac:dyDescent="0.25">
      <c r="D3393" s="2"/>
      <c r="E3393" s="310"/>
      <c r="I3393" s="2"/>
      <c r="M3393" s="2"/>
      <c r="P3393" s="2"/>
      <c r="Q3393" s="2"/>
    </row>
    <row r="3394" spans="4:17" x14ac:dyDescent="0.25">
      <c r="D3394" s="2"/>
      <c r="E3394" s="310"/>
      <c r="I3394" s="2"/>
      <c r="M3394" s="2"/>
      <c r="P3394" s="2"/>
      <c r="Q3394" s="2"/>
    </row>
    <row r="3395" spans="4:17" x14ac:dyDescent="0.25">
      <c r="D3395" s="2"/>
      <c r="E3395" s="310"/>
      <c r="I3395" s="2"/>
      <c r="M3395" s="2"/>
      <c r="P3395" s="2"/>
      <c r="Q3395" s="2"/>
    </row>
    <row r="3396" spans="4:17" x14ac:dyDescent="0.25">
      <c r="D3396" s="2"/>
      <c r="E3396" s="310"/>
      <c r="I3396" s="2"/>
      <c r="M3396" s="2"/>
      <c r="P3396" s="2"/>
      <c r="Q3396" s="2"/>
    </row>
    <row r="3397" spans="4:17" x14ac:dyDescent="0.25">
      <c r="D3397" s="2"/>
      <c r="E3397" s="310"/>
      <c r="I3397" s="2"/>
      <c r="M3397" s="2"/>
      <c r="P3397" s="2"/>
      <c r="Q3397" s="2"/>
    </row>
    <row r="3398" spans="4:17" x14ac:dyDescent="0.25">
      <c r="D3398" s="2"/>
      <c r="E3398" s="310"/>
      <c r="I3398" s="2"/>
      <c r="M3398" s="2"/>
      <c r="P3398" s="2"/>
      <c r="Q3398" s="2"/>
    </row>
    <row r="3399" spans="4:17" x14ac:dyDescent="0.25">
      <c r="D3399" s="2"/>
      <c r="E3399" s="310"/>
      <c r="I3399" s="2"/>
      <c r="M3399" s="2"/>
      <c r="P3399" s="2"/>
      <c r="Q3399" s="2"/>
    </row>
    <row r="3400" spans="4:17" x14ac:dyDescent="0.25">
      <c r="D3400" s="2"/>
      <c r="E3400" s="310"/>
      <c r="I3400" s="2"/>
      <c r="M3400" s="2"/>
      <c r="P3400" s="2"/>
      <c r="Q3400" s="2"/>
    </row>
    <row r="3401" spans="4:17" x14ac:dyDescent="0.25">
      <c r="D3401" s="2"/>
      <c r="E3401" s="310"/>
      <c r="I3401" s="2"/>
      <c r="M3401" s="2"/>
      <c r="P3401" s="2"/>
      <c r="Q3401" s="2"/>
    </row>
    <row r="3402" spans="4:17" x14ac:dyDescent="0.25">
      <c r="D3402" s="2"/>
      <c r="E3402" s="310"/>
      <c r="I3402" s="2"/>
      <c r="M3402" s="2"/>
      <c r="P3402" s="2"/>
      <c r="Q3402" s="2"/>
    </row>
    <row r="3403" spans="4:17" x14ac:dyDescent="0.25">
      <c r="D3403" s="2"/>
      <c r="E3403" s="310"/>
      <c r="I3403" s="2"/>
      <c r="M3403" s="2"/>
      <c r="P3403" s="2"/>
      <c r="Q3403" s="2"/>
    </row>
    <row r="3404" spans="4:17" x14ac:dyDescent="0.25">
      <c r="D3404" s="2"/>
      <c r="E3404" s="310"/>
      <c r="I3404" s="2"/>
      <c r="M3404" s="2"/>
      <c r="P3404" s="2"/>
      <c r="Q3404" s="2"/>
    </row>
    <row r="3405" spans="4:17" x14ac:dyDescent="0.25">
      <c r="D3405" s="2"/>
      <c r="E3405" s="310"/>
      <c r="I3405" s="2"/>
      <c r="M3405" s="2"/>
      <c r="P3405" s="2"/>
      <c r="Q3405" s="2"/>
    </row>
    <row r="3406" spans="4:17" x14ac:dyDescent="0.25">
      <c r="D3406" s="2"/>
      <c r="E3406" s="310"/>
      <c r="I3406" s="2"/>
      <c r="M3406" s="2"/>
      <c r="P3406" s="2"/>
      <c r="Q3406" s="2"/>
    </row>
    <row r="3407" spans="4:17" x14ac:dyDescent="0.25">
      <c r="D3407" s="2"/>
      <c r="E3407" s="310"/>
      <c r="I3407" s="2"/>
      <c r="M3407" s="2"/>
      <c r="P3407" s="2"/>
      <c r="Q3407" s="2"/>
    </row>
    <row r="3408" spans="4:17" x14ac:dyDescent="0.25">
      <c r="D3408" s="2"/>
      <c r="E3408" s="310"/>
      <c r="I3408" s="2"/>
      <c r="M3408" s="2"/>
      <c r="P3408" s="2"/>
      <c r="Q3408" s="2"/>
    </row>
    <row r="3409" spans="4:17" x14ac:dyDescent="0.25">
      <c r="D3409" s="2"/>
      <c r="E3409" s="310"/>
      <c r="I3409" s="2"/>
      <c r="M3409" s="2"/>
      <c r="P3409" s="2"/>
      <c r="Q3409" s="2"/>
    </row>
    <row r="3410" spans="4:17" x14ac:dyDescent="0.25">
      <c r="D3410" s="2"/>
      <c r="E3410" s="310"/>
      <c r="I3410" s="2"/>
      <c r="M3410" s="2"/>
      <c r="P3410" s="2"/>
      <c r="Q3410" s="2"/>
    </row>
    <row r="3411" spans="4:17" x14ac:dyDescent="0.25">
      <c r="D3411" s="2"/>
      <c r="E3411" s="310"/>
      <c r="I3411" s="2"/>
      <c r="M3411" s="2"/>
      <c r="P3411" s="2"/>
      <c r="Q3411" s="2"/>
    </row>
    <row r="3412" spans="4:17" x14ac:dyDescent="0.25">
      <c r="D3412" s="2"/>
      <c r="E3412" s="310"/>
      <c r="I3412" s="2"/>
      <c r="M3412" s="2"/>
      <c r="P3412" s="2"/>
      <c r="Q3412" s="2"/>
    </row>
    <row r="3413" spans="4:17" x14ac:dyDescent="0.25">
      <c r="D3413" s="2"/>
      <c r="E3413" s="310"/>
      <c r="I3413" s="2"/>
      <c r="M3413" s="2"/>
      <c r="P3413" s="2"/>
      <c r="Q3413" s="2"/>
    </row>
    <row r="3414" spans="4:17" x14ac:dyDescent="0.25">
      <c r="D3414" s="2"/>
      <c r="E3414" s="310"/>
      <c r="I3414" s="2"/>
      <c r="M3414" s="2"/>
      <c r="P3414" s="2"/>
      <c r="Q3414" s="2"/>
    </row>
    <row r="3415" spans="4:17" x14ac:dyDescent="0.25">
      <c r="D3415" s="2"/>
      <c r="E3415" s="310"/>
      <c r="I3415" s="2"/>
      <c r="M3415" s="2"/>
      <c r="P3415" s="2"/>
      <c r="Q3415" s="2"/>
    </row>
    <row r="3416" spans="4:17" x14ac:dyDescent="0.25">
      <c r="D3416" s="2"/>
      <c r="E3416" s="310"/>
      <c r="I3416" s="2"/>
      <c r="M3416" s="2"/>
      <c r="P3416" s="2"/>
      <c r="Q3416" s="2"/>
    </row>
    <row r="3417" spans="4:17" x14ac:dyDescent="0.25">
      <c r="D3417" s="2"/>
      <c r="E3417" s="310"/>
      <c r="I3417" s="2"/>
      <c r="M3417" s="2"/>
      <c r="P3417" s="2"/>
      <c r="Q3417" s="2"/>
    </row>
    <row r="3418" spans="4:17" x14ac:dyDescent="0.25">
      <c r="D3418" s="2"/>
      <c r="E3418" s="310"/>
      <c r="I3418" s="2"/>
      <c r="M3418" s="2"/>
      <c r="P3418" s="2"/>
      <c r="Q3418" s="2"/>
    </row>
    <row r="3419" spans="4:17" x14ac:dyDescent="0.25">
      <c r="D3419" s="2"/>
      <c r="E3419" s="310"/>
      <c r="I3419" s="2"/>
      <c r="M3419" s="2"/>
      <c r="P3419" s="2"/>
      <c r="Q3419" s="2"/>
    </row>
    <row r="3420" spans="4:17" x14ac:dyDescent="0.25">
      <c r="D3420" s="2"/>
      <c r="E3420" s="310"/>
      <c r="I3420" s="2"/>
      <c r="M3420" s="2"/>
      <c r="P3420" s="2"/>
      <c r="Q3420" s="2"/>
    </row>
    <row r="3421" spans="4:17" x14ac:dyDescent="0.25">
      <c r="D3421" s="2"/>
      <c r="E3421" s="310"/>
      <c r="I3421" s="2"/>
      <c r="M3421" s="2"/>
      <c r="P3421" s="2"/>
      <c r="Q3421" s="2"/>
    </row>
    <row r="3422" spans="4:17" x14ac:dyDescent="0.25">
      <c r="D3422" s="2"/>
      <c r="E3422" s="310"/>
      <c r="I3422" s="2"/>
      <c r="M3422" s="2"/>
      <c r="P3422" s="2"/>
      <c r="Q3422" s="2"/>
    </row>
    <row r="3423" spans="4:17" x14ac:dyDescent="0.25">
      <c r="D3423" s="2"/>
      <c r="E3423" s="310"/>
      <c r="I3423" s="2"/>
      <c r="M3423" s="2"/>
      <c r="P3423" s="2"/>
      <c r="Q3423" s="2"/>
    </row>
    <row r="3424" spans="4:17" x14ac:dyDescent="0.25">
      <c r="D3424" s="2"/>
      <c r="E3424" s="310"/>
      <c r="I3424" s="2"/>
      <c r="M3424" s="2"/>
      <c r="P3424" s="2"/>
      <c r="Q3424" s="2"/>
    </row>
    <row r="3425" spans="4:17" x14ac:dyDescent="0.25">
      <c r="D3425" s="2"/>
      <c r="E3425" s="310"/>
      <c r="I3425" s="2"/>
      <c r="M3425" s="2"/>
      <c r="P3425" s="2"/>
      <c r="Q3425" s="2"/>
    </row>
    <row r="3426" spans="4:17" x14ac:dyDescent="0.25">
      <c r="D3426" s="2"/>
      <c r="E3426" s="310"/>
      <c r="I3426" s="2"/>
      <c r="M3426" s="2"/>
      <c r="P3426" s="2"/>
      <c r="Q3426" s="2"/>
    </row>
    <row r="3427" spans="4:17" x14ac:dyDescent="0.25">
      <c r="D3427" s="2"/>
      <c r="E3427" s="310"/>
      <c r="I3427" s="2"/>
      <c r="M3427" s="2"/>
      <c r="P3427" s="2"/>
      <c r="Q3427" s="2"/>
    </row>
    <row r="3428" spans="4:17" x14ac:dyDescent="0.25">
      <c r="D3428" s="2"/>
      <c r="E3428" s="310"/>
      <c r="I3428" s="2"/>
      <c r="M3428" s="2"/>
      <c r="P3428" s="2"/>
      <c r="Q3428" s="2"/>
    </row>
    <row r="3429" spans="4:17" x14ac:dyDescent="0.25">
      <c r="D3429" s="2"/>
      <c r="E3429" s="310"/>
      <c r="I3429" s="2"/>
      <c r="M3429" s="2"/>
      <c r="P3429" s="2"/>
      <c r="Q3429" s="2"/>
    </row>
    <row r="3430" spans="4:17" x14ac:dyDescent="0.25">
      <c r="D3430" s="2"/>
      <c r="E3430" s="310"/>
      <c r="I3430" s="2"/>
      <c r="M3430" s="2"/>
      <c r="P3430" s="2"/>
      <c r="Q3430" s="2"/>
    </row>
    <row r="3431" spans="4:17" x14ac:dyDescent="0.25">
      <c r="D3431" s="2"/>
      <c r="E3431" s="310"/>
      <c r="I3431" s="2"/>
      <c r="M3431" s="2"/>
      <c r="P3431" s="2"/>
      <c r="Q3431" s="2"/>
    </row>
    <row r="3432" spans="4:17" x14ac:dyDescent="0.25">
      <c r="D3432" s="2"/>
      <c r="E3432" s="310"/>
      <c r="I3432" s="2"/>
      <c r="M3432" s="2"/>
      <c r="P3432" s="2"/>
      <c r="Q3432" s="2"/>
    </row>
    <row r="3433" spans="4:17" x14ac:dyDescent="0.25">
      <c r="D3433" s="2"/>
      <c r="E3433" s="310"/>
      <c r="I3433" s="2"/>
      <c r="M3433" s="2"/>
      <c r="P3433" s="2"/>
      <c r="Q3433" s="2"/>
    </row>
    <row r="3434" spans="4:17" x14ac:dyDescent="0.25">
      <c r="D3434" s="2"/>
      <c r="E3434" s="310"/>
      <c r="I3434" s="2"/>
      <c r="M3434" s="2"/>
      <c r="P3434" s="2"/>
      <c r="Q3434" s="2"/>
    </row>
    <row r="3435" spans="4:17" x14ac:dyDescent="0.25">
      <c r="D3435" s="2"/>
      <c r="E3435" s="310"/>
      <c r="I3435" s="2"/>
      <c r="M3435" s="2"/>
      <c r="P3435" s="2"/>
      <c r="Q3435" s="2"/>
    </row>
    <row r="3436" spans="4:17" x14ac:dyDescent="0.25">
      <c r="D3436" s="2"/>
      <c r="E3436" s="310"/>
      <c r="I3436" s="2"/>
      <c r="M3436" s="2"/>
      <c r="P3436" s="2"/>
      <c r="Q3436" s="2"/>
    </row>
    <row r="3437" spans="4:17" x14ac:dyDescent="0.25">
      <c r="D3437" s="2"/>
      <c r="E3437" s="310"/>
      <c r="I3437" s="2"/>
      <c r="M3437" s="2"/>
      <c r="P3437" s="2"/>
      <c r="Q3437" s="2"/>
    </row>
    <row r="3438" spans="4:17" x14ac:dyDescent="0.25">
      <c r="D3438" s="2"/>
      <c r="E3438" s="310"/>
      <c r="I3438" s="2"/>
      <c r="M3438" s="2"/>
      <c r="P3438" s="2"/>
      <c r="Q3438" s="2"/>
    </row>
    <row r="3439" spans="4:17" x14ac:dyDescent="0.25">
      <c r="D3439" s="2"/>
      <c r="E3439" s="310"/>
      <c r="I3439" s="2"/>
      <c r="M3439" s="2"/>
      <c r="P3439" s="2"/>
      <c r="Q3439" s="2"/>
    </row>
    <row r="3440" spans="4:17" x14ac:dyDescent="0.25">
      <c r="D3440" s="2"/>
      <c r="E3440" s="310"/>
      <c r="I3440" s="2"/>
      <c r="M3440" s="2"/>
      <c r="P3440" s="2"/>
      <c r="Q3440" s="2"/>
    </row>
    <row r="3441" spans="4:17" x14ac:dyDescent="0.25">
      <c r="D3441" s="2"/>
      <c r="E3441" s="310"/>
      <c r="I3441" s="2"/>
      <c r="M3441" s="2"/>
      <c r="P3441" s="2"/>
      <c r="Q3441" s="2"/>
    </row>
    <row r="3442" spans="4:17" x14ac:dyDescent="0.25">
      <c r="D3442" s="2"/>
      <c r="E3442" s="310"/>
      <c r="I3442" s="2"/>
      <c r="M3442" s="2"/>
      <c r="P3442" s="2"/>
      <c r="Q3442" s="2"/>
    </row>
    <row r="3443" spans="4:17" x14ac:dyDescent="0.25">
      <c r="D3443" s="2"/>
      <c r="E3443" s="310"/>
      <c r="I3443" s="2"/>
      <c r="M3443" s="2"/>
      <c r="P3443" s="2"/>
      <c r="Q3443" s="2"/>
    </row>
    <row r="3444" spans="4:17" x14ac:dyDescent="0.25">
      <c r="D3444" s="2"/>
      <c r="E3444" s="310"/>
      <c r="I3444" s="2"/>
      <c r="M3444" s="2"/>
      <c r="P3444" s="2"/>
      <c r="Q3444" s="2"/>
    </row>
    <row r="3445" spans="4:17" x14ac:dyDescent="0.25">
      <c r="D3445" s="2"/>
      <c r="E3445" s="310"/>
      <c r="I3445" s="2"/>
      <c r="M3445" s="2"/>
      <c r="P3445" s="2"/>
      <c r="Q3445" s="2"/>
    </row>
    <row r="3446" spans="4:17" x14ac:dyDescent="0.25">
      <c r="D3446" s="2"/>
      <c r="E3446" s="310"/>
      <c r="I3446" s="2"/>
      <c r="M3446" s="2"/>
      <c r="P3446" s="2"/>
      <c r="Q3446" s="2"/>
    </row>
    <row r="3447" spans="4:17" x14ac:dyDescent="0.25">
      <c r="D3447" s="2"/>
      <c r="E3447" s="310"/>
      <c r="I3447" s="2"/>
      <c r="M3447" s="2"/>
      <c r="P3447" s="2"/>
      <c r="Q3447" s="2"/>
    </row>
    <row r="3448" spans="4:17" x14ac:dyDescent="0.25">
      <c r="D3448" s="2"/>
      <c r="E3448" s="310"/>
      <c r="I3448" s="2"/>
      <c r="M3448" s="2"/>
      <c r="P3448" s="2"/>
      <c r="Q3448" s="2"/>
    </row>
    <row r="3449" spans="4:17" x14ac:dyDescent="0.25">
      <c r="D3449" s="2"/>
      <c r="E3449" s="310"/>
      <c r="I3449" s="2"/>
      <c r="M3449" s="2"/>
      <c r="P3449" s="2"/>
      <c r="Q3449" s="2"/>
    </row>
    <row r="3450" spans="4:17" x14ac:dyDescent="0.25">
      <c r="D3450" s="2"/>
      <c r="E3450" s="310"/>
      <c r="I3450" s="2"/>
      <c r="M3450" s="2"/>
      <c r="P3450" s="2"/>
      <c r="Q3450" s="2"/>
    </row>
    <row r="3451" spans="4:17" x14ac:dyDescent="0.25">
      <c r="D3451" s="2"/>
      <c r="E3451" s="310"/>
      <c r="I3451" s="2"/>
      <c r="M3451" s="2"/>
      <c r="P3451" s="2"/>
      <c r="Q3451" s="2"/>
    </row>
    <row r="3452" spans="4:17" x14ac:dyDescent="0.25">
      <c r="D3452" s="2"/>
      <c r="E3452" s="310"/>
      <c r="I3452" s="2"/>
      <c r="M3452" s="2"/>
      <c r="P3452" s="2"/>
      <c r="Q3452" s="2"/>
    </row>
    <row r="3453" spans="4:17" x14ac:dyDescent="0.25">
      <c r="D3453" s="2"/>
      <c r="E3453" s="310"/>
      <c r="I3453" s="2"/>
      <c r="M3453" s="2"/>
      <c r="P3453" s="2"/>
      <c r="Q3453" s="2"/>
    </row>
    <row r="3454" spans="4:17" x14ac:dyDescent="0.25">
      <c r="D3454" s="2"/>
      <c r="E3454" s="310"/>
      <c r="I3454" s="2"/>
      <c r="M3454" s="2"/>
      <c r="P3454" s="2"/>
      <c r="Q3454" s="2"/>
    </row>
    <row r="3455" spans="4:17" x14ac:dyDescent="0.25">
      <c r="D3455" s="2"/>
      <c r="E3455" s="310"/>
      <c r="I3455" s="2"/>
      <c r="M3455" s="2"/>
      <c r="P3455" s="2"/>
      <c r="Q3455" s="2"/>
    </row>
    <row r="3456" spans="4:17" x14ac:dyDescent="0.25">
      <c r="D3456" s="2"/>
      <c r="E3456" s="310"/>
      <c r="I3456" s="2"/>
      <c r="M3456" s="2"/>
      <c r="P3456" s="2"/>
      <c r="Q3456" s="2"/>
    </row>
    <row r="3457" spans="4:17" x14ac:dyDescent="0.25">
      <c r="D3457" s="2"/>
      <c r="E3457" s="310"/>
      <c r="I3457" s="2"/>
      <c r="M3457" s="2"/>
      <c r="P3457" s="2"/>
      <c r="Q3457" s="2"/>
    </row>
    <row r="3458" spans="4:17" x14ac:dyDescent="0.25">
      <c r="D3458" s="2"/>
      <c r="E3458" s="310"/>
      <c r="I3458" s="2"/>
      <c r="M3458" s="2"/>
      <c r="P3458" s="2"/>
      <c r="Q3458" s="2"/>
    </row>
    <row r="3459" spans="4:17" x14ac:dyDescent="0.25">
      <c r="D3459" s="2"/>
      <c r="E3459" s="310"/>
      <c r="I3459" s="2"/>
      <c r="M3459" s="2"/>
      <c r="P3459" s="2"/>
      <c r="Q3459" s="2"/>
    </row>
    <row r="3460" spans="4:17" x14ac:dyDescent="0.25">
      <c r="D3460" s="2"/>
      <c r="E3460" s="310"/>
      <c r="I3460" s="2"/>
      <c r="M3460" s="2"/>
      <c r="P3460" s="2"/>
      <c r="Q3460" s="2"/>
    </row>
    <row r="3461" spans="4:17" x14ac:dyDescent="0.25">
      <c r="D3461" s="2"/>
      <c r="E3461" s="310"/>
      <c r="I3461" s="2"/>
      <c r="M3461" s="2"/>
      <c r="P3461" s="2"/>
      <c r="Q3461" s="2"/>
    </row>
    <row r="3462" spans="4:17" x14ac:dyDescent="0.25">
      <c r="D3462" s="2"/>
      <c r="E3462" s="310"/>
      <c r="I3462" s="2"/>
      <c r="M3462" s="2"/>
      <c r="P3462" s="2"/>
      <c r="Q3462" s="2"/>
    </row>
    <row r="3463" spans="4:17" x14ac:dyDescent="0.25">
      <c r="D3463" s="2"/>
      <c r="E3463" s="310"/>
      <c r="I3463" s="2"/>
      <c r="M3463" s="2"/>
      <c r="P3463" s="2"/>
      <c r="Q3463" s="2"/>
    </row>
    <row r="3464" spans="4:17" x14ac:dyDescent="0.25">
      <c r="D3464" s="2"/>
      <c r="E3464" s="310"/>
      <c r="I3464" s="2"/>
      <c r="M3464" s="2"/>
      <c r="P3464" s="2"/>
      <c r="Q3464" s="2"/>
    </row>
    <row r="3465" spans="4:17" x14ac:dyDescent="0.25">
      <c r="D3465" s="2"/>
      <c r="E3465" s="310"/>
      <c r="I3465" s="2"/>
      <c r="M3465" s="2"/>
      <c r="P3465" s="2"/>
      <c r="Q3465" s="2"/>
    </row>
    <row r="3466" spans="4:17" x14ac:dyDescent="0.25">
      <c r="D3466" s="2"/>
      <c r="E3466" s="310"/>
      <c r="I3466" s="2"/>
      <c r="M3466" s="2"/>
      <c r="P3466" s="2"/>
      <c r="Q3466" s="2"/>
    </row>
    <row r="3467" spans="4:17" x14ac:dyDescent="0.25">
      <c r="D3467" s="2"/>
      <c r="E3467" s="310"/>
      <c r="I3467" s="2"/>
      <c r="M3467" s="2"/>
      <c r="P3467" s="2"/>
      <c r="Q3467" s="2"/>
    </row>
    <row r="3468" spans="4:17" x14ac:dyDescent="0.25">
      <c r="D3468" s="2"/>
      <c r="E3468" s="310"/>
      <c r="I3468" s="2"/>
      <c r="M3468" s="2"/>
      <c r="P3468" s="2"/>
      <c r="Q3468" s="2"/>
    </row>
    <row r="3469" spans="4:17" x14ac:dyDescent="0.25">
      <c r="D3469" s="2"/>
      <c r="E3469" s="310"/>
      <c r="I3469" s="2"/>
      <c r="M3469" s="2"/>
      <c r="P3469" s="2"/>
      <c r="Q3469" s="2"/>
    </row>
    <row r="3470" spans="4:17" x14ac:dyDescent="0.25">
      <c r="D3470" s="2"/>
      <c r="E3470" s="310"/>
      <c r="I3470" s="2"/>
      <c r="M3470" s="2"/>
      <c r="P3470" s="2"/>
      <c r="Q3470" s="2"/>
    </row>
    <row r="3471" spans="4:17" x14ac:dyDescent="0.25">
      <c r="D3471" s="2"/>
      <c r="E3471" s="310"/>
      <c r="I3471" s="2"/>
      <c r="M3471" s="2"/>
      <c r="P3471" s="2"/>
      <c r="Q3471" s="2"/>
    </row>
    <row r="3472" spans="4:17" x14ac:dyDescent="0.25">
      <c r="D3472" s="2"/>
      <c r="E3472" s="310"/>
      <c r="I3472" s="2"/>
      <c r="M3472" s="2"/>
      <c r="P3472" s="2"/>
      <c r="Q3472" s="2"/>
    </row>
    <row r="3473" spans="4:17" x14ac:dyDescent="0.25">
      <c r="D3473" s="2"/>
      <c r="E3473" s="310"/>
      <c r="I3473" s="2"/>
      <c r="M3473" s="2"/>
      <c r="P3473" s="2"/>
      <c r="Q3473" s="2"/>
    </row>
    <row r="3474" spans="4:17" x14ac:dyDescent="0.25">
      <c r="D3474" s="2"/>
      <c r="E3474" s="310"/>
      <c r="I3474" s="2"/>
      <c r="M3474" s="2"/>
      <c r="P3474" s="2"/>
      <c r="Q3474" s="2"/>
    </row>
    <row r="3475" spans="4:17" x14ac:dyDescent="0.25">
      <c r="D3475" s="2"/>
      <c r="E3475" s="310"/>
      <c r="I3475" s="2"/>
      <c r="M3475" s="2"/>
      <c r="P3475" s="2"/>
      <c r="Q3475" s="2"/>
    </row>
    <row r="3476" spans="4:17" x14ac:dyDescent="0.25">
      <c r="D3476" s="2"/>
      <c r="E3476" s="310"/>
      <c r="I3476" s="2"/>
      <c r="M3476" s="2"/>
      <c r="P3476" s="2"/>
      <c r="Q3476" s="2"/>
    </row>
    <row r="3477" spans="4:17" x14ac:dyDescent="0.25">
      <c r="D3477" s="2"/>
      <c r="E3477" s="310"/>
      <c r="I3477" s="2"/>
      <c r="M3477" s="2"/>
      <c r="P3477" s="2"/>
      <c r="Q3477" s="2"/>
    </row>
    <row r="3478" spans="4:17" x14ac:dyDescent="0.25">
      <c r="D3478" s="2"/>
      <c r="E3478" s="310"/>
      <c r="I3478" s="2"/>
      <c r="M3478" s="2"/>
      <c r="P3478" s="2"/>
      <c r="Q3478" s="2"/>
    </row>
    <row r="3479" spans="4:17" x14ac:dyDescent="0.25">
      <c r="D3479" s="2"/>
      <c r="E3479" s="310"/>
      <c r="I3479" s="2"/>
      <c r="M3479" s="2"/>
      <c r="P3479" s="2"/>
      <c r="Q3479" s="2"/>
    </row>
    <row r="3480" spans="4:17" x14ac:dyDescent="0.25">
      <c r="D3480" s="2"/>
      <c r="E3480" s="310"/>
      <c r="I3480" s="2"/>
      <c r="M3480" s="2"/>
      <c r="P3480" s="2"/>
      <c r="Q3480" s="2"/>
    </row>
    <row r="3481" spans="4:17" x14ac:dyDescent="0.25">
      <c r="D3481" s="2"/>
      <c r="E3481" s="310"/>
      <c r="I3481" s="2"/>
      <c r="M3481" s="2"/>
      <c r="P3481" s="2"/>
      <c r="Q3481" s="2"/>
    </row>
    <row r="3482" spans="4:17" x14ac:dyDescent="0.25">
      <c r="D3482" s="2"/>
      <c r="E3482" s="310"/>
      <c r="I3482" s="2"/>
      <c r="M3482" s="2"/>
      <c r="P3482" s="2"/>
      <c r="Q3482" s="2"/>
    </row>
    <row r="3483" spans="4:17" x14ac:dyDescent="0.25">
      <c r="D3483" s="2"/>
      <c r="E3483" s="310"/>
      <c r="I3483" s="2"/>
      <c r="M3483" s="2"/>
      <c r="P3483" s="2"/>
      <c r="Q3483" s="2"/>
    </row>
    <row r="3484" spans="4:17" x14ac:dyDescent="0.25">
      <c r="D3484" s="2"/>
      <c r="E3484" s="310"/>
      <c r="I3484" s="2"/>
      <c r="M3484" s="2"/>
      <c r="P3484" s="2"/>
      <c r="Q3484" s="2"/>
    </row>
    <row r="3485" spans="4:17" x14ac:dyDescent="0.25">
      <c r="D3485" s="2"/>
      <c r="E3485" s="310"/>
      <c r="I3485" s="2"/>
      <c r="M3485" s="2"/>
      <c r="P3485" s="2"/>
      <c r="Q3485" s="2"/>
    </row>
    <row r="3486" spans="4:17" x14ac:dyDescent="0.25">
      <c r="D3486" s="2"/>
      <c r="E3486" s="310"/>
      <c r="I3486" s="2"/>
      <c r="M3486" s="2"/>
      <c r="P3486" s="2"/>
      <c r="Q3486" s="2"/>
    </row>
    <row r="3487" spans="4:17" x14ac:dyDescent="0.25">
      <c r="D3487" s="2"/>
      <c r="E3487" s="310"/>
      <c r="I3487" s="2"/>
      <c r="M3487" s="2"/>
      <c r="P3487" s="2"/>
      <c r="Q3487" s="2"/>
    </row>
    <row r="3488" spans="4:17" x14ac:dyDescent="0.25">
      <c r="D3488" s="2"/>
      <c r="E3488" s="310"/>
      <c r="I3488" s="2"/>
      <c r="M3488" s="2"/>
      <c r="P3488" s="2"/>
      <c r="Q3488" s="2"/>
    </row>
    <row r="3489" spans="4:17" x14ac:dyDescent="0.25">
      <c r="D3489" s="2"/>
      <c r="E3489" s="310"/>
      <c r="I3489" s="2"/>
      <c r="M3489" s="2"/>
      <c r="P3489" s="2"/>
      <c r="Q3489" s="2"/>
    </row>
    <row r="3490" spans="4:17" x14ac:dyDescent="0.25">
      <c r="D3490" s="2"/>
      <c r="E3490" s="310"/>
      <c r="I3490" s="2"/>
      <c r="M3490" s="2"/>
      <c r="P3490" s="2"/>
      <c r="Q3490" s="2"/>
    </row>
    <row r="3491" spans="4:17" x14ac:dyDescent="0.25">
      <c r="D3491" s="2"/>
      <c r="E3491" s="310"/>
      <c r="I3491" s="2"/>
      <c r="M3491" s="2"/>
      <c r="P3491" s="2"/>
      <c r="Q3491" s="2"/>
    </row>
    <row r="3492" spans="4:17" x14ac:dyDescent="0.25">
      <c r="D3492" s="2"/>
      <c r="E3492" s="310"/>
      <c r="I3492" s="2"/>
      <c r="M3492" s="2"/>
      <c r="P3492" s="2"/>
      <c r="Q3492" s="2"/>
    </row>
    <row r="3493" spans="4:17" x14ac:dyDescent="0.25">
      <c r="D3493" s="2"/>
      <c r="E3493" s="310"/>
      <c r="I3493" s="2"/>
      <c r="M3493" s="2"/>
      <c r="P3493" s="2"/>
      <c r="Q3493" s="2"/>
    </row>
    <row r="3494" spans="4:17" x14ac:dyDescent="0.25">
      <c r="D3494" s="2"/>
      <c r="E3494" s="310"/>
      <c r="I3494" s="2"/>
      <c r="M3494" s="2"/>
      <c r="P3494" s="2"/>
      <c r="Q3494" s="2"/>
    </row>
    <row r="3495" spans="4:17" x14ac:dyDescent="0.25">
      <c r="D3495" s="2"/>
      <c r="E3495" s="310"/>
      <c r="I3495" s="2"/>
      <c r="M3495" s="2"/>
      <c r="P3495" s="2"/>
      <c r="Q3495" s="2"/>
    </row>
    <row r="3496" spans="4:17" x14ac:dyDescent="0.25">
      <c r="D3496" s="2"/>
      <c r="E3496" s="310"/>
      <c r="I3496" s="2"/>
      <c r="M3496" s="2"/>
      <c r="P3496" s="2"/>
      <c r="Q3496" s="2"/>
    </row>
    <row r="3497" spans="4:17" x14ac:dyDescent="0.25">
      <c r="D3497" s="2"/>
      <c r="E3497" s="310"/>
      <c r="I3497" s="2"/>
      <c r="M3497" s="2"/>
      <c r="P3497" s="2"/>
      <c r="Q3497" s="2"/>
    </row>
    <row r="3498" spans="4:17" x14ac:dyDescent="0.25">
      <c r="D3498" s="2"/>
      <c r="E3498" s="310"/>
      <c r="I3498" s="2"/>
      <c r="M3498" s="2"/>
      <c r="P3498" s="2"/>
      <c r="Q3498" s="2"/>
    </row>
    <row r="3499" spans="4:17" x14ac:dyDescent="0.25">
      <c r="D3499" s="2"/>
      <c r="E3499" s="310"/>
      <c r="I3499" s="2"/>
      <c r="M3499" s="2"/>
      <c r="P3499" s="2"/>
      <c r="Q3499" s="2"/>
    </row>
    <row r="3500" spans="4:17" x14ac:dyDescent="0.25">
      <c r="D3500" s="2"/>
      <c r="E3500" s="310"/>
      <c r="I3500" s="2"/>
      <c r="M3500" s="2"/>
      <c r="P3500" s="2"/>
      <c r="Q3500" s="2"/>
    </row>
    <row r="3501" spans="4:17" x14ac:dyDescent="0.25">
      <c r="D3501" s="2"/>
      <c r="E3501" s="310"/>
      <c r="I3501" s="2"/>
      <c r="M3501" s="2"/>
      <c r="P3501" s="2"/>
      <c r="Q3501" s="2"/>
    </row>
    <row r="3502" spans="4:17" x14ac:dyDescent="0.25">
      <c r="D3502" s="2"/>
      <c r="E3502" s="310"/>
      <c r="I3502" s="2"/>
      <c r="M3502" s="2"/>
      <c r="P3502" s="2"/>
      <c r="Q3502" s="2"/>
    </row>
    <row r="3503" spans="4:17" x14ac:dyDescent="0.25">
      <c r="D3503" s="2"/>
      <c r="E3503" s="310"/>
      <c r="I3503" s="2"/>
      <c r="M3503" s="2"/>
      <c r="P3503" s="2"/>
      <c r="Q3503" s="2"/>
    </row>
    <row r="3504" spans="4:17" x14ac:dyDescent="0.25">
      <c r="D3504" s="2"/>
      <c r="E3504" s="310"/>
      <c r="I3504" s="2"/>
      <c r="M3504" s="2"/>
      <c r="P3504" s="2"/>
      <c r="Q3504" s="2"/>
    </row>
    <row r="3505" spans="4:17" x14ac:dyDescent="0.25">
      <c r="D3505" s="2"/>
      <c r="E3505" s="310"/>
      <c r="I3505" s="2"/>
      <c r="M3505" s="2"/>
      <c r="P3505" s="2"/>
      <c r="Q3505" s="2"/>
    </row>
    <row r="3506" spans="4:17" x14ac:dyDescent="0.25">
      <c r="D3506" s="2"/>
      <c r="E3506" s="310"/>
      <c r="I3506" s="2"/>
      <c r="M3506" s="2"/>
      <c r="P3506" s="2"/>
      <c r="Q3506" s="2"/>
    </row>
    <row r="3507" spans="4:17" x14ac:dyDescent="0.25">
      <c r="D3507" s="2"/>
      <c r="E3507" s="310"/>
      <c r="I3507" s="2"/>
      <c r="M3507" s="2"/>
      <c r="P3507" s="2"/>
      <c r="Q3507" s="2"/>
    </row>
    <row r="3508" spans="4:17" x14ac:dyDescent="0.25">
      <c r="D3508" s="2"/>
      <c r="E3508" s="310"/>
      <c r="I3508" s="2"/>
      <c r="M3508" s="2"/>
      <c r="P3508" s="2"/>
      <c r="Q3508" s="2"/>
    </row>
    <row r="3509" spans="4:17" x14ac:dyDescent="0.25">
      <c r="D3509" s="2"/>
      <c r="E3509" s="310"/>
      <c r="I3509" s="2"/>
      <c r="M3509" s="2"/>
      <c r="P3509" s="2"/>
      <c r="Q3509" s="2"/>
    </row>
    <row r="3510" spans="4:17" x14ac:dyDescent="0.25">
      <c r="D3510" s="2"/>
      <c r="E3510" s="310"/>
      <c r="I3510" s="2"/>
      <c r="M3510" s="2"/>
      <c r="P3510" s="2"/>
      <c r="Q3510" s="2"/>
    </row>
    <row r="3511" spans="4:17" x14ac:dyDescent="0.25">
      <c r="D3511" s="2"/>
      <c r="E3511" s="310"/>
      <c r="I3511" s="2"/>
      <c r="M3511" s="2"/>
      <c r="P3511" s="2"/>
      <c r="Q3511" s="2"/>
    </row>
    <row r="3512" spans="4:17" x14ac:dyDescent="0.25">
      <c r="D3512" s="2"/>
      <c r="E3512" s="310"/>
      <c r="I3512" s="2"/>
      <c r="M3512" s="2"/>
      <c r="P3512" s="2"/>
      <c r="Q3512" s="2"/>
    </row>
    <row r="3513" spans="4:17" x14ac:dyDescent="0.25">
      <c r="D3513" s="2"/>
      <c r="E3513" s="310"/>
      <c r="I3513" s="2"/>
      <c r="M3513" s="2"/>
      <c r="P3513" s="2"/>
      <c r="Q3513" s="2"/>
    </row>
    <row r="3514" spans="4:17" x14ac:dyDescent="0.25">
      <c r="D3514" s="2"/>
      <c r="E3514" s="310"/>
      <c r="I3514" s="2"/>
      <c r="M3514" s="2"/>
      <c r="P3514" s="2"/>
      <c r="Q3514" s="2"/>
    </row>
    <row r="3515" spans="4:17" x14ac:dyDescent="0.25">
      <c r="D3515" s="2"/>
      <c r="E3515" s="310"/>
      <c r="I3515" s="2"/>
      <c r="M3515" s="2"/>
      <c r="P3515" s="2"/>
      <c r="Q3515" s="2"/>
    </row>
    <row r="3516" spans="4:17" x14ac:dyDescent="0.25">
      <c r="D3516" s="2"/>
      <c r="E3516" s="310"/>
      <c r="I3516" s="2"/>
      <c r="M3516" s="2"/>
      <c r="P3516" s="2"/>
      <c r="Q3516" s="2"/>
    </row>
    <row r="3517" spans="4:17" x14ac:dyDescent="0.25">
      <c r="D3517" s="2"/>
      <c r="E3517" s="310"/>
      <c r="I3517" s="2"/>
      <c r="M3517" s="2"/>
      <c r="P3517" s="2"/>
      <c r="Q3517" s="2"/>
    </row>
    <row r="3518" spans="4:17" x14ac:dyDescent="0.25">
      <c r="D3518" s="2"/>
      <c r="E3518" s="310"/>
      <c r="I3518" s="2"/>
      <c r="M3518" s="2"/>
      <c r="P3518" s="2"/>
      <c r="Q3518" s="2"/>
    </row>
    <row r="3519" spans="4:17" x14ac:dyDescent="0.25">
      <c r="D3519" s="2"/>
      <c r="E3519" s="310"/>
      <c r="I3519" s="2"/>
      <c r="M3519" s="2"/>
      <c r="P3519" s="2"/>
      <c r="Q3519" s="2"/>
    </row>
    <row r="3520" spans="4:17" x14ac:dyDescent="0.25">
      <c r="D3520" s="2"/>
      <c r="E3520" s="310"/>
      <c r="I3520" s="2"/>
      <c r="M3520" s="2"/>
      <c r="P3520" s="2"/>
      <c r="Q3520" s="2"/>
    </row>
    <row r="3521" spans="4:17" x14ac:dyDescent="0.25">
      <c r="D3521" s="2"/>
      <c r="E3521" s="310"/>
      <c r="I3521" s="2"/>
      <c r="M3521" s="2"/>
      <c r="P3521" s="2"/>
      <c r="Q3521" s="2"/>
    </row>
    <row r="3522" spans="4:17" x14ac:dyDescent="0.25">
      <c r="D3522" s="2"/>
      <c r="E3522" s="310"/>
      <c r="I3522" s="2"/>
      <c r="M3522" s="2"/>
      <c r="P3522" s="2"/>
      <c r="Q3522" s="2"/>
    </row>
    <row r="3523" spans="4:17" x14ac:dyDescent="0.25">
      <c r="D3523" s="2"/>
      <c r="E3523" s="310"/>
      <c r="I3523" s="2"/>
      <c r="M3523" s="2"/>
      <c r="P3523" s="2"/>
      <c r="Q3523" s="2"/>
    </row>
    <row r="3524" spans="4:17" x14ac:dyDescent="0.25">
      <c r="D3524" s="2"/>
      <c r="E3524" s="310"/>
      <c r="I3524" s="2"/>
      <c r="M3524" s="2"/>
      <c r="P3524" s="2"/>
      <c r="Q3524" s="2"/>
    </row>
    <row r="3525" spans="4:17" x14ac:dyDescent="0.25">
      <c r="D3525" s="2"/>
      <c r="E3525" s="310"/>
      <c r="I3525" s="2"/>
      <c r="M3525" s="2"/>
      <c r="P3525" s="2"/>
      <c r="Q3525" s="2"/>
    </row>
    <row r="3526" spans="4:17" x14ac:dyDescent="0.25">
      <c r="D3526" s="2"/>
      <c r="E3526" s="310"/>
      <c r="I3526" s="2"/>
      <c r="M3526" s="2"/>
      <c r="P3526" s="2"/>
      <c r="Q3526" s="2"/>
    </row>
    <row r="3527" spans="4:17" x14ac:dyDescent="0.25">
      <c r="D3527" s="2"/>
      <c r="E3527" s="310"/>
      <c r="I3527" s="2"/>
      <c r="M3527" s="2"/>
      <c r="P3527" s="2"/>
      <c r="Q3527" s="2"/>
    </row>
    <row r="3528" spans="4:17" x14ac:dyDescent="0.25">
      <c r="D3528" s="2"/>
      <c r="E3528" s="310"/>
      <c r="I3528" s="2"/>
      <c r="M3528" s="2"/>
      <c r="P3528" s="2"/>
      <c r="Q3528" s="2"/>
    </row>
    <row r="3530" spans="4:17" x14ac:dyDescent="0.25">
      <c r="D3530" s="2"/>
      <c r="E3530" s="310"/>
      <c r="I3530" s="2"/>
      <c r="M3530" s="2"/>
      <c r="P3530" s="2"/>
      <c r="Q3530" s="2"/>
    </row>
    <row r="3531" spans="4:17" x14ac:dyDescent="0.25">
      <c r="D3531" s="2"/>
      <c r="E3531" s="310"/>
      <c r="I3531" s="2"/>
      <c r="M3531" s="2"/>
      <c r="P3531" s="2"/>
      <c r="Q3531" s="2"/>
    </row>
    <row r="3534" spans="4:17" x14ac:dyDescent="0.25">
      <c r="D3534" s="2"/>
      <c r="E3534" s="310"/>
      <c r="I3534" s="2"/>
      <c r="M3534" s="2"/>
      <c r="P3534" s="2"/>
      <c r="Q3534" s="2"/>
    </row>
    <row r="3535" spans="4:17" x14ac:dyDescent="0.25">
      <c r="D3535" s="2"/>
      <c r="E3535" s="310"/>
      <c r="I3535" s="2"/>
      <c r="M3535" s="2"/>
      <c r="P3535" s="2"/>
      <c r="Q3535" s="2"/>
    </row>
    <row r="3536" spans="4:17" x14ac:dyDescent="0.25">
      <c r="D3536" s="2"/>
      <c r="E3536" s="310"/>
      <c r="I3536" s="2"/>
      <c r="M3536" s="2"/>
      <c r="P3536" s="2"/>
      <c r="Q3536" s="2"/>
    </row>
    <row r="3537" spans="4:17" x14ac:dyDescent="0.25">
      <c r="D3537" s="2"/>
      <c r="E3537" s="310"/>
      <c r="I3537" s="2"/>
      <c r="M3537" s="2"/>
      <c r="P3537" s="2"/>
      <c r="Q3537" s="2"/>
    </row>
    <row r="3538" spans="4:17" x14ac:dyDescent="0.25">
      <c r="D3538" s="2"/>
      <c r="E3538" s="310"/>
      <c r="I3538" s="2"/>
      <c r="M3538" s="2"/>
      <c r="P3538" s="2"/>
      <c r="Q3538" s="2"/>
    </row>
    <row r="3539" spans="4:17" x14ac:dyDescent="0.25">
      <c r="D3539" s="2"/>
      <c r="E3539" s="310"/>
      <c r="I3539" s="2"/>
      <c r="M3539" s="2"/>
      <c r="P3539" s="2"/>
      <c r="Q3539" s="2"/>
    </row>
    <row r="3540" spans="4:17" x14ac:dyDescent="0.25">
      <c r="D3540" s="2"/>
      <c r="E3540" s="310"/>
      <c r="I3540" s="2"/>
      <c r="M3540" s="2"/>
      <c r="P3540" s="2"/>
      <c r="Q3540" s="2"/>
    </row>
    <row r="3541" spans="4:17" x14ac:dyDescent="0.25">
      <c r="D3541" s="2"/>
      <c r="E3541" s="310"/>
      <c r="I3541" s="2"/>
      <c r="M3541" s="2"/>
      <c r="P3541" s="2"/>
      <c r="Q3541" s="2"/>
    </row>
    <row r="3542" spans="4:17" x14ac:dyDescent="0.25">
      <c r="D3542" s="2"/>
      <c r="E3542" s="310"/>
      <c r="I3542" s="2"/>
      <c r="M3542" s="2"/>
      <c r="P3542" s="2"/>
      <c r="Q3542" s="2"/>
    </row>
    <row r="3543" spans="4:17" x14ac:dyDescent="0.25">
      <c r="D3543" s="2"/>
      <c r="E3543" s="310"/>
      <c r="I3543" s="2"/>
      <c r="M3543" s="2"/>
      <c r="P3543" s="2"/>
      <c r="Q3543" s="2"/>
    </row>
    <row r="3544" spans="4:17" x14ac:dyDescent="0.25">
      <c r="D3544" s="2"/>
      <c r="E3544" s="310"/>
      <c r="I3544" s="2"/>
      <c r="M3544" s="2"/>
      <c r="P3544" s="2"/>
      <c r="Q3544" s="2"/>
    </row>
    <row r="3545" spans="4:17" x14ac:dyDescent="0.25">
      <c r="D3545" s="2"/>
      <c r="E3545" s="310"/>
      <c r="I3545" s="2"/>
      <c r="M3545" s="2"/>
      <c r="P3545" s="2"/>
      <c r="Q3545" s="2"/>
    </row>
    <row r="3546" spans="4:17" x14ac:dyDescent="0.25">
      <c r="D3546" s="2"/>
      <c r="E3546" s="310"/>
      <c r="I3546" s="2"/>
      <c r="M3546" s="2"/>
      <c r="P3546" s="2"/>
      <c r="Q3546" s="2"/>
    </row>
    <row r="3547" spans="4:17" x14ac:dyDescent="0.25">
      <c r="D3547" s="2"/>
      <c r="E3547" s="310"/>
      <c r="I3547" s="2"/>
      <c r="M3547" s="2"/>
      <c r="P3547" s="2"/>
      <c r="Q3547" s="2"/>
    </row>
    <row r="3548" spans="4:17" x14ac:dyDescent="0.25">
      <c r="D3548" s="2"/>
      <c r="E3548" s="310"/>
      <c r="I3548" s="2"/>
      <c r="M3548" s="2"/>
      <c r="P3548" s="2"/>
      <c r="Q3548" s="2"/>
    </row>
    <row r="3549" spans="4:17" x14ac:dyDescent="0.25">
      <c r="D3549" s="2"/>
      <c r="E3549" s="310"/>
      <c r="I3549" s="2"/>
      <c r="M3549" s="2"/>
      <c r="P3549" s="2"/>
      <c r="Q3549" s="2"/>
    </row>
    <row r="3550" spans="4:17" x14ac:dyDescent="0.25">
      <c r="D3550" s="2"/>
      <c r="E3550" s="310"/>
      <c r="I3550" s="2"/>
      <c r="M3550" s="2"/>
      <c r="P3550" s="2"/>
      <c r="Q3550" s="2"/>
    </row>
    <row r="3551" spans="4:17" x14ac:dyDescent="0.25">
      <c r="D3551" s="2"/>
      <c r="E3551" s="310"/>
      <c r="I3551" s="2"/>
      <c r="M3551" s="2"/>
      <c r="P3551" s="2"/>
      <c r="Q3551" s="2"/>
    </row>
    <row r="3552" spans="4:17" x14ac:dyDescent="0.25">
      <c r="D3552" s="2"/>
      <c r="E3552" s="310"/>
      <c r="I3552" s="2"/>
      <c r="M3552" s="2"/>
      <c r="P3552" s="2"/>
      <c r="Q3552" s="2"/>
    </row>
    <row r="3553" spans="4:17" x14ac:dyDescent="0.25">
      <c r="D3553" s="2"/>
      <c r="E3553" s="310"/>
      <c r="I3553" s="2"/>
      <c r="M3553" s="2"/>
      <c r="P3553" s="2"/>
      <c r="Q3553" s="2"/>
    </row>
    <row r="3554" spans="4:17" x14ac:dyDescent="0.25">
      <c r="D3554" s="2"/>
      <c r="E3554" s="310"/>
      <c r="I3554" s="2"/>
      <c r="M3554" s="2"/>
      <c r="P3554" s="2"/>
      <c r="Q3554" s="2"/>
    </row>
    <row r="3555" spans="4:17" x14ac:dyDescent="0.25">
      <c r="D3555" s="2"/>
      <c r="E3555" s="310"/>
      <c r="I3555" s="2"/>
      <c r="M3555" s="2"/>
      <c r="P3555" s="2"/>
      <c r="Q3555" s="2"/>
    </row>
    <row r="3556" spans="4:17" x14ac:dyDescent="0.25">
      <c r="D3556" s="2"/>
      <c r="E3556" s="310"/>
      <c r="I3556" s="2"/>
      <c r="M3556" s="2"/>
      <c r="P3556" s="2"/>
      <c r="Q3556" s="2"/>
    </row>
    <row r="3557" spans="4:17" x14ac:dyDescent="0.25">
      <c r="D3557" s="2"/>
      <c r="E3557" s="310"/>
      <c r="I3557" s="2"/>
      <c r="M3557" s="2"/>
      <c r="P3557" s="2"/>
      <c r="Q3557" s="2"/>
    </row>
    <row r="3558" spans="4:17" x14ac:dyDescent="0.25">
      <c r="D3558" s="2"/>
      <c r="E3558" s="310"/>
      <c r="I3558" s="2"/>
      <c r="M3558" s="2"/>
      <c r="P3558" s="2"/>
      <c r="Q3558" s="2"/>
    </row>
    <row r="3560" spans="4:17" x14ac:dyDescent="0.25">
      <c r="D3560" s="2"/>
      <c r="E3560" s="310"/>
      <c r="I3560" s="2"/>
      <c r="M3560" s="2"/>
      <c r="P3560" s="2"/>
      <c r="Q3560" s="2"/>
    </row>
    <row r="3561" spans="4:17" x14ac:dyDescent="0.25">
      <c r="D3561" s="2"/>
      <c r="E3561" s="310"/>
      <c r="I3561" s="2"/>
      <c r="M3561" s="2"/>
      <c r="P3561" s="2"/>
      <c r="Q3561" s="2"/>
    </row>
    <row r="3566" spans="4:17" x14ac:dyDescent="0.25">
      <c r="D3566" s="2"/>
      <c r="E3566" s="310"/>
      <c r="I3566" s="2"/>
      <c r="M3566" s="2"/>
      <c r="P3566" s="2"/>
      <c r="Q3566" s="2"/>
    </row>
    <row r="3567" spans="4:17" x14ac:dyDescent="0.25">
      <c r="D3567" s="2"/>
      <c r="E3567" s="310"/>
      <c r="I3567" s="2"/>
      <c r="M3567" s="2"/>
      <c r="P3567" s="2"/>
      <c r="Q3567" s="2"/>
    </row>
    <row r="3569" spans="4:17" x14ac:dyDescent="0.25">
      <c r="D3569" s="2"/>
      <c r="E3569" s="310"/>
      <c r="I3569" s="2"/>
      <c r="M3569" s="2"/>
      <c r="P3569" s="2"/>
      <c r="Q3569" s="2"/>
    </row>
    <row r="3570" spans="4:17" x14ac:dyDescent="0.25">
      <c r="D3570" s="2"/>
      <c r="E3570" s="310"/>
      <c r="I3570" s="2"/>
      <c r="M3570" s="2"/>
      <c r="P3570" s="2"/>
      <c r="Q3570" s="2"/>
    </row>
    <row r="3571" spans="4:17" x14ac:dyDescent="0.25">
      <c r="D3571" s="2"/>
      <c r="E3571" s="310"/>
      <c r="I3571" s="2"/>
      <c r="M3571" s="2"/>
      <c r="P3571" s="2"/>
      <c r="Q3571" s="2"/>
    </row>
    <row r="3572" spans="4:17" x14ac:dyDescent="0.25">
      <c r="D3572" s="2"/>
      <c r="E3572" s="310"/>
      <c r="I3572" s="2"/>
      <c r="M3572" s="2"/>
      <c r="P3572" s="2"/>
      <c r="Q3572" s="2"/>
    </row>
    <row r="3573" spans="4:17" x14ac:dyDescent="0.25">
      <c r="D3573" s="2"/>
      <c r="E3573" s="310"/>
      <c r="I3573" s="2"/>
      <c r="M3573" s="2"/>
      <c r="P3573" s="2"/>
      <c r="Q3573" s="2"/>
    </row>
    <row r="3574" spans="4:17" x14ac:dyDescent="0.25">
      <c r="D3574" s="2"/>
      <c r="E3574" s="310"/>
      <c r="I3574" s="2"/>
      <c r="M3574" s="2"/>
      <c r="P3574" s="2"/>
      <c r="Q3574" s="2"/>
    </row>
    <row r="3575" spans="4:17" x14ac:dyDescent="0.25">
      <c r="D3575" s="2"/>
      <c r="E3575" s="310"/>
      <c r="I3575" s="2"/>
      <c r="M3575" s="2"/>
      <c r="P3575" s="2"/>
      <c r="Q3575" s="2"/>
    </row>
    <row r="3576" spans="4:17" x14ac:dyDescent="0.25">
      <c r="D3576" s="2"/>
      <c r="E3576" s="310"/>
      <c r="I3576" s="2"/>
      <c r="M3576" s="2"/>
      <c r="P3576" s="2"/>
      <c r="Q3576" s="2"/>
    </row>
    <row r="3577" spans="4:17" x14ac:dyDescent="0.25">
      <c r="D3577" s="2"/>
      <c r="E3577" s="310"/>
      <c r="I3577" s="2"/>
      <c r="M3577" s="2"/>
      <c r="P3577" s="2"/>
      <c r="Q3577" s="2"/>
    </row>
    <row r="3578" spans="4:17" x14ac:dyDescent="0.25">
      <c r="D3578" s="2"/>
      <c r="E3578" s="310"/>
      <c r="I3578" s="2"/>
      <c r="M3578" s="2"/>
      <c r="P3578" s="2"/>
      <c r="Q3578" s="2"/>
    </row>
    <row r="3579" spans="4:17" x14ac:dyDescent="0.25">
      <c r="D3579" s="2"/>
      <c r="E3579" s="310"/>
      <c r="I3579" s="2"/>
      <c r="M3579" s="2"/>
      <c r="P3579" s="2"/>
      <c r="Q3579" s="2"/>
    </row>
    <row r="3580" spans="4:17" x14ac:dyDescent="0.25">
      <c r="D3580" s="2"/>
      <c r="E3580" s="310"/>
      <c r="I3580" s="2"/>
      <c r="M3580" s="2"/>
      <c r="P3580" s="2"/>
      <c r="Q3580" s="2"/>
    </row>
    <row r="3581" spans="4:17" x14ac:dyDescent="0.25">
      <c r="D3581" s="2"/>
      <c r="E3581" s="310"/>
      <c r="I3581" s="2"/>
      <c r="M3581" s="2"/>
      <c r="P3581" s="2"/>
      <c r="Q3581" s="2"/>
    </row>
    <row r="3582" spans="4:17" x14ac:dyDescent="0.25">
      <c r="D3582" s="2"/>
      <c r="E3582" s="310"/>
      <c r="I3582" s="2"/>
      <c r="M3582" s="2"/>
      <c r="P3582" s="2"/>
      <c r="Q3582" s="2"/>
    </row>
    <row r="3583" spans="4:17" x14ac:dyDescent="0.25">
      <c r="D3583" s="2"/>
      <c r="E3583" s="310"/>
      <c r="I3583" s="2"/>
      <c r="M3583" s="2"/>
      <c r="P3583" s="2"/>
      <c r="Q3583" s="2"/>
    </row>
    <row r="3584" spans="4:17" x14ac:dyDescent="0.25">
      <c r="D3584" s="2"/>
      <c r="E3584" s="310"/>
      <c r="I3584" s="2"/>
      <c r="M3584" s="2"/>
      <c r="P3584" s="2"/>
      <c r="Q3584" s="2"/>
    </row>
    <row r="3585" spans="4:17" x14ac:dyDescent="0.25">
      <c r="D3585" s="2"/>
      <c r="E3585" s="310"/>
      <c r="I3585" s="2"/>
      <c r="M3585" s="2"/>
      <c r="P3585" s="2"/>
      <c r="Q3585" s="2"/>
    </row>
    <row r="3586" spans="4:17" x14ac:dyDescent="0.25">
      <c r="D3586" s="2"/>
      <c r="E3586" s="310"/>
      <c r="I3586" s="2"/>
      <c r="M3586" s="2"/>
      <c r="P3586" s="2"/>
      <c r="Q3586" s="2"/>
    </row>
    <row r="3587" spans="4:17" x14ac:dyDescent="0.25">
      <c r="D3587" s="2"/>
      <c r="E3587" s="310"/>
      <c r="I3587" s="2"/>
      <c r="M3587" s="2"/>
      <c r="P3587" s="2"/>
      <c r="Q3587" s="2"/>
    </row>
    <row r="3588" spans="4:17" x14ac:dyDescent="0.25">
      <c r="D3588" s="2"/>
      <c r="E3588" s="310"/>
      <c r="I3588" s="2"/>
      <c r="M3588" s="2"/>
      <c r="P3588" s="2"/>
      <c r="Q3588" s="2"/>
    </row>
    <row r="3589" spans="4:17" x14ac:dyDescent="0.25">
      <c r="D3589" s="2"/>
      <c r="E3589" s="310"/>
      <c r="I3589" s="2"/>
      <c r="M3589" s="2"/>
      <c r="P3589" s="2"/>
      <c r="Q3589" s="2"/>
    </row>
    <row r="3590" spans="4:17" x14ac:dyDescent="0.25">
      <c r="D3590" s="2"/>
      <c r="E3590" s="310"/>
      <c r="I3590" s="2"/>
      <c r="M3590" s="2"/>
      <c r="P3590" s="2"/>
      <c r="Q3590" s="2"/>
    </row>
    <row r="3591" spans="4:17" x14ac:dyDescent="0.25">
      <c r="D3591" s="2"/>
      <c r="E3591" s="310"/>
      <c r="I3591" s="2"/>
      <c r="M3591" s="2"/>
      <c r="P3591" s="2"/>
      <c r="Q3591" s="2"/>
    </row>
    <row r="3592" spans="4:17" x14ac:dyDescent="0.25">
      <c r="D3592" s="2"/>
      <c r="E3592" s="310"/>
      <c r="I3592" s="2"/>
      <c r="M3592" s="2"/>
      <c r="P3592" s="2"/>
      <c r="Q3592" s="2"/>
    </row>
    <row r="3593" spans="4:17" x14ac:dyDescent="0.25">
      <c r="D3593" s="2"/>
      <c r="E3593" s="310"/>
      <c r="I3593" s="2"/>
      <c r="M3593" s="2"/>
      <c r="P3593" s="2"/>
      <c r="Q3593" s="2"/>
    </row>
    <row r="3594" spans="4:17" x14ac:dyDescent="0.25">
      <c r="D3594" s="2"/>
      <c r="E3594" s="310"/>
      <c r="I3594" s="2"/>
      <c r="M3594" s="2"/>
      <c r="P3594" s="2"/>
      <c r="Q3594" s="2"/>
    </row>
    <row r="3595" spans="4:17" x14ac:dyDescent="0.25">
      <c r="D3595" s="2"/>
      <c r="E3595" s="310"/>
      <c r="I3595" s="2"/>
      <c r="M3595" s="2"/>
      <c r="P3595" s="2"/>
      <c r="Q3595" s="2"/>
    </row>
    <row r="3596" spans="4:17" x14ac:dyDescent="0.25">
      <c r="D3596" s="2"/>
      <c r="E3596" s="310"/>
      <c r="I3596" s="2"/>
      <c r="M3596" s="2"/>
      <c r="P3596" s="2"/>
      <c r="Q3596" s="2"/>
    </row>
    <row r="3597" spans="4:17" x14ac:dyDescent="0.25">
      <c r="D3597" s="2"/>
      <c r="E3597" s="310"/>
      <c r="I3597" s="2"/>
      <c r="M3597" s="2"/>
      <c r="P3597" s="2"/>
      <c r="Q3597" s="2"/>
    </row>
    <row r="3598" spans="4:17" x14ac:dyDescent="0.25">
      <c r="D3598" s="2"/>
      <c r="E3598" s="310"/>
      <c r="I3598" s="2"/>
      <c r="M3598" s="2"/>
      <c r="P3598" s="2"/>
      <c r="Q3598" s="2"/>
    </row>
    <row r="3599" spans="4:17" x14ac:dyDescent="0.25">
      <c r="D3599" s="2"/>
      <c r="E3599" s="310"/>
      <c r="I3599" s="2"/>
      <c r="M3599" s="2"/>
      <c r="P3599" s="2"/>
      <c r="Q3599" s="2"/>
    </row>
    <row r="3600" spans="4:17" x14ac:dyDescent="0.25">
      <c r="D3600" s="2"/>
      <c r="E3600" s="310"/>
      <c r="I3600" s="2"/>
      <c r="M3600" s="2"/>
      <c r="P3600" s="2"/>
      <c r="Q3600" s="2"/>
    </row>
    <row r="3601" spans="4:17" x14ac:dyDescent="0.25">
      <c r="D3601" s="2"/>
      <c r="E3601" s="310"/>
      <c r="I3601" s="2"/>
      <c r="M3601" s="2"/>
      <c r="P3601" s="2"/>
      <c r="Q3601" s="2"/>
    </row>
    <row r="3602" spans="4:17" x14ac:dyDescent="0.25">
      <c r="D3602" s="2"/>
      <c r="E3602" s="310"/>
      <c r="I3602" s="2"/>
      <c r="M3602" s="2"/>
      <c r="P3602" s="2"/>
      <c r="Q3602" s="2"/>
    </row>
    <row r="3603" spans="4:17" x14ac:dyDescent="0.25">
      <c r="D3603" s="2"/>
      <c r="E3603" s="310"/>
      <c r="I3603" s="2"/>
      <c r="M3603" s="2"/>
      <c r="P3603" s="2"/>
      <c r="Q3603" s="2"/>
    </row>
    <row r="3604" spans="4:17" x14ac:dyDescent="0.25">
      <c r="D3604" s="2"/>
      <c r="E3604" s="310"/>
      <c r="I3604" s="2"/>
      <c r="M3604" s="2"/>
      <c r="P3604" s="2"/>
      <c r="Q3604" s="2"/>
    </row>
    <row r="3605" spans="4:17" x14ac:dyDescent="0.25">
      <c r="D3605" s="2"/>
      <c r="E3605" s="310"/>
      <c r="I3605" s="2"/>
      <c r="M3605" s="2"/>
      <c r="P3605" s="2"/>
      <c r="Q3605" s="2"/>
    </row>
    <row r="3606" spans="4:17" x14ac:dyDescent="0.25">
      <c r="D3606" s="2"/>
      <c r="E3606" s="310"/>
      <c r="I3606" s="2"/>
      <c r="M3606" s="2"/>
      <c r="P3606" s="2"/>
      <c r="Q3606" s="2"/>
    </row>
    <row r="3607" spans="4:17" x14ac:dyDescent="0.25">
      <c r="D3607" s="2"/>
      <c r="E3607" s="310"/>
      <c r="I3607" s="2"/>
      <c r="M3607" s="2"/>
      <c r="P3607" s="2"/>
      <c r="Q3607" s="2"/>
    </row>
    <row r="3608" spans="4:17" x14ac:dyDescent="0.25">
      <c r="D3608" s="2"/>
      <c r="E3608" s="310"/>
      <c r="I3608" s="2"/>
      <c r="M3608" s="2"/>
      <c r="P3608" s="2"/>
      <c r="Q3608" s="2"/>
    </row>
    <row r="3609" spans="4:17" x14ac:dyDescent="0.25">
      <c r="D3609" s="2"/>
      <c r="E3609" s="310"/>
      <c r="I3609" s="2"/>
      <c r="M3609" s="2"/>
      <c r="P3609" s="2"/>
      <c r="Q3609" s="2"/>
    </row>
    <row r="3610" spans="4:17" x14ac:dyDescent="0.25">
      <c r="D3610" s="2"/>
      <c r="E3610" s="310"/>
      <c r="I3610" s="2"/>
      <c r="M3610" s="2"/>
      <c r="P3610" s="2"/>
      <c r="Q3610" s="2"/>
    </row>
    <row r="3611" spans="4:17" x14ac:dyDescent="0.25">
      <c r="D3611" s="2"/>
      <c r="E3611" s="310"/>
      <c r="I3611" s="2"/>
      <c r="M3611" s="2"/>
      <c r="P3611" s="2"/>
      <c r="Q3611" s="2"/>
    </row>
    <row r="3612" spans="4:17" x14ac:dyDescent="0.25">
      <c r="D3612" s="2"/>
      <c r="E3612" s="310"/>
      <c r="I3612" s="2"/>
      <c r="M3612" s="2"/>
      <c r="P3612" s="2"/>
      <c r="Q3612" s="2"/>
    </row>
    <row r="3613" spans="4:17" x14ac:dyDescent="0.25">
      <c r="D3613" s="2"/>
      <c r="E3613" s="310"/>
      <c r="I3613" s="2"/>
      <c r="M3613" s="2"/>
      <c r="P3613" s="2"/>
      <c r="Q3613" s="2"/>
    </row>
    <row r="3614" spans="4:17" x14ac:dyDescent="0.25">
      <c r="D3614" s="2"/>
      <c r="E3614" s="310"/>
      <c r="I3614" s="2"/>
      <c r="M3614" s="2"/>
      <c r="P3614" s="2"/>
      <c r="Q3614" s="2"/>
    </row>
    <row r="3615" spans="4:17" x14ac:dyDescent="0.25">
      <c r="D3615" s="2"/>
      <c r="E3615" s="310"/>
      <c r="I3615" s="2"/>
      <c r="M3615" s="2"/>
      <c r="P3615" s="2"/>
      <c r="Q3615" s="2"/>
    </row>
    <row r="3616" spans="4:17" x14ac:dyDescent="0.25">
      <c r="D3616" s="2"/>
      <c r="E3616" s="310"/>
      <c r="I3616" s="2"/>
      <c r="M3616" s="2"/>
      <c r="P3616" s="2"/>
      <c r="Q3616" s="2"/>
    </row>
    <row r="3617" spans="4:17" x14ac:dyDescent="0.25">
      <c r="D3617" s="2"/>
      <c r="E3617" s="310"/>
      <c r="I3617" s="2"/>
      <c r="M3617" s="2"/>
      <c r="P3617" s="2"/>
      <c r="Q3617" s="2"/>
    </row>
    <row r="3618" spans="4:17" x14ac:dyDescent="0.25">
      <c r="D3618" s="2"/>
      <c r="E3618" s="310"/>
      <c r="I3618" s="2"/>
      <c r="M3618" s="2"/>
      <c r="P3618" s="2"/>
      <c r="Q3618" s="2"/>
    </row>
    <row r="3619" spans="4:17" x14ac:dyDescent="0.25">
      <c r="D3619" s="2"/>
      <c r="E3619" s="310"/>
      <c r="I3619" s="2"/>
      <c r="M3619" s="2"/>
      <c r="P3619" s="2"/>
      <c r="Q3619" s="2"/>
    </row>
    <row r="3620" spans="4:17" x14ac:dyDescent="0.25">
      <c r="D3620" s="2"/>
      <c r="E3620" s="310"/>
      <c r="I3620" s="2"/>
      <c r="M3620" s="2"/>
      <c r="P3620" s="2"/>
      <c r="Q3620" s="2"/>
    </row>
    <row r="3621" spans="4:17" x14ac:dyDescent="0.25">
      <c r="D3621" s="2"/>
      <c r="E3621" s="310"/>
      <c r="I3621" s="2"/>
      <c r="M3621" s="2"/>
      <c r="P3621" s="2"/>
      <c r="Q3621" s="2"/>
    </row>
    <row r="3622" spans="4:17" x14ac:dyDescent="0.25">
      <c r="D3622" s="2"/>
      <c r="E3622" s="310"/>
      <c r="I3622" s="2"/>
      <c r="M3622" s="2"/>
      <c r="P3622" s="2"/>
      <c r="Q3622" s="2"/>
    </row>
    <row r="3623" spans="4:17" x14ac:dyDescent="0.25">
      <c r="D3623" s="2"/>
      <c r="E3623" s="310"/>
      <c r="I3623" s="2"/>
      <c r="M3623" s="2"/>
      <c r="P3623" s="2"/>
      <c r="Q3623" s="2"/>
    </row>
    <row r="3624" spans="4:17" x14ac:dyDescent="0.25">
      <c r="D3624" s="2"/>
      <c r="E3624" s="310"/>
      <c r="I3624" s="2"/>
      <c r="M3624" s="2"/>
      <c r="P3624" s="2"/>
      <c r="Q3624" s="2"/>
    </row>
    <row r="3625" spans="4:17" x14ac:dyDescent="0.25">
      <c r="D3625" s="2"/>
      <c r="E3625" s="310"/>
      <c r="I3625" s="2"/>
      <c r="M3625" s="2"/>
      <c r="P3625" s="2"/>
      <c r="Q3625" s="2"/>
    </row>
    <row r="3626" spans="4:17" x14ac:dyDescent="0.25">
      <c r="D3626" s="2"/>
      <c r="E3626" s="310"/>
      <c r="I3626" s="2"/>
      <c r="M3626" s="2"/>
      <c r="P3626" s="2"/>
      <c r="Q3626" s="2"/>
    </row>
    <row r="3627" spans="4:17" x14ac:dyDescent="0.25">
      <c r="D3627" s="2"/>
      <c r="E3627" s="310"/>
      <c r="I3627" s="2"/>
      <c r="M3627" s="2"/>
      <c r="P3627" s="2"/>
      <c r="Q3627" s="2"/>
    </row>
    <row r="3628" spans="4:17" x14ac:dyDescent="0.25">
      <c r="D3628" s="2"/>
      <c r="E3628" s="310"/>
      <c r="I3628" s="2"/>
      <c r="M3628" s="2"/>
      <c r="P3628" s="2"/>
      <c r="Q3628" s="2"/>
    </row>
    <row r="3629" spans="4:17" x14ac:dyDescent="0.25">
      <c r="D3629" s="2"/>
      <c r="E3629" s="310"/>
      <c r="I3629" s="2"/>
      <c r="M3629" s="2"/>
      <c r="P3629" s="2"/>
      <c r="Q3629" s="2"/>
    </row>
    <row r="3630" spans="4:17" x14ac:dyDescent="0.25">
      <c r="D3630" s="2"/>
      <c r="E3630" s="310"/>
      <c r="I3630" s="2"/>
      <c r="M3630" s="2"/>
      <c r="P3630" s="2"/>
      <c r="Q3630" s="2"/>
    </row>
    <row r="3631" spans="4:17" x14ac:dyDescent="0.25">
      <c r="D3631" s="2"/>
      <c r="E3631" s="310"/>
      <c r="I3631" s="2"/>
      <c r="M3631" s="2"/>
      <c r="P3631" s="2"/>
      <c r="Q3631" s="2"/>
    </row>
    <row r="3632" spans="4:17" x14ac:dyDescent="0.25">
      <c r="D3632" s="2"/>
      <c r="E3632" s="310"/>
      <c r="I3632" s="2"/>
      <c r="M3632" s="2"/>
      <c r="P3632" s="2"/>
      <c r="Q3632" s="2"/>
    </row>
    <row r="3633" spans="4:17" x14ac:dyDescent="0.25">
      <c r="D3633" s="2"/>
      <c r="E3633" s="310"/>
      <c r="I3633" s="2"/>
      <c r="M3633" s="2"/>
      <c r="P3633" s="2"/>
      <c r="Q3633" s="2"/>
    </row>
    <row r="3634" spans="4:17" x14ac:dyDescent="0.25">
      <c r="D3634" s="2"/>
      <c r="E3634" s="310"/>
      <c r="I3634" s="2"/>
      <c r="M3634" s="2"/>
      <c r="P3634" s="2"/>
      <c r="Q3634" s="2"/>
    </row>
    <row r="3635" spans="4:17" x14ac:dyDescent="0.25">
      <c r="D3635" s="2"/>
      <c r="E3635" s="310"/>
      <c r="I3635" s="2"/>
      <c r="M3635" s="2"/>
      <c r="P3635" s="2"/>
      <c r="Q3635" s="2"/>
    </row>
    <row r="3636" spans="4:17" x14ac:dyDescent="0.25">
      <c r="D3636" s="2"/>
      <c r="E3636" s="310"/>
      <c r="I3636" s="2"/>
      <c r="M3636" s="2"/>
      <c r="P3636" s="2"/>
      <c r="Q3636" s="2"/>
    </row>
    <row r="3637" spans="4:17" x14ac:dyDescent="0.25">
      <c r="D3637" s="2"/>
      <c r="E3637" s="310"/>
      <c r="I3637" s="2"/>
      <c r="M3637" s="2"/>
      <c r="P3637" s="2"/>
      <c r="Q3637" s="2"/>
    </row>
    <row r="3638" spans="4:17" x14ac:dyDescent="0.25">
      <c r="D3638" s="2"/>
      <c r="E3638" s="310"/>
      <c r="I3638" s="2"/>
      <c r="M3638" s="2"/>
      <c r="P3638" s="2"/>
      <c r="Q3638" s="2"/>
    </row>
    <row r="3639" spans="4:17" x14ac:dyDescent="0.25">
      <c r="D3639" s="2"/>
      <c r="E3639" s="310"/>
      <c r="I3639" s="2"/>
      <c r="M3639" s="2"/>
      <c r="P3639" s="2"/>
      <c r="Q3639" s="2"/>
    </row>
    <row r="3640" spans="4:17" x14ac:dyDescent="0.25">
      <c r="D3640" s="2"/>
      <c r="E3640" s="310"/>
      <c r="I3640" s="2"/>
      <c r="M3640" s="2"/>
      <c r="P3640" s="2"/>
      <c r="Q3640" s="2"/>
    </row>
    <row r="3641" spans="4:17" x14ac:dyDescent="0.25">
      <c r="D3641" s="2"/>
      <c r="E3641" s="310"/>
      <c r="I3641" s="2"/>
      <c r="M3641" s="2"/>
      <c r="P3641" s="2"/>
      <c r="Q3641" s="2"/>
    </row>
    <row r="3642" spans="4:17" x14ac:dyDescent="0.25">
      <c r="D3642" s="2"/>
      <c r="E3642" s="310"/>
      <c r="I3642" s="2"/>
      <c r="M3642" s="2"/>
      <c r="P3642" s="2"/>
      <c r="Q3642" s="2"/>
    </row>
    <row r="3643" spans="4:17" x14ac:dyDescent="0.25">
      <c r="D3643" s="2"/>
      <c r="E3643" s="310"/>
      <c r="I3643" s="2"/>
      <c r="M3643" s="2"/>
      <c r="P3643" s="2"/>
      <c r="Q3643" s="2"/>
    </row>
    <row r="3644" spans="4:17" x14ac:dyDescent="0.25">
      <c r="D3644" s="2"/>
      <c r="E3644" s="310"/>
      <c r="I3644" s="2"/>
      <c r="M3644" s="2"/>
      <c r="P3644" s="2"/>
      <c r="Q3644" s="2"/>
    </row>
    <row r="3645" spans="4:17" x14ac:dyDescent="0.25">
      <c r="D3645" s="2"/>
      <c r="E3645" s="310"/>
      <c r="I3645" s="2"/>
      <c r="M3645" s="2"/>
      <c r="P3645" s="2"/>
      <c r="Q3645" s="2"/>
    </row>
    <row r="3646" spans="4:17" x14ac:dyDescent="0.25">
      <c r="D3646" s="2"/>
      <c r="E3646" s="310"/>
      <c r="I3646" s="2"/>
      <c r="M3646" s="2"/>
      <c r="P3646" s="2"/>
      <c r="Q3646" s="2"/>
    </row>
    <row r="3647" spans="4:17" x14ac:dyDescent="0.25">
      <c r="D3647" s="2"/>
      <c r="E3647" s="310"/>
      <c r="I3647" s="2"/>
      <c r="M3647" s="2"/>
      <c r="P3647" s="2"/>
      <c r="Q3647" s="2"/>
    </row>
    <row r="3648" spans="4:17" x14ac:dyDescent="0.25">
      <c r="D3648" s="2"/>
      <c r="E3648" s="310"/>
      <c r="I3648" s="2"/>
      <c r="M3648" s="2"/>
      <c r="P3648" s="2"/>
      <c r="Q3648" s="2"/>
    </row>
    <row r="3649" spans="4:17" x14ac:dyDescent="0.25">
      <c r="D3649" s="2"/>
      <c r="E3649" s="310"/>
      <c r="I3649" s="2"/>
      <c r="M3649" s="2"/>
      <c r="P3649" s="2"/>
      <c r="Q3649" s="2"/>
    </row>
    <row r="3650" spans="4:17" x14ac:dyDescent="0.25">
      <c r="D3650" s="2"/>
      <c r="E3650" s="310"/>
      <c r="I3650" s="2"/>
      <c r="M3650" s="2"/>
      <c r="P3650" s="2"/>
      <c r="Q3650" s="2"/>
    </row>
    <row r="3651" spans="4:17" x14ac:dyDescent="0.25">
      <c r="D3651" s="2"/>
      <c r="E3651" s="310"/>
      <c r="I3651" s="2"/>
      <c r="M3651" s="2"/>
      <c r="P3651" s="2"/>
      <c r="Q3651" s="2"/>
    </row>
    <row r="3652" spans="4:17" x14ac:dyDescent="0.25">
      <c r="D3652" s="2"/>
      <c r="E3652" s="310"/>
      <c r="I3652" s="2"/>
      <c r="M3652" s="2"/>
      <c r="P3652" s="2"/>
      <c r="Q3652" s="2"/>
    </row>
    <row r="3653" spans="4:17" x14ac:dyDescent="0.25">
      <c r="D3653" s="2"/>
      <c r="E3653" s="310"/>
      <c r="I3653" s="2"/>
      <c r="M3653" s="2"/>
      <c r="P3653" s="2"/>
      <c r="Q3653" s="2"/>
    </row>
    <row r="3654" spans="4:17" x14ac:dyDescent="0.25">
      <c r="D3654" s="2"/>
      <c r="E3654" s="310"/>
      <c r="I3654" s="2"/>
      <c r="M3654" s="2"/>
      <c r="P3654" s="2"/>
      <c r="Q3654" s="2"/>
    </row>
    <row r="3655" spans="4:17" x14ac:dyDescent="0.25">
      <c r="D3655" s="2"/>
      <c r="E3655" s="310"/>
      <c r="I3655" s="2"/>
      <c r="M3655" s="2"/>
      <c r="P3655" s="2"/>
      <c r="Q3655" s="2"/>
    </row>
    <row r="3656" spans="4:17" x14ac:dyDescent="0.25">
      <c r="D3656" s="2"/>
      <c r="E3656" s="310"/>
      <c r="I3656" s="2"/>
      <c r="M3656" s="2"/>
      <c r="P3656" s="2"/>
      <c r="Q3656" s="2"/>
    </row>
    <row r="3657" spans="4:17" x14ac:dyDescent="0.25">
      <c r="D3657" s="2"/>
      <c r="E3657" s="310"/>
      <c r="I3657" s="2"/>
      <c r="M3657" s="2"/>
      <c r="P3657" s="2"/>
      <c r="Q3657" s="2"/>
    </row>
    <row r="3658" spans="4:17" x14ac:dyDescent="0.25">
      <c r="D3658" s="2"/>
      <c r="E3658" s="310"/>
      <c r="I3658" s="2"/>
      <c r="M3658" s="2"/>
      <c r="P3658" s="2"/>
      <c r="Q3658" s="2"/>
    </row>
    <row r="3659" spans="4:17" x14ac:dyDescent="0.25">
      <c r="D3659" s="2"/>
      <c r="E3659" s="310"/>
      <c r="I3659" s="2"/>
      <c r="M3659" s="2"/>
      <c r="P3659" s="2"/>
      <c r="Q3659" s="2"/>
    </row>
    <row r="3660" spans="4:17" x14ac:dyDescent="0.25">
      <c r="D3660" s="2"/>
      <c r="E3660" s="310"/>
      <c r="I3660" s="2"/>
      <c r="M3660" s="2"/>
      <c r="P3660" s="2"/>
      <c r="Q3660" s="2"/>
    </row>
    <row r="3661" spans="4:17" x14ac:dyDescent="0.25">
      <c r="D3661" s="2"/>
      <c r="E3661" s="310"/>
      <c r="I3661" s="2"/>
      <c r="M3661" s="2"/>
      <c r="P3661" s="2"/>
      <c r="Q3661" s="2"/>
    </row>
    <row r="3662" spans="4:17" x14ac:dyDescent="0.25">
      <c r="D3662" s="2"/>
      <c r="E3662" s="310"/>
      <c r="I3662" s="2"/>
      <c r="M3662" s="2"/>
      <c r="P3662" s="2"/>
      <c r="Q3662" s="2"/>
    </row>
    <row r="3663" spans="4:17" x14ac:dyDescent="0.25">
      <c r="D3663" s="2"/>
      <c r="E3663" s="310"/>
      <c r="I3663" s="2"/>
      <c r="M3663" s="2"/>
      <c r="P3663" s="2"/>
      <c r="Q3663" s="2"/>
    </row>
    <row r="3664" spans="4:17" x14ac:dyDescent="0.25">
      <c r="D3664" s="2"/>
      <c r="E3664" s="310"/>
      <c r="I3664" s="2"/>
      <c r="M3664" s="2"/>
      <c r="P3664" s="2"/>
      <c r="Q3664" s="2"/>
    </row>
    <row r="3665" spans="4:17" x14ac:dyDescent="0.25">
      <c r="D3665" s="2"/>
      <c r="E3665" s="310"/>
      <c r="I3665" s="2"/>
      <c r="M3665" s="2"/>
      <c r="P3665" s="2"/>
      <c r="Q3665" s="2"/>
    </row>
    <row r="3666" spans="4:17" x14ac:dyDescent="0.25">
      <c r="D3666" s="2"/>
      <c r="E3666" s="310"/>
      <c r="I3666" s="2"/>
      <c r="M3666" s="2"/>
      <c r="P3666" s="2"/>
      <c r="Q3666" s="2"/>
    </row>
    <row r="3667" spans="4:17" x14ac:dyDescent="0.25">
      <c r="D3667" s="2"/>
      <c r="E3667" s="310"/>
      <c r="I3667" s="2"/>
      <c r="M3667" s="2"/>
      <c r="P3667" s="2"/>
      <c r="Q3667" s="2"/>
    </row>
    <row r="3668" spans="4:17" x14ac:dyDescent="0.25">
      <c r="D3668" s="2"/>
      <c r="E3668" s="310"/>
      <c r="I3668" s="2"/>
      <c r="M3668" s="2"/>
      <c r="P3668" s="2"/>
      <c r="Q3668" s="2"/>
    </row>
    <row r="3669" spans="4:17" x14ac:dyDescent="0.25">
      <c r="D3669" s="2"/>
      <c r="E3669" s="310"/>
      <c r="I3669" s="2"/>
      <c r="M3669" s="2"/>
      <c r="P3669" s="2"/>
      <c r="Q3669" s="2"/>
    </row>
    <row r="3670" spans="4:17" x14ac:dyDescent="0.25">
      <c r="D3670" s="2"/>
      <c r="E3670" s="310"/>
      <c r="I3670" s="2"/>
      <c r="M3670" s="2"/>
      <c r="P3670" s="2"/>
      <c r="Q3670" s="2"/>
    </row>
    <row r="3671" spans="4:17" x14ac:dyDescent="0.25">
      <c r="D3671" s="2"/>
      <c r="E3671" s="310"/>
      <c r="I3671" s="2"/>
      <c r="M3671" s="2"/>
      <c r="P3671" s="2"/>
      <c r="Q3671" s="2"/>
    </row>
    <row r="3672" spans="4:17" x14ac:dyDescent="0.25">
      <c r="D3672" s="2"/>
      <c r="E3672" s="310"/>
      <c r="I3672" s="2"/>
      <c r="M3672" s="2"/>
      <c r="P3672" s="2"/>
      <c r="Q3672" s="2"/>
    </row>
    <row r="3673" spans="4:17" x14ac:dyDescent="0.25">
      <c r="D3673" s="2"/>
      <c r="E3673" s="310"/>
      <c r="I3673" s="2"/>
      <c r="M3673" s="2"/>
      <c r="P3673" s="2"/>
      <c r="Q3673" s="2"/>
    </row>
    <row r="3674" spans="4:17" x14ac:dyDescent="0.25">
      <c r="D3674" s="2"/>
      <c r="E3674" s="310"/>
      <c r="I3674" s="2"/>
      <c r="M3674" s="2"/>
      <c r="P3674" s="2"/>
      <c r="Q3674" s="2"/>
    </row>
    <row r="3675" spans="4:17" x14ac:dyDescent="0.25">
      <c r="D3675" s="2"/>
      <c r="E3675" s="310"/>
      <c r="I3675" s="2"/>
      <c r="M3675" s="2"/>
      <c r="P3675" s="2"/>
      <c r="Q3675" s="2"/>
    </row>
    <row r="3676" spans="4:17" x14ac:dyDescent="0.25">
      <c r="D3676" s="2"/>
      <c r="E3676" s="310"/>
      <c r="I3676" s="2"/>
      <c r="M3676" s="2"/>
      <c r="P3676" s="2"/>
      <c r="Q3676" s="2"/>
    </row>
    <row r="3677" spans="4:17" x14ac:dyDescent="0.25">
      <c r="D3677" s="2"/>
      <c r="E3677" s="310"/>
      <c r="I3677" s="2"/>
      <c r="M3677" s="2"/>
      <c r="P3677" s="2"/>
      <c r="Q3677" s="2"/>
    </row>
    <row r="3678" spans="4:17" x14ac:dyDescent="0.25">
      <c r="D3678" s="2"/>
      <c r="E3678" s="310"/>
      <c r="I3678" s="2"/>
      <c r="M3678" s="2"/>
      <c r="P3678" s="2"/>
      <c r="Q3678" s="2"/>
    </row>
    <row r="3679" spans="4:17" x14ac:dyDescent="0.25">
      <c r="D3679" s="2"/>
      <c r="E3679" s="310"/>
      <c r="I3679" s="2"/>
      <c r="M3679" s="2"/>
      <c r="P3679" s="2"/>
      <c r="Q3679" s="2"/>
    </row>
    <row r="3680" spans="4:17" x14ac:dyDescent="0.25">
      <c r="D3680" s="2"/>
      <c r="E3680" s="310"/>
      <c r="I3680" s="2"/>
      <c r="M3680" s="2"/>
      <c r="P3680" s="2"/>
      <c r="Q3680" s="2"/>
    </row>
    <row r="3681" spans="4:17" x14ac:dyDescent="0.25">
      <c r="D3681" s="2"/>
      <c r="E3681" s="310"/>
      <c r="I3681" s="2"/>
      <c r="M3681" s="2"/>
      <c r="P3681" s="2"/>
      <c r="Q3681" s="2"/>
    </row>
    <row r="3682" spans="4:17" x14ac:dyDescent="0.25">
      <c r="D3682" s="2"/>
      <c r="E3682" s="310"/>
      <c r="I3682" s="2"/>
      <c r="M3682" s="2"/>
      <c r="P3682" s="2"/>
      <c r="Q3682" s="2"/>
    </row>
    <row r="3683" spans="4:17" x14ac:dyDescent="0.25">
      <c r="D3683" s="2"/>
      <c r="E3683" s="310"/>
      <c r="I3683" s="2"/>
      <c r="M3683" s="2"/>
      <c r="P3683" s="2"/>
      <c r="Q3683" s="2"/>
    </row>
    <row r="3684" spans="4:17" x14ac:dyDescent="0.25">
      <c r="D3684" s="2"/>
      <c r="E3684" s="310"/>
      <c r="I3684" s="2"/>
      <c r="M3684" s="2"/>
      <c r="P3684" s="2"/>
      <c r="Q3684" s="2"/>
    </row>
    <row r="3685" spans="4:17" x14ac:dyDescent="0.25">
      <c r="D3685" s="2"/>
      <c r="E3685" s="310"/>
      <c r="I3685" s="2"/>
      <c r="M3685" s="2"/>
      <c r="P3685" s="2"/>
      <c r="Q3685" s="2"/>
    </row>
    <row r="3686" spans="4:17" x14ac:dyDescent="0.25">
      <c r="D3686" s="2"/>
      <c r="E3686" s="310"/>
      <c r="I3686" s="2"/>
      <c r="M3686" s="2"/>
      <c r="P3686" s="2"/>
      <c r="Q3686" s="2"/>
    </row>
    <row r="3687" spans="4:17" x14ac:dyDescent="0.25">
      <c r="D3687" s="2"/>
      <c r="E3687" s="310"/>
      <c r="I3687" s="2"/>
      <c r="M3687" s="2"/>
      <c r="P3687" s="2"/>
      <c r="Q3687" s="2"/>
    </row>
    <row r="3688" spans="4:17" x14ac:dyDescent="0.25">
      <c r="D3688" s="2"/>
      <c r="E3688" s="310"/>
      <c r="I3688" s="2"/>
      <c r="M3688" s="2"/>
      <c r="P3688" s="2"/>
      <c r="Q3688" s="2"/>
    </row>
    <row r="3689" spans="4:17" x14ac:dyDescent="0.25">
      <c r="D3689" s="2"/>
      <c r="E3689" s="310"/>
      <c r="I3689" s="2"/>
      <c r="M3689" s="2"/>
      <c r="P3689" s="2"/>
      <c r="Q3689" s="2"/>
    </row>
    <row r="3690" spans="4:17" x14ac:dyDescent="0.25">
      <c r="D3690" s="2"/>
      <c r="E3690" s="310"/>
      <c r="I3690" s="2"/>
      <c r="M3690" s="2"/>
      <c r="P3690" s="2"/>
      <c r="Q3690" s="2"/>
    </row>
    <row r="3691" spans="4:17" x14ac:dyDescent="0.25">
      <c r="D3691" s="2"/>
      <c r="E3691" s="310"/>
      <c r="I3691" s="2"/>
      <c r="M3691" s="2"/>
      <c r="P3691" s="2"/>
      <c r="Q3691" s="2"/>
    </row>
    <row r="3692" spans="4:17" x14ac:dyDescent="0.25">
      <c r="D3692" s="2"/>
      <c r="E3692" s="310"/>
      <c r="I3692" s="2"/>
      <c r="M3692" s="2"/>
      <c r="P3692" s="2"/>
      <c r="Q3692" s="2"/>
    </row>
    <row r="3693" spans="4:17" x14ac:dyDescent="0.25">
      <c r="D3693" s="2"/>
      <c r="E3693" s="310"/>
      <c r="I3693" s="2"/>
      <c r="M3693" s="2"/>
      <c r="P3693" s="2"/>
      <c r="Q3693" s="2"/>
    </row>
    <row r="3694" spans="4:17" x14ac:dyDescent="0.25">
      <c r="D3694" s="2"/>
      <c r="E3694" s="310"/>
      <c r="I3694" s="2"/>
      <c r="M3694" s="2"/>
      <c r="P3694" s="2"/>
      <c r="Q3694" s="2"/>
    </row>
    <row r="3695" spans="4:17" x14ac:dyDescent="0.25">
      <c r="D3695" s="2"/>
      <c r="E3695" s="310"/>
      <c r="I3695" s="2"/>
      <c r="M3695" s="2"/>
      <c r="P3695" s="2"/>
      <c r="Q3695" s="2"/>
    </row>
    <row r="3696" spans="4:17" x14ac:dyDescent="0.25">
      <c r="D3696" s="2"/>
      <c r="E3696" s="310"/>
      <c r="I3696" s="2"/>
      <c r="M3696" s="2"/>
      <c r="P3696" s="2"/>
      <c r="Q3696" s="2"/>
    </row>
    <row r="3697" spans="4:17" x14ac:dyDescent="0.25">
      <c r="D3697" s="2"/>
      <c r="E3697" s="310"/>
      <c r="I3697" s="2"/>
      <c r="M3697" s="2"/>
      <c r="P3697" s="2"/>
      <c r="Q3697" s="2"/>
    </row>
    <row r="3698" spans="4:17" x14ac:dyDescent="0.25">
      <c r="D3698" s="2"/>
      <c r="E3698" s="310"/>
      <c r="I3698" s="2"/>
      <c r="M3698" s="2"/>
      <c r="P3698" s="2"/>
      <c r="Q3698" s="2"/>
    </row>
    <row r="3699" spans="4:17" x14ac:dyDescent="0.25">
      <c r="D3699" s="2"/>
      <c r="E3699" s="310"/>
      <c r="I3699" s="2"/>
      <c r="M3699" s="2"/>
      <c r="P3699" s="2"/>
      <c r="Q3699" s="2"/>
    </row>
    <row r="3700" spans="4:17" x14ac:dyDescent="0.25">
      <c r="D3700" s="2"/>
      <c r="E3700" s="310"/>
      <c r="I3700" s="2"/>
      <c r="M3700" s="2"/>
      <c r="P3700" s="2"/>
      <c r="Q3700" s="2"/>
    </row>
    <row r="3701" spans="4:17" x14ac:dyDescent="0.25">
      <c r="D3701" s="2"/>
      <c r="E3701" s="310"/>
      <c r="I3701" s="2"/>
      <c r="M3701" s="2"/>
      <c r="P3701" s="2"/>
      <c r="Q3701" s="2"/>
    </row>
    <row r="3702" spans="4:17" x14ac:dyDescent="0.25">
      <c r="D3702" s="2"/>
      <c r="E3702" s="310"/>
      <c r="I3702" s="2"/>
      <c r="M3702" s="2"/>
      <c r="P3702" s="2"/>
      <c r="Q3702" s="2"/>
    </row>
    <row r="3703" spans="4:17" x14ac:dyDescent="0.25">
      <c r="D3703" s="2"/>
      <c r="E3703" s="310"/>
      <c r="I3703" s="2"/>
      <c r="M3703" s="2"/>
      <c r="P3703" s="2"/>
      <c r="Q3703" s="2"/>
    </row>
    <row r="3704" spans="4:17" x14ac:dyDescent="0.25">
      <c r="D3704" s="2"/>
      <c r="E3704" s="310"/>
      <c r="I3704" s="2"/>
      <c r="M3704" s="2"/>
      <c r="P3704" s="2"/>
      <c r="Q3704" s="2"/>
    </row>
    <row r="3705" spans="4:17" x14ac:dyDescent="0.25">
      <c r="D3705" s="2"/>
      <c r="E3705" s="310"/>
      <c r="I3705" s="2"/>
      <c r="M3705" s="2"/>
      <c r="P3705" s="2"/>
      <c r="Q3705" s="2"/>
    </row>
    <row r="3706" spans="4:17" x14ac:dyDescent="0.25">
      <c r="D3706" s="2"/>
      <c r="E3706" s="310"/>
      <c r="I3706" s="2"/>
      <c r="M3706" s="2"/>
      <c r="P3706" s="2"/>
      <c r="Q3706" s="2"/>
    </row>
    <row r="3707" spans="4:17" x14ac:dyDescent="0.25">
      <c r="D3707" s="2"/>
      <c r="E3707" s="310"/>
      <c r="I3707" s="2"/>
      <c r="M3707" s="2"/>
      <c r="P3707" s="2"/>
      <c r="Q3707" s="2"/>
    </row>
    <row r="3708" spans="4:17" x14ac:dyDescent="0.25">
      <c r="D3708" s="2"/>
      <c r="E3708" s="310"/>
      <c r="I3708" s="2"/>
      <c r="M3708" s="2"/>
      <c r="P3708" s="2"/>
      <c r="Q3708" s="2"/>
    </row>
    <row r="3709" spans="4:17" x14ac:dyDescent="0.25">
      <c r="D3709" s="2"/>
      <c r="E3709" s="310"/>
      <c r="I3709" s="2"/>
      <c r="M3709" s="2"/>
      <c r="P3709" s="2"/>
      <c r="Q3709" s="2"/>
    </row>
    <row r="3710" spans="4:17" x14ac:dyDescent="0.25">
      <c r="D3710" s="2"/>
      <c r="E3710" s="310"/>
      <c r="I3710" s="2"/>
      <c r="M3710" s="2"/>
      <c r="P3710" s="2"/>
      <c r="Q3710" s="2"/>
    </row>
    <row r="3711" spans="4:17" x14ac:dyDescent="0.25">
      <c r="D3711" s="2"/>
      <c r="E3711" s="310"/>
      <c r="I3711" s="2"/>
      <c r="M3711" s="2"/>
      <c r="P3711" s="2"/>
      <c r="Q3711" s="2"/>
    </row>
    <row r="3712" spans="4:17" x14ac:dyDescent="0.25">
      <c r="D3712" s="2"/>
      <c r="E3712" s="310"/>
      <c r="I3712" s="2"/>
      <c r="M3712" s="2"/>
      <c r="P3712" s="2"/>
      <c r="Q3712" s="2"/>
    </row>
    <row r="3713" spans="4:17" x14ac:dyDescent="0.25">
      <c r="D3713" s="2"/>
      <c r="E3713" s="310"/>
      <c r="I3713" s="2"/>
      <c r="M3713" s="2"/>
      <c r="P3713" s="2"/>
      <c r="Q3713" s="2"/>
    </row>
    <row r="3714" spans="4:17" x14ac:dyDescent="0.25">
      <c r="D3714" s="2"/>
      <c r="E3714" s="310"/>
      <c r="I3714" s="2"/>
      <c r="M3714" s="2"/>
      <c r="P3714" s="2"/>
      <c r="Q3714" s="2"/>
    </row>
    <row r="3715" spans="4:17" x14ac:dyDescent="0.25">
      <c r="D3715" s="2"/>
      <c r="E3715" s="310"/>
      <c r="I3715" s="2"/>
      <c r="M3715" s="2"/>
      <c r="P3715" s="2"/>
      <c r="Q3715" s="2"/>
    </row>
    <row r="3716" spans="4:17" x14ac:dyDescent="0.25">
      <c r="D3716" s="2"/>
      <c r="E3716" s="310"/>
      <c r="I3716" s="2"/>
      <c r="M3716" s="2"/>
      <c r="P3716" s="2"/>
      <c r="Q3716" s="2"/>
    </row>
    <row r="3717" spans="4:17" x14ac:dyDescent="0.25">
      <c r="D3717" s="2"/>
      <c r="E3717" s="310"/>
      <c r="I3717" s="2"/>
      <c r="M3717" s="2"/>
      <c r="P3717" s="2"/>
      <c r="Q3717" s="2"/>
    </row>
    <row r="3718" spans="4:17" x14ac:dyDescent="0.25">
      <c r="D3718" s="2"/>
      <c r="E3718" s="310"/>
      <c r="I3718" s="2"/>
      <c r="M3718" s="2"/>
      <c r="P3718" s="2"/>
      <c r="Q3718" s="2"/>
    </row>
    <row r="3719" spans="4:17" x14ac:dyDescent="0.25">
      <c r="D3719" s="2"/>
      <c r="E3719" s="310"/>
      <c r="I3719" s="2"/>
      <c r="M3719" s="2"/>
      <c r="P3719" s="2"/>
      <c r="Q3719" s="2"/>
    </row>
    <row r="3720" spans="4:17" x14ac:dyDescent="0.25">
      <c r="D3720" s="2"/>
      <c r="E3720" s="310"/>
      <c r="I3720" s="2"/>
      <c r="M3720" s="2"/>
      <c r="P3720" s="2"/>
      <c r="Q3720" s="2"/>
    </row>
    <row r="3721" spans="4:17" x14ac:dyDescent="0.25">
      <c r="D3721" s="2"/>
      <c r="E3721" s="310"/>
      <c r="I3721" s="2"/>
      <c r="M3721" s="2"/>
      <c r="P3721" s="2"/>
      <c r="Q3721" s="2"/>
    </row>
    <row r="3722" spans="4:17" x14ac:dyDescent="0.25">
      <c r="D3722" s="2"/>
      <c r="E3722" s="310"/>
      <c r="I3722" s="2"/>
      <c r="M3722" s="2"/>
      <c r="P3722" s="2"/>
      <c r="Q3722" s="2"/>
    </row>
    <row r="3723" spans="4:17" x14ac:dyDescent="0.25">
      <c r="D3723" s="2"/>
      <c r="E3723" s="310"/>
      <c r="I3723" s="2"/>
      <c r="M3723" s="2"/>
      <c r="P3723" s="2"/>
      <c r="Q3723" s="2"/>
    </row>
    <row r="3724" spans="4:17" x14ac:dyDescent="0.25">
      <c r="D3724" s="2"/>
      <c r="E3724" s="310"/>
      <c r="I3724" s="2"/>
      <c r="M3724" s="2"/>
      <c r="P3724" s="2"/>
      <c r="Q3724" s="2"/>
    </row>
    <row r="3725" spans="4:17" x14ac:dyDescent="0.25">
      <c r="D3725" s="2"/>
      <c r="E3725" s="310"/>
      <c r="I3725" s="2"/>
      <c r="M3725" s="2"/>
      <c r="P3725" s="2"/>
      <c r="Q3725" s="2"/>
    </row>
    <row r="3726" spans="4:17" x14ac:dyDescent="0.25">
      <c r="D3726" s="2"/>
      <c r="E3726" s="310"/>
      <c r="I3726" s="2"/>
      <c r="M3726" s="2"/>
      <c r="P3726" s="2"/>
      <c r="Q3726" s="2"/>
    </row>
  </sheetData>
  <mergeCells count="18">
    <mergeCell ref="K8:L8"/>
    <mergeCell ref="I6:L6"/>
    <mergeCell ref="I49:J49"/>
    <mergeCell ref="I50:J50"/>
    <mergeCell ref="F45:I45"/>
    <mergeCell ref="L45:N45"/>
    <mergeCell ref="A2:R2"/>
    <mergeCell ref="A3:R3"/>
    <mergeCell ref="A5:C5"/>
    <mergeCell ref="K5:L5"/>
    <mergeCell ref="I7:J7"/>
    <mergeCell ref="M6:M7"/>
    <mergeCell ref="K7:L7"/>
    <mergeCell ref="L49:N49"/>
    <mergeCell ref="L50:N50"/>
    <mergeCell ref="O45:Q45"/>
    <mergeCell ref="O49:Q49"/>
    <mergeCell ref="O50:Q50"/>
  </mergeCells>
  <pageMargins left="0" right="0" top="0" bottom="0" header="0.118110236220472" footer="0"/>
  <pageSetup scale="63" orientation="portrait" r:id="rId1"/>
  <rowBreaks count="1" manualBreakCount="1">
    <brk id="50" max="16383" man="1"/>
  </rowBreaks>
  <colBreaks count="2" manualBreakCount="2">
    <brk id="17" max="1048575" man="1"/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6"/>
  <sheetViews>
    <sheetView topLeftCell="A33" zoomScaleNormal="100" workbookViewId="0">
      <selection activeCell="Q38" sqref="Q38"/>
    </sheetView>
  </sheetViews>
  <sheetFormatPr defaultRowHeight="15" x14ac:dyDescent="0.25"/>
  <cols>
    <col min="1" max="1" width="11.85546875" customWidth="1"/>
    <col min="2" max="2" width="22.85546875" customWidth="1"/>
    <col min="3" max="3" width="39" customWidth="1"/>
    <col min="4" max="4" width="30.7109375" hidden="1" customWidth="1"/>
    <col min="5" max="5" width="48.28515625" style="19" customWidth="1"/>
    <col min="6" max="6" width="46.28515625" style="454" customWidth="1"/>
  </cols>
  <sheetData>
    <row r="1" spans="1:6" ht="15.75" x14ac:dyDescent="0.25">
      <c r="A1" s="529" t="s">
        <v>267</v>
      </c>
      <c r="B1" s="529"/>
      <c r="C1" s="529"/>
      <c r="D1" s="529"/>
      <c r="E1" s="529"/>
      <c r="F1" s="529"/>
    </row>
    <row r="2" spans="1:6" ht="15.75" x14ac:dyDescent="0.25">
      <c r="A2" s="530" t="s">
        <v>62</v>
      </c>
      <c r="B2" s="530"/>
      <c r="C2" s="530"/>
      <c r="D2" s="530"/>
      <c r="E2" s="530"/>
      <c r="F2" s="530"/>
    </row>
    <row r="3" spans="1:6" ht="15.75" thickBot="1" x14ac:dyDescent="0.3">
      <c r="A3" s="355"/>
      <c r="B3" s="355"/>
      <c r="C3" s="355"/>
      <c r="D3" s="355"/>
      <c r="F3" s="59" t="s">
        <v>268</v>
      </c>
    </row>
    <row r="4" spans="1:6" s="356" customFormat="1" ht="30.75" customHeight="1" thickTop="1" thickBot="1" x14ac:dyDescent="0.3">
      <c r="A4" s="20" t="s">
        <v>8</v>
      </c>
      <c r="B4" s="20" t="s">
        <v>196</v>
      </c>
      <c r="C4" s="20" t="s">
        <v>63</v>
      </c>
      <c r="D4" s="20" t="s">
        <v>117</v>
      </c>
      <c r="E4" s="20" t="s">
        <v>132</v>
      </c>
      <c r="F4" s="20" t="s">
        <v>64</v>
      </c>
    </row>
    <row r="5" spans="1:6" ht="39" customHeight="1" thickTop="1" x14ac:dyDescent="0.3">
      <c r="A5" s="372">
        <v>1</v>
      </c>
      <c r="B5" s="379" t="s">
        <v>197</v>
      </c>
      <c r="C5" s="373">
        <v>13101020059507</v>
      </c>
      <c r="D5" s="357">
        <f>'[1]MAIN DIV 1 AIR JNGKAT'!AW10</f>
        <v>1095631.76</v>
      </c>
      <c r="E5" s="357">
        <f>'MAIN DIV 1 AIR JNGKAT'!P10</f>
        <v>3903060</v>
      </c>
      <c r="F5" s="371" t="s">
        <v>52</v>
      </c>
    </row>
    <row r="6" spans="1:6" ht="39" customHeight="1" x14ac:dyDescent="0.3">
      <c r="A6" s="358">
        <v>2</v>
      </c>
      <c r="B6" s="372" t="s">
        <v>198</v>
      </c>
      <c r="C6" s="413">
        <v>13101019821505</v>
      </c>
      <c r="D6" s="290">
        <f>'[1]MAIN DIV 1 AIR JNGKAT'!AW11</f>
        <v>601647.35</v>
      </c>
      <c r="E6" s="357">
        <f>'MAIN DIV 1 AIR JNGKAT'!P11</f>
        <v>3941106</v>
      </c>
      <c r="F6" s="414" t="s">
        <v>33</v>
      </c>
    </row>
    <row r="7" spans="1:6" ht="39" customHeight="1" x14ac:dyDescent="0.3">
      <c r="A7" s="372">
        <v>3</v>
      </c>
      <c r="B7" s="372" t="s">
        <v>199</v>
      </c>
      <c r="C7" s="415">
        <v>13101019710500</v>
      </c>
      <c r="D7" s="290">
        <f>'[1]MAIN DIV 1 AIR JNGKAT'!AW12</f>
        <v>562147.35</v>
      </c>
      <c r="E7" s="357">
        <f>'MAIN DIV 1 AIR JNGKAT'!P12</f>
        <v>3945706</v>
      </c>
      <c r="F7" s="371" t="s">
        <v>34</v>
      </c>
    </row>
    <row r="8" spans="1:6" ht="39" customHeight="1" x14ac:dyDescent="0.3">
      <c r="A8" s="292">
        <v>4</v>
      </c>
      <c r="B8" s="372" t="s">
        <v>200</v>
      </c>
      <c r="C8" s="416">
        <v>13101019875504</v>
      </c>
      <c r="D8" s="290">
        <f>'[1]MAIN DIV 1 AIR JNGKAT'!AW13</f>
        <v>555397.35000000009</v>
      </c>
      <c r="E8" s="357">
        <f>'MAIN DIV 1 AIR JNGKAT'!P13</f>
        <v>3916576</v>
      </c>
      <c r="F8" s="371" t="s">
        <v>36</v>
      </c>
    </row>
    <row r="9" spans="1:6" ht="39" customHeight="1" x14ac:dyDescent="0.3">
      <c r="A9" s="372">
        <v>5</v>
      </c>
      <c r="B9" s="372" t="s">
        <v>201</v>
      </c>
      <c r="C9" s="417">
        <v>13101019735500</v>
      </c>
      <c r="D9" s="290">
        <f>'[1]MAIN DIV 1 AIR JNGKAT'!AW14</f>
        <v>555397.35</v>
      </c>
      <c r="E9" s="357">
        <f>'MAIN DIV 1 AIR JNGKAT'!P14</f>
        <v>3872468</v>
      </c>
      <c r="F9" s="371" t="s">
        <v>37</v>
      </c>
    </row>
    <row r="10" spans="1:6" ht="39" customHeight="1" x14ac:dyDescent="0.3">
      <c r="A10" s="292">
        <v>6</v>
      </c>
      <c r="B10" s="372" t="s">
        <v>202</v>
      </c>
      <c r="C10" s="417">
        <v>13101019814508</v>
      </c>
      <c r="D10" s="290">
        <f>'[1]MAIN DIV 1 AIR JNGKAT'!AW16</f>
        <v>566647.35</v>
      </c>
      <c r="E10" s="357">
        <f>'MAIN DIV 1 AIR JNGKAT'!P15</f>
        <v>3986049</v>
      </c>
      <c r="F10" s="371" t="s">
        <v>44</v>
      </c>
    </row>
    <row r="11" spans="1:6" ht="39" customHeight="1" x14ac:dyDescent="0.3">
      <c r="A11" s="372">
        <v>7</v>
      </c>
      <c r="B11" s="372" t="s">
        <v>203</v>
      </c>
      <c r="C11" s="417">
        <v>13101019817506</v>
      </c>
      <c r="D11" s="290">
        <f>'[1]MAIN DIV 1 AIR JNGKAT'!AW17</f>
        <v>453317.88</v>
      </c>
      <c r="E11" s="357">
        <f>'MAIN DIV 1 AIR JNGKAT'!P16</f>
        <v>3986049</v>
      </c>
      <c r="F11" s="371" t="s">
        <v>47</v>
      </c>
    </row>
    <row r="12" spans="1:6" ht="39" customHeight="1" x14ac:dyDescent="0.3">
      <c r="A12" s="292">
        <v>8</v>
      </c>
      <c r="B12" s="372" t="s">
        <v>204</v>
      </c>
      <c r="C12" s="415">
        <v>13101020056509</v>
      </c>
      <c r="D12" s="290">
        <f>'[1]MAIN DIV 1 AIR JNGKAT'!AW18</f>
        <v>571147.35</v>
      </c>
      <c r="E12" s="357">
        <f>'MAIN DIV 1 AIR JNGKAT'!P17</f>
        <v>3992445</v>
      </c>
      <c r="F12" s="371" t="s">
        <v>42</v>
      </c>
    </row>
    <row r="13" spans="1:6" ht="39" customHeight="1" x14ac:dyDescent="0.3">
      <c r="A13" s="418">
        <v>9</v>
      </c>
      <c r="B13" s="418" t="s">
        <v>205</v>
      </c>
      <c r="C13" s="415">
        <v>13101020058501</v>
      </c>
      <c r="D13" s="290">
        <f>'[1]MAIN DIV 1 AIR JNGKAT'!AW19</f>
        <v>453317.88</v>
      </c>
      <c r="E13" s="357">
        <f>'MAIN DIV 1 AIR JNGKAT'!P18</f>
        <v>3965967</v>
      </c>
      <c r="F13" s="371" t="s">
        <v>40</v>
      </c>
    </row>
    <row r="14" spans="1:6" ht="39" customHeight="1" x14ac:dyDescent="0.3">
      <c r="A14" s="292">
        <v>10</v>
      </c>
      <c r="B14" s="418" t="s">
        <v>206</v>
      </c>
      <c r="C14" s="417">
        <v>13101019832506</v>
      </c>
      <c r="D14" s="290">
        <f>'[1]MAIN DIV 1 AIR JNGKAT'!AW20</f>
        <v>566647.35</v>
      </c>
      <c r="E14" s="357">
        <f>'MAIN DIV 1 AIR JNGKAT'!P19</f>
        <v>3987388</v>
      </c>
      <c r="F14" s="371" t="s">
        <v>58</v>
      </c>
    </row>
    <row r="15" spans="1:6" ht="39" customHeight="1" x14ac:dyDescent="0.3">
      <c r="A15" s="418">
        <v>11</v>
      </c>
      <c r="B15" s="418" t="s">
        <v>207</v>
      </c>
      <c r="C15" s="415">
        <v>13101019851500</v>
      </c>
      <c r="D15" s="290">
        <f>'[1]MAIN DIV 1 AIR JNGKAT'!AW22</f>
        <v>555397.35</v>
      </c>
      <c r="E15" s="357">
        <f>'MAIN DIV 1 AIR JNGKAT'!P20</f>
        <v>3872468</v>
      </c>
      <c r="F15" s="371" t="s">
        <v>80</v>
      </c>
    </row>
    <row r="16" spans="1:6" ht="39" customHeight="1" x14ac:dyDescent="0.3">
      <c r="A16" s="292">
        <v>12</v>
      </c>
      <c r="B16" s="418" t="s">
        <v>208</v>
      </c>
      <c r="C16" s="415">
        <v>13101019857506</v>
      </c>
      <c r="D16" s="290">
        <f>'[1]MAIN DIV 1 AIR JNGKAT'!AW23</f>
        <v>555397.35</v>
      </c>
      <c r="E16" s="357">
        <f>'MAIN DIV 1 AIR JNGKAT'!P21</f>
        <v>3872468</v>
      </c>
      <c r="F16" s="371" t="s">
        <v>38</v>
      </c>
    </row>
    <row r="17" spans="1:22" ht="39" customHeight="1" x14ac:dyDescent="0.3">
      <c r="A17" s="418">
        <v>13</v>
      </c>
      <c r="B17" s="418" t="s">
        <v>209</v>
      </c>
      <c r="C17" s="415">
        <v>13101019799504</v>
      </c>
      <c r="D17" s="290">
        <f>'[1]MAIN DIV 1 AIR JNGKAT'!AW24</f>
        <v>555397.35000000009</v>
      </c>
      <c r="E17" s="357">
        <f>'MAIN DIV 1 AIR JNGKAT'!P22</f>
        <v>3875861</v>
      </c>
      <c r="F17" s="371" t="s">
        <v>57</v>
      </c>
    </row>
    <row r="18" spans="1:22" ht="39" customHeight="1" x14ac:dyDescent="0.3">
      <c r="A18" s="292">
        <v>14</v>
      </c>
      <c r="B18" s="419" t="s">
        <v>210</v>
      </c>
      <c r="C18" s="291">
        <v>13101019840509</v>
      </c>
      <c r="D18" s="290">
        <f>'[1]MAIN DIV 1 AIR JNGKAT'!AW26</f>
        <v>580597.35</v>
      </c>
      <c r="E18" s="357">
        <f>'MAIN DIV 1 AIR JNGKAT'!P23</f>
        <v>3994600</v>
      </c>
      <c r="F18" s="371" t="s">
        <v>39</v>
      </c>
    </row>
    <row r="19" spans="1:22" ht="39" customHeight="1" x14ac:dyDescent="0.3">
      <c r="A19" s="418">
        <v>15</v>
      </c>
      <c r="B19" s="379" t="s">
        <v>211</v>
      </c>
      <c r="C19" s="373">
        <v>13101019824503</v>
      </c>
      <c r="D19" s="290">
        <f>'[1]MAIN DIV 1 AIR JNGKAT'!AW27</f>
        <v>566647.35</v>
      </c>
      <c r="E19" s="357">
        <f>'MAIN DIV 1 AIR JNGKAT'!P24</f>
        <v>4020335</v>
      </c>
      <c r="F19" s="371" t="s">
        <v>59</v>
      </c>
    </row>
    <row r="20" spans="1:22" ht="39" customHeight="1" x14ac:dyDescent="0.3">
      <c r="A20" s="292">
        <v>16</v>
      </c>
      <c r="B20" s="420" t="s">
        <v>212</v>
      </c>
      <c r="C20" s="373">
        <v>13101019887501</v>
      </c>
      <c r="D20" s="290">
        <f>'[1]MAIN DIV 1 AIR JNGKAT'!AW31</f>
        <v>571147.35</v>
      </c>
      <c r="E20" s="357">
        <f>'MAIN DIV 1 AIR JNGKAT'!P25</f>
        <v>4009098</v>
      </c>
      <c r="F20" s="371" t="s">
        <v>60</v>
      </c>
    </row>
    <row r="21" spans="1:22" ht="39" customHeight="1" x14ac:dyDescent="0.3">
      <c r="A21" s="418">
        <v>17</v>
      </c>
      <c r="B21" s="379" t="s">
        <v>213</v>
      </c>
      <c r="C21" s="374" t="s">
        <v>67</v>
      </c>
      <c r="D21" s="290">
        <f>'[1]MAIN DIV 1 AIR JNGKAT'!AW32</f>
        <v>555397.35</v>
      </c>
      <c r="E21" s="357">
        <f>'MAIN DIV 1 AIR JNGKAT'!P26</f>
        <v>3824615</v>
      </c>
      <c r="F21" s="371" t="s">
        <v>66</v>
      </c>
    </row>
    <row r="22" spans="1:22" ht="39" customHeight="1" x14ac:dyDescent="0.3">
      <c r="A22" s="292">
        <v>18</v>
      </c>
      <c r="B22" s="420" t="s">
        <v>214</v>
      </c>
      <c r="C22" s="375" t="s">
        <v>78</v>
      </c>
      <c r="D22" s="290">
        <f>'[1]MAIN DIV 1 AIR JNGKAT'!AW33</f>
        <v>555397.35</v>
      </c>
      <c r="E22" s="357">
        <f>'MAIN DIV 1 AIR JNGKAT'!P27</f>
        <v>3954212</v>
      </c>
      <c r="F22" s="421" t="s">
        <v>76</v>
      </c>
    </row>
    <row r="23" spans="1:22" ht="39" customHeight="1" x14ac:dyDescent="0.3">
      <c r="A23" s="418">
        <v>19</v>
      </c>
      <c r="B23" s="418" t="s">
        <v>215</v>
      </c>
      <c r="C23" s="422" t="s">
        <v>165</v>
      </c>
      <c r="D23" s="290"/>
      <c r="E23" s="357">
        <f>'MAIN DIV 1 AIR JNGKAT'!P28</f>
        <v>3901135</v>
      </c>
      <c r="F23" s="423" t="s">
        <v>118</v>
      </c>
    </row>
    <row r="24" spans="1:22" ht="39" customHeight="1" x14ac:dyDescent="0.3">
      <c r="A24" s="292">
        <v>20</v>
      </c>
      <c r="B24" s="418" t="s">
        <v>216</v>
      </c>
      <c r="C24" s="424" t="s">
        <v>122</v>
      </c>
      <c r="D24" s="290"/>
      <c r="E24" s="357">
        <f>'MAIN DIV 1 AIR JNGKAT'!P29</f>
        <v>3965967</v>
      </c>
      <c r="F24" s="425" t="s">
        <v>119</v>
      </c>
    </row>
    <row r="25" spans="1:22" ht="39" customHeight="1" x14ac:dyDescent="0.3">
      <c r="A25" s="418">
        <v>21</v>
      </c>
      <c r="B25" s="418" t="s">
        <v>217</v>
      </c>
      <c r="C25" s="424">
        <v>13101020063506</v>
      </c>
      <c r="D25" s="290"/>
      <c r="E25" s="357">
        <f>'MAIN DIV 1 AIR JNGKAT'!P30</f>
        <v>3965967</v>
      </c>
      <c r="F25" s="297" t="s">
        <v>120</v>
      </c>
    </row>
    <row r="26" spans="1:22" ht="39" customHeight="1" x14ac:dyDescent="0.3">
      <c r="A26" s="292">
        <v>22</v>
      </c>
      <c r="B26" s="418" t="s">
        <v>218</v>
      </c>
      <c r="C26" s="424" t="s">
        <v>123</v>
      </c>
      <c r="D26" s="290"/>
      <c r="E26" s="357">
        <f>'MAIN DIV 1 AIR JNGKAT'!P31</f>
        <v>3986049</v>
      </c>
      <c r="F26" s="425" t="s">
        <v>121</v>
      </c>
    </row>
    <row r="27" spans="1:22" ht="39" customHeight="1" x14ac:dyDescent="0.3">
      <c r="A27" s="531" t="s">
        <v>48</v>
      </c>
      <c r="B27" s="531"/>
      <c r="C27" s="531"/>
      <c r="D27" s="426">
        <f>SUM(D5:D22)</f>
        <v>10476677.769999998</v>
      </c>
      <c r="E27" s="426">
        <f>SUM(E5:E26)</f>
        <v>86739589</v>
      </c>
      <c r="F27" s="427"/>
    </row>
    <row r="28" spans="1:22" ht="39" customHeight="1" x14ac:dyDescent="0.3">
      <c r="A28" s="292">
        <v>23</v>
      </c>
      <c r="B28" s="418" t="s">
        <v>91</v>
      </c>
      <c r="C28" s="289" t="s">
        <v>98</v>
      </c>
      <c r="D28" s="290">
        <f>[1]OPERATOR!AX11</f>
        <v>1380426.74</v>
      </c>
      <c r="E28" s="290">
        <f>OPERATOR!Q11</f>
        <v>3671234</v>
      </c>
      <c r="F28" s="254" t="s">
        <v>92</v>
      </c>
    </row>
    <row r="29" spans="1:22" ht="39" customHeight="1" x14ac:dyDescent="0.3">
      <c r="A29" s="428">
        <v>24</v>
      </c>
      <c r="B29" s="418" t="s">
        <v>93</v>
      </c>
      <c r="C29" s="424" t="s">
        <v>99</v>
      </c>
      <c r="D29" s="298">
        <f>[1]OPERATOR!AX12</f>
        <v>576647.35</v>
      </c>
      <c r="E29" s="290">
        <f>OPERATOR!Q12</f>
        <v>3753754</v>
      </c>
      <c r="F29" s="307" t="s">
        <v>94</v>
      </c>
    </row>
    <row r="30" spans="1:22" ht="39" customHeight="1" x14ac:dyDescent="0.3">
      <c r="A30" s="429">
        <v>25</v>
      </c>
      <c r="B30" s="430" t="s">
        <v>219</v>
      </c>
      <c r="C30" s="431" t="s">
        <v>130</v>
      </c>
      <c r="D30" s="432"/>
      <c r="E30" s="290">
        <f>OPERATOR!Q13</f>
        <v>3826266</v>
      </c>
      <c r="F30" s="433" t="s">
        <v>127</v>
      </c>
    </row>
    <row r="31" spans="1:22" ht="39" customHeight="1" x14ac:dyDescent="0.25">
      <c r="A31" s="429">
        <v>26</v>
      </c>
      <c r="B31" s="430" t="s">
        <v>220</v>
      </c>
      <c r="C31" s="434" t="s">
        <v>131</v>
      </c>
      <c r="D31" s="432"/>
      <c r="E31" s="290">
        <f>OPERATOR!Q14</f>
        <v>3852406</v>
      </c>
      <c r="F31" s="433" t="s">
        <v>128</v>
      </c>
    </row>
    <row r="32" spans="1:22" s="432" customFormat="1" ht="39" customHeight="1" thickBot="1" x14ac:dyDescent="0.35">
      <c r="A32" s="532" t="s">
        <v>48</v>
      </c>
      <c r="B32" s="532"/>
      <c r="C32" s="532"/>
      <c r="D32" s="435">
        <f>SUM(D28:D31)</f>
        <v>1957074.0899999999</v>
      </c>
      <c r="E32" s="435">
        <f>SUM(E28:E31)</f>
        <v>15103660</v>
      </c>
      <c r="F32" s="436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376"/>
    </row>
    <row r="33" spans="1:6" s="149" customFormat="1" ht="25.5" customHeight="1" thickBot="1" x14ac:dyDescent="0.35">
      <c r="A33" s="148"/>
      <c r="B33" s="148"/>
      <c r="C33" s="148"/>
      <c r="D33" s="148"/>
      <c r="E33" s="148"/>
      <c r="F33" s="437"/>
    </row>
    <row r="34" spans="1:6" s="356" customFormat="1" ht="25.5" customHeight="1" thickBot="1" x14ac:dyDescent="0.3">
      <c r="A34" s="255" t="s">
        <v>8</v>
      </c>
      <c r="B34" s="255" t="s">
        <v>196</v>
      </c>
      <c r="C34" s="255" t="s">
        <v>63</v>
      </c>
      <c r="D34" s="255"/>
      <c r="E34" s="255" t="s">
        <v>65</v>
      </c>
      <c r="F34" s="255" t="s">
        <v>64</v>
      </c>
    </row>
    <row r="35" spans="1:6" s="356" customFormat="1" ht="30.75" customHeight="1" thickTop="1" x14ac:dyDescent="0.3">
      <c r="A35" s="470">
        <v>27</v>
      </c>
      <c r="B35" s="438" t="s">
        <v>265</v>
      </c>
      <c r="C35" s="471" t="s">
        <v>266</v>
      </c>
      <c r="D35" s="472">
        <f>'[1]PANEN AIR JANGKAT 1'!BA10</f>
        <v>744821.85</v>
      </c>
      <c r="E35" s="472">
        <f>'PANEN AIR JANGKAT 1'!Q10</f>
        <v>3948658</v>
      </c>
      <c r="F35" s="473" t="s">
        <v>108</v>
      </c>
    </row>
    <row r="36" spans="1:6" ht="30.75" customHeight="1" x14ac:dyDescent="0.25">
      <c r="A36" s="379">
        <v>28</v>
      </c>
      <c r="B36" s="379" t="s">
        <v>221</v>
      </c>
      <c r="C36" s="439" t="s">
        <v>166</v>
      </c>
      <c r="D36" s="380"/>
      <c r="E36" s="472">
        <f>'PANEN AIR JANGKAT 1'!Q11</f>
        <v>3824202</v>
      </c>
      <c r="F36" s="440" t="s">
        <v>157</v>
      </c>
    </row>
    <row r="37" spans="1:6" ht="30.75" customHeight="1" x14ac:dyDescent="0.3">
      <c r="A37" s="470">
        <v>29</v>
      </c>
      <c r="B37" s="438" t="s">
        <v>222</v>
      </c>
      <c r="C37" s="441" t="s">
        <v>73</v>
      </c>
      <c r="D37" s="377">
        <f>'[1]PANEN AIR JANGKAT 1'!BA12</f>
        <v>625447.35</v>
      </c>
      <c r="E37" s="472">
        <f>'PANEN AIR JANGKAT 1'!Q12</f>
        <v>3949927</v>
      </c>
      <c r="F37" s="371" t="s">
        <v>69</v>
      </c>
    </row>
    <row r="38" spans="1:6" ht="30.75" customHeight="1" x14ac:dyDescent="0.3">
      <c r="A38" s="379">
        <v>30</v>
      </c>
      <c r="B38" s="379" t="s">
        <v>223</v>
      </c>
      <c r="C38" s="441" t="s">
        <v>72</v>
      </c>
      <c r="D38" s="377">
        <f>'[1]PANEN AIR JANGKAT 1'!BA13</f>
        <v>636247.35</v>
      </c>
      <c r="E38" s="472">
        <f>'PANEN AIR JANGKAT 1'!Q13</f>
        <v>3975021</v>
      </c>
      <c r="F38" s="371" t="s">
        <v>68</v>
      </c>
    </row>
    <row r="39" spans="1:6" ht="30.75" customHeight="1" x14ac:dyDescent="0.3">
      <c r="A39" s="470">
        <v>31</v>
      </c>
      <c r="B39" s="438" t="s">
        <v>224</v>
      </c>
      <c r="C39" s="442" t="s">
        <v>71</v>
      </c>
      <c r="D39" s="377">
        <f>'[1]PANEN AIR JANGKAT 1'!BA14</f>
        <v>648447.35</v>
      </c>
      <c r="E39" s="472">
        <f>'PANEN AIR JANGKAT 1'!Q14</f>
        <v>3853655</v>
      </c>
      <c r="F39" s="443" t="s">
        <v>70</v>
      </c>
    </row>
    <row r="40" spans="1:6" ht="30.75" customHeight="1" x14ac:dyDescent="0.3">
      <c r="A40" s="379">
        <v>32</v>
      </c>
      <c r="B40" s="379" t="s">
        <v>225</v>
      </c>
      <c r="C40" s="444" t="s">
        <v>77</v>
      </c>
      <c r="D40" s="377">
        <f>'[1]PANEN AIR JANGKAT 1'!BA15</f>
        <v>644107.35</v>
      </c>
      <c r="E40" s="472">
        <f>'PANEN AIR JANGKAT 1'!Q15</f>
        <v>3970695</v>
      </c>
      <c r="F40" s="445" t="s">
        <v>74</v>
      </c>
    </row>
    <row r="41" spans="1:6" ht="30.75" customHeight="1" x14ac:dyDescent="0.3">
      <c r="A41" s="470">
        <v>33</v>
      </c>
      <c r="B41" s="438" t="s">
        <v>226</v>
      </c>
      <c r="C41" s="444" t="s">
        <v>79</v>
      </c>
      <c r="D41" s="377">
        <f>'[1]PANEN AIR JANGKAT 1'!BA16</f>
        <v>668947.35</v>
      </c>
      <c r="E41" s="472">
        <f>'PANEN AIR JANGKAT 1'!Q16</f>
        <v>3944178</v>
      </c>
      <c r="F41" s="445" t="s">
        <v>75</v>
      </c>
    </row>
    <row r="42" spans="1:6" ht="30.75" customHeight="1" x14ac:dyDescent="0.3">
      <c r="A42" s="379">
        <v>34</v>
      </c>
      <c r="B42" s="379" t="s">
        <v>227</v>
      </c>
      <c r="C42" s="446" t="s">
        <v>84</v>
      </c>
      <c r="D42" s="377">
        <f>'[1]PANEN AIR JANGKAT 1'!BA20</f>
        <v>607597.35</v>
      </c>
      <c r="E42" s="472">
        <f>'PANEN AIR JANGKAT 1'!Q17</f>
        <v>3952166</v>
      </c>
      <c r="F42" s="447" t="s">
        <v>83</v>
      </c>
    </row>
    <row r="43" spans="1:6" ht="30.75" customHeight="1" x14ac:dyDescent="0.3">
      <c r="A43" s="470">
        <v>35</v>
      </c>
      <c r="B43" s="438" t="s">
        <v>228</v>
      </c>
      <c r="C43" s="444" t="s">
        <v>87</v>
      </c>
      <c r="D43" s="377">
        <f>'[1]PANEN AIR JANGKAT 1'!BA22</f>
        <v>608947.35</v>
      </c>
      <c r="E43" s="472">
        <f>'PANEN AIR JANGKAT 1'!Q18</f>
        <v>3970105</v>
      </c>
      <c r="F43" s="381" t="s">
        <v>85</v>
      </c>
    </row>
    <row r="44" spans="1:6" ht="30.75" customHeight="1" x14ac:dyDescent="0.3">
      <c r="A44" s="379">
        <v>36</v>
      </c>
      <c r="B44" s="379" t="s">
        <v>229</v>
      </c>
      <c r="C44" s="444">
        <v>13101035735504</v>
      </c>
      <c r="D44" s="377">
        <f>'[1]PANEN AIR JANGKAT 1'!BA24</f>
        <v>617047.35</v>
      </c>
      <c r="E44" s="472">
        <f>'PANEN AIR JANGKAT 1'!Q19</f>
        <v>3884320</v>
      </c>
      <c r="F44" s="410" t="s">
        <v>89</v>
      </c>
    </row>
    <row r="45" spans="1:6" ht="30.75" customHeight="1" x14ac:dyDescent="0.3">
      <c r="A45" s="470">
        <v>37</v>
      </c>
      <c r="B45" s="438" t="s">
        <v>230</v>
      </c>
      <c r="C45" s="444" t="s">
        <v>101</v>
      </c>
      <c r="D45" s="377">
        <f>'[1]PANEN AIR JANGKAT 1'!BA25</f>
        <v>629947.35</v>
      </c>
      <c r="E45" s="472">
        <f>'PANEN AIR JANGKAT 1'!Q20</f>
        <v>3963773</v>
      </c>
      <c r="F45" s="440" t="s">
        <v>100</v>
      </c>
    </row>
    <row r="46" spans="1:6" ht="30.75" customHeight="1" x14ac:dyDescent="0.3">
      <c r="A46" s="379">
        <v>38</v>
      </c>
      <c r="B46" s="379" t="s">
        <v>231</v>
      </c>
      <c r="C46" s="444" t="s">
        <v>103</v>
      </c>
      <c r="D46" s="377">
        <f>'[1]PANEN AIR JANGKAT 1'!BA26</f>
        <v>606547.35</v>
      </c>
      <c r="E46" s="472">
        <f>'PANEN AIR JANGKAT 1'!Q21</f>
        <v>3939765</v>
      </c>
      <c r="F46" s="440" t="s">
        <v>102</v>
      </c>
    </row>
    <row r="47" spans="1:6" ht="30.75" customHeight="1" x14ac:dyDescent="0.3">
      <c r="A47" s="470">
        <v>39</v>
      </c>
      <c r="B47" s="438" t="s">
        <v>232</v>
      </c>
      <c r="C47" s="444" t="s">
        <v>107</v>
      </c>
      <c r="D47" s="377">
        <f>'[1]PANEN AIR JANGKAT 1'!BA27</f>
        <v>614197.35</v>
      </c>
      <c r="E47" s="472">
        <f>'PANEN AIR JANGKAT 1'!Q22</f>
        <v>3966106</v>
      </c>
      <c r="F47" s="378" t="s">
        <v>106</v>
      </c>
    </row>
    <row r="48" spans="1:6" ht="30.75" customHeight="1" x14ac:dyDescent="0.3">
      <c r="A48" s="379">
        <v>40</v>
      </c>
      <c r="B48" s="379" t="s">
        <v>233</v>
      </c>
      <c r="C48" s="444" t="s">
        <v>112</v>
      </c>
      <c r="D48" s="377">
        <f>'[1]PANEN AIR JANGKAT 1'!BA29</f>
        <v>611497.35</v>
      </c>
      <c r="E48" s="472">
        <f>'PANEN AIR JANGKAT 1'!Q23</f>
        <v>3878160</v>
      </c>
      <c r="F48" s="440" t="s">
        <v>109</v>
      </c>
    </row>
    <row r="49" spans="1:6" ht="30.75" customHeight="1" x14ac:dyDescent="0.25">
      <c r="A49" s="470">
        <v>41</v>
      </c>
      <c r="B49" s="438" t="s">
        <v>234</v>
      </c>
      <c r="C49" s="448" t="s">
        <v>116</v>
      </c>
      <c r="D49" s="377">
        <f>'[1]PANEN AIR JANGKAT 1'!BA36</f>
        <v>746002.30999999994</v>
      </c>
      <c r="E49" s="472">
        <f>'PANEN AIR JANGKAT 1'!Q24</f>
        <v>3827783</v>
      </c>
      <c r="F49" s="440" t="s">
        <v>114</v>
      </c>
    </row>
    <row r="50" spans="1:6" ht="30.75" customHeight="1" x14ac:dyDescent="0.25">
      <c r="A50" s="379">
        <v>42</v>
      </c>
      <c r="B50" s="379" t="s">
        <v>235</v>
      </c>
      <c r="C50" s="439" t="s">
        <v>126</v>
      </c>
      <c r="D50" s="448"/>
      <c r="E50" s="472">
        <f>'PANEN AIR JANGKAT 1'!Q25</f>
        <v>3932968</v>
      </c>
      <c r="F50" s="440" t="s">
        <v>125</v>
      </c>
    </row>
    <row r="51" spans="1:6" ht="30.75" customHeight="1" x14ac:dyDescent="0.25">
      <c r="A51" s="470">
        <v>43</v>
      </c>
      <c r="B51" s="438" t="s">
        <v>236</v>
      </c>
      <c r="C51" s="439" t="s">
        <v>124</v>
      </c>
      <c r="D51" s="448"/>
      <c r="E51" s="472">
        <f>'PANEN AIR JANGKAT 1'!Q26</f>
        <v>3931422</v>
      </c>
      <c r="F51" s="440" t="s">
        <v>88</v>
      </c>
    </row>
    <row r="52" spans="1:6" ht="30.75" customHeight="1" x14ac:dyDescent="0.3">
      <c r="A52" s="379">
        <v>44</v>
      </c>
      <c r="B52" s="379" t="s">
        <v>237</v>
      </c>
      <c r="C52" s="446" t="s">
        <v>167</v>
      </c>
      <c r="D52" s="449"/>
      <c r="E52" s="472">
        <f>'PANEN AIR JANGKAT 1'!Q27</f>
        <v>3835807</v>
      </c>
      <c r="F52" s="440" t="s">
        <v>115</v>
      </c>
    </row>
    <row r="53" spans="1:6" ht="30.75" customHeight="1" x14ac:dyDescent="0.3">
      <c r="A53" s="470">
        <v>45</v>
      </c>
      <c r="B53" s="438" t="s">
        <v>238</v>
      </c>
      <c r="C53" s="450" t="s">
        <v>168</v>
      </c>
      <c r="D53" s="449"/>
      <c r="E53" s="472">
        <f>'PANEN AIR JANGKAT 1'!Q28</f>
        <v>3820801</v>
      </c>
      <c r="F53" s="410" t="s">
        <v>159</v>
      </c>
    </row>
    <row r="54" spans="1:6" ht="30.75" customHeight="1" x14ac:dyDescent="0.3">
      <c r="A54" s="379">
        <v>46</v>
      </c>
      <c r="B54" s="379" t="s">
        <v>239</v>
      </c>
      <c r="C54" s="450" t="s">
        <v>169</v>
      </c>
      <c r="D54" s="449"/>
      <c r="E54" s="472">
        <f>'PANEN AIR JANGKAT 1'!Q29</f>
        <v>3822380</v>
      </c>
      <c r="F54" s="410" t="s">
        <v>160</v>
      </c>
    </row>
    <row r="55" spans="1:6" ht="30.75" customHeight="1" x14ac:dyDescent="0.3">
      <c r="A55" s="470">
        <v>47</v>
      </c>
      <c r="B55" s="438" t="s">
        <v>240</v>
      </c>
      <c r="C55" s="450" t="s">
        <v>170</v>
      </c>
      <c r="D55" s="449"/>
      <c r="E55" s="472">
        <f>'PANEN AIR JANGKAT 1'!Q30</f>
        <v>3964763</v>
      </c>
      <c r="F55" s="410" t="s">
        <v>161</v>
      </c>
    </row>
    <row r="56" spans="1:6" ht="30.75" customHeight="1" x14ac:dyDescent="0.3">
      <c r="A56" s="379">
        <v>48</v>
      </c>
      <c r="B56" s="379" t="s">
        <v>241</v>
      </c>
      <c r="C56" s="444" t="s">
        <v>113</v>
      </c>
      <c r="D56" s="449"/>
      <c r="E56" s="472">
        <f>'PANEN AIR JANGKAT 1'!Q31</f>
        <v>3821390</v>
      </c>
      <c r="F56" s="410" t="s">
        <v>110</v>
      </c>
    </row>
    <row r="57" spans="1:6" ht="30.75" customHeight="1" x14ac:dyDescent="0.3">
      <c r="A57" s="470">
        <v>49</v>
      </c>
      <c r="B57" s="438" t="s">
        <v>242</v>
      </c>
      <c r="C57" s="444" t="s">
        <v>171</v>
      </c>
      <c r="D57" s="449"/>
      <c r="E57" s="472">
        <f>'PANEN AIR JANGKAT 1'!Q32</f>
        <v>3749949</v>
      </c>
      <c r="F57" s="410" t="s">
        <v>111</v>
      </c>
    </row>
    <row r="58" spans="1:6" ht="30.75" customHeight="1" x14ac:dyDescent="0.3">
      <c r="A58" s="379">
        <v>50</v>
      </c>
      <c r="B58" s="379" t="s">
        <v>243</v>
      </c>
      <c r="C58" s="444" t="s">
        <v>244</v>
      </c>
      <c r="D58" s="449"/>
      <c r="E58" s="472">
        <f>'PANEN AIR JANGKAT 1'!Q33</f>
        <v>3955492</v>
      </c>
      <c r="F58" s="410" t="s">
        <v>179</v>
      </c>
    </row>
    <row r="59" spans="1:6" ht="30.75" customHeight="1" x14ac:dyDescent="0.3">
      <c r="A59" s="470">
        <v>51</v>
      </c>
      <c r="B59" s="438" t="s">
        <v>245</v>
      </c>
      <c r="C59" s="444" t="s">
        <v>246</v>
      </c>
      <c r="D59" s="449"/>
      <c r="E59" s="472">
        <f>'PANEN AIR JANGKAT 1'!Q34</f>
        <v>3965445</v>
      </c>
      <c r="F59" s="410" t="s">
        <v>129</v>
      </c>
    </row>
    <row r="60" spans="1:6" ht="30.75" customHeight="1" x14ac:dyDescent="0.3">
      <c r="A60" s="379">
        <v>52</v>
      </c>
      <c r="B60" s="379" t="s">
        <v>247</v>
      </c>
      <c r="C60" s="444" t="s">
        <v>248</v>
      </c>
      <c r="D60" s="449"/>
      <c r="E60" s="472">
        <f>'PANEN AIR JANGKAT 1'!Q35</f>
        <v>3285859</v>
      </c>
      <c r="F60" s="410" t="s">
        <v>249</v>
      </c>
    </row>
    <row r="61" spans="1:6" ht="30.75" customHeight="1" x14ac:dyDescent="0.3">
      <c r="A61" s="470">
        <v>53</v>
      </c>
      <c r="B61" s="438" t="s">
        <v>250</v>
      </c>
      <c r="C61" s="444" t="s">
        <v>251</v>
      </c>
      <c r="D61" s="449"/>
      <c r="E61" s="472">
        <f>'PANEN AIR JANGKAT 1'!Q36</f>
        <v>1991891</v>
      </c>
      <c r="F61" s="410" t="s">
        <v>182</v>
      </c>
    </row>
    <row r="62" spans="1:6" ht="30.75" customHeight="1" x14ac:dyDescent="0.3">
      <c r="A62" s="379">
        <v>54</v>
      </c>
      <c r="B62" s="379" t="s">
        <v>252</v>
      </c>
      <c r="C62" s="444" t="s">
        <v>253</v>
      </c>
      <c r="D62" s="449"/>
      <c r="E62" s="472">
        <f>'PANEN AIR JANGKAT 1'!Q37</f>
        <v>1285902</v>
      </c>
      <c r="F62" s="440" t="s">
        <v>192</v>
      </c>
    </row>
    <row r="63" spans="1:6" ht="30.75" customHeight="1" x14ac:dyDescent="0.3">
      <c r="A63" s="470">
        <v>55</v>
      </c>
      <c r="B63" s="379" t="s">
        <v>254</v>
      </c>
      <c r="C63" s="444" t="s">
        <v>255</v>
      </c>
      <c r="D63" s="449"/>
      <c r="E63" s="472">
        <f>'PANEN AIR JANGKAT 1'!Q38</f>
        <v>1347700</v>
      </c>
      <c r="F63" s="440" t="s">
        <v>74</v>
      </c>
    </row>
    <row r="64" spans="1:6" ht="30.75" customHeight="1" x14ac:dyDescent="0.3">
      <c r="A64" s="379">
        <v>56</v>
      </c>
      <c r="B64" s="379" t="s">
        <v>256</v>
      </c>
      <c r="C64" s="444" t="s">
        <v>257</v>
      </c>
      <c r="D64" s="449"/>
      <c r="E64" s="472">
        <f>'PANEN AIR JANGKAT 1'!Q39</f>
        <v>1301009</v>
      </c>
      <c r="F64" s="440" t="s">
        <v>114</v>
      </c>
    </row>
    <row r="65" spans="1:29" ht="30.75" customHeight="1" x14ac:dyDescent="0.3">
      <c r="A65" s="470">
        <v>57</v>
      </c>
      <c r="B65" s="379" t="s">
        <v>258</v>
      </c>
      <c r="C65" s="444" t="s">
        <v>259</v>
      </c>
      <c r="D65" s="449"/>
      <c r="E65" s="472">
        <f>'PANEN AIR JANGKAT 1'!Q40</f>
        <v>1338700</v>
      </c>
      <c r="F65" s="440" t="s">
        <v>184</v>
      </c>
    </row>
    <row r="66" spans="1:29" ht="30.75" customHeight="1" x14ac:dyDescent="0.3">
      <c r="A66" s="379">
        <v>58</v>
      </c>
      <c r="B66" s="379" t="s">
        <v>260</v>
      </c>
      <c r="C66" s="444" t="s">
        <v>261</v>
      </c>
      <c r="D66" s="449"/>
      <c r="E66" s="472">
        <f>'PANEN AIR JANGKAT 1'!Q41</f>
        <v>940550</v>
      </c>
      <c r="F66" s="410" t="s">
        <v>185</v>
      </c>
    </row>
    <row r="67" spans="1:29" ht="30.75" customHeight="1" x14ac:dyDescent="0.3">
      <c r="A67" s="531" t="s">
        <v>48</v>
      </c>
      <c r="B67" s="531"/>
      <c r="C67" s="531"/>
      <c r="D67" s="451"/>
      <c r="E67" s="426">
        <f>SUM(E35:E66)</f>
        <v>109140542</v>
      </c>
      <c r="F67" s="440"/>
    </row>
    <row r="68" spans="1:29" ht="27" customHeight="1" thickBot="1" x14ac:dyDescent="0.35">
      <c r="A68" s="524" t="s">
        <v>61</v>
      </c>
      <c r="B68" s="525"/>
      <c r="C68" s="526"/>
      <c r="D68" s="452" t="e">
        <f>D27+D32+#REF!+#REF!</f>
        <v>#REF!</v>
      </c>
      <c r="E68" s="452">
        <f>E27+E32+E67</f>
        <v>210983791</v>
      </c>
      <c r="F68" s="453"/>
    </row>
    <row r="69" spans="1:29" ht="15.75" thickTop="1" x14ac:dyDescent="0.25">
      <c r="A69" s="355"/>
      <c r="B69" s="355"/>
      <c r="C69" s="355"/>
      <c r="D69" s="355"/>
    </row>
    <row r="70" spans="1:29" s="17" customFormat="1" ht="14.25" x14ac:dyDescent="0.2">
      <c r="A70" s="350"/>
      <c r="B70" s="350"/>
      <c r="C70" s="350"/>
      <c r="D70" s="350"/>
      <c r="E70" s="309"/>
      <c r="F70" s="63"/>
      <c r="I70" s="522"/>
      <c r="J70" s="522"/>
      <c r="K70" s="522"/>
      <c r="L70" s="522"/>
      <c r="M70" s="522"/>
      <c r="N70" s="522"/>
      <c r="O70" s="522"/>
      <c r="P70" s="522"/>
      <c r="Q70" s="23"/>
      <c r="R70" s="23"/>
      <c r="S70" s="35"/>
      <c r="T70" s="23"/>
      <c r="U70" s="23"/>
      <c r="V70" s="23"/>
      <c r="W70" s="522" t="s">
        <v>51</v>
      </c>
      <c r="X70" s="522"/>
      <c r="Y70" s="522"/>
      <c r="Z70" s="32"/>
      <c r="AA70" s="36"/>
      <c r="AB70" s="36"/>
      <c r="AC70" s="23"/>
    </row>
    <row r="71" spans="1:29" s="17" customFormat="1" ht="15" customHeight="1" x14ac:dyDescent="0.2">
      <c r="A71" s="527" t="s">
        <v>49</v>
      </c>
      <c r="B71" s="527"/>
      <c r="C71" s="309" t="s">
        <v>262</v>
      </c>
      <c r="D71" s="389"/>
      <c r="E71" s="483" t="s">
        <v>50</v>
      </c>
      <c r="F71" s="483" t="s">
        <v>51</v>
      </c>
      <c r="G71" s="489"/>
      <c r="H71" s="489"/>
      <c r="I71" s="24"/>
      <c r="J71" s="388"/>
      <c r="K71" s="24"/>
      <c r="L71" s="388"/>
      <c r="M71" s="23"/>
      <c r="N71" s="23"/>
      <c r="O71" s="50"/>
      <c r="P71" s="23"/>
      <c r="Q71" s="23"/>
      <c r="R71" s="23"/>
      <c r="S71" s="23"/>
      <c r="T71" s="23"/>
      <c r="U71" s="23"/>
      <c r="V71" s="23"/>
      <c r="W71" s="24"/>
      <c r="X71" s="24"/>
      <c r="Y71" s="24"/>
      <c r="Z71" s="33"/>
      <c r="AA71" s="50"/>
      <c r="AB71" s="50"/>
      <c r="AC71" s="23"/>
    </row>
    <row r="72" spans="1:29" s="18" customFormat="1" x14ac:dyDescent="0.25">
      <c r="A72" s="25"/>
      <c r="B72" s="25"/>
      <c r="C72" s="105"/>
      <c r="D72" s="26"/>
      <c r="E72" s="492"/>
      <c r="F72" s="492"/>
      <c r="G72" s="389"/>
      <c r="H72" s="494"/>
      <c r="I72" s="520"/>
      <c r="J72" s="520"/>
      <c r="K72" s="520"/>
      <c r="L72" s="30"/>
      <c r="M72" s="390"/>
      <c r="N72" s="390"/>
      <c r="O72" s="390"/>
      <c r="S72" s="523"/>
      <c r="T72" s="523"/>
      <c r="W72" s="30"/>
      <c r="X72" s="30"/>
      <c r="Y72" s="30"/>
      <c r="Z72" s="390"/>
      <c r="AA72" s="390"/>
      <c r="AB72" s="390"/>
    </row>
    <row r="73" spans="1:29" s="18" customFormat="1" x14ac:dyDescent="0.25">
      <c r="A73" s="25"/>
      <c r="B73" s="25"/>
      <c r="C73" s="105"/>
      <c r="D73" s="26"/>
      <c r="E73" s="492"/>
      <c r="F73" s="492"/>
      <c r="G73" s="309"/>
      <c r="H73" s="309"/>
      <c r="I73" s="384"/>
      <c r="J73" s="384"/>
      <c r="K73" s="384"/>
      <c r="L73" s="30"/>
      <c r="M73" s="390"/>
      <c r="N73" s="390"/>
      <c r="O73" s="390"/>
      <c r="S73" s="390"/>
      <c r="T73" s="390"/>
      <c r="W73" s="30"/>
      <c r="X73" s="30"/>
      <c r="Y73" s="30"/>
      <c r="Z73" s="390"/>
      <c r="AA73" s="390"/>
      <c r="AB73" s="390"/>
    </row>
    <row r="74" spans="1:29" s="17" customFormat="1" x14ac:dyDescent="0.25">
      <c r="A74" s="18"/>
      <c r="B74" s="18"/>
      <c r="C74" s="63"/>
      <c r="D74" s="28"/>
      <c r="E74" s="481"/>
      <c r="F74" s="481"/>
      <c r="G74" s="29"/>
      <c r="H74" s="29"/>
      <c r="I74" s="520"/>
      <c r="J74" s="520"/>
      <c r="K74" s="520"/>
      <c r="L74" s="520"/>
      <c r="M74" s="520"/>
      <c r="N74" s="520"/>
      <c r="O74" s="520"/>
      <c r="P74" s="520"/>
      <c r="S74" s="519"/>
      <c r="T74" s="519"/>
      <c r="V74" s="520" t="s">
        <v>53</v>
      </c>
      <c r="W74" s="520"/>
      <c r="X74" s="520"/>
      <c r="Y74" s="520"/>
      <c r="Z74" s="520"/>
      <c r="AA74" s="387"/>
      <c r="AB74" s="387"/>
    </row>
    <row r="75" spans="1:29" s="17" customFormat="1" x14ac:dyDescent="0.25">
      <c r="A75" s="528" t="s">
        <v>52</v>
      </c>
      <c r="B75" s="528"/>
      <c r="C75" s="308" t="s">
        <v>175</v>
      </c>
      <c r="D75" s="385"/>
      <c r="E75" s="482" t="s">
        <v>263</v>
      </c>
      <c r="F75" s="482" t="s">
        <v>269</v>
      </c>
      <c r="G75" s="490"/>
      <c r="H75" s="490"/>
      <c r="I75" s="521"/>
      <c r="J75" s="521"/>
      <c r="K75" s="521"/>
      <c r="L75" s="521"/>
      <c r="M75" s="521"/>
      <c r="N75" s="521"/>
      <c r="O75" s="521"/>
      <c r="P75" s="521"/>
      <c r="W75" s="31" t="s">
        <v>55</v>
      </c>
      <c r="X75" s="31"/>
      <c r="Y75" s="31"/>
      <c r="Z75" s="34"/>
      <c r="AA75" s="37"/>
      <c r="AB75" s="37"/>
    </row>
    <row r="76" spans="1:29" x14ac:dyDescent="0.25">
      <c r="A76" s="521" t="s">
        <v>54</v>
      </c>
      <c r="B76" s="521"/>
      <c r="C76" s="455" t="s">
        <v>264</v>
      </c>
      <c r="D76" s="386"/>
      <c r="E76" s="480" t="s">
        <v>105</v>
      </c>
      <c r="F76" s="493" t="s">
        <v>270</v>
      </c>
      <c r="G76" s="491"/>
      <c r="H76" s="491"/>
    </row>
    <row r="77" spans="1:29" x14ac:dyDescent="0.25">
      <c r="E77" s="21"/>
    </row>
    <row r="78" spans="1:29" x14ac:dyDescent="0.25">
      <c r="E78" s="21"/>
      <c r="F78" s="456"/>
    </row>
    <row r="79" spans="1:29" x14ac:dyDescent="0.25">
      <c r="E79" s="21"/>
    </row>
    <row r="80" spans="1:29" x14ac:dyDescent="0.25">
      <c r="C80" s="60"/>
      <c r="D80" s="60"/>
      <c r="E80" s="60"/>
      <c r="F80" s="456"/>
    </row>
    <row r="81" spans="5:6" x14ac:dyDescent="0.25">
      <c r="F81" s="456"/>
    </row>
    <row r="82" spans="5:6" x14ac:dyDescent="0.25">
      <c r="E82" s="60"/>
    </row>
    <row r="83" spans="5:6" x14ac:dyDescent="0.25">
      <c r="E83" s="60"/>
    </row>
    <row r="84" spans="5:6" x14ac:dyDescent="0.25">
      <c r="E84"/>
      <c r="F84" s="456"/>
    </row>
    <row r="85" spans="5:6" x14ac:dyDescent="0.25">
      <c r="E85" s="60"/>
      <c r="F85" s="456"/>
    </row>
    <row r="86" spans="5:6" x14ac:dyDescent="0.25">
      <c r="E86"/>
    </row>
    <row r="87" spans="5:6" x14ac:dyDescent="0.25">
      <c r="E87"/>
    </row>
    <row r="88" spans="5:6" x14ac:dyDescent="0.25">
      <c r="E88" s="21"/>
    </row>
    <row r="92" spans="5:6" x14ac:dyDescent="0.25">
      <c r="E92"/>
      <c r="F92"/>
    </row>
    <row r="93" spans="5:6" x14ac:dyDescent="0.25">
      <c r="E93"/>
      <c r="F93"/>
    </row>
    <row r="94" spans="5:6" x14ac:dyDescent="0.25">
      <c r="E94"/>
      <c r="F94"/>
    </row>
    <row r="95" spans="5:6" x14ac:dyDescent="0.25">
      <c r="E95"/>
      <c r="F95"/>
    </row>
    <row r="96" spans="5:6" x14ac:dyDescent="0.25">
      <c r="E96"/>
      <c r="F96"/>
    </row>
  </sheetData>
  <mergeCells count="17">
    <mergeCell ref="A1:F1"/>
    <mergeCell ref="A2:F2"/>
    <mergeCell ref="A27:C27"/>
    <mergeCell ref="A32:C32"/>
    <mergeCell ref="A67:C67"/>
    <mergeCell ref="A68:C68"/>
    <mergeCell ref="A71:B71"/>
    <mergeCell ref="A75:B75"/>
    <mergeCell ref="A76:B76"/>
    <mergeCell ref="I74:P74"/>
    <mergeCell ref="S74:T74"/>
    <mergeCell ref="V74:Z74"/>
    <mergeCell ref="I75:P75"/>
    <mergeCell ref="I70:P70"/>
    <mergeCell ref="W70:Y70"/>
    <mergeCell ref="I72:K72"/>
    <mergeCell ref="S72:T72"/>
  </mergeCells>
  <pageMargins left="0.25" right="0.25" top="0.25" bottom="0" header="0.15748031496063" footer="0.196850393700787"/>
  <pageSetup scale="60" orientation="portrait" horizontalDpi="4294967293" verticalDpi="72" r:id="rId1"/>
  <rowBreaks count="1" manualBreakCount="1">
    <brk id="32" max="16383" man="1"/>
  </rowBreaks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opLeftCell="A16" zoomScaleNormal="100" workbookViewId="0">
      <selection activeCell="T23" sqref="T23"/>
    </sheetView>
  </sheetViews>
  <sheetFormatPr defaultColWidth="9.140625" defaultRowHeight="12.75" x14ac:dyDescent="0.25"/>
  <cols>
    <col min="1" max="1" width="5" style="224" customWidth="1"/>
    <col min="2" max="2" width="9.140625" style="224" customWidth="1"/>
    <col min="3" max="3" width="4.5703125" style="224" customWidth="1"/>
    <col min="4" max="4" width="14.42578125" style="224" customWidth="1"/>
    <col min="5" max="5" width="15.85546875" style="224" customWidth="1"/>
    <col min="6" max="6" width="5.7109375" style="224" customWidth="1"/>
    <col min="7" max="7" width="7.85546875" style="224" customWidth="1"/>
    <col min="8" max="8" width="11.5703125" style="224" customWidth="1"/>
    <col min="9" max="9" width="5.5703125" style="224" customWidth="1"/>
    <col min="10" max="10" width="8.28515625" style="224" customWidth="1"/>
    <col min="11" max="11" width="6.85546875" style="224" customWidth="1"/>
    <col min="12" max="12" width="4.5703125" style="224" customWidth="1"/>
    <col min="13" max="13" width="11.7109375" style="224" customWidth="1"/>
    <col min="14" max="14" width="11" style="224" customWidth="1"/>
    <col min="15" max="15" width="9.42578125" style="224" customWidth="1"/>
    <col min="16" max="16" width="9.85546875" style="224" customWidth="1"/>
    <col min="17" max="17" width="10.28515625" style="224" customWidth="1"/>
    <col min="18" max="18" width="9.28515625" style="224" customWidth="1"/>
    <col min="19" max="19" width="11.28515625" style="224" customWidth="1"/>
    <col min="20" max="20" width="9.85546875" style="224" customWidth="1"/>
    <col min="21" max="21" width="6.85546875" style="224" customWidth="1"/>
    <col min="22" max="16384" width="9.140625" style="224"/>
  </cols>
  <sheetData>
    <row r="1" spans="1:17" ht="18.75" customHeight="1" x14ac:dyDescent="0.25"/>
    <row r="2" spans="1:17" x14ac:dyDescent="0.25">
      <c r="A2" s="533" t="s">
        <v>0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</row>
    <row r="3" spans="1:17" x14ac:dyDescent="0.25">
      <c r="A3" s="534" t="s">
        <v>138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</row>
    <row r="4" spans="1:17" x14ac:dyDescent="0.25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  <c r="N4" s="534"/>
      <c r="O4" s="534"/>
      <c r="P4" s="534"/>
      <c r="Q4" s="534"/>
    </row>
    <row r="5" spans="1:17" x14ac:dyDescent="0.25">
      <c r="A5" s="27" t="s">
        <v>1</v>
      </c>
      <c r="B5" s="27"/>
      <c r="C5" s="27"/>
      <c r="D5" s="54" t="s">
        <v>163</v>
      </c>
      <c r="E5" s="354">
        <v>2025</v>
      </c>
      <c r="F5" s="227"/>
      <c r="G5" s="22"/>
      <c r="H5" s="22"/>
      <c r="I5" s="22"/>
      <c r="J5" s="22"/>
      <c r="K5" s="22"/>
      <c r="L5" s="22"/>
      <c r="M5" s="320" t="s">
        <v>2</v>
      </c>
      <c r="N5" s="534" t="s">
        <v>3</v>
      </c>
      <c r="O5" s="534"/>
      <c r="P5" s="534"/>
      <c r="Q5" s="22"/>
    </row>
    <row r="6" spans="1:17" ht="13.5" thickBot="1" x14ac:dyDescent="0.3">
      <c r="A6" s="22"/>
      <c r="B6" s="22"/>
      <c r="C6" s="22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"/>
      <c r="P6" s="279"/>
      <c r="Q6" s="22"/>
    </row>
    <row r="7" spans="1:17" s="239" customFormat="1" ht="12" x14ac:dyDescent="0.25">
      <c r="A7" s="235"/>
      <c r="B7" s="236"/>
      <c r="C7" s="236"/>
      <c r="D7" s="236"/>
      <c r="E7" s="321"/>
      <c r="F7" s="236"/>
      <c r="G7" s="236"/>
      <c r="H7" s="237"/>
      <c r="I7" s="535" t="s">
        <v>4</v>
      </c>
      <c r="J7" s="535"/>
      <c r="K7" s="535"/>
      <c r="L7" s="535"/>
      <c r="M7" s="535"/>
      <c r="N7" s="238" t="s">
        <v>5</v>
      </c>
      <c r="O7" s="236"/>
      <c r="P7" s="273"/>
      <c r="Q7" s="351" t="s">
        <v>5</v>
      </c>
    </row>
    <row r="8" spans="1:17" s="239" customFormat="1" ht="15" customHeight="1" x14ac:dyDescent="0.25">
      <c r="A8" s="240" t="s">
        <v>7</v>
      </c>
      <c r="B8" s="241" t="s">
        <v>8</v>
      </c>
      <c r="C8" s="241" t="s">
        <v>9</v>
      </c>
      <c r="D8" s="241" t="s">
        <v>10</v>
      </c>
      <c r="E8" s="241"/>
      <c r="F8" s="241" t="s">
        <v>11</v>
      </c>
      <c r="G8" s="241" t="s">
        <v>12</v>
      </c>
      <c r="H8" s="241" t="s">
        <v>12</v>
      </c>
      <c r="I8" s="536" t="s">
        <v>13</v>
      </c>
      <c r="J8" s="536"/>
      <c r="K8" s="536" t="s">
        <v>14</v>
      </c>
      <c r="L8" s="536"/>
      <c r="M8" s="536"/>
      <c r="N8" s="242" t="s">
        <v>12</v>
      </c>
      <c r="O8" s="241" t="s">
        <v>15</v>
      </c>
      <c r="P8" s="539" t="s">
        <v>140</v>
      </c>
      <c r="Q8" s="352" t="s">
        <v>12</v>
      </c>
    </row>
    <row r="9" spans="1:17" s="239" customFormat="1" ht="22.5" x14ac:dyDescent="0.25">
      <c r="A9" s="240" t="s">
        <v>17</v>
      </c>
      <c r="B9" s="241" t="s">
        <v>18</v>
      </c>
      <c r="C9" s="241"/>
      <c r="D9" s="241" t="s">
        <v>19</v>
      </c>
      <c r="E9" s="339" t="s">
        <v>139</v>
      </c>
      <c r="F9" s="241" t="s">
        <v>20</v>
      </c>
      <c r="G9" s="241" t="s">
        <v>21</v>
      </c>
      <c r="H9" s="241" t="s">
        <v>22</v>
      </c>
      <c r="I9" s="242" t="s">
        <v>24</v>
      </c>
      <c r="J9" s="243" t="s">
        <v>25</v>
      </c>
      <c r="K9" s="242" t="s">
        <v>24</v>
      </c>
      <c r="L9" s="536" t="s">
        <v>5</v>
      </c>
      <c r="M9" s="536"/>
      <c r="N9" s="242" t="s">
        <v>26</v>
      </c>
      <c r="O9" s="244">
        <v>0.05</v>
      </c>
      <c r="P9" s="540"/>
      <c r="Q9" s="352" t="s">
        <v>27</v>
      </c>
    </row>
    <row r="10" spans="1:17" s="239" customFormat="1" ht="19.5" customHeight="1" thickBot="1" x14ac:dyDescent="0.3">
      <c r="A10" s="249"/>
      <c r="B10" s="247" t="s">
        <v>19</v>
      </c>
      <c r="C10" s="247"/>
      <c r="D10" s="247"/>
      <c r="E10" s="247"/>
      <c r="F10" s="247"/>
      <c r="G10" s="247" t="s">
        <v>29</v>
      </c>
      <c r="H10" s="247" t="s">
        <v>29</v>
      </c>
      <c r="I10" s="246" t="s">
        <v>23</v>
      </c>
      <c r="J10" s="246" t="s">
        <v>29</v>
      </c>
      <c r="K10" s="245" t="s">
        <v>30</v>
      </c>
      <c r="L10" s="245" t="s">
        <v>30</v>
      </c>
      <c r="M10" s="245" t="s">
        <v>29</v>
      </c>
      <c r="N10" s="246" t="s">
        <v>29</v>
      </c>
      <c r="O10" s="247"/>
      <c r="P10" s="282"/>
      <c r="Q10" s="248" t="s">
        <v>29</v>
      </c>
    </row>
    <row r="11" spans="1:17" s="10" customFormat="1" ht="63" customHeight="1" x14ac:dyDescent="0.25">
      <c r="A11" s="228">
        <v>1</v>
      </c>
      <c r="B11" s="229" t="s">
        <v>91</v>
      </c>
      <c r="C11" s="229" t="s">
        <v>32</v>
      </c>
      <c r="D11" s="230" t="s">
        <v>92</v>
      </c>
      <c r="E11" s="342">
        <v>35281</v>
      </c>
      <c r="F11" s="231">
        <v>30</v>
      </c>
      <c r="G11" s="231">
        <v>129220</v>
      </c>
      <c r="H11" s="231">
        <f t="shared" ref="H11:H14" si="0">F11*G11</f>
        <v>3876600</v>
      </c>
      <c r="I11" s="231">
        <v>4200</v>
      </c>
      <c r="J11" s="231">
        <f>F11*I11</f>
        <v>126000</v>
      </c>
      <c r="K11" s="231">
        <v>2500</v>
      </c>
      <c r="L11" s="231">
        <v>28</v>
      </c>
      <c r="M11" s="231">
        <v>89000</v>
      </c>
      <c r="N11" s="231">
        <f>H11+J11+M11</f>
        <v>4091600</v>
      </c>
      <c r="O11" s="234">
        <v>420366</v>
      </c>
      <c r="P11" s="231"/>
      <c r="Q11" s="232">
        <f>N11-O11-P11</f>
        <v>3671234</v>
      </c>
    </row>
    <row r="12" spans="1:17" s="10" customFormat="1" ht="63" customHeight="1" x14ac:dyDescent="0.25">
      <c r="A12" s="228">
        <v>2</v>
      </c>
      <c r="B12" s="231" t="s">
        <v>93</v>
      </c>
      <c r="C12" s="229" t="s">
        <v>32</v>
      </c>
      <c r="D12" s="230" t="s">
        <v>94</v>
      </c>
      <c r="E12" s="342">
        <v>41283</v>
      </c>
      <c r="F12" s="231">
        <v>30</v>
      </c>
      <c r="G12" s="231">
        <v>129220</v>
      </c>
      <c r="H12" s="231">
        <f t="shared" si="0"/>
        <v>3876600</v>
      </c>
      <c r="I12" s="231">
        <v>4200</v>
      </c>
      <c r="J12" s="231">
        <f t="shared" ref="J12:J14" si="1">F12*I12</f>
        <v>126000</v>
      </c>
      <c r="K12" s="231">
        <v>2500</v>
      </c>
      <c r="L12" s="231">
        <v>11</v>
      </c>
      <c r="M12" s="231">
        <v>30000</v>
      </c>
      <c r="N12" s="231">
        <f>H12+J12+M12</f>
        <v>4032600</v>
      </c>
      <c r="O12" s="234">
        <v>278846</v>
      </c>
      <c r="P12" s="231"/>
      <c r="Q12" s="232">
        <f>N12-O12-P12</f>
        <v>3753754</v>
      </c>
    </row>
    <row r="13" spans="1:17" s="10" customFormat="1" ht="63" customHeight="1" x14ac:dyDescent="0.25">
      <c r="A13" s="228">
        <v>3</v>
      </c>
      <c r="B13" s="229" t="s">
        <v>95</v>
      </c>
      <c r="C13" s="229" t="s">
        <v>32</v>
      </c>
      <c r="D13" s="230" t="s">
        <v>127</v>
      </c>
      <c r="E13" s="229" t="s">
        <v>152</v>
      </c>
      <c r="F13" s="229">
        <v>30</v>
      </c>
      <c r="G13" s="231">
        <v>129220</v>
      </c>
      <c r="H13" s="231">
        <f t="shared" si="0"/>
        <v>3876600</v>
      </c>
      <c r="I13" s="231">
        <v>4650</v>
      </c>
      <c r="J13" s="231">
        <f t="shared" si="1"/>
        <v>139500</v>
      </c>
      <c r="K13" s="231">
        <v>2500</v>
      </c>
      <c r="L13" s="231">
        <v>27</v>
      </c>
      <c r="M13" s="231">
        <v>85500</v>
      </c>
      <c r="N13" s="231">
        <f>H13+J13+M13</f>
        <v>4101600</v>
      </c>
      <c r="O13" s="234">
        <v>275334</v>
      </c>
      <c r="P13" s="231"/>
      <c r="Q13" s="232">
        <f>N13-O13-P13</f>
        <v>3826266</v>
      </c>
    </row>
    <row r="14" spans="1:17" s="10" customFormat="1" ht="63" customHeight="1" x14ac:dyDescent="0.25">
      <c r="A14" s="228">
        <v>4</v>
      </c>
      <c r="B14" s="229" t="s">
        <v>96</v>
      </c>
      <c r="C14" s="229" t="s">
        <v>32</v>
      </c>
      <c r="D14" s="230" t="s">
        <v>128</v>
      </c>
      <c r="E14" s="347" t="s">
        <v>153</v>
      </c>
      <c r="F14" s="231">
        <v>30</v>
      </c>
      <c r="G14" s="231">
        <v>129220</v>
      </c>
      <c r="H14" s="231">
        <f t="shared" si="0"/>
        <v>3876600</v>
      </c>
      <c r="I14" s="231">
        <v>5550</v>
      </c>
      <c r="J14" s="231">
        <f t="shared" si="1"/>
        <v>166500</v>
      </c>
      <c r="K14" s="231">
        <v>2500</v>
      </c>
      <c r="L14" s="231">
        <v>29</v>
      </c>
      <c r="M14" s="231">
        <v>92500</v>
      </c>
      <c r="N14" s="231">
        <f>H14+J14+M14</f>
        <v>4135600</v>
      </c>
      <c r="O14" s="234">
        <v>283194</v>
      </c>
      <c r="P14" s="231"/>
      <c r="Q14" s="232">
        <f>N14-O14-P14</f>
        <v>3852406</v>
      </c>
    </row>
    <row r="15" spans="1:17" s="252" customFormat="1" ht="63" customHeight="1" thickBot="1" x14ac:dyDescent="0.3">
      <c r="A15" s="250"/>
      <c r="B15" s="251"/>
      <c r="C15" s="251"/>
      <c r="D15" s="251" t="s">
        <v>97</v>
      </c>
      <c r="E15" s="251"/>
      <c r="F15" s="251">
        <f t="shared" ref="F15:H15" si="2">SUM(F11:F14)</f>
        <v>120</v>
      </c>
      <c r="G15" s="251">
        <f t="shared" si="2"/>
        <v>516880</v>
      </c>
      <c r="H15" s="251">
        <f t="shared" si="2"/>
        <v>15506400</v>
      </c>
      <c r="I15" s="251"/>
      <c r="J15" s="251">
        <f>SUM(J11:J14)</f>
        <v>558000</v>
      </c>
      <c r="K15" s="251"/>
      <c r="L15" s="251"/>
      <c r="M15" s="251">
        <f t="shared" ref="M15:Q15" si="3">SUM(M11:M14)</f>
        <v>297000</v>
      </c>
      <c r="N15" s="251">
        <f t="shared" si="3"/>
        <v>16361400</v>
      </c>
      <c r="O15" s="251">
        <f t="shared" si="3"/>
        <v>1257740</v>
      </c>
      <c r="P15" s="251">
        <f t="shared" si="3"/>
        <v>0</v>
      </c>
      <c r="Q15" s="353">
        <f t="shared" si="3"/>
        <v>15103660</v>
      </c>
    </row>
    <row r="16" spans="1:17" x14ac:dyDescent="0.25">
      <c r="A16" s="38"/>
      <c r="B16" s="38"/>
      <c r="C16" s="38"/>
      <c r="D16" s="38"/>
      <c r="E16" s="38"/>
      <c r="F16" s="38" t="s">
        <v>90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</row>
    <row r="17" spans="1:17" x14ac:dyDescent="0.25">
      <c r="A17" s="488"/>
      <c r="B17" s="488"/>
      <c r="C17" s="488"/>
      <c r="D17" s="488"/>
      <c r="E17" s="488"/>
      <c r="F17" s="488"/>
      <c r="G17" s="38"/>
      <c r="H17" s="38"/>
      <c r="I17" s="38"/>
      <c r="J17" s="233"/>
      <c r="K17" s="38"/>
      <c r="L17" s="38"/>
      <c r="M17" s="38"/>
      <c r="N17" s="38"/>
      <c r="O17" s="38"/>
      <c r="P17" s="38"/>
      <c r="Q17" s="38"/>
    </row>
    <row r="18" spans="1:17" s="222" customFormat="1" ht="15" customHeight="1" x14ac:dyDescent="0.25">
      <c r="A18" s="22"/>
      <c r="B18" s="478" t="s">
        <v>49</v>
      </c>
      <c r="C18" s="485"/>
      <c r="D18" s="509" t="s">
        <v>154</v>
      </c>
      <c r="E18" s="509"/>
      <c r="F18" s="509"/>
      <c r="G18" s="509"/>
      <c r="H18" s="485"/>
      <c r="I18" s="474"/>
      <c r="J18" s="508" t="s">
        <v>271</v>
      </c>
      <c r="K18" s="508"/>
      <c r="L18" s="508"/>
      <c r="M18" s="479"/>
      <c r="N18" s="508" t="s">
        <v>272</v>
      </c>
      <c r="O18" s="508"/>
      <c r="P18" s="508"/>
      <c r="Q18" s="27"/>
    </row>
    <row r="19" spans="1:17" s="223" customFormat="1" x14ac:dyDescent="0.25">
      <c r="A19" s="226"/>
      <c r="B19" s="478"/>
      <c r="C19" s="478"/>
      <c r="D19" s="479"/>
      <c r="E19" s="478"/>
      <c r="F19" s="16"/>
      <c r="G19" s="13"/>
      <c r="H19" s="13"/>
      <c r="I19" s="475"/>
      <c r="J19" s="475"/>
      <c r="K19" s="13"/>
      <c r="L19" s="475"/>
      <c r="M19" s="475"/>
      <c r="N19" s="475"/>
      <c r="O19" s="27"/>
      <c r="P19" s="27"/>
      <c r="Q19" s="27"/>
    </row>
    <row r="20" spans="1:17" s="223" customFormat="1" x14ac:dyDescent="0.25">
      <c r="A20" s="226"/>
      <c r="B20" s="167"/>
      <c r="C20" s="167"/>
      <c r="D20" s="479"/>
      <c r="E20" s="167"/>
      <c r="F20" s="16"/>
      <c r="G20" s="484"/>
      <c r="H20" s="475"/>
      <c r="I20" s="475"/>
      <c r="J20" s="475"/>
      <c r="K20" s="479"/>
      <c r="L20" s="475"/>
      <c r="M20" s="475"/>
      <c r="N20" s="475"/>
      <c r="O20" s="27"/>
      <c r="P20" s="27"/>
      <c r="Q20" s="27"/>
    </row>
    <row r="21" spans="1:17" s="223" customFormat="1" x14ac:dyDescent="0.25">
      <c r="A21" s="226"/>
      <c r="B21" s="168"/>
      <c r="C21" s="168"/>
      <c r="D21" s="475"/>
      <c r="E21" s="168"/>
      <c r="F21" s="274"/>
      <c r="G21" s="484"/>
      <c r="H21" s="475"/>
      <c r="I21" s="475"/>
      <c r="J21" s="475"/>
      <c r="K21" s="475"/>
      <c r="L21" s="475"/>
      <c r="M21" s="475"/>
      <c r="N21" s="475"/>
      <c r="O21" s="27"/>
      <c r="P21" s="27"/>
      <c r="Q21" s="27"/>
    </row>
    <row r="22" spans="1:17" s="222" customFormat="1" ht="15" customHeight="1" x14ac:dyDescent="0.25">
      <c r="A22" s="22"/>
      <c r="B22" s="476" t="s">
        <v>177</v>
      </c>
      <c r="C22" s="476"/>
      <c r="D22" s="476" t="s">
        <v>173</v>
      </c>
      <c r="E22" s="486"/>
      <c r="F22" s="486"/>
      <c r="G22" s="506" t="s">
        <v>175</v>
      </c>
      <c r="H22" s="506"/>
      <c r="I22" s="475"/>
      <c r="J22" s="14" t="s">
        <v>176</v>
      </c>
      <c r="K22" s="14"/>
      <c r="L22" s="14"/>
      <c r="M22" s="474"/>
      <c r="N22" s="506" t="s">
        <v>269</v>
      </c>
      <c r="O22" s="506"/>
      <c r="P22" s="506"/>
      <c r="Q22" s="27"/>
    </row>
    <row r="23" spans="1:17" s="222" customFormat="1" ht="15" customHeight="1" x14ac:dyDescent="0.25">
      <c r="B23" s="477" t="s">
        <v>54</v>
      </c>
      <c r="C23" s="477"/>
      <c r="D23" s="477" t="s">
        <v>174</v>
      </c>
      <c r="E23" s="487"/>
      <c r="F23" s="487"/>
      <c r="G23" s="507" t="s">
        <v>155</v>
      </c>
      <c r="H23" s="507"/>
      <c r="I23" s="475"/>
      <c r="J23" s="507" t="s">
        <v>156</v>
      </c>
      <c r="K23" s="507"/>
      <c r="L23" s="507"/>
      <c r="M23" s="475"/>
      <c r="N23" s="507" t="s">
        <v>270</v>
      </c>
      <c r="O23" s="507"/>
      <c r="P23" s="507"/>
      <c r="Q23" s="27"/>
    </row>
    <row r="24" spans="1:17" s="222" customFormat="1" x14ac:dyDescent="0.2">
      <c r="E24" s="323"/>
      <c r="I24" s="538"/>
      <c r="J24" s="538"/>
      <c r="K24" s="538"/>
      <c r="L24" s="538"/>
      <c r="M24" s="253"/>
      <c r="N24" s="324"/>
      <c r="O24" s="541"/>
      <c r="P24" s="541"/>
      <c r="Q24" s="541"/>
    </row>
    <row r="25" spans="1:17" x14ac:dyDescent="0.25">
      <c r="J25" s="224" t="s">
        <v>90</v>
      </c>
    </row>
    <row r="30" spans="1:17" x14ac:dyDescent="0.25">
      <c r="B30" s="537"/>
      <c r="C30" s="537"/>
      <c r="D30" s="537"/>
      <c r="E30" s="537"/>
      <c r="F30" s="537"/>
      <c r="G30" s="537"/>
      <c r="N30" s="195"/>
    </row>
    <row r="31" spans="1:17" x14ac:dyDescent="0.25">
      <c r="N31" s="195"/>
    </row>
    <row r="39" spans="14:14" x14ac:dyDescent="0.25">
      <c r="N39" s="154" t="e">
        <f>#REF!*#REF!</f>
        <v>#REF!</v>
      </c>
    </row>
    <row r="40" spans="14:14" x14ac:dyDescent="0.25">
      <c r="N40" s="154" t="e">
        <f>#REF!*#REF!</f>
        <v>#REF!</v>
      </c>
    </row>
    <row r="47" spans="14:14" x14ac:dyDescent="0.25">
      <c r="N47" s="224" t="e">
        <f>#REF!+#REF!</f>
        <v>#REF!</v>
      </c>
    </row>
  </sheetData>
  <mergeCells count="20">
    <mergeCell ref="G23:H23"/>
    <mergeCell ref="G22:H22"/>
    <mergeCell ref="B30:G30"/>
    <mergeCell ref="I24:L24"/>
    <mergeCell ref="N5:P5"/>
    <mergeCell ref="P8:P9"/>
    <mergeCell ref="O24:Q24"/>
    <mergeCell ref="D18:G18"/>
    <mergeCell ref="N18:P18"/>
    <mergeCell ref="N22:P22"/>
    <mergeCell ref="N23:P23"/>
    <mergeCell ref="J18:L18"/>
    <mergeCell ref="J23:L23"/>
    <mergeCell ref="A2:Q2"/>
    <mergeCell ref="A4:Q4"/>
    <mergeCell ref="I7:M7"/>
    <mergeCell ref="K8:M8"/>
    <mergeCell ref="L9:M9"/>
    <mergeCell ref="I8:J8"/>
    <mergeCell ref="A3:Q3"/>
  </mergeCells>
  <pageMargins left="0" right="0" top="0" bottom="0" header="0.118110236220472" footer="0.31496062992126"/>
  <pageSetup scale="6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MAIN DIV 1 AIR JNGKAT</vt:lpstr>
      <vt:lpstr>PANEN AIR JANGKAT 1</vt:lpstr>
      <vt:lpstr>BRI</vt:lpstr>
      <vt:lpstr>OPERATOR</vt:lpstr>
      <vt:lpstr>'MAIN DIV 1 AIR JNGKAT'!Print_Area</vt:lpstr>
      <vt:lpstr>OPERATOR!Print_Area</vt:lpstr>
    </vt:vector>
  </TitlesOfParts>
  <Company>REBINMAS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PTRJ-PG4</dc:creator>
  <cp:lastModifiedBy>PG2A</cp:lastModifiedBy>
  <cp:lastPrinted>2025-03-08T02:01:01Z</cp:lastPrinted>
  <dcterms:created xsi:type="dcterms:W3CDTF">2015-05-26T03:04:00Z</dcterms:created>
  <dcterms:modified xsi:type="dcterms:W3CDTF">2026-03-03T09:43:58Z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1033-10.1.0.5465</vt:lpwstr>
  </property>
</Properties>
</file>