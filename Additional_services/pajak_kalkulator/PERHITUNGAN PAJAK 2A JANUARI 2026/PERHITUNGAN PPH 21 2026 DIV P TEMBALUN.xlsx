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5" windowWidth="14805" windowHeight="7950" activeTab="1"/>
  </bookViews>
  <sheets>
    <sheet name="TARIF" sheetId="4" r:id="rId1"/>
    <sheet name="JAN'26" sheetId="17" r:id="rId2"/>
  </sheets>
  <externalReferences>
    <externalReference r:id="rId3"/>
    <externalReference r:id="rId4"/>
  </externalReferences>
  <definedNames>
    <definedName name="PH" localSheetId="1">[1]TARIF!#REF!</definedName>
    <definedName name="PH">TARIF!#REF!</definedName>
    <definedName name="_xlnm.Print_Area" localSheetId="1">'JAN''26'!$A$1:$AS$130</definedName>
    <definedName name="_xlnm.Print_Titles" localSheetId="1">'JAN''26'!$5:$5</definedName>
    <definedName name="PTKP" localSheetId="1">[1]TARIF!#REF!</definedName>
    <definedName name="PTKP">TARIF!#REF!</definedName>
    <definedName name="Ter_A" localSheetId="1">[1]TARIF!$B$3:$E$46</definedName>
    <definedName name="Ter_A">TARIF!$B$3:$E$46</definedName>
    <definedName name="Ter_B" localSheetId="1">[1]TARIF!$H$3:$K$42</definedName>
    <definedName name="Ter_B">TARIF!$H$3:$K$42</definedName>
    <definedName name="Ter_C" localSheetId="1">[1]TARIF!$N$3:$Q$43</definedName>
    <definedName name="Ter_C">TARIF!$N$3:$Q$43</definedName>
  </definedNames>
  <calcPr calcId="144525"/>
</workbook>
</file>

<file path=xl/calcChain.xml><?xml version="1.0" encoding="utf-8"?>
<calcChain xmlns="http://schemas.openxmlformats.org/spreadsheetml/2006/main">
  <c r="AO104" i="17" l="1"/>
  <c r="AO106" i="17"/>
  <c r="AK106" i="17"/>
  <c r="Z106" i="17"/>
  <c r="AF106" i="17"/>
  <c r="AI106" i="17"/>
  <c r="AF108" i="17" l="1"/>
  <c r="AF71" i="17"/>
  <c r="AF70" i="17"/>
  <c r="AF69" i="17"/>
  <c r="AF51" i="17"/>
  <c r="AF62" i="17"/>
  <c r="S108" i="17" l="1"/>
  <c r="N81" i="17"/>
  <c r="N80" i="17"/>
  <c r="Z108" i="17" l="1"/>
  <c r="AM7" i="17"/>
  <c r="AM8" i="17"/>
  <c r="AM9" i="17"/>
  <c r="AM10" i="17"/>
  <c r="AM11" i="17"/>
  <c r="AM12" i="17"/>
  <c r="AM13" i="17"/>
  <c r="AM14" i="17"/>
  <c r="AM15" i="17"/>
  <c r="AM17" i="17"/>
  <c r="AM18" i="17"/>
  <c r="AM19" i="17"/>
  <c r="AM20" i="17"/>
  <c r="AM21" i="17"/>
  <c r="AM22" i="17"/>
  <c r="AM23" i="17"/>
  <c r="AM24" i="17"/>
  <c r="AM25" i="17"/>
  <c r="AM26" i="17"/>
  <c r="AM27" i="17"/>
  <c r="AM29" i="17"/>
  <c r="AM30" i="17"/>
  <c r="AM31" i="17"/>
  <c r="AM32" i="17"/>
  <c r="AM33" i="17"/>
  <c r="AM34" i="17"/>
  <c r="AM35" i="17"/>
  <c r="AM36" i="17"/>
  <c r="AM37" i="17"/>
  <c r="AM38" i="17"/>
  <c r="AM39" i="17"/>
  <c r="AM40" i="17"/>
  <c r="AM41" i="17"/>
  <c r="AM43" i="17"/>
  <c r="AM44" i="17"/>
  <c r="AM45" i="17"/>
  <c r="AM46" i="17"/>
  <c r="AM47" i="17"/>
  <c r="AM48" i="17"/>
  <c r="AM49" i="17"/>
  <c r="AM50" i="17"/>
  <c r="AM51" i="17"/>
  <c r="AM52" i="17"/>
  <c r="AM53" i="17"/>
  <c r="AM54" i="17"/>
  <c r="AM55" i="17"/>
  <c r="AM56" i="17"/>
  <c r="AM57" i="17"/>
  <c r="AM58" i="17"/>
  <c r="AM60" i="17"/>
  <c r="AM61" i="17"/>
  <c r="AM63" i="17"/>
  <c r="AM64" i="17"/>
  <c r="AM65" i="17"/>
  <c r="AM66" i="17"/>
  <c r="AM67" i="17"/>
  <c r="AM68" i="17"/>
  <c r="AM72" i="17"/>
  <c r="AM74" i="17"/>
  <c r="AM75" i="17"/>
  <c r="AM76" i="17"/>
  <c r="AM79" i="17"/>
  <c r="AM6" i="17"/>
  <c r="V101" i="17"/>
  <c r="W101" i="17"/>
  <c r="X101" i="17"/>
  <c r="Z101" i="17"/>
  <c r="AF101" i="17"/>
  <c r="V102" i="17"/>
  <c r="W102" i="17"/>
  <c r="X102" i="17"/>
  <c r="Z102" i="17"/>
  <c r="AF102" i="17"/>
  <c r="V103" i="17"/>
  <c r="W103" i="17"/>
  <c r="X103" i="17"/>
  <c r="Z103" i="17"/>
  <c r="AF103" i="17"/>
  <c r="W104" i="17"/>
  <c r="X104" i="17"/>
  <c r="Z104" i="17"/>
  <c r="AF104" i="17"/>
  <c r="V105" i="17"/>
  <c r="W105" i="17"/>
  <c r="X105" i="17"/>
  <c r="Z105" i="17"/>
  <c r="AF105" i="17"/>
  <c r="AF100" i="17"/>
  <c r="Z100" i="17"/>
  <c r="X100" i="17"/>
  <c r="W100" i="17"/>
  <c r="W91" i="17"/>
  <c r="X91" i="17"/>
  <c r="Z91" i="17"/>
  <c r="W92" i="17"/>
  <c r="X92" i="17"/>
  <c r="Z92" i="17"/>
  <c r="W93" i="17"/>
  <c r="X93" i="17"/>
  <c r="Z93" i="17"/>
  <c r="W94" i="17"/>
  <c r="X94" i="17"/>
  <c r="Z94" i="17"/>
  <c r="W95" i="17"/>
  <c r="X95" i="17"/>
  <c r="Z95" i="17"/>
  <c r="W96" i="17"/>
  <c r="X96" i="17"/>
  <c r="Z96" i="17"/>
  <c r="W97" i="17"/>
  <c r="X97" i="17"/>
  <c r="Z97" i="17"/>
  <c r="AF97" i="17"/>
  <c r="W98" i="17"/>
  <c r="X98" i="17"/>
  <c r="Z98" i="17"/>
  <c r="AF98" i="17"/>
  <c r="W99" i="17"/>
  <c r="X99" i="17"/>
  <c r="Z99" i="17"/>
  <c r="AF99" i="17"/>
  <c r="Z90" i="17"/>
  <c r="X90" i="17"/>
  <c r="W90" i="17"/>
  <c r="X86" i="17"/>
  <c r="Z86" i="17"/>
  <c r="W87" i="17"/>
  <c r="X87" i="17"/>
  <c r="Z87" i="17"/>
  <c r="W88" i="17"/>
  <c r="X88" i="17"/>
  <c r="Z88" i="17"/>
  <c r="W89" i="17"/>
  <c r="X89" i="17"/>
  <c r="Z89" i="17"/>
  <c r="Z85" i="17"/>
  <c r="X85" i="17"/>
  <c r="V81" i="17"/>
  <c r="W81" i="17"/>
  <c r="Z81" i="17"/>
  <c r="AF81" i="17"/>
  <c r="V82" i="17"/>
  <c r="W82" i="17"/>
  <c r="Z82" i="17"/>
  <c r="AF82" i="17"/>
  <c r="V83" i="17"/>
  <c r="W83" i="17"/>
  <c r="Z83" i="17"/>
  <c r="AF83" i="17"/>
  <c r="Z84" i="17"/>
  <c r="AF80" i="17"/>
  <c r="Z80" i="17"/>
  <c r="W80" i="17"/>
  <c r="V80" i="17"/>
  <c r="V14" i="17"/>
  <c r="W14" i="17"/>
  <c r="X14" i="17"/>
  <c r="Z14" i="17"/>
  <c r="AF14" i="17"/>
  <c r="V15" i="17"/>
  <c r="W15" i="17"/>
  <c r="X15" i="17"/>
  <c r="Z15" i="17"/>
  <c r="AF15" i="17"/>
  <c r="W16" i="17"/>
  <c r="X16" i="17"/>
  <c r="Z16" i="17"/>
  <c r="V17" i="17"/>
  <c r="W17" i="17"/>
  <c r="X17" i="17"/>
  <c r="Z17" i="17"/>
  <c r="AF17" i="17"/>
  <c r="V18" i="17"/>
  <c r="W18" i="17"/>
  <c r="X18" i="17"/>
  <c r="Z18" i="17"/>
  <c r="AF18" i="17"/>
  <c r="V19" i="17"/>
  <c r="W19" i="17"/>
  <c r="X19" i="17"/>
  <c r="Z19" i="17"/>
  <c r="AF19" i="17"/>
  <c r="V20" i="17"/>
  <c r="W20" i="17"/>
  <c r="X20" i="17"/>
  <c r="Z20" i="17"/>
  <c r="AF20" i="17"/>
  <c r="V21" i="17"/>
  <c r="W21" i="17"/>
  <c r="X21" i="17"/>
  <c r="Z21" i="17"/>
  <c r="AF21" i="17"/>
  <c r="V22" i="17"/>
  <c r="W22" i="17"/>
  <c r="X22" i="17"/>
  <c r="Z22" i="17"/>
  <c r="AF22" i="17"/>
  <c r="V23" i="17"/>
  <c r="W23" i="17"/>
  <c r="X23" i="17"/>
  <c r="Z23" i="17"/>
  <c r="AF23" i="17"/>
  <c r="V24" i="17"/>
  <c r="W24" i="17"/>
  <c r="X24" i="17"/>
  <c r="Z24" i="17"/>
  <c r="AF24" i="17"/>
  <c r="V25" i="17"/>
  <c r="W25" i="17"/>
  <c r="X25" i="17"/>
  <c r="Z25" i="17"/>
  <c r="AF25" i="17"/>
  <c r="V26" i="17"/>
  <c r="W26" i="17"/>
  <c r="X26" i="17"/>
  <c r="Z26" i="17"/>
  <c r="AF26" i="17"/>
  <c r="V27" i="17"/>
  <c r="W27" i="17"/>
  <c r="X27" i="17"/>
  <c r="Z27" i="17"/>
  <c r="AF27" i="17"/>
  <c r="V28" i="17"/>
  <c r="W28" i="17"/>
  <c r="Z28" i="17"/>
  <c r="AF28" i="17"/>
  <c r="V29" i="17"/>
  <c r="W29" i="17"/>
  <c r="X29" i="17"/>
  <c r="Z29" i="17"/>
  <c r="AF29" i="17"/>
  <c r="V30" i="17"/>
  <c r="W30" i="17"/>
  <c r="X30" i="17"/>
  <c r="Z30" i="17"/>
  <c r="AF30" i="17"/>
  <c r="V31" i="17"/>
  <c r="W31" i="17"/>
  <c r="X31" i="17"/>
  <c r="Z31" i="17"/>
  <c r="AF31" i="17"/>
  <c r="V32" i="17"/>
  <c r="W32" i="17"/>
  <c r="X32" i="17"/>
  <c r="Z32" i="17"/>
  <c r="AF32" i="17"/>
  <c r="V33" i="17"/>
  <c r="W33" i="17"/>
  <c r="X33" i="17"/>
  <c r="Z33" i="17"/>
  <c r="AF33" i="17"/>
  <c r="V34" i="17"/>
  <c r="W34" i="17"/>
  <c r="X34" i="17"/>
  <c r="Z34" i="17"/>
  <c r="AF34" i="17"/>
  <c r="V35" i="17"/>
  <c r="W35" i="17"/>
  <c r="X35" i="17"/>
  <c r="Z35" i="17"/>
  <c r="AF35" i="17"/>
  <c r="V36" i="17"/>
  <c r="W36" i="17"/>
  <c r="X36" i="17"/>
  <c r="Z36" i="17"/>
  <c r="AF36" i="17"/>
  <c r="V37" i="17"/>
  <c r="W37" i="17"/>
  <c r="X37" i="17"/>
  <c r="Z37" i="17"/>
  <c r="AF37" i="17"/>
  <c r="V38" i="17"/>
  <c r="W38" i="17"/>
  <c r="X38" i="17"/>
  <c r="Z38" i="17"/>
  <c r="AF38" i="17"/>
  <c r="V39" i="17"/>
  <c r="W39" i="17"/>
  <c r="X39" i="17"/>
  <c r="Z39" i="17"/>
  <c r="AF39" i="17"/>
  <c r="V40" i="17"/>
  <c r="W40" i="17"/>
  <c r="X40" i="17"/>
  <c r="Z40" i="17"/>
  <c r="AF40" i="17"/>
  <c r="V41" i="17"/>
  <c r="W41" i="17"/>
  <c r="X41" i="17"/>
  <c r="Z41" i="17"/>
  <c r="AF41" i="17"/>
  <c r="Z42" i="17"/>
  <c r="V43" i="17"/>
  <c r="W43" i="17"/>
  <c r="X43" i="17"/>
  <c r="Z43" i="17"/>
  <c r="AF43" i="17"/>
  <c r="V44" i="17"/>
  <c r="W44" i="17"/>
  <c r="X44" i="17"/>
  <c r="Z44" i="17"/>
  <c r="AF44" i="17"/>
  <c r="V45" i="17"/>
  <c r="W45" i="17"/>
  <c r="X45" i="17"/>
  <c r="Z45" i="17"/>
  <c r="AF45" i="17"/>
  <c r="V46" i="17"/>
  <c r="W46" i="17"/>
  <c r="X46" i="17"/>
  <c r="Z46" i="17"/>
  <c r="AF46" i="17"/>
  <c r="V47" i="17"/>
  <c r="W47" i="17"/>
  <c r="X47" i="17"/>
  <c r="Z47" i="17"/>
  <c r="AF47" i="17"/>
  <c r="V48" i="17"/>
  <c r="W48" i="17"/>
  <c r="X48" i="17"/>
  <c r="Z48" i="17"/>
  <c r="AF48" i="17"/>
  <c r="V49" i="17"/>
  <c r="W49" i="17"/>
  <c r="X49" i="17"/>
  <c r="Z49" i="17"/>
  <c r="AF49" i="17"/>
  <c r="V50" i="17"/>
  <c r="W50" i="17"/>
  <c r="X50" i="17"/>
  <c r="Z50" i="17"/>
  <c r="AF50" i="17"/>
  <c r="V51" i="17"/>
  <c r="W51" i="17"/>
  <c r="X51" i="17"/>
  <c r="Z51" i="17"/>
  <c r="V52" i="17"/>
  <c r="W52" i="17"/>
  <c r="X52" i="17"/>
  <c r="Z52" i="17"/>
  <c r="AF52" i="17"/>
  <c r="V53" i="17"/>
  <c r="W53" i="17"/>
  <c r="X53" i="17"/>
  <c r="Z53" i="17"/>
  <c r="AF53" i="17"/>
  <c r="V54" i="17"/>
  <c r="W54" i="17"/>
  <c r="X54" i="17"/>
  <c r="Z54" i="17"/>
  <c r="AF54" i="17"/>
  <c r="V55" i="17"/>
  <c r="W55" i="17"/>
  <c r="X55" i="17"/>
  <c r="Z55" i="17"/>
  <c r="AF55" i="17"/>
  <c r="V56" i="17"/>
  <c r="W56" i="17"/>
  <c r="X56" i="17"/>
  <c r="Z56" i="17"/>
  <c r="AF56" i="17"/>
  <c r="V57" i="17"/>
  <c r="W57" i="17"/>
  <c r="X57" i="17"/>
  <c r="Z57" i="17"/>
  <c r="AF57" i="17"/>
  <c r="V58" i="17"/>
  <c r="W58" i="17"/>
  <c r="X58" i="17"/>
  <c r="Z58" i="17"/>
  <c r="AF58" i="17"/>
  <c r="W59" i="17"/>
  <c r="X59" i="17"/>
  <c r="Z59" i="17"/>
  <c r="V60" i="17"/>
  <c r="W60" i="17"/>
  <c r="X60" i="17"/>
  <c r="Z60" i="17"/>
  <c r="AF60" i="17"/>
  <c r="V61" i="17"/>
  <c r="W61" i="17"/>
  <c r="X61" i="17"/>
  <c r="Z61" i="17"/>
  <c r="AF61" i="17"/>
  <c r="V62" i="17"/>
  <c r="W62" i="17"/>
  <c r="X62" i="17"/>
  <c r="Z62" i="17"/>
  <c r="V63" i="17"/>
  <c r="W63" i="17"/>
  <c r="X63" i="17"/>
  <c r="Z63" i="17"/>
  <c r="AF63" i="17"/>
  <c r="V64" i="17"/>
  <c r="W64" i="17"/>
  <c r="X64" i="17"/>
  <c r="Z64" i="17"/>
  <c r="AF64" i="17"/>
  <c r="V65" i="17"/>
  <c r="W65" i="17"/>
  <c r="X65" i="17"/>
  <c r="Z65" i="17"/>
  <c r="AF65" i="17"/>
  <c r="V66" i="17"/>
  <c r="W66" i="17"/>
  <c r="X66" i="17"/>
  <c r="Z66" i="17"/>
  <c r="AF66" i="17"/>
  <c r="V67" i="17"/>
  <c r="W67" i="17"/>
  <c r="X67" i="17"/>
  <c r="Z67" i="17"/>
  <c r="AF67" i="17"/>
  <c r="V68" i="17"/>
  <c r="W68" i="17"/>
  <c r="X68" i="17"/>
  <c r="Z68" i="17"/>
  <c r="AF68" i="17"/>
  <c r="V69" i="17"/>
  <c r="W69" i="17"/>
  <c r="X69" i="17"/>
  <c r="Z69" i="17"/>
  <c r="V70" i="17"/>
  <c r="W70" i="17"/>
  <c r="X70" i="17"/>
  <c r="Z70" i="17"/>
  <c r="V71" i="17"/>
  <c r="W71" i="17"/>
  <c r="X71" i="17"/>
  <c r="Z71" i="17"/>
  <c r="V72" i="17"/>
  <c r="W72" i="17"/>
  <c r="X72" i="17"/>
  <c r="Z72" i="17"/>
  <c r="AF72" i="17"/>
  <c r="V73" i="17"/>
  <c r="W73" i="17"/>
  <c r="Z73" i="17"/>
  <c r="AF73" i="17"/>
  <c r="V74" i="17"/>
  <c r="W74" i="17"/>
  <c r="X74" i="17"/>
  <c r="Z74" i="17"/>
  <c r="AF74" i="17"/>
  <c r="V75" i="17"/>
  <c r="W75" i="17"/>
  <c r="X75" i="17"/>
  <c r="Z75" i="17"/>
  <c r="AF75" i="17"/>
  <c r="V76" i="17"/>
  <c r="W76" i="17"/>
  <c r="X76" i="17"/>
  <c r="Z76" i="17"/>
  <c r="AF76" i="17"/>
  <c r="W77" i="17"/>
  <c r="X77" i="17"/>
  <c r="Z77" i="17"/>
  <c r="W78" i="17"/>
  <c r="X78" i="17"/>
  <c r="Z78" i="17"/>
  <c r="V79" i="17"/>
  <c r="W79" i="17"/>
  <c r="X79" i="17"/>
  <c r="Z79" i="17"/>
  <c r="AF79" i="17"/>
  <c r="V7" i="17"/>
  <c r="W7" i="17"/>
  <c r="X7" i="17"/>
  <c r="Z7" i="17"/>
  <c r="AF7" i="17"/>
  <c r="V8" i="17"/>
  <c r="W8" i="17"/>
  <c r="X8" i="17"/>
  <c r="Z8" i="17"/>
  <c r="AF8" i="17"/>
  <c r="V9" i="17"/>
  <c r="W9" i="17"/>
  <c r="X9" i="17"/>
  <c r="Z9" i="17"/>
  <c r="AF9" i="17"/>
  <c r="V10" i="17"/>
  <c r="W10" i="17"/>
  <c r="X10" i="17"/>
  <c r="Z10" i="17"/>
  <c r="AF10" i="17"/>
  <c r="V11" i="17"/>
  <c r="W11" i="17"/>
  <c r="X11" i="17"/>
  <c r="Z11" i="17"/>
  <c r="AF11" i="17"/>
  <c r="V12" i="17"/>
  <c r="W12" i="17"/>
  <c r="X12" i="17"/>
  <c r="Z12" i="17"/>
  <c r="AF12" i="17"/>
  <c r="V13" i="17"/>
  <c r="W13" i="17"/>
  <c r="X13" i="17"/>
  <c r="Z13" i="17"/>
  <c r="AF13" i="17"/>
  <c r="AF6" i="17"/>
  <c r="Z6" i="17"/>
  <c r="L6" i="17" s="1"/>
  <c r="X6" i="17"/>
  <c r="W6" i="17"/>
  <c r="V6" i="17"/>
  <c r="M108" i="17"/>
  <c r="M101" i="17"/>
  <c r="M102" i="17"/>
  <c r="M103" i="17"/>
  <c r="M104" i="17"/>
  <c r="M105" i="17"/>
  <c r="M100" i="17"/>
  <c r="M91" i="17"/>
  <c r="M92" i="17"/>
  <c r="M93" i="17"/>
  <c r="M94" i="17"/>
  <c r="M95" i="17"/>
  <c r="M96" i="17"/>
  <c r="M97" i="17"/>
  <c r="M98" i="17"/>
  <c r="M99" i="17"/>
  <c r="M90" i="17"/>
  <c r="M86" i="17"/>
  <c r="M87" i="17"/>
  <c r="M88" i="17"/>
  <c r="M89" i="17"/>
  <c r="M85" i="17"/>
  <c r="M81" i="17"/>
  <c r="M82" i="17"/>
  <c r="M83" i="17"/>
  <c r="M84" i="17"/>
  <c r="M80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6" i="17"/>
  <c r="AN6" i="17" l="1"/>
  <c r="AO6" i="17" s="1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AI63" i="17" s="1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AN84" i="17" s="1"/>
  <c r="L85" i="17"/>
  <c r="L86" i="17"/>
  <c r="AN86" i="17" s="1"/>
  <c r="L87" i="17"/>
  <c r="L88" i="17"/>
  <c r="AN88" i="17" s="1"/>
  <c r="L89" i="17"/>
  <c r="L90" i="17"/>
  <c r="L91" i="17"/>
  <c r="L92" i="17"/>
  <c r="L93" i="17"/>
  <c r="L94" i="17"/>
  <c r="L95" i="17"/>
  <c r="L96" i="17"/>
  <c r="AN96" i="17" s="1"/>
  <c r="L97" i="17"/>
  <c r="L98" i="17"/>
  <c r="AN98" i="17" s="1"/>
  <c r="L99" i="17"/>
  <c r="L100" i="17"/>
  <c r="AN100" i="17" s="1"/>
  <c r="L101" i="17"/>
  <c r="L102" i="17"/>
  <c r="AN102" i="17" s="1"/>
  <c r="L103" i="17"/>
  <c r="L104" i="17"/>
  <c r="AN104" i="17" s="1"/>
  <c r="L105" i="17"/>
  <c r="K99" i="17"/>
  <c r="K100" i="17"/>
  <c r="K101" i="17"/>
  <c r="K102" i="17"/>
  <c r="K103" i="17"/>
  <c r="K104" i="17"/>
  <c r="K105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106" i="17" s="1"/>
  <c r="M106" i="17"/>
  <c r="N106" i="17"/>
  <c r="O106" i="17"/>
  <c r="P106" i="17"/>
  <c r="Q106" i="17"/>
  <c r="R106" i="17"/>
  <c r="S106" i="17"/>
  <c r="T106" i="17"/>
  <c r="U106" i="17"/>
  <c r="AG106" i="17"/>
  <c r="Y106" i="17"/>
  <c r="AA106" i="17"/>
  <c r="AB106" i="17"/>
  <c r="AC106" i="17"/>
  <c r="AD106" i="17"/>
  <c r="AE106" i="17"/>
  <c r="AH106" i="17"/>
  <c r="J101" i="17"/>
  <c r="J102" i="17"/>
  <c r="J103" i="17"/>
  <c r="J104" i="17"/>
  <c r="J87" i="17"/>
  <c r="J88" i="17"/>
  <c r="J85" i="17"/>
  <c r="AI103" i="17" l="1"/>
  <c r="AJ103" i="17" s="1"/>
  <c r="AK103" i="17" s="1"/>
  <c r="AN103" i="17"/>
  <c r="AN99" i="17"/>
  <c r="AN87" i="17"/>
  <c r="AN85" i="17"/>
  <c r="AI105" i="17"/>
  <c r="AN105" i="17"/>
  <c r="AI101" i="17"/>
  <c r="AJ101" i="17" s="1"/>
  <c r="AK101" i="17" s="1"/>
  <c r="AN101" i="17"/>
  <c r="AN97" i="17"/>
  <c r="AI102" i="17"/>
  <c r="AJ102" i="17" s="1"/>
  <c r="L106" i="17"/>
  <c r="AQ106" i="17"/>
  <c r="AK102" i="17" l="1"/>
  <c r="J74" i="17"/>
  <c r="AN90" i="17" l="1"/>
  <c r="AN73" i="17"/>
  <c r="AN69" i="17"/>
  <c r="AN66" i="17"/>
  <c r="AN62" i="17"/>
  <c r="AN58" i="17"/>
  <c r="AN54" i="17"/>
  <c r="AN50" i="17"/>
  <c r="AN46" i="17"/>
  <c r="AN42" i="17"/>
  <c r="AN38" i="17"/>
  <c r="AN34" i="17"/>
  <c r="AN30" i="17"/>
  <c r="AN26" i="17"/>
  <c r="AN23" i="17"/>
  <c r="AN19" i="17"/>
  <c r="AN15" i="17"/>
  <c r="AN11" i="17"/>
  <c r="AN89" i="17"/>
  <c r="AN72" i="17"/>
  <c r="AN68" i="17"/>
  <c r="AN65" i="17"/>
  <c r="AN61" i="17"/>
  <c r="AN57" i="17"/>
  <c r="AN53" i="17"/>
  <c r="AN49" i="17"/>
  <c r="AN45" i="17"/>
  <c r="AN41" i="17"/>
  <c r="AN37" i="17"/>
  <c r="AN33" i="17"/>
  <c r="AN29" i="17"/>
  <c r="AN25" i="17"/>
  <c r="AN22" i="17"/>
  <c r="AN18" i="17"/>
  <c r="AN14" i="17"/>
  <c r="AN10" i="17"/>
  <c r="AN79" i="17"/>
  <c r="AN71" i="17"/>
  <c r="AN64" i="17"/>
  <c r="AN60" i="17"/>
  <c r="AN56" i="17"/>
  <c r="AN52" i="17"/>
  <c r="AN48" i="17"/>
  <c r="AN44" i="17"/>
  <c r="AN40" i="17"/>
  <c r="AN36" i="17"/>
  <c r="AN32" i="17"/>
  <c r="AN28" i="17"/>
  <c r="AN24" i="17"/>
  <c r="AN21" i="17"/>
  <c r="AN17" i="17"/>
  <c r="AN13" i="17"/>
  <c r="AN9" i="17"/>
  <c r="AN7" i="17"/>
  <c r="AN91" i="17"/>
  <c r="AN78" i="17"/>
  <c r="AN70" i="17"/>
  <c r="AN67" i="17"/>
  <c r="AN63" i="17"/>
  <c r="AN59" i="17"/>
  <c r="AN55" i="17"/>
  <c r="AN51" i="17"/>
  <c r="AN47" i="17"/>
  <c r="AN43" i="17"/>
  <c r="AN39" i="17"/>
  <c r="AN35" i="17"/>
  <c r="AN31" i="17"/>
  <c r="AN27" i="17"/>
  <c r="AN20" i="17"/>
  <c r="AN16" i="17"/>
  <c r="AN12" i="17"/>
  <c r="AN8" i="17"/>
  <c r="AN93" i="17"/>
  <c r="AN77" i="17"/>
  <c r="AI76" i="17"/>
  <c r="AN76" i="17"/>
  <c r="AN95" i="17"/>
  <c r="AI75" i="17"/>
  <c r="AN75" i="17"/>
  <c r="AN92" i="17"/>
  <c r="AN94" i="17"/>
  <c r="AN74" i="17"/>
  <c r="AO74" i="17" s="1"/>
  <c r="AI74" i="17"/>
  <c r="AJ74" i="17" s="1"/>
  <c r="AK74" i="17" s="1"/>
  <c r="J93" i="17"/>
  <c r="J94" i="17"/>
  <c r="J95" i="17"/>
  <c r="J96" i="17"/>
  <c r="J92" i="17"/>
  <c r="AP74" i="17" l="1"/>
  <c r="J99" i="17"/>
  <c r="J98" i="17"/>
  <c r="J97" i="17"/>
  <c r="J86" i="17"/>
  <c r="J84" i="17"/>
  <c r="J83" i="17"/>
  <c r="J82" i="17"/>
  <c r="J81" i="17"/>
  <c r="J80" i="17"/>
  <c r="J91" i="17"/>
  <c r="J90" i="17"/>
  <c r="J89" i="17"/>
  <c r="J79" i="17"/>
  <c r="J78" i="17"/>
  <c r="J77" i="17"/>
  <c r="J76" i="17"/>
  <c r="AJ76" i="17" s="1"/>
  <c r="J75" i="17"/>
  <c r="AJ75" i="17" s="1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105" i="17"/>
  <c r="AJ105" i="17" s="1"/>
  <c r="AK105" i="17" s="1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00" i="17"/>
  <c r="J11" i="17"/>
  <c r="J10" i="17"/>
  <c r="J9" i="17"/>
  <c r="J8" i="17"/>
  <c r="J7" i="17"/>
  <c r="J6" i="17"/>
  <c r="AI6" i="17" l="1"/>
  <c r="AP6" i="17" s="1"/>
  <c r="AO22" i="17"/>
  <c r="AO15" i="17"/>
  <c r="AO13" i="17"/>
  <c r="AO7" i="17"/>
  <c r="AO24" i="17"/>
  <c r="AO50" i="17"/>
  <c r="AO47" i="17"/>
  <c r="AO10" i="17"/>
  <c r="AO18" i="17"/>
  <c r="AO55" i="17"/>
  <c r="AN83" i="17"/>
  <c r="AO12" i="17"/>
  <c r="AO21" i="17"/>
  <c r="AO27" i="17"/>
  <c r="AO58" i="17"/>
  <c r="AO11" i="17"/>
  <c r="AO20" i="17"/>
  <c r="AO23" i="17"/>
  <c r="AO19" i="17"/>
  <c r="AO9" i="17"/>
  <c r="AO14" i="17"/>
  <c r="AO17" i="17"/>
  <c r="AO25" i="17"/>
  <c r="AO39" i="17"/>
  <c r="AO54" i="17"/>
  <c r="AO51" i="17"/>
  <c r="AO37" i="17"/>
  <c r="AO46" i="17"/>
  <c r="AN80" i="17"/>
  <c r="AO8" i="17"/>
  <c r="AI20" i="17"/>
  <c r="AO31" i="17"/>
  <c r="AO43" i="17"/>
  <c r="AI23" i="17"/>
  <c r="AO29" i="17"/>
  <c r="AO33" i="17"/>
  <c r="AO40" i="17"/>
  <c r="AO48" i="17"/>
  <c r="AO56" i="17"/>
  <c r="AO75" i="17"/>
  <c r="AI15" i="17"/>
  <c r="AO35" i="17"/>
  <c r="AO41" i="17"/>
  <c r="AO49" i="17"/>
  <c r="AO57" i="17"/>
  <c r="AO64" i="17"/>
  <c r="AO76" i="17"/>
  <c r="AO44" i="17"/>
  <c r="AO52" i="17"/>
  <c r="AO61" i="17"/>
  <c r="AO79" i="17"/>
  <c r="AI8" i="17"/>
  <c r="AI24" i="17"/>
  <c r="AO26" i="17"/>
  <c r="AO38" i="17"/>
  <c r="AO45" i="17"/>
  <c r="AO53" i="17"/>
  <c r="AI60" i="17"/>
  <c r="AI10" i="17"/>
  <c r="AI14" i="17"/>
  <c r="AI9" i="17"/>
  <c r="AI31" i="17"/>
  <c r="AJ31" i="17" s="1"/>
  <c r="AI11" i="17"/>
  <c r="AI13" i="17"/>
  <c r="AI18" i="17"/>
  <c r="AJ18" i="17" s="1"/>
  <c r="AI21" i="17"/>
  <c r="AI25" i="17"/>
  <c r="AI29" i="17"/>
  <c r="AI61" i="17"/>
  <c r="AJ61" i="17" s="1"/>
  <c r="AO63" i="17"/>
  <c r="AO66" i="17"/>
  <c r="AI67" i="17"/>
  <c r="AI70" i="17"/>
  <c r="AI79" i="17"/>
  <c r="AN81" i="17"/>
  <c r="AI37" i="17"/>
  <c r="AI64" i="17"/>
  <c r="AO67" i="17"/>
  <c r="AI12" i="17"/>
  <c r="AI7" i="17"/>
  <c r="AI17" i="17"/>
  <c r="AI22" i="17"/>
  <c r="AI27" i="17"/>
  <c r="AI35" i="17"/>
  <c r="AI19" i="17"/>
  <c r="AI26" i="17"/>
  <c r="AI33" i="17"/>
  <c r="AO65" i="17"/>
  <c r="AO68" i="17"/>
  <c r="AO72" i="17"/>
  <c r="AO30" i="17"/>
  <c r="AI62" i="17"/>
  <c r="AO32" i="17"/>
  <c r="AO34" i="17"/>
  <c r="AO36" i="17"/>
  <c r="AI30" i="17"/>
  <c r="AI54" i="17"/>
  <c r="AI56" i="17"/>
  <c r="AI58" i="17"/>
  <c r="AO60" i="17"/>
  <c r="AI65" i="17"/>
  <c r="AI68" i="17"/>
  <c r="AI72" i="17"/>
  <c r="AJ72" i="17" s="1"/>
  <c r="AI32" i="17"/>
  <c r="AI34" i="17"/>
  <c r="AI36" i="17"/>
  <c r="AI38" i="17"/>
  <c r="AI39" i="17"/>
  <c r="AI40" i="17"/>
  <c r="AI41" i="17"/>
  <c r="AI43" i="17"/>
  <c r="AI44" i="17"/>
  <c r="AI45" i="17"/>
  <c r="AI46" i="17"/>
  <c r="AI47" i="17"/>
  <c r="AI48" i="17"/>
  <c r="AI49" i="17"/>
  <c r="AI50" i="17"/>
  <c r="AI51" i="17"/>
  <c r="AI52" i="17"/>
  <c r="AI53" i="17"/>
  <c r="AI55" i="17"/>
  <c r="AI57" i="17"/>
  <c r="AI71" i="17"/>
  <c r="AN82" i="17"/>
  <c r="AI66" i="17"/>
  <c r="AI69" i="17"/>
  <c r="AN106" i="17" l="1"/>
  <c r="AP10" i="17"/>
  <c r="AP18" i="17"/>
  <c r="AK61" i="17"/>
  <c r="AK18" i="17"/>
  <c r="AK31" i="17"/>
  <c r="AJ10" i="17"/>
  <c r="AK10" i="17" s="1"/>
  <c r="AK72" i="17"/>
  <c r="AJ45" i="17"/>
  <c r="AK45" i="17" s="1"/>
  <c r="AJ36" i="17"/>
  <c r="AK36" i="17" s="1"/>
  <c r="AJ66" i="17"/>
  <c r="AK66" i="17" s="1"/>
  <c r="AJ52" i="17"/>
  <c r="AK52" i="17" s="1"/>
  <c r="AJ68" i="17"/>
  <c r="AK68" i="17" s="1"/>
  <c r="AJ58" i="17"/>
  <c r="AK58" i="17" s="1"/>
  <c r="AJ30" i="17"/>
  <c r="AK30" i="17" s="1"/>
  <c r="AJ17" i="17"/>
  <c r="AK17" i="17" s="1"/>
  <c r="AJ67" i="17"/>
  <c r="AK67" i="17" s="1"/>
  <c r="AJ51" i="17"/>
  <c r="AK51" i="17" s="1"/>
  <c r="AJ43" i="17"/>
  <c r="AK43" i="17" s="1"/>
  <c r="AJ39" i="17"/>
  <c r="AK39" i="17" s="1"/>
  <c r="AJ32" i="17"/>
  <c r="AK32" i="17" s="1"/>
  <c r="AJ65" i="17"/>
  <c r="AK65" i="17" s="1"/>
  <c r="AJ56" i="17"/>
  <c r="AK56" i="17" s="1"/>
  <c r="AJ64" i="17"/>
  <c r="AK64" i="17" s="1"/>
  <c r="AJ25" i="17"/>
  <c r="AK25" i="17" s="1"/>
  <c r="AJ11" i="17"/>
  <c r="AK11" i="17" s="1"/>
  <c r="AP9" i="17"/>
  <c r="AJ40" i="17"/>
  <c r="AK40" i="17" s="1"/>
  <c r="AJ69" i="17"/>
  <c r="AK69" i="17" s="1"/>
  <c r="AJ55" i="17"/>
  <c r="AK55" i="17" s="1"/>
  <c r="AJ63" i="17"/>
  <c r="AK63" i="17" s="1"/>
  <c r="AJ62" i="17"/>
  <c r="AK62" i="17" s="1"/>
  <c r="AJ33" i="17"/>
  <c r="AK33" i="17" s="1"/>
  <c r="AJ19" i="17"/>
  <c r="AK19" i="17" s="1"/>
  <c r="AJ27" i="17"/>
  <c r="AK27" i="17" s="1"/>
  <c r="AJ37" i="17"/>
  <c r="AK37" i="17" s="1"/>
  <c r="AJ79" i="17"/>
  <c r="AK79" i="17" s="1"/>
  <c r="AJ70" i="17"/>
  <c r="AK70" i="17" s="1"/>
  <c r="AJ21" i="17"/>
  <c r="AK21" i="17" s="1"/>
  <c r="AJ14" i="17"/>
  <c r="AK14" i="17" s="1"/>
  <c r="AJ8" i="17"/>
  <c r="AK8" i="17" s="1"/>
  <c r="AJ20" i="17"/>
  <c r="AK20" i="17" s="1"/>
  <c r="AJ22" i="17"/>
  <c r="AK22" i="17" s="1"/>
  <c r="AJ7" i="17"/>
  <c r="AK7" i="17" s="1"/>
  <c r="AJ60" i="17"/>
  <c r="AK60" i="17" s="1"/>
  <c r="AJ15" i="17"/>
  <c r="AK15" i="17" s="1"/>
  <c r="AJ23" i="17"/>
  <c r="AK23" i="17" s="1"/>
  <c r="AP14" i="17"/>
  <c r="AJ53" i="17"/>
  <c r="AK53" i="17" s="1"/>
  <c r="AK76" i="17"/>
  <c r="AJ13" i="17"/>
  <c r="AK13" i="17" s="1"/>
  <c r="AP61" i="17"/>
  <c r="AP67" i="17"/>
  <c r="AP22" i="17"/>
  <c r="AP21" i="17"/>
  <c r="AP26" i="17"/>
  <c r="AP12" i="17"/>
  <c r="AP8" i="17"/>
  <c r="AP24" i="17"/>
  <c r="AJ12" i="17"/>
  <c r="AK12" i="17" s="1"/>
  <c r="AP79" i="17"/>
  <c r="AP23" i="17"/>
  <c r="AP20" i="17"/>
  <c r="AP17" i="17"/>
  <c r="AP15" i="17"/>
  <c r="AP60" i="17"/>
  <c r="AP13" i="17"/>
  <c r="AP75" i="17"/>
  <c r="AP7" i="17"/>
  <c r="AP11" i="17"/>
  <c r="AJ24" i="17"/>
  <c r="AK24" i="17" s="1"/>
  <c r="AJ26" i="17"/>
  <c r="AK26" i="17" s="1"/>
  <c r="AJ9" i="17"/>
  <c r="AK9" i="17" s="1"/>
  <c r="AP27" i="17"/>
  <c r="AP35" i="17"/>
  <c r="AP29" i="17"/>
  <c r="AP64" i="17"/>
  <c r="AP19" i="17"/>
  <c r="AP25" i="17"/>
  <c r="AP37" i="17"/>
  <c r="AP33" i="17"/>
  <c r="AK75" i="17"/>
  <c r="AJ35" i="17"/>
  <c r="AK35" i="17" s="1"/>
  <c r="AP31" i="17"/>
  <c r="AJ29" i="17"/>
  <c r="AK29" i="17" s="1"/>
  <c r="AP50" i="17"/>
  <c r="AP41" i="17"/>
  <c r="AP38" i="17"/>
  <c r="AP76" i="17"/>
  <c r="AP66" i="17"/>
  <c r="AP53" i="17"/>
  <c r="AP49" i="17"/>
  <c r="AP45" i="17"/>
  <c r="AP40" i="17"/>
  <c r="AP36" i="17"/>
  <c r="AP65" i="17"/>
  <c r="AJ49" i="17"/>
  <c r="AK49" i="17" s="1"/>
  <c r="AP55" i="17"/>
  <c r="AP46" i="17"/>
  <c r="AP54" i="17"/>
  <c r="AJ38" i="17"/>
  <c r="AK38" i="17" s="1"/>
  <c r="AJ46" i="17"/>
  <c r="AK46" i="17" s="1"/>
  <c r="AJ6" i="17"/>
  <c r="AP52" i="17"/>
  <c r="AP48" i="17"/>
  <c r="AP44" i="17"/>
  <c r="AP34" i="17"/>
  <c r="AP68" i="17"/>
  <c r="AP58" i="17"/>
  <c r="AP30" i="17"/>
  <c r="AJ48" i="17"/>
  <c r="AK48" i="17" s="1"/>
  <c r="AJ54" i="17"/>
  <c r="AK54" i="17" s="1"/>
  <c r="AP57" i="17"/>
  <c r="AP51" i="17"/>
  <c r="AP47" i="17"/>
  <c r="AP43" i="17"/>
  <c r="AP39" i="17"/>
  <c r="AP32" i="17"/>
  <c r="AP72" i="17"/>
  <c r="AP63" i="17"/>
  <c r="AP56" i="17"/>
  <c r="AJ44" i="17"/>
  <c r="AK44" i="17" s="1"/>
  <c r="AJ57" i="17"/>
  <c r="AK57" i="17" s="1"/>
  <c r="AJ41" i="17"/>
  <c r="AK41" i="17" s="1"/>
  <c r="AJ71" i="17"/>
  <c r="AK71" i="17" s="1"/>
  <c r="AJ50" i="17"/>
  <c r="AK50" i="17" s="1"/>
  <c r="AJ47" i="17"/>
  <c r="AK47" i="17" s="1"/>
  <c r="AJ34" i="17"/>
  <c r="AK34" i="17" s="1"/>
  <c r="AK6" i="17" l="1"/>
  <c r="B46" i="4" l="1"/>
  <c r="A46" i="4"/>
  <c r="B45" i="4"/>
  <c r="A45" i="4"/>
  <c r="B44" i="4"/>
  <c r="A44" i="4"/>
  <c r="N43" i="4"/>
  <c r="M43" i="4"/>
  <c r="B43" i="4"/>
  <c r="A43" i="4"/>
  <c r="N42" i="4"/>
  <c r="M42" i="4"/>
  <c r="H42" i="4"/>
  <c r="G42" i="4"/>
  <c r="B42" i="4"/>
  <c r="A42" i="4"/>
  <c r="N41" i="4"/>
  <c r="M41" i="4"/>
  <c r="H41" i="4"/>
  <c r="G41" i="4"/>
  <c r="B41" i="4"/>
  <c r="A41" i="4"/>
  <c r="N40" i="4"/>
  <c r="M40" i="4"/>
  <c r="H40" i="4"/>
  <c r="G40" i="4"/>
  <c r="B40" i="4"/>
  <c r="A40" i="4"/>
  <c r="N39" i="4"/>
  <c r="M39" i="4"/>
  <c r="H39" i="4"/>
  <c r="G39" i="4"/>
  <c r="B39" i="4"/>
  <c r="A39" i="4"/>
  <c r="N38" i="4"/>
  <c r="M38" i="4"/>
  <c r="H38" i="4"/>
  <c r="G38" i="4"/>
  <c r="B38" i="4"/>
  <c r="A38" i="4"/>
  <c r="N37" i="4"/>
  <c r="M37" i="4"/>
  <c r="H37" i="4"/>
  <c r="G37" i="4"/>
  <c r="B37" i="4"/>
  <c r="A37" i="4"/>
  <c r="N36" i="4"/>
  <c r="M36" i="4"/>
  <c r="H36" i="4"/>
  <c r="G36" i="4"/>
  <c r="B36" i="4"/>
  <c r="A36" i="4"/>
  <c r="N35" i="4"/>
  <c r="M35" i="4"/>
  <c r="H35" i="4"/>
  <c r="G35" i="4"/>
  <c r="B35" i="4"/>
  <c r="A35" i="4"/>
  <c r="N34" i="4"/>
  <c r="M34" i="4"/>
  <c r="H34" i="4"/>
  <c r="G34" i="4"/>
  <c r="B34" i="4"/>
  <c r="A34" i="4"/>
  <c r="N33" i="4"/>
  <c r="M33" i="4"/>
  <c r="H33" i="4"/>
  <c r="G33" i="4"/>
  <c r="B33" i="4"/>
  <c r="A33" i="4"/>
  <c r="N32" i="4"/>
  <c r="M32" i="4"/>
  <c r="H32" i="4"/>
  <c r="G32" i="4"/>
  <c r="B32" i="4"/>
  <c r="A32" i="4"/>
  <c r="N31" i="4"/>
  <c r="M31" i="4"/>
  <c r="H31" i="4"/>
  <c r="G31" i="4"/>
  <c r="B31" i="4"/>
  <c r="A31" i="4"/>
  <c r="N30" i="4"/>
  <c r="M30" i="4"/>
  <c r="H30" i="4"/>
  <c r="G30" i="4"/>
  <c r="B30" i="4"/>
  <c r="A30" i="4"/>
  <c r="N29" i="4"/>
  <c r="M29" i="4"/>
  <c r="H29" i="4"/>
  <c r="G29" i="4"/>
  <c r="B29" i="4"/>
  <c r="A29" i="4"/>
  <c r="N28" i="4"/>
  <c r="M28" i="4"/>
  <c r="H28" i="4"/>
  <c r="G28" i="4"/>
  <c r="B28" i="4"/>
  <c r="A28" i="4"/>
  <c r="N27" i="4"/>
  <c r="M27" i="4"/>
  <c r="H27" i="4"/>
  <c r="G27" i="4"/>
  <c r="B27" i="4"/>
  <c r="A27" i="4"/>
  <c r="N26" i="4"/>
  <c r="M26" i="4"/>
  <c r="H26" i="4"/>
  <c r="G26" i="4"/>
  <c r="B26" i="4"/>
  <c r="A26" i="4"/>
  <c r="N25" i="4"/>
  <c r="M25" i="4"/>
  <c r="H25" i="4"/>
  <c r="G25" i="4"/>
  <c r="B25" i="4"/>
  <c r="A25" i="4"/>
  <c r="N24" i="4"/>
  <c r="M24" i="4"/>
  <c r="H24" i="4"/>
  <c r="G24" i="4"/>
  <c r="B24" i="4"/>
  <c r="A24" i="4"/>
  <c r="N23" i="4"/>
  <c r="M23" i="4"/>
  <c r="H23" i="4"/>
  <c r="G23" i="4"/>
  <c r="B23" i="4"/>
  <c r="A23" i="4"/>
  <c r="N22" i="4"/>
  <c r="M22" i="4"/>
  <c r="H22" i="4"/>
  <c r="G22" i="4"/>
  <c r="B22" i="4"/>
  <c r="A22" i="4"/>
  <c r="N21" i="4"/>
  <c r="M21" i="4"/>
  <c r="H21" i="4"/>
  <c r="G21" i="4"/>
  <c r="B21" i="4"/>
  <c r="A21" i="4"/>
  <c r="N20" i="4"/>
  <c r="M20" i="4"/>
  <c r="H20" i="4"/>
  <c r="G20" i="4"/>
  <c r="B20" i="4"/>
  <c r="A20" i="4"/>
  <c r="N19" i="4"/>
  <c r="M19" i="4"/>
  <c r="H19" i="4"/>
  <c r="G19" i="4"/>
  <c r="B19" i="4"/>
  <c r="A19" i="4"/>
  <c r="N18" i="4"/>
  <c r="M18" i="4"/>
  <c r="H18" i="4"/>
  <c r="G18" i="4"/>
  <c r="B18" i="4"/>
  <c r="A18" i="4"/>
  <c r="N17" i="4"/>
  <c r="M17" i="4"/>
  <c r="H17" i="4"/>
  <c r="G17" i="4"/>
  <c r="B17" i="4"/>
  <c r="A17" i="4"/>
  <c r="N16" i="4"/>
  <c r="M16" i="4"/>
  <c r="H16" i="4"/>
  <c r="G16" i="4"/>
  <c r="B16" i="4"/>
  <c r="A16" i="4"/>
  <c r="N15" i="4"/>
  <c r="M15" i="4"/>
  <c r="H15" i="4"/>
  <c r="G15" i="4"/>
  <c r="B15" i="4"/>
  <c r="A15" i="4"/>
  <c r="N14" i="4"/>
  <c r="M14" i="4"/>
  <c r="H14" i="4"/>
  <c r="G14" i="4"/>
  <c r="B14" i="4"/>
  <c r="A14" i="4"/>
  <c r="S13" i="4"/>
  <c r="N13" i="4"/>
  <c r="M13" i="4"/>
  <c r="H13" i="4"/>
  <c r="G13" i="4"/>
  <c r="B13" i="4"/>
  <c r="A13" i="4"/>
  <c r="S12" i="4"/>
  <c r="N12" i="4"/>
  <c r="M12" i="4"/>
  <c r="H12" i="4"/>
  <c r="G12" i="4"/>
  <c r="B12" i="4"/>
  <c r="A12" i="4"/>
  <c r="S11" i="4"/>
  <c r="N11" i="4"/>
  <c r="M11" i="4"/>
  <c r="H11" i="4"/>
  <c r="G11" i="4"/>
  <c r="B11" i="4"/>
  <c r="A11" i="4"/>
  <c r="S10" i="4"/>
  <c r="N10" i="4"/>
  <c r="M10" i="4"/>
  <c r="H10" i="4"/>
  <c r="G10" i="4"/>
  <c r="B10" i="4"/>
  <c r="A10" i="4"/>
  <c r="N9" i="4"/>
  <c r="M9" i="4"/>
  <c r="H9" i="4"/>
  <c r="G9" i="4"/>
  <c r="B9" i="4"/>
  <c r="A9" i="4"/>
  <c r="N8" i="4"/>
  <c r="M8" i="4"/>
  <c r="H8" i="4"/>
  <c r="G8" i="4"/>
  <c r="B8" i="4"/>
  <c r="A8" i="4"/>
  <c r="N7" i="4"/>
  <c r="M7" i="4"/>
  <c r="H7" i="4"/>
  <c r="G7" i="4"/>
  <c r="B7" i="4"/>
  <c r="A7" i="4"/>
  <c r="N6" i="4"/>
  <c r="M6" i="4"/>
  <c r="H6" i="4"/>
  <c r="G6" i="4"/>
  <c r="B6" i="4"/>
  <c r="A6" i="4"/>
  <c r="N5" i="4"/>
  <c r="M5" i="4"/>
  <c r="H5" i="4"/>
  <c r="G5" i="4"/>
  <c r="B5" i="4"/>
  <c r="A5" i="4"/>
  <c r="N4" i="4"/>
  <c r="M4" i="4"/>
  <c r="H4" i="4"/>
  <c r="G4" i="4"/>
  <c r="B4" i="4"/>
  <c r="A4" i="4"/>
  <c r="AF42" i="17" l="1"/>
  <c r="W42" i="17"/>
  <c r="V42" i="17"/>
  <c r="AF86" i="17" l="1"/>
  <c r="AF87" i="17"/>
  <c r="AF88" i="17"/>
  <c r="V97" i="17"/>
  <c r="AI97" i="17" s="1"/>
  <c r="V96" i="17"/>
  <c r="AF89" i="17"/>
  <c r="W86" i="17"/>
  <c r="W85" i="17"/>
  <c r="AJ97" i="17" l="1"/>
  <c r="AK97" i="17" s="1"/>
  <c r="AF85" i="17" l="1"/>
  <c r="V95" i="17" l="1"/>
  <c r="V99" i="17" l="1"/>
  <c r="AI99" i="17" s="1"/>
  <c r="AF95" i="17"/>
  <c r="AI95" i="17" s="1"/>
  <c r="AJ95" i="17" s="1"/>
  <c r="AK95" i="17" s="1"/>
  <c r="AF96" i="17"/>
  <c r="AI96" i="17" s="1"/>
  <c r="AJ99" i="17" l="1"/>
  <c r="AK99" i="17" s="1"/>
  <c r="AJ96" i="17"/>
  <c r="AK96" i="17" s="1"/>
  <c r="V93" i="17"/>
  <c r="V89" i="17"/>
  <c r="AI89" i="17" s="1"/>
  <c r="AJ89" i="17" s="1"/>
  <c r="AK89" i="17" s="1"/>
  <c r="V87" i="17"/>
  <c r="AI87" i="17" s="1"/>
  <c r="V88" i="17"/>
  <c r="AI88" i="17" s="1"/>
  <c r="V94" i="17"/>
  <c r="V92" i="17"/>
  <c r="AF93" i="17"/>
  <c r="AF94" i="17"/>
  <c r="AF92" i="17"/>
  <c r="AF91" i="17"/>
  <c r="V77" i="17"/>
  <c r="AI94" i="17" l="1"/>
  <c r="AJ94" i="17" s="1"/>
  <c r="AK94" i="17" s="1"/>
  <c r="AJ88" i="17"/>
  <c r="AK88" i="17" s="1"/>
  <c r="AJ87" i="17"/>
  <c r="AK87" i="17" s="1"/>
  <c r="V104" i="17"/>
  <c r="AI104" i="17" s="1"/>
  <c r="AI93" i="17"/>
  <c r="AJ93" i="17" s="1"/>
  <c r="AK93" i="17" s="1"/>
  <c r="AI92" i="17"/>
  <c r="AJ92" i="17" s="1"/>
  <c r="AK92" i="17" s="1"/>
  <c r="AF78" i="17"/>
  <c r="AF77" i="17"/>
  <c r="AM77" i="17"/>
  <c r="AO77" i="17" s="1"/>
  <c r="AJ104" i="17" l="1"/>
  <c r="AK104" i="17" s="1"/>
  <c r="AM78" i="17"/>
  <c r="AO78" i="17" s="1"/>
  <c r="V78" i="17"/>
  <c r="AI77" i="17"/>
  <c r="AI78" i="17" l="1"/>
  <c r="AJ77" i="17"/>
  <c r="AK77" i="17" s="1"/>
  <c r="AP77" i="17"/>
  <c r="AJ78" i="17" l="1"/>
  <c r="AK78" i="17" s="1"/>
  <c r="AP78" i="17"/>
  <c r="V91" i="17" l="1"/>
  <c r="AI91" i="17" s="1"/>
  <c r="AJ91" i="17" s="1"/>
  <c r="AK91" i="17" s="1"/>
  <c r="V86" i="17" l="1"/>
  <c r="AI86" i="17" s="1"/>
  <c r="V98" i="17"/>
  <c r="AI98" i="17" s="1"/>
  <c r="AF90" i="17"/>
  <c r="AJ98" i="17" l="1"/>
  <c r="AK98" i="17" s="1"/>
  <c r="AJ86" i="17"/>
  <c r="AK86" i="17" s="1"/>
  <c r="V90" i="17" l="1"/>
  <c r="AI90" i="17" s="1"/>
  <c r="AJ90" i="17" s="1"/>
  <c r="AK90" i="17" s="1"/>
  <c r="AM90" i="17" l="1"/>
  <c r="AO90" i="17" s="1"/>
  <c r="AP90" i="17" s="1"/>
  <c r="X80" i="17"/>
  <c r="AI80" i="17" s="1"/>
  <c r="X83" i="17"/>
  <c r="AI83" i="17" s="1"/>
  <c r="X82" i="17"/>
  <c r="AI82" i="17" s="1"/>
  <c r="X81" i="17"/>
  <c r="AI81" i="17" s="1"/>
  <c r="X28" i="17" l="1"/>
  <c r="AI28" i="17" s="1"/>
  <c r="AJ83" i="17"/>
  <c r="AK83" i="17" s="1"/>
  <c r="AJ82" i="17"/>
  <c r="AK82" i="17" s="1"/>
  <c r="AJ81" i="17"/>
  <c r="AK81" i="17" s="1"/>
  <c r="AJ80" i="17"/>
  <c r="AK80" i="17" s="1"/>
  <c r="AF84" i="17"/>
  <c r="W84" i="17"/>
  <c r="W106" i="17" s="1"/>
  <c r="V84" i="17"/>
  <c r="AF59" i="17"/>
  <c r="AF16" i="17"/>
  <c r="X42" i="17"/>
  <c r="AJ28" i="17" l="1"/>
  <c r="AK28" i="17" s="1"/>
  <c r="V85" i="17"/>
  <c r="AI85" i="17" s="1"/>
  <c r="V100" i="17"/>
  <c r="AI100" i="17" s="1"/>
  <c r="V16" i="17"/>
  <c r="AI16" i="17" s="1"/>
  <c r="V59" i="17"/>
  <c r="AI42" i="17"/>
  <c r="W108" i="17"/>
  <c r="AM42" i="17"/>
  <c r="AM28" i="17" l="1"/>
  <c r="AO28" i="17" s="1"/>
  <c r="AP28" i="17" s="1"/>
  <c r="AJ85" i="17"/>
  <c r="AK85" i="17" s="1"/>
  <c r="AJ100" i="17"/>
  <c r="AK100" i="17" s="1"/>
  <c r="AM16" i="17"/>
  <c r="AO16" i="17" s="1"/>
  <c r="AP16" i="17" s="1"/>
  <c r="AJ16" i="17"/>
  <c r="AK16" i="17" s="1"/>
  <c r="AM59" i="17"/>
  <c r="AO59" i="17" s="1"/>
  <c r="AI59" i="17"/>
  <c r="V106" i="17"/>
  <c r="AO42" i="17"/>
  <c r="AP42" i="17" s="1"/>
  <c r="AJ42" i="17"/>
  <c r="V108" i="17" l="1"/>
  <c r="AP59" i="17"/>
  <c r="AJ59" i="17"/>
  <c r="AK59" i="17" s="1"/>
  <c r="AK42" i="17"/>
  <c r="T108" i="17" l="1"/>
  <c r="AM97" i="17" l="1"/>
  <c r="AO97" i="17" s="1"/>
  <c r="AP97" i="17" s="1"/>
  <c r="AM96" i="17"/>
  <c r="AO96" i="17" s="1"/>
  <c r="AP96" i="17" s="1"/>
  <c r="AM105" i="17" l="1"/>
  <c r="AO105" i="17" s="1"/>
  <c r="AP105" i="17" s="1"/>
  <c r="AM95" i="17"/>
  <c r="AO95" i="17" s="1"/>
  <c r="AP95" i="17" s="1"/>
  <c r="AM102" i="17" l="1"/>
  <c r="AO102" i="17" s="1"/>
  <c r="AP102" i="17" s="1"/>
  <c r="AM101" i="17"/>
  <c r="AO101" i="17" s="1"/>
  <c r="AP101" i="17" s="1"/>
  <c r="AM99" i="17"/>
  <c r="AO99" i="17" s="1"/>
  <c r="AP99" i="17" s="1"/>
  <c r="AM93" i="17"/>
  <c r="AO93" i="17" s="1"/>
  <c r="AP93" i="17" s="1"/>
  <c r="AM104" i="17" l="1"/>
  <c r="AP104" i="17" s="1"/>
  <c r="AM89" i="17"/>
  <c r="AO89" i="17" s="1"/>
  <c r="AP89" i="17" s="1"/>
  <c r="AM94" i="17"/>
  <c r="AO94" i="17" s="1"/>
  <c r="AP94" i="17" s="1"/>
  <c r="AM87" i="17"/>
  <c r="AO87" i="17" s="1"/>
  <c r="AP87" i="17" s="1"/>
  <c r="AM92" i="17"/>
  <c r="AO92" i="17" s="1"/>
  <c r="AP92" i="17" s="1"/>
  <c r="AM103" i="17"/>
  <c r="AO103" i="17" s="1"/>
  <c r="AP103" i="17" s="1"/>
  <c r="AM88" i="17"/>
  <c r="AO88" i="17" s="1"/>
  <c r="AP88" i="17" s="1"/>
  <c r="AM91" i="17" l="1"/>
  <c r="AO91" i="17" s="1"/>
  <c r="AP91" i="17" s="1"/>
  <c r="AM98" i="17" l="1"/>
  <c r="AO98" i="17" s="1"/>
  <c r="AP98" i="17" s="1"/>
  <c r="AM86" i="17"/>
  <c r="AO86" i="17" s="1"/>
  <c r="AP86" i="17" s="1"/>
  <c r="X84" i="17" l="1"/>
  <c r="AI84" i="17" l="1"/>
  <c r="X73" i="17"/>
  <c r="AI73" i="17" s="1"/>
  <c r="AM71" i="17"/>
  <c r="AO71" i="17" s="1"/>
  <c r="AP71" i="17" s="1"/>
  <c r="AJ73" i="17" l="1"/>
  <c r="AK73" i="17" s="1"/>
  <c r="X106" i="17"/>
  <c r="AJ84" i="17"/>
  <c r="AM73" i="17"/>
  <c r="AO73" i="17" s="1"/>
  <c r="AP73" i="17" s="1"/>
  <c r="AM85" i="17"/>
  <c r="AO85" i="17" s="1"/>
  <c r="AP85" i="17" s="1"/>
  <c r="AM100" i="17"/>
  <c r="AO100" i="17" s="1"/>
  <c r="AP100" i="17" s="1"/>
  <c r="X108" i="17"/>
  <c r="AM80" i="17"/>
  <c r="AO80" i="17" s="1"/>
  <c r="AP80" i="17" s="1"/>
  <c r="AM81" i="17"/>
  <c r="AO81" i="17" s="1"/>
  <c r="AP81" i="17" s="1"/>
  <c r="AM84" i="17"/>
  <c r="AM62" i="17"/>
  <c r="AO62" i="17" s="1"/>
  <c r="AP62" i="17" s="1"/>
  <c r="AM69" i="17"/>
  <c r="AO69" i="17" s="1"/>
  <c r="AP69" i="17" s="1"/>
  <c r="AM70" i="17" l="1"/>
  <c r="AO70" i="17" s="1"/>
  <c r="AP70" i="17" s="1"/>
  <c r="AK84" i="17"/>
  <c r="AJ106" i="17"/>
  <c r="AO84" i="17"/>
  <c r="AM106" i="17"/>
  <c r="AM83" i="17"/>
  <c r="AO83" i="17" s="1"/>
  <c r="AP83" i="17" s="1"/>
  <c r="AM82" i="17"/>
  <c r="AO82" i="17" s="1"/>
  <c r="AP82" i="17" s="1"/>
  <c r="AP84" i="17" l="1"/>
  <c r="AP106" i="17" s="1"/>
  <c r="AM108" i="17" l="1"/>
  <c r="AM109" i="17" s="1"/>
  <c r="AK108" i="17" l="1"/>
  <c r="J56" i="4"/>
  <c r="J57" i="4"/>
  <c r="J61" i="4"/>
</calcChain>
</file>

<file path=xl/comments1.xml><?xml version="1.0" encoding="utf-8"?>
<comments xmlns="http://schemas.openxmlformats.org/spreadsheetml/2006/main">
  <authors>
    <author>Author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W5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<sst xmlns="http://schemas.openxmlformats.org/spreadsheetml/2006/main" count="938" uniqueCount="459">
  <si>
    <t>PTKP (TK/0, TK/1, K/0)</t>
  </si>
  <si>
    <t>PTKP (TK/2, TK/3, K/1, K/2)</t>
  </si>
  <si>
    <t>PTKP (K/3)</t>
  </si>
  <si>
    <t>HARIAN</t>
  </si>
  <si>
    <t>No</t>
  </si>
  <si>
    <t>Lapisan Penghasilan bruto (Rp.)</t>
  </si>
  <si>
    <t>TER A</t>
  </si>
  <si>
    <t>TER B</t>
  </si>
  <si>
    <t>TER C</t>
  </si>
  <si>
    <t>Penghasilan Bruto</t>
  </si>
  <si>
    <t>Tarif</t>
  </si>
  <si>
    <t>s.d</t>
  </si>
  <si>
    <t>TARIF PASAL 17 WPOP</t>
  </si>
  <si>
    <t>Lapisan PKP</t>
  </si>
  <si>
    <t>~~</t>
  </si>
  <si>
    <t>PTKP</t>
  </si>
  <si>
    <t>Status</t>
  </si>
  <si>
    <t>Jumlah</t>
  </si>
  <si>
    <t>TK/0</t>
  </si>
  <si>
    <t>TK/1</t>
  </si>
  <si>
    <t>TK/2</t>
  </si>
  <si>
    <t>TK/3</t>
  </si>
  <si>
    <t>K/0</t>
  </si>
  <si>
    <t>K/1</t>
  </si>
  <si>
    <t>K/2</t>
  </si>
  <si>
    <t>K/3</t>
  </si>
  <si>
    <t>PT. REBINMAS JAYA</t>
  </si>
  <si>
    <t>yang berwarna ini rumus</t>
  </si>
  <si>
    <t>T.Beras</t>
  </si>
  <si>
    <t>T.Jabatan</t>
  </si>
  <si>
    <t>Lembur</t>
  </si>
  <si>
    <t>NO.</t>
  </si>
  <si>
    <t>NAMA KARYAWAN</t>
  </si>
  <si>
    <t>N I K / 
PASPOR</t>
  </si>
  <si>
    <t>N P W P</t>
  </si>
  <si>
    <t>A L A M A T</t>
  </si>
  <si>
    <t>JABATAN</t>
  </si>
  <si>
    <t>L/P</t>
  </si>
  <si>
    <t>TER</t>
  </si>
  <si>
    <t>Gaji Pokok</t>
  </si>
  <si>
    <t>Astek Ins (0,84%)</t>
  </si>
  <si>
    <t>BPJS KESEHATAN (4%)</t>
  </si>
  <si>
    <t>Premi Transport Angkut Tbs</t>
  </si>
  <si>
    <t>Premi Transport Angkut Material</t>
  </si>
  <si>
    <t>Premi Transport Angkut Bibit</t>
  </si>
  <si>
    <t>Premi Transport Angkut TBK/PC</t>
  </si>
  <si>
    <t>Premi Tbs</t>
  </si>
  <si>
    <t>Premi Brondol</t>
  </si>
  <si>
    <t>Rice  Allow</t>
  </si>
  <si>
    <t>Structural  Allow</t>
  </si>
  <si>
    <t>Service Time Allow</t>
  </si>
  <si>
    <t>Incentive Panen</t>
  </si>
  <si>
    <t>Masa Kerja</t>
  </si>
  <si>
    <t>Kontanan</t>
  </si>
  <si>
    <t>Koreksi</t>
  </si>
  <si>
    <t>Potongan Kelebihan Perhitungan Lembur</t>
  </si>
  <si>
    <t>Lembur Bayar HK Penjagaan HGU</t>
  </si>
  <si>
    <t>Bensin Patroli</t>
  </si>
  <si>
    <t>POT. ALPA &amp; POT. CTH ( CUTI TANPA HK )</t>
  </si>
  <si>
    <t>THR</t>
  </si>
  <si>
    <t>Bonus</t>
  </si>
  <si>
    <t>Penghasilan
Bruto</t>
  </si>
  <si>
    <t>Tarif
TER</t>
  </si>
  <si>
    <t>DARMAN</t>
  </si>
  <si>
    <t>1906040811810004</t>
  </si>
  <si>
    <t>97.228.509.2-305.000</t>
  </si>
  <si>
    <t>DSN PESARAKAN RT. 008 RW. 003 DESA CENDIL KEC. KELAPA KAMPIT</t>
  </si>
  <si>
    <t>KARYAWAN PERAWATAN</t>
  </si>
  <si>
    <t>L</t>
  </si>
  <si>
    <t>FIRDAUS</t>
  </si>
  <si>
    <t>1906040907720005</t>
  </si>
  <si>
    <t>97.237.830.1-305.000</t>
  </si>
  <si>
    <t>KI AGUS DARWIN</t>
  </si>
  <si>
    <t>1902012210760001</t>
  </si>
  <si>
    <t>-</t>
  </si>
  <si>
    <t>SUNGAI PADANG RT. 001 RW. 001 DESA SUNGAI PADANG KEC. SIJUK</t>
  </si>
  <si>
    <t>YOSPARTA</t>
  </si>
  <si>
    <t>1906042803900003</t>
  </si>
  <si>
    <t>97.228.316.2-305.000</t>
  </si>
  <si>
    <t>DSN LALANG RT. 004 RW. 002 DESA MENTAWAK KEC. KELAPA KAMPIT</t>
  </si>
  <si>
    <t>YANCE PURNAMA</t>
  </si>
  <si>
    <t>1906041303820004</t>
  </si>
  <si>
    <t>89.141.814.7.305.000</t>
  </si>
  <si>
    <t>DSN BUDING RT. 002 RW. 001 DESA BUDING KEC. KELAPA KAMPIT</t>
  </si>
  <si>
    <t>ALI SUDIANTO</t>
  </si>
  <si>
    <t>1902040806790001</t>
  </si>
  <si>
    <t>JL BUDING RT. 001 RW. 001 DESA PELEPAK PUTE KEC. SIJUK</t>
  </si>
  <si>
    <t>AGUSTINA</t>
  </si>
  <si>
    <t>1906045508710004</t>
  </si>
  <si>
    <t>97.228.353.5-305.000</t>
  </si>
  <si>
    <t>DSN CENDIL RT. 004 RW. 002 DESA CENDIL KEC. KELAPA KAMPIT</t>
  </si>
  <si>
    <t>P</t>
  </si>
  <si>
    <t>SUSI HARYANTI</t>
  </si>
  <si>
    <t>1906046706740002</t>
  </si>
  <si>
    <t>97.228.372.5-305.000</t>
  </si>
  <si>
    <t>DSN LIMAU MANIS RT. 015 RW. 006 DESA BUDING KEC. KELAPA KAMPIT</t>
  </si>
  <si>
    <t>ROSMALA</t>
  </si>
  <si>
    <t>1906047007910004</t>
  </si>
  <si>
    <t>55.159.666.1-305.000</t>
  </si>
  <si>
    <t>DSN NIBUNG PUNGGUR RT. 001 RW. 001 DESA MENTAWAK KEC. KELAPA KAMPIT</t>
  </si>
  <si>
    <t>LIYANA</t>
  </si>
  <si>
    <t>1906044811760001</t>
  </si>
  <si>
    <t>55.166.538.3-305.000</t>
  </si>
  <si>
    <t>DSN SELINDANG RT. 007 RW. 002 DESA SENYUBUK KEC. KELAPA KAMPIT</t>
  </si>
  <si>
    <t>AYU LESTARI</t>
  </si>
  <si>
    <t>1906046606920001</t>
  </si>
  <si>
    <t>97.228.398.0-305.000</t>
  </si>
  <si>
    <t>DSN CENDIL RT. 002 RW. 001 DESA CENDIL KEC. KELAPA KAMPIT</t>
  </si>
  <si>
    <t>ROSANTI</t>
  </si>
  <si>
    <t>1906046709870003</t>
  </si>
  <si>
    <t>DSN SENYUBUK RT. 006 RW. 002 DESA MENTAWAK KEC. KELAPA KAMPIT</t>
  </si>
  <si>
    <t>EMMY</t>
  </si>
  <si>
    <t>1902014908800002</t>
  </si>
  <si>
    <t>DSN BUDING RT. 003 RW.001 DESA BUDING KEC. KELAPA KAMPIT</t>
  </si>
  <si>
    <t>EMIL</t>
  </si>
  <si>
    <t>1902056207720002</t>
  </si>
  <si>
    <t>97.228.352.7-305.000</t>
  </si>
  <si>
    <t>DSN PARIT GUNUNG RT 005 RW. 003 DESA AIR BATU BUDING KEC. BADAU</t>
  </si>
  <si>
    <t>RENDI ARYANTO</t>
  </si>
  <si>
    <t>1906040601960002</t>
  </si>
  <si>
    <t>94.899.928.9-305.000</t>
  </si>
  <si>
    <t>DSN BUKIT DURIAN RT. 001 RW. 001 DESA MENTAWAK KEC. KELAPA KAMPIT</t>
  </si>
  <si>
    <t>SULASMAN</t>
  </si>
  <si>
    <t>1902050110830001</t>
  </si>
  <si>
    <t>97.228.549.8-305.000</t>
  </si>
  <si>
    <t>JL MANGGAR RT. 005 RW. 003 DESA AIR BATU BUDING KEC. SIJUK</t>
  </si>
  <si>
    <t>YAYAN</t>
  </si>
  <si>
    <t>1902050107940033</t>
  </si>
  <si>
    <t>54.920.461.8-305.000</t>
  </si>
  <si>
    <t>JL. MANGGAR KEPAYANG RT. 005 RW. 002 DESA KACANG BUTOR KEC. BADAU</t>
  </si>
  <si>
    <t>SUMIATI</t>
  </si>
  <si>
    <t>1902056002720003</t>
  </si>
  <si>
    <t>97.237.519.0.305.000</t>
  </si>
  <si>
    <t>IDO SASTRA</t>
  </si>
  <si>
    <t>1902052710940001</t>
  </si>
  <si>
    <t>43.926.221.3.305.000</t>
  </si>
  <si>
    <t>JL DM GERSIK RT/RW 008/003 DESA BADAU, KEC. BADAU . BELITUNG</t>
  </si>
  <si>
    <t>RISNAWATI</t>
  </si>
  <si>
    <t>972374912305000</t>
  </si>
  <si>
    <t>AIR BEGANTUNG RT 010/003 DESA KACANG BUTOR KEC. BADAU</t>
  </si>
  <si>
    <t>LILIS</t>
  </si>
  <si>
    <t>1902017103750004</t>
  </si>
  <si>
    <t>972374748305000</t>
  </si>
  <si>
    <t>KELEKAK USANG RT 056/018 DESA PERAWAS KEC. TANJUNG PANDAN</t>
  </si>
  <si>
    <t>APRIANSYAH</t>
  </si>
  <si>
    <t>1906041304850001</t>
  </si>
  <si>
    <t>75.518.873.7-305.000</t>
  </si>
  <si>
    <t>DSN. JAWA RT 003/001 DESA SENYUBUK KEC. KELAPA KAMPIT</t>
  </si>
  <si>
    <t>WIDI JULIANSYAH</t>
  </si>
  <si>
    <t>1906041407040001</t>
  </si>
  <si>
    <t>ALNIARDI GUNARTO</t>
  </si>
  <si>
    <t>1906042205030004</t>
  </si>
  <si>
    <t>DSN. LIMAU MANIS RT.015/RW.008 DS. BUDING KEC. KELAPA KAMPIT KAB. BELITUNG TIMUR</t>
  </si>
  <si>
    <t>ILYANA</t>
  </si>
  <si>
    <t>97.228.381.6-305.000</t>
  </si>
  <si>
    <t>DSN BUDING,RT.005 RW.002 DESA BUDING KEC KELAPA KAMPIT</t>
  </si>
  <si>
    <t>MERY JULIARTI</t>
  </si>
  <si>
    <t>1906045807830002</t>
  </si>
  <si>
    <t>93.470.838.9-305.000</t>
  </si>
  <si>
    <t>DSN LALANG RT. 002 RW. 001 DESA MENTAWAK KEC. KELAPA KAMPIT</t>
  </si>
  <si>
    <t>RIZKI FUTRAWAN</t>
  </si>
  <si>
    <t>1902050406950002</t>
  </si>
  <si>
    <t>65.151.921.7-305.000</t>
  </si>
  <si>
    <t>JL MANGGAR RT. 002 RW. 001 DESA AIR BATU BUDING KEC. BADAU</t>
  </si>
  <si>
    <t>USWATUL HASANAH</t>
  </si>
  <si>
    <t>1902055610940001</t>
  </si>
  <si>
    <t>55.166.755.3-305.000</t>
  </si>
  <si>
    <t xml:space="preserve">JL KELAPA KAMPIT RT. 012 RW. 004 DESA KACANG BUTOR KEC. BADAU </t>
  </si>
  <si>
    <t>JL MANGGAR RT. 009 RW. 003 DESA KACANG BUTOR KEC. BADAU</t>
  </si>
  <si>
    <t>YETI PRIMA</t>
  </si>
  <si>
    <t>1902014107830151</t>
  </si>
  <si>
    <t>97.237.437.5.305.000</t>
  </si>
  <si>
    <t>JL JEND SUDIRMAN RT/RW 006/002 DESA PERAWAS KEC.TANJUNGPANDAN</t>
  </si>
  <si>
    <t>MUNIDA LAIA</t>
  </si>
  <si>
    <t>1214015205870002</t>
  </si>
  <si>
    <t>76.323.201.4.126.000</t>
  </si>
  <si>
    <t>DESA DAO-DAO SATUA KEC. HILIMEGAI KAB. NIAS SELATAN</t>
  </si>
  <si>
    <t>SUHARNI</t>
  </si>
  <si>
    <t>97.237.462.3-305.000</t>
  </si>
  <si>
    <t>PARIT GUNUNG RT 05. RW 03 DS. AIR BATU BUDING KEC. BADAU KAB. BELITUNG</t>
  </si>
  <si>
    <t>MISJONO</t>
  </si>
  <si>
    <t>57.910.331.8-305.000</t>
  </si>
  <si>
    <t>DSN PARIT GUNUNG RT. 005 RW. 003 DESA AIR BATU BUDING KEC. BADAU</t>
  </si>
  <si>
    <t>FEROSA DALINA</t>
  </si>
  <si>
    <t>1902014705720002</t>
  </si>
  <si>
    <t>JL GUNUNG LALANG RT 002 RW 001 DESA PERAWAS KEC TANJUNGPANDAN</t>
  </si>
  <si>
    <t>SAMITIA LAIA</t>
  </si>
  <si>
    <t>848382081305000</t>
  </si>
  <si>
    <t>HILIWINO RT 001 RW 001</t>
  </si>
  <si>
    <t>SAIFUL ANWAR</t>
  </si>
  <si>
    <t>1902010811820005</t>
  </si>
  <si>
    <t>66.914.409.9-305.000</t>
  </si>
  <si>
    <t>DSN CENDIL RT. 006 RW. 002 DESA CENDIL KEC. KELAPA KAMPIT</t>
  </si>
  <si>
    <t>TEDI RIYADY</t>
  </si>
  <si>
    <t>1906040503020007</t>
  </si>
  <si>
    <t>DSN. CENDIL RT.005/RW.002 DESA CENDIL KEC. KELAPA KAMPIT KAB. BELITUNG TIMUR</t>
  </si>
  <si>
    <t>FEBRIS</t>
  </si>
  <si>
    <t>1902042702970001</t>
  </si>
  <si>
    <t>SUNGAI PADANG RT.006/RW.003 DS. SUNGAI PADANG KEC. SIJUK KAB. BELITUNG</t>
  </si>
  <si>
    <t>MARDIAN</t>
  </si>
  <si>
    <t>1902011309880001</t>
  </si>
  <si>
    <t>97.237.690.9-305.000</t>
  </si>
  <si>
    <t>JL JEND SUDIRMAN RT. 012 RW. 004 DESA BULUH TUMBANG KEC. TANJUNGPANDAN</t>
  </si>
  <si>
    <t>OPERATOR</t>
  </si>
  <si>
    <t>ADYTIA PRAWIRA</t>
  </si>
  <si>
    <t>1902041508940001</t>
  </si>
  <si>
    <t>DSN ULU RT. 005 RW. 003 DESA SIJUK KEC. SIJUK</t>
  </si>
  <si>
    <t>HELPER</t>
  </si>
  <si>
    <t>Catatan :</t>
  </si>
  <si>
    <t>1. yang berwarna adalah rumus</t>
  </si>
  <si>
    <t>2. dalam hal terdapat tunjangan PPh, maka ceklis "enable iterative calculation" pada menu (option =&gt; formula =&gt; pada bagian kanan atas)</t>
  </si>
  <si>
    <t>3. kolom pengurang JHT/JP tetap wajib diisi, sebagai pengurang pada masa pajak desember</t>
  </si>
  <si>
    <t>4. komponen penghasilan bruto dapat disesuaikan/ditambahkan kolom, sesuai dengan kebutuhan masing2 perusahaan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</si>
  <si>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</si>
  <si>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</si>
  <si>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</si>
  <si>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</si>
  <si>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</si>
  <si>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10. untuk jan s.d nop dapat diduplicate sheetnya</t>
  </si>
  <si>
    <t>Dibuat Oleh,</t>
  </si>
  <si>
    <t>Diketahui Oleh,</t>
  </si>
  <si>
    <t>Kerani Divisi</t>
  </si>
  <si>
    <t>SELISIH</t>
  </si>
  <si>
    <t>UPAH KOTOR</t>
  </si>
  <si>
    <t>1902055511860001</t>
  </si>
  <si>
    <t>1902052301820001</t>
  </si>
  <si>
    <t>Disahkan Oleh,</t>
  </si>
  <si>
    <t>Chandra Dinata Pribadi</t>
  </si>
  <si>
    <t>Senior Manager</t>
  </si>
  <si>
    <t>SAHARUL</t>
  </si>
  <si>
    <t>1902050101750002</t>
  </si>
  <si>
    <t>97.228.368.3-305.000</t>
  </si>
  <si>
    <t>DSN PARIT GUNUNG RT. 006 RW. 003 DESA AIR BATU BUDING KEC. BADAU</t>
  </si>
  <si>
    <t>YARDIANTO</t>
  </si>
  <si>
    <t>1902050302840001</t>
  </si>
  <si>
    <t>97.237.835.0-305.000</t>
  </si>
  <si>
    <t>JL DESA RT. 004 RW. 002 DESA AIR BATU BUDING KEC. BADAU</t>
  </si>
  <si>
    <t>Zuwirda</t>
  </si>
  <si>
    <t>ZUWIRDA</t>
  </si>
  <si>
    <t>97.228.321.2-305.000</t>
  </si>
  <si>
    <t>JL MANGGAR RT. 006 RW. 003 DESA AIR BATU BUDING KEC. BADAU</t>
  </si>
  <si>
    <t>KRANI DIVISI</t>
  </si>
  <si>
    <t>WILDAN</t>
  </si>
  <si>
    <t>5203061210770002</t>
  </si>
  <si>
    <t>DASAN BUWUH RT. 020 RW. 010 DESA PADAMARA KEC. SUKAMULIA</t>
  </si>
  <si>
    <t>WIDYANA</t>
  </si>
  <si>
    <t>1902014906830006</t>
  </si>
  <si>
    <t>54.534.465.7-305.000</t>
  </si>
  <si>
    <t>JL MANGGAR RT. 019 RW. 005 DS BULUH TUMBANG KEC TANJUNGPANDAN</t>
  </si>
  <si>
    <t>MARLINA</t>
  </si>
  <si>
    <t>1906046810800002</t>
  </si>
  <si>
    <t>97.237.577.8-305.000</t>
  </si>
  <si>
    <t>DSN PADANG RT. 004 RW. 002 DESA MENTAWAK KEC. KELAPA KAMPIT</t>
  </si>
  <si>
    <t>YUSRI</t>
  </si>
  <si>
    <t>1906041709780002</t>
  </si>
  <si>
    <t>97.228.644.7-305.000</t>
  </si>
  <si>
    <t>DSN CENDIL RT. 001 RW. 001 DESA CENDIL KEC. KELAPA KAMPIT</t>
  </si>
  <si>
    <t>PRAHMAWATI</t>
  </si>
  <si>
    <t>1906045608790003</t>
  </si>
  <si>
    <t>97.228.622.3-305.000</t>
  </si>
  <si>
    <t>JL KOPERASI RT. 006 RW. 002  DS PEMBAHARUAN KEC. KELAPA KAMPIT</t>
  </si>
  <si>
    <t>RITA</t>
  </si>
  <si>
    <t>1906044706740004</t>
  </si>
  <si>
    <t>97.228.619.9-305.000</t>
  </si>
  <si>
    <t>DSN CENDIL RT. 002 RW. 001 DS CENDIL KEC KELAPA KAMPIT</t>
  </si>
  <si>
    <t>NUNI</t>
  </si>
  <si>
    <t>1902055109760001</t>
  </si>
  <si>
    <t>97.228.344.4-305.000</t>
  </si>
  <si>
    <t>JL MANGGAR RT. 008 RW. 008 DESA KACANG BUTOR KEC. BADAU</t>
  </si>
  <si>
    <t>SUPARTIYEM</t>
  </si>
  <si>
    <t>3314155005800007</t>
  </si>
  <si>
    <t>75.832.373.7-305.000</t>
  </si>
  <si>
    <t>DSN BUKIT INDAH RT. 011 RW. 004 DESA KACANG BUTOR KEC. BADAU</t>
  </si>
  <si>
    <t>SULISTINA</t>
  </si>
  <si>
    <t>1906044409810001</t>
  </si>
  <si>
    <t>71.814.518.8-305.000</t>
  </si>
  <si>
    <t>DSN AIR BATU BUDING RT. 001 RW. 001 DESA AIR BATU BUDING KEC. BADAU</t>
  </si>
  <si>
    <t xml:space="preserve">HARYATI </t>
  </si>
  <si>
    <t>1906046202740003</t>
  </si>
  <si>
    <t>97.228.399.8-305.000</t>
  </si>
  <si>
    <t>EPI SUNARSIH</t>
  </si>
  <si>
    <t>1906046202780004</t>
  </si>
  <si>
    <t>15.782.408.7-305.000</t>
  </si>
  <si>
    <t>DSN PESARAKAN RT. 007 RW. 003 DS CENDIL KEC. KELAPA KAMPIT</t>
  </si>
  <si>
    <t>APRI SANDHY</t>
  </si>
  <si>
    <t>1902010604900005</t>
  </si>
  <si>
    <t>97.387.466.2-305.000</t>
  </si>
  <si>
    <t>JL. AIR SERKUK DSN AIR SAGA RT001/001 KEC. TANJUNG PANDAN</t>
  </si>
  <si>
    <t>BERRY WIJAYA</t>
  </si>
  <si>
    <t>1906042606910003</t>
  </si>
  <si>
    <t>97.228.496.2-305.000</t>
  </si>
  <si>
    <t>JL H SULAIMAN RT. 018 RW. 006 KEL. KAMPONG DAMAI  KEC. TANJUNGPANDAN</t>
  </si>
  <si>
    <t>AMRAN</t>
  </si>
  <si>
    <t>1902050811720001</t>
  </si>
  <si>
    <t>DSN. AIR BRGANTUNG RT.008 RW.003 DESA KACANG BUTOR KEC.BADAU</t>
  </si>
  <si>
    <t>SALMAH</t>
  </si>
  <si>
    <t>1902055111720001</t>
  </si>
  <si>
    <t>97.237.454.0-305.000</t>
  </si>
  <si>
    <t>AIR BEGANTUNG RT 008/003 DESA KACANG BUTOR KEC. BADAU</t>
  </si>
  <si>
    <t>RUSMADI.R</t>
  </si>
  <si>
    <t>1902051505730001</t>
  </si>
  <si>
    <t>97.228.333.7-305.000</t>
  </si>
  <si>
    <t>JL MANGGAR RT. 004 RW. 002 DESA AIR BATU BUDING KEC. BADAU</t>
  </si>
  <si>
    <t>SUHARTINI</t>
  </si>
  <si>
    <t>1902016806710001</t>
  </si>
  <si>
    <t>97.237.542.2-305.000</t>
  </si>
  <si>
    <t>DUSUN PERAWAS II RT. 004 RW. 002 DESA BULUH TUMBANG KEC. TANJUNGPANDAN</t>
  </si>
  <si>
    <t>SRI HARTATI</t>
  </si>
  <si>
    <t>1902056512730001</t>
  </si>
  <si>
    <t>97.237.544.8-305.000</t>
  </si>
  <si>
    <t>AIR BEGANTUNG RT. 009 RW. 003 DESA KACANG BUTOR KEC. BADAU</t>
  </si>
  <si>
    <t>DONI SAPUTRA</t>
  </si>
  <si>
    <t>1906042403900003</t>
  </si>
  <si>
    <t>97.237.832.7-305.000</t>
  </si>
  <si>
    <t>SANDI</t>
  </si>
  <si>
    <t>1902050611850001</t>
  </si>
  <si>
    <t>97.228.524.1-305.000</t>
  </si>
  <si>
    <t>ARMIATI</t>
  </si>
  <si>
    <t>1906044302750003</t>
  </si>
  <si>
    <t>97.228.395.6-305.000</t>
  </si>
  <si>
    <t>DSN AIR KELIK RT. 008 RW. 003 DESA AIR KELIK KEC. DAMAR</t>
  </si>
  <si>
    <t>MISNAWATI</t>
  </si>
  <si>
    <t>1902056012770001</t>
  </si>
  <si>
    <t>97.237.564.6-305.000</t>
  </si>
  <si>
    <t>AIR BATU BUDING RT.004 RW.002 DESA AIR BATU BUDING KEC. BADAU</t>
  </si>
  <si>
    <t>SUMARNI</t>
  </si>
  <si>
    <t>1902056908750001</t>
  </si>
  <si>
    <t>97.228.382.4-305.000</t>
  </si>
  <si>
    <t>DSN BUKIT INDAH RT. 011 RW. 004 DESA KACANG BUTOR KEC.BADAU</t>
  </si>
  <si>
    <t>YUHANA</t>
  </si>
  <si>
    <t>1902054706770002</t>
  </si>
  <si>
    <t>97.228.342.8-305.000</t>
  </si>
  <si>
    <t>DSN AIR BATU BUDING RT. 004 RW. 002 DESA AIR BATU BUDING KEC. BADAU</t>
  </si>
  <si>
    <t>MUL SUGIATI</t>
  </si>
  <si>
    <t>1902055703830002</t>
  </si>
  <si>
    <t>97.228.335.2-305.000</t>
  </si>
  <si>
    <t>JL MANGGAR RT. 011 RW. 004 DESA KACANG BUTOR KEC. BADAU</t>
  </si>
  <si>
    <t>MAULIDIN</t>
  </si>
  <si>
    <t>1114042502980002</t>
  </si>
  <si>
    <t>DUSUN GUNONG GARO DESA PAYA SENTEUT KEC. DARUL HIKMAH KAB. ACEH JAYA PROV. ACEH</t>
  </si>
  <si>
    <t>LITANI</t>
  </si>
  <si>
    <t>1906040508810002</t>
  </si>
  <si>
    <t>75.681.755.7-305.000</t>
  </si>
  <si>
    <t>DSN PADANG RT. 006 RW. 003 DESA MENTAWAK KEC. KELAPA KAMPIT</t>
  </si>
  <si>
    <t>SUDIYANTO</t>
  </si>
  <si>
    <t>1906040204760001</t>
  </si>
  <si>
    <t>75.676.425.4-305.000</t>
  </si>
  <si>
    <t>DSN PADANG RT. 007 DESA MENTAWAK KEC. KELAPA KAMPIT</t>
  </si>
  <si>
    <t>ANGGA KUSUMA</t>
  </si>
  <si>
    <t>1906010708930004</t>
  </si>
  <si>
    <t>DSN. MEMPAYA II RT.009/- DS. MEMPAYA KEC. DAMAR KAB. BELITUNG TIMUR</t>
  </si>
  <si>
    <t xml:space="preserve">PPh 21 </t>
  </si>
  <si>
    <t>PGE 1B (PADANG TEMBALUN)</t>
  </si>
  <si>
    <t>DODI SANDRA</t>
  </si>
  <si>
    <t>1902050609880001</t>
  </si>
  <si>
    <t>728569724305000</t>
  </si>
  <si>
    <t>JL ABD. RAHMAN RT. 004 RW. 002 DESA BADAU KEC. BADAU</t>
  </si>
  <si>
    <t>Premi Transport     ( Alat )</t>
  </si>
  <si>
    <t>YUDI HARDONO</t>
  </si>
  <si>
    <t>EGI YOLANDA</t>
  </si>
  <si>
    <t>VEMAS FIRNANDO</t>
  </si>
  <si>
    <t>HENDRO</t>
  </si>
  <si>
    <t>TOMI ASMARDAN</t>
  </si>
  <si>
    <t>1902050402040001</t>
  </si>
  <si>
    <t>AIR BATU BUDING RT.002 RW.001 DESA AIR BATU BUDING KEC. BADAU</t>
  </si>
  <si>
    <t>1902051204010001</t>
  </si>
  <si>
    <t>JL MANGGAR DSN PARIT GUNUNG RT.006 RW.003 DESA AIR BATU BUDING KEC BADAU</t>
  </si>
  <si>
    <t>1902051112890001</t>
  </si>
  <si>
    <t>1902053003000002</t>
  </si>
  <si>
    <t>JL MANGGAR RT. 001 RW. 001 DESA AIR BATU BUDING KEC. BADAU</t>
  </si>
  <si>
    <t>1902051703020001</t>
  </si>
  <si>
    <t>ANGGA SAPUTRA</t>
  </si>
  <si>
    <t>ANDREYAN GIFANA</t>
  </si>
  <si>
    <t>1906042706020002</t>
  </si>
  <si>
    <t>JLN BANDES 1 RT.002 RW.001 DESA CENDIL KEC.KELAPA KAMPIT</t>
  </si>
  <si>
    <t>KARYAWAN BARU</t>
  </si>
  <si>
    <t>KET :</t>
  </si>
  <si>
    <t>1906040102900001</t>
  </si>
  <si>
    <t>97.237.831.9-305.000</t>
  </si>
  <si>
    <t xml:space="preserve">DSN.CENDIL RT.004 RW.004 DESA CENDIL KEC.KELAPA KAMPIT </t>
  </si>
  <si>
    <t>MARETA</t>
  </si>
  <si>
    <t>RAMADONI</t>
  </si>
  <si>
    <t>RIYANDI PRATAMA</t>
  </si>
  <si>
    <t>1902051212020001</t>
  </si>
  <si>
    <t>1971041807910001</t>
  </si>
  <si>
    <t>JL.MANGGAR RT.001 RW.001 DESA AIR BATU BUDING KEC.BADAU</t>
  </si>
  <si>
    <t>DSN PARIT GUNUNG RT.005 RW.003 DESA AIR BATU BUDING KEC.BADAU</t>
  </si>
  <si>
    <t>1902055603990002</t>
  </si>
  <si>
    <t>KACANG BUTOR RT. 002 RW. 001 DESA KACANG BUTOR KEC. BADAU</t>
  </si>
  <si>
    <t>FERRY RAHMADANI</t>
  </si>
  <si>
    <t>BILLY EKOKUSUMA</t>
  </si>
  <si>
    <t>LEO WALDI</t>
  </si>
  <si>
    <t>ROBY</t>
  </si>
  <si>
    <t>IQBAL ALHAMDI</t>
  </si>
  <si>
    <t>IRWANDI</t>
  </si>
  <si>
    <t>1906040208030003</t>
  </si>
  <si>
    <t>DSN PESARAKAN RT.008 RW.003 DESA CENDIL KEC.KELAPA KAMPIT</t>
  </si>
  <si>
    <t>1906042912980002</t>
  </si>
  <si>
    <t>DSN LALANG RT.004 RW.002 DESA MENTAWAK KEC.KELAPA KAMPIT</t>
  </si>
  <si>
    <t>1902052504060001</t>
  </si>
  <si>
    <t>JL.MANGGAR RT.005 RW.003 DESA AIR BATU BUDING KEC.BADAU</t>
  </si>
  <si>
    <t>1906042309010002</t>
  </si>
  <si>
    <t>DSN CENDIL RT.001 RW.001 DESA CENDIL KEC.KELAPA KAMPIT</t>
  </si>
  <si>
    <t>1902050307040001</t>
  </si>
  <si>
    <t>JL.MANGGAR DSN PARIT GUNUNG RT.006 RW.003 DESA AIR BATU BUDING KEC.BADAU</t>
  </si>
  <si>
    <t>1403040106821305</t>
  </si>
  <si>
    <t>75.662.986.1-305.000</t>
  </si>
  <si>
    <t>DSN CENDIL RT.005 RW.002 DESA CENDIL KEC.KELAPA KAMPIT</t>
  </si>
  <si>
    <t>INCOME TAX ARTICLE 21 FOR JANUARI 2026</t>
  </si>
  <si>
    <t>KARYAWAN PANEN</t>
  </si>
  <si>
    <t>ANDRES CAHYADI</t>
  </si>
  <si>
    <t>1906041307970002</t>
  </si>
  <si>
    <t>MANDOR</t>
  </si>
  <si>
    <t>KERANI</t>
  </si>
  <si>
    <t>SUTRISNO</t>
  </si>
  <si>
    <t>97.228.621.5-305.000</t>
  </si>
  <si>
    <t>DSN AIK KALAK RT. 006 RW. 003 DESA PELEPAK PUTE KEC. SIJUK</t>
  </si>
  <si>
    <t>JUPRI</t>
  </si>
  <si>
    <t>5203120107650934</t>
  </si>
  <si>
    <t>MONTOR DAKOK DESA PENGADANGAN KEC.PRINGGASELA KAB LOMBOK TIMUR</t>
  </si>
  <si>
    <t>RAFIANSYAH</t>
  </si>
  <si>
    <t>ANNAS AL FAJRI</t>
  </si>
  <si>
    <t>RAPIN</t>
  </si>
  <si>
    <t>EVAN MARYANTO</t>
  </si>
  <si>
    <t>RANDI</t>
  </si>
  <si>
    <t>YERI JULIANTARA</t>
  </si>
  <si>
    <t>ALDO</t>
  </si>
  <si>
    <t>RENDI GUNAWAN</t>
  </si>
  <si>
    <t>YUDHA FIRMANSYAH</t>
  </si>
  <si>
    <t>1906041208020001</t>
  </si>
  <si>
    <t>JLN RAYA MANGGAR DUSUN BUDING RT 003.RW.001 KEC.KELAPA KAMPIT</t>
  </si>
  <si>
    <t>KARYAWAN PANEN KHL</t>
  </si>
  <si>
    <t>1906042205010002</t>
  </si>
  <si>
    <t>1401102003920004</t>
  </si>
  <si>
    <t>1906042803950002</t>
  </si>
  <si>
    <t>1902052506060001</t>
  </si>
  <si>
    <t>1906040307060001</t>
  </si>
  <si>
    <t>1902052011050001</t>
  </si>
  <si>
    <t>1906041506040001</t>
  </si>
  <si>
    <t>1902010511970008</t>
  </si>
  <si>
    <t>JL.MANGGAR AIR BEGANTUNG RT010 RW.003 DESA KACANG BUTOR KEC.BADAU</t>
  </si>
  <si>
    <t>BUKIT INDAH RT.011 RW.004 DESA KACANG BUTOR KEC.BADAU</t>
  </si>
  <si>
    <t>JL.MANGGAR RT.004 RW.002 DESA AIR BATU BUDING KEC.BADAU</t>
  </si>
  <si>
    <t>DSN SELINDANG RT. 004 RW. 002 DESA SENYUBUK KEC. KELAPA KAMPIT</t>
  </si>
  <si>
    <t>AIR BEGANTUNG RT.010 RW.003 DESA KACANG BUTOR KEC.BADAU</t>
  </si>
  <si>
    <t>KARYAWAN PERAWATAN KHL</t>
  </si>
  <si>
    <t>1.ANNAS AL FAJRI</t>
  </si>
  <si>
    <t>2.RAPIN</t>
  </si>
  <si>
    <t>3.EVAN MARYANTO</t>
  </si>
  <si>
    <t>4.RANDI</t>
  </si>
  <si>
    <t>5.YERI JULIANTARA</t>
  </si>
  <si>
    <t>6.ALDO</t>
  </si>
  <si>
    <t>7.RENDI GUNAWAN</t>
  </si>
  <si>
    <t>8.YUDHA FIRMANSYAH</t>
  </si>
  <si>
    <t>Kibar Silton Nasir</t>
  </si>
  <si>
    <t>Askep PG 1A &amp; 1B</t>
  </si>
  <si>
    <t>1906041212900001</t>
  </si>
  <si>
    <t>1906046406790002</t>
  </si>
  <si>
    <t>1902054708770001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</si>
</sst>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3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0_)"/>
    <numFmt numFmtId="168" formatCode="0000000000000000"/>
    <numFmt numFmtId="169" formatCode="000000000000000"/>
    <numFmt numFmtId="170" formatCode="_(&quot;Rp&quot;* #,##0_);_(&quot;Rp&quot;* \(#,##0\);_(&quot;Rp&quot;* &quot;-&quot;_);_(@_)"/>
    <numFmt numFmtId="171" formatCode="_ * #,##0_ ;_ * \-#,##0_ ;_ * &quot;-&quot;_ ;_ @_ "/>
    <numFmt numFmtId="172" formatCode="_-&quot;IR£&quot;* #,##0.00_-;\-&quot;IR£&quot;* #,##0.00_-;_-&quot;IR£&quot;* &quot;-&quot;??_-;_-@_-"/>
    <numFmt numFmtId="173" formatCode="_(* #,##0.000000_);_(* \(#,##0.000000\);_(* &quot;-&quot;??_);_(@_)"/>
    <numFmt numFmtId="174" formatCode="0.00_)"/>
    <numFmt numFmtId="175" formatCode="&quot;£&quot;#,##0.00;[Red]\-&quot;£&quot;#,##0.00"/>
    <numFmt numFmtId="176" formatCode="_-&quot;£&quot;* #,##0.00_-;\-&quot;£&quot;* #,##0.00_-;_-&quot;£&quot;* &quot;-&quot;??_-;_-@_-"/>
    <numFmt numFmtId="177" formatCode="_-&quot;£&quot;* #,##0_-;\-&quot;£&quot;* #,##0_-;_-&quot;£&quot;* &quot;-&quot;_-;_-@_-"/>
    <numFmt numFmtId="178" formatCode="###0.0_);[Red]\(###0.0\)"/>
    <numFmt numFmtId="179" formatCode="0%\ "/>
    <numFmt numFmtId="180" formatCode="_(* #,##0.0_);_(* \(#,##0.0\);_(* &quot;-&quot;??_);_(@_)"/>
    <numFmt numFmtId="181" formatCode="0;[Red]0"/>
    <numFmt numFmtId="182" formatCode="0.00_);[Red]\(0.00\)"/>
    <numFmt numFmtId="183" formatCode="0.00_);\(0.00\)"/>
    <numFmt numFmtId="184" formatCode="0.00;[Red]0.00"/>
    <numFmt numFmtId="185" formatCode="0.0_);\(0.0\)"/>
    <numFmt numFmtId="186" formatCode="_(* #,##0_);_(* \(#,##0\);_(* \-_);_(@_)"/>
    <numFmt numFmtId="187" formatCode="_(* #,##0.00_);_(* \(#,##0.00\);_(* &quot;-&quot;_);_(@_)"/>
    <numFmt numFmtId="188" formatCode="&quot;£&quot;#,##0;[Red]\-&quot;£&quot;#,##0"/>
    <numFmt numFmtId="189" formatCode="_(* #,##0_);_(* \(#,##0\);_(* &quot;-&quot;???_);_(@_)"/>
    <numFmt numFmtId="190" formatCode="0.0"/>
    <numFmt numFmtId="191" formatCode="_(* #,##0.0_);_(* \(#,##0.0\);_(* &quot;-&quot;_);_(@_)"/>
    <numFmt numFmtId="192" formatCode="0.000"/>
    <numFmt numFmtId="193" formatCode="_(* #,##0.00_);_(* \(#,##0.00\);_(* \-??_);_(@_)"/>
    <numFmt numFmtId="194" formatCode="#,##0.00\ ;&quot; (&quot;#,##0.00\);&quot; -&quot;#\ ;@\ "/>
    <numFmt numFmtId="195" formatCode="&quot;IR£&quot;#,##0.00;[Red]\-&quot;IR£&quot;#,##0.00"/>
    <numFmt numFmtId="196" formatCode="_(&quot;Rp&quot;* #,##0_);_(&quot;Rp&quot;* \(#,##0\);_(&quot;Rp&quot;* \-_);_(@_)"/>
    <numFmt numFmtId="197" formatCode="_(* #,##0,_);[Red]_(* \(#,##0,\);_(* &quot;&quot;&quot;&quot;&quot;&quot;&quot;&quot;\ \-\ &quot;&quot;&quot;&quot;&quot;&quot;&quot;&quot;_);_(@_)"/>
    <numFmt numFmtId="198" formatCode="0%\ ;\(0%\)"/>
    <numFmt numFmtId="199" formatCode="#,##0.00&quot; &quot;;&quot; (&quot;#,##0.00&quot;)&quot;;&quot; -&quot;#&quot; &quot;;@&quot; &quot;"/>
    <numFmt numFmtId="200" formatCode="#,##0\ ;&quot; (&quot;#,##0\);&quot; - &quot;;@\ "/>
    <numFmt numFmtId="201" formatCode="[$-421]General"/>
    <numFmt numFmtId="202" formatCode="&quot;  &quot;@"/>
    <numFmt numFmtId="203" formatCode="_(&quot;$&quot;* #,##0_);_(&quot;$&quot;* \(#,##0\);_(&quot;$&quot;* &quot;-&quot;??_);_(@_)"/>
    <numFmt numFmtId="204" formatCode="0%\ ;[Red]\(0%\)"/>
    <numFmt numFmtId="205" formatCode="0%;\(0%\)"/>
    <numFmt numFmtId="206" formatCode="#,##0.000_);[Red]\(#,##0.000\)"/>
    <numFmt numFmtId="207" formatCode="[Red]&quot;$&quot;#,##0_);[Red]&quot;$&quot;\(#,##0\)"/>
    <numFmt numFmtId="208" formatCode="&quot;          &quot;@"/>
    <numFmt numFmtId="209" formatCode="[Red]#,##0_);[Red]\(#,##0\)"/>
    <numFmt numFmtId="210" formatCode="0.0000000000"/>
    <numFmt numFmtId="211" formatCode="0_);\(0\)"/>
    <numFmt numFmtId="212" formatCode="0.0_);[Red]\(0.0\)"/>
    <numFmt numFmtId="213" formatCode="m\-yy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name val="Arial"/>
      <family val="2"/>
    </font>
    <font>
      <u val="singleAccounting"/>
      <sz val="12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charset val="1"/>
    </font>
    <font>
      <sz val="8"/>
      <name val="Arial"/>
      <family val="2"/>
    </font>
    <font>
      <b/>
      <sz val="9"/>
      <name val="Arial"/>
      <family val="2"/>
    </font>
    <font>
      <sz val="12"/>
      <name val="Helv"/>
    </font>
    <font>
      <sz val="10"/>
      <name val="Times New Roman"/>
      <family val="1"/>
    </font>
    <font>
      <sz val="12"/>
      <name val="¹ÙÅÁÃ¼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1"/>
      <color indexed="9"/>
      <name val="Calibri"/>
      <family val="2"/>
    </font>
    <font>
      <sz val="12"/>
      <color indexed="9"/>
      <name val="Times New Roman"/>
      <family val="1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2"/>
      <color indexed="52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1"/>
    </font>
    <font>
      <sz val="10"/>
      <name val="Arial"/>
      <family val="2"/>
      <charset val="1"/>
    </font>
    <font>
      <sz val="10"/>
      <color indexed="8"/>
      <name val="Calibri"/>
      <family val="2"/>
    </font>
    <font>
      <sz val="10"/>
      <name val="MS Serif"/>
      <family val="1"/>
    </font>
    <font>
      <b/>
      <sz val="8"/>
      <name val="Arial"/>
      <family val="2"/>
    </font>
    <font>
      <sz val="10"/>
      <color indexed="16"/>
      <name val="MS Serif"/>
      <family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2"/>
      <color indexed="17"/>
      <name val="Times New Roman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Times New Roman"/>
      <family val="1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Times New Roman"/>
      <family val="1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Times New Roman"/>
      <family val="1"/>
    </font>
    <font>
      <b/>
      <sz val="8"/>
      <name val="MS Sans Serif"/>
      <family val="2"/>
    </font>
    <font>
      <sz val="11"/>
      <color indexed="62"/>
      <name val="Calibri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2"/>
      <color indexed="52"/>
      <name val="Times New Roman"/>
      <family val="1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2"/>
      <color indexed="60"/>
      <name val="Times New Roman"/>
      <family val="1"/>
    </font>
    <font>
      <sz val="11"/>
      <color indexed="8"/>
      <name val="Calibri"/>
      <family val="2"/>
      <charset val="134"/>
    </font>
    <font>
      <sz val="10"/>
      <name val="Calisto MT"/>
      <family val="1"/>
    </font>
    <font>
      <b/>
      <sz val="11"/>
      <color indexed="63"/>
      <name val="Calibri"/>
      <family val="2"/>
    </font>
    <font>
      <b/>
      <sz val="12"/>
      <color indexed="63"/>
      <name val="Times New Roman"/>
      <family val="1"/>
    </font>
    <font>
      <sz val="8"/>
      <name val="Wingdings"/>
      <charset val="2"/>
    </font>
    <font>
      <sz val="8"/>
      <name val="Helv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8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sz val="11"/>
      <color indexed="10"/>
      <name val="Calibri"/>
      <family val="2"/>
    </font>
    <font>
      <sz val="12"/>
      <color indexed="10"/>
      <name val="Times New Roman"/>
      <family val="1"/>
    </font>
    <font>
      <sz val="10"/>
      <color rgb="FFFF0000"/>
      <name val="Arial"/>
      <family val="2"/>
    </font>
    <font>
      <sz val="1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</borders>
  <cellStyleXfs count="159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8" fillId="0" borderId="0"/>
    <xf numFmtId="41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3" fontId="19" fillId="0" borderId="0">
      <protection locked="0"/>
    </xf>
    <xf numFmtId="172" fontId="7" fillId="0" borderId="0">
      <protection locked="0"/>
    </xf>
    <xf numFmtId="174" fontId="20" fillId="0" borderId="0">
      <protection locked="0"/>
    </xf>
    <xf numFmtId="172" fontId="7" fillId="0" borderId="0">
      <protection locked="0"/>
    </xf>
    <xf numFmtId="171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2" fontId="7" fillId="0" borderId="0">
      <protection locked="0"/>
    </xf>
    <xf numFmtId="173" fontId="19" fillId="0" borderId="0">
      <protection locked="0"/>
    </xf>
    <xf numFmtId="172" fontId="7" fillId="0" borderId="0">
      <protection locked="0"/>
    </xf>
    <xf numFmtId="174" fontId="20" fillId="0" borderId="0">
      <protection locked="0"/>
    </xf>
    <xf numFmtId="172" fontId="7" fillId="0" borderId="0">
      <protection locked="0"/>
    </xf>
    <xf numFmtId="9" fontId="21" fillId="0" borderId="0" applyFont="0" applyFill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4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15" borderId="0" applyNumberFormat="0" applyBorder="0" applyAlignment="0" applyProtection="0"/>
    <xf numFmtId="0" fontId="23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3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3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7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8" borderId="0" applyNumberFormat="0" applyBorder="0" applyAlignment="0" applyProtection="0"/>
    <xf numFmtId="0" fontId="23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5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6" borderId="0" applyNumberFormat="0" applyBorder="0" applyAlignment="0" applyProtection="0"/>
    <xf numFmtId="0" fontId="25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7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1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25" borderId="0" applyNumberFormat="0" applyBorder="0" applyAlignment="0" applyProtection="0"/>
    <xf numFmtId="0" fontId="25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8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25" borderId="0" applyNumberFormat="0" applyBorder="0" applyAlignment="0" applyProtection="0"/>
    <xf numFmtId="0" fontId="25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26" borderId="0" applyNumberFormat="0" applyBorder="0" applyAlignment="0" applyProtection="0"/>
    <xf numFmtId="0" fontId="25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25" borderId="0" applyNumberFormat="0" applyBorder="0" applyAlignment="0" applyProtection="0"/>
    <xf numFmtId="0" fontId="25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5" fillId="38" borderId="0" applyNumberFormat="0" applyBorder="0" applyAlignment="0" applyProtection="0"/>
    <xf numFmtId="0" fontId="25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19" borderId="0" applyNumberFormat="0" applyBorder="0" applyAlignment="0" applyProtection="0"/>
    <xf numFmtId="175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26" fillId="0" borderId="0">
      <alignment horizontal="center" wrapText="1"/>
      <protection locked="0"/>
    </xf>
    <xf numFmtId="177" fontId="7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8" fillId="11" borderId="0" applyNumberFormat="0" applyBorder="0" applyAlignment="0" applyProtection="0"/>
    <xf numFmtId="0" fontId="29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1" fillId="0" borderId="0"/>
    <xf numFmtId="179" fontId="11" fillId="0" borderId="0" applyFill="0" applyBorder="0" applyAlignment="0"/>
    <xf numFmtId="180" fontId="7" fillId="0" borderId="0" applyFill="0" applyBorder="0" applyAlignment="0"/>
    <xf numFmtId="181" fontId="7" fillId="0" borderId="0" applyFill="0" applyBorder="0" applyAlignment="0"/>
    <xf numFmtId="182" fontId="7" fillId="0" borderId="0" applyFill="0" applyBorder="0" applyAlignment="0"/>
    <xf numFmtId="183" fontId="7" fillId="0" borderId="0" applyFill="0" applyBorder="0" applyAlignment="0"/>
    <xf numFmtId="184" fontId="7" fillId="0" borderId="0" applyFill="0" applyBorder="0" applyAlignment="0"/>
    <xf numFmtId="185" fontId="7" fillId="0" borderId="0" applyFill="0" applyBorder="0" applyAlignment="0"/>
    <xf numFmtId="180" fontId="7" fillId="0" borderId="0" applyFill="0" applyBorder="0" applyAlignment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0" fillId="4" borderId="13" applyNumberFormat="0" applyAlignment="0" applyProtection="0"/>
    <xf numFmtId="0" fontId="31" fillId="17" borderId="13" applyNumberFormat="0" applyAlignment="0" applyProtection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0" fillId="17" borderId="13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17" borderId="14" applyNumberFormat="0" applyAlignment="0" applyProtection="0"/>
    <xf numFmtId="0" fontId="33" fillId="39" borderId="14" applyNumberFormat="0" applyAlignment="0" applyProtection="0"/>
    <xf numFmtId="0" fontId="33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0" fontId="32" fillId="39" borderId="14" applyNumberFormat="0" applyAlignment="0" applyProtection="0"/>
    <xf numFmtId="0" fontId="32" fillId="25" borderId="14" applyNumberFormat="0" applyAlignment="0" applyProtection="0"/>
    <xf numFmtId="41" fontId="7" fillId="0" borderId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6" fontId="7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6" fontId="7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6" fontId="7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6" fontId="7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6" fontId="7" fillId="0" borderId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6" fontId="7" fillId="0" borderId="0" applyFill="0" applyBorder="0" applyAlignment="0" applyProtection="0"/>
    <xf numFmtId="41" fontId="7" fillId="0" borderId="0" applyFill="0" applyBorder="0" applyAlignment="0" applyProtection="0"/>
    <xf numFmtId="186" fontId="7" fillId="0" borderId="0" applyFill="0" applyBorder="0" applyAlignment="0" applyProtection="0"/>
    <xf numFmtId="41" fontId="7" fillId="0" borderId="0" applyFill="0" applyBorder="0" applyAlignment="0" applyProtection="0"/>
    <xf numFmtId="186" fontId="7" fillId="0" borderId="0" applyFill="0" applyBorder="0" applyAlignment="0" applyProtection="0"/>
    <xf numFmtId="41" fontId="7" fillId="0" borderId="0" applyFill="0" applyBorder="0" applyAlignment="0" applyProtection="0"/>
    <xf numFmtId="186" fontId="7" fillId="0" borderId="0" applyFill="0" applyBorder="0" applyAlignment="0" applyProtection="0"/>
    <xf numFmtId="41" fontId="7" fillId="0" borderId="0" applyFont="0" applyFill="0" applyBorder="0" applyAlignment="0" applyProtection="0"/>
    <xf numFmtId="165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6" fontId="7" fillId="0" borderId="0" applyFill="0" applyBorder="0" applyAlignment="0" applyProtection="0"/>
    <xf numFmtId="187" fontId="34" fillId="0" borderId="0" applyFill="0" applyBorder="0" applyAlignment="0" applyProtection="0"/>
    <xf numFmtId="186" fontId="7" fillId="0" borderId="0" applyFill="0" applyBorder="0" applyAlignment="0" applyProtection="0"/>
    <xf numFmtId="187" fontId="34" fillId="0" borderId="0" applyFill="0" applyBorder="0" applyAlignment="0" applyProtection="0"/>
    <xf numFmtId="186" fontId="7" fillId="0" borderId="0" applyFill="0" applyBorder="0" applyAlignment="0" applyProtection="0"/>
    <xf numFmtId="187" fontId="34" fillId="0" borderId="0" applyFill="0" applyBorder="0" applyAlignment="0" applyProtection="0"/>
    <xf numFmtId="186" fontId="7" fillId="0" borderId="0" applyFill="0" applyBorder="0" applyAlignment="0" applyProtection="0"/>
    <xf numFmtId="187" fontId="34" fillId="0" borderId="0" applyFill="0" applyBorder="0" applyAlignment="0" applyProtection="0"/>
    <xf numFmtId="186" fontId="7" fillId="0" borderId="0" applyFill="0" applyBorder="0" applyAlignment="0" applyProtection="0"/>
    <xf numFmtId="187" fontId="34" fillId="0" borderId="0" applyFill="0" applyBorder="0" applyAlignment="0" applyProtection="0"/>
    <xf numFmtId="186" fontId="7" fillId="0" borderId="0" applyFill="0" applyBorder="0" applyAlignment="0" applyProtection="0"/>
    <xf numFmtId="41" fontId="8" fillId="0" borderId="0" applyFont="0" applyFill="0" applyBorder="0" applyAlignment="0" applyProtection="0"/>
    <xf numFmtId="186" fontId="7" fillId="0" borderId="0" applyFill="0" applyBorder="0" applyAlignment="0" applyProtection="0"/>
    <xf numFmtId="41" fontId="8" fillId="0" borderId="0" applyFont="0" applyFill="0" applyBorder="0" applyAlignment="0" applyProtection="0"/>
    <xf numFmtId="186" fontId="7" fillId="0" borderId="0" applyFill="0" applyBorder="0" applyAlignment="0" applyProtection="0"/>
    <xf numFmtId="41" fontId="7" fillId="0" borderId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86" fontId="7" fillId="0" borderId="0" applyFill="0" applyBorder="0" applyAlignment="0" applyProtection="0"/>
    <xf numFmtId="41" fontId="1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88" fontId="34" fillId="0" borderId="0" applyFill="0" applyBorder="0" applyAlignment="0" applyProtection="0"/>
    <xf numFmtId="188" fontId="34" fillId="0" borderId="0" applyFill="0" applyBorder="0" applyAlignment="0" applyProtection="0"/>
    <xf numFmtId="188" fontId="34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86" fontId="7" fillId="0" borderId="0" applyFill="0" applyBorder="0" applyAlignment="0" applyProtection="0"/>
    <xf numFmtId="180" fontId="34" fillId="0" borderId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6" fontId="34" fillId="0" borderId="0" applyFill="0" applyBorder="0" applyAlignment="0" applyProtection="0"/>
    <xf numFmtId="0" fontId="34" fillId="0" borderId="0" applyFill="0" applyBorder="0" applyAlignment="0" applyProtection="0"/>
    <xf numFmtId="0" fontId="34" fillId="0" borderId="0" applyFill="0" applyBorder="0" applyAlignment="0" applyProtection="0"/>
    <xf numFmtId="41" fontId="8" fillId="0" borderId="0" applyFont="0" applyFill="0" applyBorder="0" applyAlignment="0" applyProtection="0"/>
    <xf numFmtId="189" fontId="34" fillId="0" borderId="0" applyFill="0" applyBorder="0" applyAlignment="0" applyProtection="0"/>
    <xf numFmtId="190" fontId="34" fillId="0" borderId="0" applyFill="0" applyBorder="0" applyAlignment="0" applyProtection="0"/>
    <xf numFmtId="164" fontId="34" fillId="0" borderId="0" applyFill="0" applyBorder="0" applyAlignment="0" applyProtection="0"/>
    <xf numFmtId="164" fontId="34" fillId="0" borderId="0" applyFill="0" applyBorder="0" applyAlignment="0" applyProtection="0"/>
    <xf numFmtId="180" fontId="34" fillId="0" borderId="0" applyFill="0" applyBorder="0" applyAlignment="0" applyProtection="0"/>
    <xf numFmtId="191" fontId="34" fillId="0" borderId="0" applyFill="0" applyBorder="0" applyAlignment="0" applyProtection="0"/>
    <xf numFmtId="192" fontId="34" fillId="0" borderId="0" applyFill="0" applyBorder="0" applyAlignment="0" applyProtection="0"/>
    <xf numFmtId="192" fontId="34" fillId="0" borderId="0" applyFill="0" applyBorder="0" applyAlignment="0" applyProtection="0"/>
    <xf numFmtId="193" fontId="34" fillId="0" borderId="0" applyFill="0" applyBorder="0" applyAlignment="0" applyProtection="0"/>
    <xf numFmtId="191" fontId="34" fillId="0" borderId="0" applyFill="0" applyBorder="0" applyAlignment="0" applyProtection="0"/>
    <xf numFmtId="192" fontId="34" fillId="0" borderId="0" applyFill="0" applyBorder="0" applyAlignment="0" applyProtection="0"/>
    <xf numFmtId="192" fontId="34" fillId="0" borderId="0" applyFill="0" applyBorder="0" applyAlignment="0" applyProtection="0"/>
    <xf numFmtId="41" fontId="22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184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34" fillId="0" borderId="0" applyFill="0" applyBorder="0" applyAlignment="0" applyProtection="0"/>
    <xf numFmtId="43" fontId="1" fillId="0" borderId="0" applyFont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93" fontId="34" fillId="0" borderId="0" applyFill="0" applyBorder="0" applyAlignment="0" applyProtection="0"/>
    <xf numFmtId="165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7" fillId="0" borderId="0" applyFill="0" applyBorder="0" applyAlignment="0" applyProtection="0"/>
    <xf numFmtId="193" fontId="34" fillId="0" borderId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194" fontId="35" fillId="0" borderId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ill="0" applyBorder="0" applyAlignment="0" applyProtection="0"/>
    <xf numFmtId="19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193" fontId="34" fillId="0" borderId="0" applyFill="0" applyBorder="0" applyAlignment="0" applyProtection="0"/>
    <xf numFmtId="193" fontId="7" fillId="0" borderId="0" applyFill="0" applyBorder="0" applyAlignment="0" applyProtection="0"/>
    <xf numFmtId="193" fontId="34" fillId="0" borderId="0" applyFill="0" applyBorder="0" applyAlignment="0" applyProtection="0"/>
    <xf numFmtId="43" fontId="7" fillId="0" borderId="0" applyFont="0" applyFill="0" applyBorder="0" applyAlignment="0" applyProtection="0"/>
    <xf numFmtId="193" fontId="7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ill="0" applyBorder="0" applyAlignment="0" applyProtection="0"/>
    <xf numFmtId="193" fontId="7" fillId="0" borderId="0" applyFill="0" applyBorder="0" applyAlignment="0" applyProtection="0"/>
    <xf numFmtId="43" fontId="7" fillId="0" borderId="0" applyFill="0" applyBorder="0" applyAlignment="0" applyProtection="0"/>
    <xf numFmtId="193" fontId="7" fillId="0" borderId="0" applyFill="0" applyBorder="0" applyAlignment="0" applyProtection="0"/>
    <xf numFmtId="43" fontId="7" fillId="0" borderId="0" applyFill="0" applyBorder="0" applyAlignment="0" applyProtection="0"/>
    <xf numFmtId="193" fontId="7" fillId="0" borderId="0" applyFill="0" applyBorder="0" applyAlignment="0" applyProtection="0"/>
    <xf numFmtId="43" fontId="7" fillId="0" borderId="0" applyFill="0" applyBorder="0" applyAlignment="0" applyProtection="0"/>
    <xf numFmtId="193" fontId="7" fillId="0" borderId="0" applyFill="0" applyBorder="0" applyAlignment="0" applyProtection="0"/>
    <xf numFmtId="4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193" fontId="34" fillId="0" borderId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193" fontId="34" fillId="0" borderId="0" applyFill="0" applyBorder="0" applyAlignment="0" applyProtection="0"/>
    <xf numFmtId="43" fontId="7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3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ill="0" applyBorder="0" applyAlignment="0" applyProtection="0"/>
    <xf numFmtId="43" fontId="7" fillId="0" borderId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ill="0" applyBorder="0" applyAlignment="0" applyProtection="0"/>
    <xf numFmtId="194" fontId="2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6" fillId="0" borderId="0" applyNumberFormat="0" applyAlignment="0">
      <alignment horizontal="left"/>
    </xf>
    <xf numFmtId="195" fontId="7" fillId="0" borderId="1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96" fontId="34" fillId="0" borderId="0" applyFill="0" applyBorder="0" applyAlignment="0" applyProtection="0"/>
    <xf numFmtId="180" fontId="7" fillId="0" borderId="0" applyFont="0" applyFill="0" applyBorder="0" applyAlignment="0" applyProtection="0"/>
    <xf numFmtId="197" fontId="7" fillId="0" borderId="0" applyFont="0" applyFill="0" applyBorder="0" applyAlignment="0"/>
    <xf numFmtId="8" fontId="7" fillId="0" borderId="0" applyFont="0" applyFill="0" applyBorder="0" applyAlignment="0"/>
    <xf numFmtId="164" fontId="1" fillId="0" borderId="0" applyFont="0" applyFill="0" applyBorder="0" applyAlignment="0" applyProtection="0"/>
    <xf numFmtId="15" fontId="37" fillId="0" borderId="0" applyFill="0" applyBorder="0" applyAlignment="0"/>
    <xf numFmtId="198" fontId="7" fillId="40" borderId="0" applyFont="0" applyFill="0" applyBorder="0" applyAlignment="0" applyProtection="0"/>
    <xf numFmtId="198" fontId="7" fillId="40" borderId="15" applyFont="0" applyFill="0" applyBorder="0" applyAlignment="0" applyProtection="0"/>
    <xf numFmtId="17" fontId="37" fillId="0" borderId="0" applyFill="0" applyBorder="0">
      <alignment horizontal="right"/>
    </xf>
    <xf numFmtId="14" fontId="9" fillId="0" borderId="0" applyFill="0" applyBorder="0" applyAlignment="0"/>
    <xf numFmtId="184" fontId="7" fillId="0" borderId="0" applyFill="0" applyBorder="0" applyAlignment="0"/>
    <xf numFmtId="180" fontId="7" fillId="0" borderId="0" applyFill="0" applyBorder="0" applyAlignment="0"/>
    <xf numFmtId="184" fontId="7" fillId="0" borderId="0" applyFill="0" applyBorder="0" applyAlignment="0"/>
    <xf numFmtId="185" fontId="7" fillId="0" borderId="0" applyFill="0" applyBorder="0" applyAlignment="0"/>
    <xf numFmtId="180" fontId="7" fillId="0" borderId="0" applyFill="0" applyBorder="0" applyAlignment="0"/>
    <xf numFmtId="0" fontId="38" fillId="0" borderId="0" applyNumberFormat="0" applyAlignment="0">
      <alignment horizontal="left"/>
    </xf>
    <xf numFmtId="199" fontId="39" fillId="0" borderId="0" applyBorder="0" applyProtection="0"/>
    <xf numFmtId="200" fontId="35" fillId="0" borderId="0"/>
    <xf numFmtId="201" fontId="39" fillId="0" borderId="0" applyBorder="0" applyProtection="0"/>
    <xf numFmtId="0" fontId="22" fillId="0" borderId="0"/>
    <xf numFmtId="0" fontId="35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202" fontId="7" fillId="40" borderId="0" applyFont="0" applyFill="0" applyBorder="0" applyAlignment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38" fontId="17" fillId="41" borderId="0" applyNumberFormat="0" applyBorder="0" applyAlignment="0" applyProtection="0"/>
    <xf numFmtId="0" fontId="44" fillId="0" borderId="7" applyNumberFormat="0" applyAlignment="0" applyProtection="0">
      <alignment horizontal="left" vertical="center"/>
    </xf>
    <xf numFmtId="0" fontId="44" fillId="0" borderId="16">
      <alignment horizontal="left" vertical="center"/>
    </xf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6" fillId="0" borderId="18" applyNumberFormat="0" applyFill="0" applyAlignment="0" applyProtection="0"/>
    <xf numFmtId="0" fontId="47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2" fillId="0" borderId="21" applyNumberFormat="0" applyFill="0" applyAlignment="0" applyProtection="0"/>
    <xf numFmtId="0" fontId="53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0" borderId="22">
      <alignment horizontal="center"/>
    </xf>
    <xf numFmtId="0" fontId="54" fillId="0" borderId="0">
      <alignment horizontal="center"/>
    </xf>
    <xf numFmtId="10" fontId="17" fillId="40" borderId="1" applyNumberFormat="0" applyBorder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8" borderId="13" applyNumberFormat="0" applyAlignment="0" applyProtection="0"/>
    <xf numFmtId="0" fontId="56" fillId="15" borderId="13" applyNumberFormat="0" applyAlignment="0" applyProtection="0"/>
    <xf numFmtId="0" fontId="56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0" fontId="55" fillId="15" borderId="13" applyNumberFormat="0" applyAlignment="0" applyProtection="0"/>
    <xf numFmtId="0" fontId="55" fillId="8" borderId="13" applyNumberFormat="0" applyAlignment="0" applyProtection="0"/>
    <xf numFmtId="8" fontId="17" fillId="40" borderId="0" applyFont="0" applyBorder="0" applyAlignment="0" applyProtection="0">
      <protection locked="0"/>
    </xf>
    <xf numFmtId="15" fontId="17" fillId="40" borderId="0" applyFont="0" applyBorder="0" applyAlignment="0" applyProtection="0">
      <protection locked="0"/>
    </xf>
    <xf numFmtId="202" fontId="7" fillId="40" borderId="0" applyFont="0" applyBorder="0" applyAlignment="0">
      <protection locked="0"/>
    </xf>
    <xf numFmtId="38" fontId="17" fillId="40" borderId="0">
      <protection locked="0"/>
    </xf>
    <xf numFmtId="165" fontId="7" fillId="40" borderId="0" applyFont="0" applyBorder="0" applyAlignment="0">
      <protection locked="0"/>
    </xf>
    <xf numFmtId="10" fontId="17" fillId="40" borderId="0">
      <protection locked="0"/>
    </xf>
    <xf numFmtId="203" fontId="7" fillId="40" borderId="0" applyNumberFormat="0" applyBorder="0" applyAlignment="0">
      <protection locked="0"/>
    </xf>
    <xf numFmtId="184" fontId="7" fillId="0" borderId="0" applyFill="0" applyBorder="0" applyAlignment="0"/>
    <xf numFmtId="180" fontId="7" fillId="0" borderId="0" applyFill="0" applyBorder="0" applyAlignment="0"/>
    <xf numFmtId="184" fontId="7" fillId="0" borderId="0" applyFill="0" applyBorder="0" applyAlignment="0"/>
    <xf numFmtId="185" fontId="7" fillId="0" borderId="0" applyFill="0" applyBorder="0" applyAlignment="0"/>
    <xf numFmtId="180" fontId="7" fillId="0" borderId="0" applyFill="0" applyBorder="0" applyAlignment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8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0" fontId="57" fillId="0" borderId="23" applyNumberFormat="0" applyFill="0" applyAlignment="0" applyProtection="0"/>
    <xf numFmtId="204" fontId="7" fillId="41" borderId="0" applyFont="0" applyBorder="0" applyAlignment="0" applyProtection="0">
      <alignment horizontal="right"/>
      <protection hidden="1"/>
    </xf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60" fillId="22" borderId="0" applyNumberFormat="0" applyBorder="0" applyAlignment="0" applyProtection="0"/>
    <xf numFmtId="0" fontId="61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205" fontId="7" fillId="0" borderId="0"/>
    <xf numFmtId="38" fontId="17" fillId="0" borderId="0" applyFont="0" applyFill="0" applyBorder="0" applyAlignment="0"/>
    <xf numFmtId="203" fontId="7" fillId="0" borderId="0" applyFont="0" applyFill="0" applyBorder="0" applyAlignment="0"/>
    <xf numFmtId="40" fontId="17" fillId="0" borderId="0" applyFont="0" applyFill="0" applyBorder="0" applyAlignment="0"/>
    <xf numFmtId="206" fontId="17" fillId="0" borderId="0" applyFont="0" applyFill="0" applyBorder="0" applyAlignment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2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34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top"/>
    </xf>
    <xf numFmtId="0" fontId="1" fillId="0" borderId="0"/>
    <xf numFmtId="0" fontId="8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1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" fillId="0" borderId="0"/>
    <xf numFmtId="0" fontId="7" fillId="0" borderId="0"/>
    <xf numFmtId="0" fontId="7" fillId="0" borderId="0">
      <alignment vertical="top"/>
    </xf>
    <xf numFmtId="0" fontId="8" fillId="0" borderId="0"/>
    <xf numFmtId="0" fontId="8" fillId="0" borderId="0"/>
    <xf numFmtId="0" fontId="8" fillId="0" borderId="0"/>
    <xf numFmtId="0" fontId="7" fillId="0" borderId="0">
      <alignment vertical="top"/>
    </xf>
    <xf numFmtId="0" fontId="8" fillId="0" borderId="0"/>
    <xf numFmtId="0" fontId="3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34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7" fillId="0" borderId="0">
      <alignment vertical="top"/>
    </xf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22" fillId="0" borderId="0"/>
    <xf numFmtId="203" fontId="7" fillId="0" borderId="0" applyNumberFormat="0" applyFill="0" applyBorder="0" applyAlignment="0" applyProtection="0"/>
    <xf numFmtId="207" fontId="7" fillId="0" borderId="0" applyFont="0" applyFill="0" applyBorder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0" fontId="7" fillId="10" borderId="24" applyNumberFormat="0" applyAlignment="0" applyProtection="0"/>
    <xf numFmtId="208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0" fontId="64" fillId="4" borderId="25" applyNumberFormat="0" applyAlignment="0" applyProtection="0"/>
    <xf numFmtId="0" fontId="65" fillId="17" borderId="25" applyNumberFormat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0" fontId="64" fillId="17" borderId="25" applyNumberFormat="0" applyAlignment="0" applyProtection="0"/>
    <xf numFmtId="209" fontId="7" fillId="0" borderId="0"/>
    <xf numFmtId="14" fontId="26" fillId="0" borderId="0">
      <alignment horizontal="center" wrapText="1"/>
      <protection locked="0"/>
    </xf>
    <xf numFmtId="183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165" fontId="7" fillId="0" borderId="0" applyFont="0" applyFill="0" applyBorder="0" applyAlignment="0"/>
    <xf numFmtId="10" fontId="7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210" fontId="7" fillId="0" borderId="0" applyFont="0" applyFill="0" applyBorder="0" applyAlignment="0" applyProtection="0"/>
    <xf numFmtId="184" fontId="7" fillId="0" borderId="0" applyFill="0" applyBorder="0" applyAlignment="0"/>
    <xf numFmtId="180" fontId="7" fillId="0" borderId="0" applyFill="0" applyBorder="0" applyAlignment="0"/>
    <xf numFmtId="184" fontId="7" fillId="0" borderId="0" applyFill="0" applyBorder="0" applyAlignment="0"/>
    <xf numFmtId="185" fontId="7" fillId="0" borderId="0" applyFill="0" applyBorder="0" applyAlignment="0"/>
    <xf numFmtId="180" fontId="7" fillId="0" borderId="0" applyFill="0" applyBorder="0" applyAlignment="0"/>
    <xf numFmtId="203" fontId="7" fillId="0" borderId="0" applyNumberFormat="0" applyFill="0" applyBorder="0" applyAlignment="0" applyProtection="0">
      <alignment horizontal="left"/>
    </xf>
    <xf numFmtId="0" fontId="66" fillId="42" borderId="0" applyNumberFormat="0" applyFont="0" applyBorder="0" applyAlignment="0">
      <alignment horizontal="center"/>
    </xf>
    <xf numFmtId="14" fontId="67" fillId="0" borderId="0" applyNumberFormat="0" applyFill="0" applyBorder="0" applyAlignment="0" applyProtection="0">
      <alignment horizontal="left"/>
    </xf>
    <xf numFmtId="0" fontId="68" fillId="0" borderId="0">
      <alignment horizontal="left" vertical="center"/>
    </xf>
    <xf numFmtId="0" fontId="68" fillId="0" borderId="0">
      <alignment horizontal="center" vertical="center"/>
    </xf>
    <xf numFmtId="0" fontId="68" fillId="0" borderId="0">
      <alignment horizontal="center" vertical="center"/>
    </xf>
    <xf numFmtId="0" fontId="68" fillId="0" borderId="0">
      <alignment horizontal="right" vertical="center"/>
    </xf>
    <xf numFmtId="0" fontId="68" fillId="0" borderId="0">
      <alignment horizontal="left" vertical="center"/>
    </xf>
    <xf numFmtId="0" fontId="68" fillId="0" borderId="0">
      <alignment horizontal="right" vertical="center"/>
    </xf>
    <xf numFmtId="0" fontId="69" fillId="0" borderId="0">
      <alignment horizontal="right" vertical="center"/>
    </xf>
    <xf numFmtId="0" fontId="69" fillId="0" borderId="0">
      <alignment horizontal="right" vertical="center"/>
    </xf>
    <xf numFmtId="0" fontId="70" fillId="0" borderId="0">
      <alignment horizontal="right" vertical="center"/>
    </xf>
    <xf numFmtId="0" fontId="70" fillId="0" borderId="0">
      <alignment horizontal="left" vertical="center"/>
    </xf>
    <xf numFmtId="0" fontId="70" fillId="0" borderId="0">
      <alignment horizontal="left" vertical="center"/>
    </xf>
    <xf numFmtId="0" fontId="71" fillId="0" borderId="0">
      <alignment horizontal="right" vertical="center"/>
    </xf>
    <xf numFmtId="0" fontId="68" fillId="0" borderId="0">
      <alignment horizontal="center" vertical="top"/>
    </xf>
    <xf numFmtId="0" fontId="71" fillId="0" borderId="0">
      <alignment horizontal="right" vertical="center"/>
    </xf>
    <xf numFmtId="0" fontId="72" fillId="0" borderId="0">
      <alignment horizontal="left" vertical="top"/>
    </xf>
    <xf numFmtId="0" fontId="68" fillId="0" borderId="0">
      <alignment horizontal="right" vertical="top"/>
    </xf>
    <xf numFmtId="0" fontId="73" fillId="0" borderId="0">
      <alignment horizontal="left" vertical="center"/>
    </xf>
    <xf numFmtId="0" fontId="71" fillId="0" borderId="0">
      <alignment horizontal="left" vertical="center"/>
    </xf>
    <xf numFmtId="0" fontId="74" fillId="0" borderId="0">
      <alignment horizontal="left" vertical="center"/>
    </xf>
    <xf numFmtId="0" fontId="72" fillId="0" borderId="0">
      <alignment horizontal="left" vertical="top"/>
    </xf>
    <xf numFmtId="0" fontId="71" fillId="0" borderId="0">
      <alignment horizontal="left" vertical="center"/>
    </xf>
    <xf numFmtId="0" fontId="68" fillId="0" borderId="0">
      <alignment horizontal="left" vertical="center"/>
    </xf>
    <xf numFmtId="0" fontId="75" fillId="0" borderId="26"/>
    <xf numFmtId="0" fontId="66" fillId="1" borderId="16" applyNumberFormat="0" applyFont="0" applyAlignment="0">
      <alignment horizontal="center"/>
    </xf>
    <xf numFmtId="0" fontId="76" fillId="0" borderId="0" applyNumberFormat="0" applyFill="0" applyBorder="0" applyAlignment="0">
      <alignment horizontal="center"/>
    </xf>
    <xf numFmtId="203" fontId="7" fillId="43" borderId="0" applyNumberFormat="0" applyFont="0" applyBorder="0" applyAlignment="0">
      <protection hidden="1"/>
    </xf>
    <xf numFmtId="0" fontId="18" fillId="0" borderId="27"/>
    <xf numFmtId="40" fontId="77" fillId="0" borderId="0" applyBorder="0">
      <alignment horizontal="right"/>
    </xf>
    <xf numFmtId="203" fontId="7" fillId="44" borderId="0" applyNumberFormat="0" applyFont="0" applyBorder="0" applyAlignment="0" applyProtection="0"/>
    <xf numFmtId="49" fontId="9" fillId="0" borderId="0" applyFill="0" applyBorder="0" applyAlignment="0"/>
    <xf numFmtId="211" fontId="7" fillId="0" borderId="0" applyFill="0" applyBorder="0" applyAlignment="0"/>
    <xf numFmtId="212" fontId="7" fillId="0" borderId="0" applyFill="0" applyBorder="0" applyAlignment="0"/>
    <xf numFmtId="213" fontId="7" fillId="0" borderId="0" applyFill="0" applyBorder="0" applyAlignment="0" applyProtection="0">
      <alignment horizontal="right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9" applyNumberFormat="0" applyFill="0" applyAlignment="0" applyProtection="0"/>
    <xf numFmtId="0" fontId="81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0" fillId="0" borderId="28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203" fontId="7" fillId="0" borderId="0" applyNumberFormat="0" applyFill="0" applyBorder="0" applyAlignment="0" applyProtection="0"/>
    <xf numFmtId="41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0" fillId="17" borderId="35" applyNumberFormat="0" applyAlignment="0" applyProtection="0"/>
    <xf numFmtId="0" fontId="66" fillId="1" borderId="37" applyNumberFormat="0" applyFont="0" applyAlignment="0">
      <alignment horizontal="center"/>
    </xf>
    <xf numFmtId="0" fontId="75" fillId="0" borderId="40"/>
    <xf numFmtId="0" fontId="64" fillId="17" borderId="39" applyNumberFormat="0" applyAlignment="0" applyProtection="0"/>
    <xf numFmtId="0" fontId="64" fillId="17" borderId="39" applyNumberFormat="0" applyAlignment="0" applyProtection="0"/>
    <xf numFmtId="0" fontId="64" fillId="17" borderId="39" applyNumberFormat="0" applyAlignment="0" applyProtection="0"/>
    <xf numFmtId="0" fontId="64" fillId="17" borderId="39" applyNumberFormat="0" applyAlignment="0" applyProtection="0"/>
    <xf numFmtId="0" fontId="64" fillId="17" borderId="39" applyNumberFormat="0" applyAlignment="0" applyProtection="0"/>
    <xf numFmtId="0" fontId="64" fillId="17" borderId="39" applyNumberFormat="0" applyAlignment="0" applyProtection="0"/>
    <xf numFmtId="0" fontId="64" fillId="17" borderId="39" applyNumberFormat="0" applyAlignment="0" applyProtection="0"/>
    <xf numFmtId="0" fontId="65" fillId="17" borderId="39" applyNumberFormat="0" applyAlignment="0" applyProtection="0"/>
    <xf numFmtId="0" fontId="64" fillId="4" borderId="39" applyNumberFormat="0" applyAlignment="0" applyProtection="0"/>
    <xf numFmtId="0" fontId="64" fillId="17" borderId="39" applyNumberFormat="0" applyAlignment="0" applyProtection="0"/>
    <xf numFmtId="0" fontId="64" fillId="17" borderId="39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7" fillId="10" borderId="38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6" fillId="8" borderId="35" applyNumberFormat="0" applyAlignment="0" applyProtection="0"/>
    <xf numFmtId="0" fontId="56" fillId="15" borderId="35" applyNumberFormat="0" applyAlignment="0" applyProtection="0"/>
    <xf numFmtId="0" fontId="55" fillId="8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0" fontId="55" fillId="8" borderId="35" applyNumberFormat="0" applyAlignment="0" applyProtection="0"/>
    <xf numFmtId="0" fontId="55" fillId="15" borderId="35" applyNumberFormat="0" applyAlignment="0" applyProtection="0"/>
    <xf numFmtId="10" fontId="17" fillId="40" borderId="36" applyNumberFormat="0" applyBorder="0" applyAlignment="0" applyProtection="0"/>
    <xf numFmtId="0" fontId="44" fillId="0" borderId="37">
      <alignment horizontal="left" vertical="center"/>
    </xf>
    <xf numFmtId="195" fontId="7" fillId="0" borderId="36"/>
    <xf numFmtId="0" fontId="30" fillId="17" borderId="35" applyNumberFormat="0" applyAlignment="0" applyProtection="0"/>
    <xf numFmtId="0" fontId="30" fillId="17" borderId="35" applyNumberFormat="0" applyAlignment="0" applyProtection="0"/>
    <xf numFmtId="0" fontId="30" fillId="17" borderId="35" applyNumberFormat="0" applyAlignment="0" applyProtection="0"/>
    <xf numFmtId="0" fontId="30" fillId="17" borderId="35" applyNumberFormat="0" applyAlignment="0" applyProtection="0"/>
    <xf numFmtId="0" fontId="30" fillId="17" borderId="35" applyNumberFormat="0" applyAlignment="0" applyProtection="0"/>
    <xf numFmtId="0" fontId="30" fillId="17" borderId="35" applyNumberFormat="0" applyAlignment="0" applyProtection="0"/>
    <xf numFmtId="0" fontId="30" fillId="17" borderId="35" applyNumberFormat="0" applyAlignment="0" applyProtection="0"/>
    <xf numFmtId="0" fontId="31" fillId="17" borderId="35" applyNumberFormat="0" applyAlignment="0" applyProtection="0"/>
    <xf numFmtId="0" fontId="30" fillId="4" borderId="35" applyNumberFormat="0" applyAlignment="0" applyProtection="0"/>
    <xf numFmtId="0" fontId="30" fillId="17" borderId="35" applyNumberFormat="0" applyAlignment="0" applyProtection="0"/>
    <xf numFmtId="195" fontId="7" fillId="0" borderId="30"/>
    <xf numFmtId="0" fontId="44" fillId="0" borderId="31">
      <alignment horizontal="left" vertical="center"/>
    </xf>
    <xf numFmtId="10" fontId="17" fillId="40" borderId="30" applyNumberFormat="0" applyBorder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7" fillId="10" borderId="32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64" fillId="4" borderId="33" applyNumberFormat="0" applyAlignment="0" applyProtection="0"/>
    <xf numFmtId="0" fontId="65" fillId="17" borderId="33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64" fillId="17" borderId="33" applyNumberFormat="0" applyAlignment="0" applyProtection="0"/>
    <xf numFmtId="0" fontId="75" fillId="0" borderId="34"/>
    <xf numFmtId="0" fontId="66" fillId="1" borderId="31" applyNumberFormat="0" applyFont="0" applyAlignment="0">
      <alignment horizontal="center"/>
    </xf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2" applyNumberFormat="0" applyFill="0" applyAlignment="0" applyProtection="0"/>
    <xf numFmtId="0" fontId="81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4" applyNumberFormat="0" applyFill="0" applyAlignment="0" applyProtection="0"/>
    <xf numFmtId="0" fontId="81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  <xf numFmtId="0" fontId="80" fillId="0" borderId="43" applyNumberFormat="0" applyFill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165" fontId="6" fillId="0" borderId="1" xfId="3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right" vertical="center"/>
    </xf>
    <xf numFmtId="165" fontId="6" fillId="0" borderId="1" xfId="3" applyFont="1" applyBorder="1" applyAlignment="1">
      <alignment vertical="center"/>
    </xf>
    <xf numFmtId="9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9" fontId="6" fillId="0" borderId="0" xfId="0" applyNumberFormat="1" applyFont="1" applyAlignment="1">
      <alignment vertical="center"/>
    </xf>
    <xf numFmtId="164" fontId="5" fillId="2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165" fontId="6" fillId="0" borderId="0" xfId="3" applyFont="1" applyBorder="1" applyAlignment="1">
      <alignment horizontal="center" vertical="center"/>
    </xf>
    <xf numFmtId="10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3" applyFont="1" applyAlignment="1">
      <alignment horizontal="center" vertical="center"/>
    </xf>
    <xf numFmtId="10" fontId="6" fillId="0" borderId="0" xfId="2" applyNumberFormat="1" applyFont="1" applyAlignment="1">
      <alignment horizontal="right" vertical="center"/>
    </xf>
    <xf numFmtId="166" fontId="6" fillId="0" borderId="0" xfId="0" applyNumberFormat="1" applyFont="1" applyAlignment="1">
      <alignment horizontal="center" vertical="center"/>
    </xf>
    <xf numFmtId="0" fontId="7" fillId="0" borderId="0" xfId="8" applyAlignment="1">
      <alignment vertical="center"/>
    </xf>
    <xf numFmtId="41" fontId="7" fillId="0" borderId="0" xfId="4" applyFont="1" applyFill="1" applyAlignment="1">
      <alignment horizontal="center" vertical="center"/>
    </xf>
    <xf numFmtId="0" fontId="7" fillId="0" borderId="0" xfId="4" applyNumberFormat="1" applyFont="1" applyFill="1" applyAlignment="1">
      <alignment horizontal="center" vertical="center"/>
    </xf>
    <xf numFmtId="0" fontId="7" fillId="0" borderId="0" xfId="8" applyAlignment="1">
      <alignment horizontal="left" vertical="center"/>
    </xf>
    <xf numFmtId="0" fontId="7" fillId="0" borderId="0" xfId="8" applyAlignment="1">
      <alignment horizontal="center" vertical="center"/>
    </xf>
    <xf numFmtId="10" fontId="7" fillId="0" borderId="0" xfId="4" applyNumberFormat="1" applyFont="1" applyFill="1" applyAlignment="1">
      <alignment horizontal="center" vertical="center"/>
    </xf>
    <xf numFmtId="0" fontId="7" fillId="0" borderId="0" xfId="8"/>
    <xf numFmtId="41" fontId="10" fillId="3" borderId="0" xfId="4" applyFont="1" applyFill="1" applyAlignment="1">
      <alignment vertical="center"/>
    </xf>
    <xf numFmtId="0" fontId="7" fillId="0" borderId="4" xfId="8" quotePrefix="1" applyBorder="1" applyAlignment="1">
      <alignment horizontal="center" vertical="center"/>
    </xf>
    <xf numFmtId="167" fontId="9" fillId="0" borderId="4" xfId="8" applyNumberFormat="1" applyFont="1" applyBorder="1" applyAlignment="1">
      <alignment horizontal="left" vertical="center"/>
    </xf>
    <xf numFmtId="167" fontId="9" fillId="0" borderId="4" xfId="8" applyNumberFormat="1" applyFont="1" applyBorder="1" applyAlignment="1">
      <alignment horizontal="center" vertical="center"/>
    </xf>
    <xf numFmtId="0" fontId="9" fillId="0" borderId="5" xfId="11" applyFont="1" applyBorder="1" applyAlignment="1">
      <alignment horizontal="center" vertical="center"/>
    </xf>
    <xf numFmtId="41" fontId="9" fillId="0" borderId="6" xfId="4" applyFont="1" applyFill="1" applyBorder="1" applyAlignment="1" applyProtection="1">
      <alignment horizontal="left" vertical="center"/>
    </xf>
    <xf numFmtId="41" fontId="9" fillId="0" borderId="5" xfId="4" applyFont="1" applyFill="1" applyBorder="1" applyAlignment="1" applyProtection="1">
      <alignment horizontal="left" vertical="center"/>
    </xf>
    <xf numFmtId="41" fontId="9" fillId="0" borderId="4" xfId="4" applyFont="1" applyFill="1" applyBorder="1" applyAlignment="1" applyProtection="1">
      <alignment horizontal="left" vertical="center"/>
    </xf>
    <xf numFmtId="41" fontId="9" fillId="3" borderId="5" xfId="4" applyFont="1" applyFill="1" applyBorder="1" applyAlignment="1" applyProtection="1">
      <alignment horizontal="left" vertical="center"/>
    </xf>
    <xf numFmtId="10" fontId="9" fillId="3" borderId="5" xfId="4" applyNumberFormat="1" applyFont="1" applyFill="1" applyBorder="1" applyAlignment="1" applyProtection="1">
      <alignment horizontal="center" vertical="center"/>
    </xf>
    <xf numFmtId="41" fontId="9" fillId="3" borderId="0" xfId="4" applyFont="1" applyFill="1" applyBorder="1" applyAlignment="1" applyProtection="1">
      <alignment horizontal="left" vertical="center"/>
    </xf>
    <xf numFmtId="41" fontId="7" fillId="0" borderId="0" xfId="8" applyNumberFormat="1" applyAlignment="1">
      <alignment vertical="center"/>
    </xf>
    <xf numFmtId="168" fontId="9" fillId="0" borderId="4" xfId="8" applyNumberFormat="1" applyFont="1" applyBorder="1" applyAlignment="1">
      <alignment horizontal="center" vertical="center"/>
    </xf>
    <xf numFmtId="169" fontId="9" fillId="0" borderId="4" xfId="4" quotePrefix="1" applyNumberFormat="1" applyFont="1" applyFill="1" applyBorder="1" applyAlignment="1" applyProtection="1">
      <alignment horizontal="center" vertical="center"/>
    </xf>
    <xf numFmtId="0" fontId="9" fillId="0" borderId="4" xfId="11" applyFont="1" applyBorder="1" applyAlignment="1">
      <alignment horizontal="center" vertical="center"/>
    </xf>
    <xf numFmtId="0" fontId="7" fillId="0" borderId="4" xfId="11" applyBorder="1" applyAlignment="1">
      <alignment horizontal="center" vertical="center"/>
    </xf>
    <xf numFmtId="0" fontId="10" fillId="2" borderId="2" xfId="8" quotePrefix="1" applyFont="1" applyFill="1" applyBorder="1" applyAlignment="1">
      <alignment vertical="center"/>
    </xf>
    <xf numFmtId="0" fontId="10" fillId="2" borderId="7" xfId="8" quotePrefix="1" applyFont="1" applyFill="1" applyBorder="1" applyAlignment="1">
      <alignment vertical="center"/>
    </xf>
    <xf numFmtId="164" fontId="10" fillId="2" borderId="3" xfId="1" applyNumberFormat="1" applyFont="1" applyFill="1" applyBorder="1" applyAlignment="1">
      <alignment vertical="center"/>
    </xf>
    <xf numFmtId="0" fontId="10" fillId="0" borderId="0" xfId="8" applyFont="1" applyAlignment="1">
      <alignment vertical="center"/>
    </xf>
    <xf numFmtId="0" fontId="10" fillId="0" borderId="0" xfId="8" applyFont="1"/>
    <xf numFmtId="0" fontId="7" fillId="0" borderId="0" xfId="10"/>
    <xf numFmtId="9" fontId="7" fillId="0" borderId="0" xfId="12" applyFont="1" applyFill="1" applyAlignment="1">
      <alignment vertical="center"/>
    </xf>
    <xf numFmtId="0" fontId="11" fillId="0" borderId="0" xfId="4" applyNumberFormat="1" applyFont="1" applyFill="1" applyAlignment="1">
      <alignment horizontal="center" vertical="center"/>
    </xf>
    <xf numFmtId="41" fontId="11" fillId="0" borderId="0" xfId="4" applyFont="1" applyFill="1" applyAlignment="1">
      <alignment vertical="center"/>
    </xf>
    <xf numFmtId="3" fontId="7" fillId="0" borderId="0" xfId="8" applyNumberFormat="1" applyAlignment="1">
      <alignment vertical="center"/>
    </xf>
    <xf numFmtId="0" fontId="7" fillId="0" borderId="0" xfId="8" applyAlignment="1">
      <alignment horizontal="right" vertical="center"/>
    </xf>
    <xf numFmtId="164" fontId="7" fillId="0" borderId="0" xfId="8" applyNumberFormat="1" applyAlignment="1">
      <alignment vertical="center"/>
    </xf>
    <xf numFmtId="43" fontId="7" fillId="0" borderId="0" xfId="8" applyNumberFormat="1" applyAlignment="1">
      <alignment vertical="center"/>
    </xf>
    <xf numFmtId="41" fontId="10" fillId="0" borderId="0" xfId="8" applyNumberFormat="1" applyFont="1" applyAlignment="1">
      <alignment vertical="center"/>
    </xf>
    <xf numFmtId="0" fontId="7" fillId="3" borderId="4" xfId="11" applyFill="1" applyBorder="1" applyAlignment="1">
      <alignment horizontal="center" vertical="center"/>
    </xf>
    <xf numFmtId="41" fontId="9" fillId="3" borderId="4" xfId="4" applyFont="1" applyFill="1" applyBorder="1" applyAlignment="1" applyProtection="1">
      <alignment horizontal="left" vertical="center"/>
    </xf>
    <xf numFmtId="10" fontId="9" fillId="3" borderId="4" xfId="4" applyNumberFormat="1" applyFont="1" applyFill="1" applyBorder="1" applyAlignment="1" applyProtection="1">
      <alignment horizontal="center" vertical="center"/>
    </xf>
    <xf numFmtId="41" fontId="10" fillId="2" borderId="8" xfId="4" applyFont="1" applyFill="1" applyBorder="1" applyAlignment="1">
      <alignment horizontal="center" vertical="center"/>
    </xf>
    <xf numFmtId="41" fontId="10" fillId="2" borderId="8" xfId="4" applyFont="1" applyFill="1" applyBorder="1" applyAlignment="1">
      <alignment horizontal="center" vertical="center" wrapText="1"/>
    </xf>
    <xf numFmtId="0" fontId="10" fillId="2" borderId="8" xfId="4" applyNumberFormat="1" applyFont="1" applyFill="1" applyBorder="1" applyAlignment="1">
      <alignment horizontal="center" vertical="center"/>
    </xf>
    <xf numFmtId="0" fontId="10" fillId="2" borderId="9" xfId="8" applyFont="1" applyFill="1" applyBorder="1" applyAlignment="1">
      <alignment horizontal="center" vertical="center" wrapText="1"/>
    </xf>
    <xf numFmtId="0" fontId="10" fillId="2" borderId="10" xfId="8" applyFont="1" applyFill="1" applyBorder="1" applyAlignment="1">
      <alignment horizontal="center" vertical="center"/>
    </xf>
    <xf numFmtId="0" fontId="10" fillId="2" borderId="11" xfId="8" applyFont="1" applyFill="1" applyBorder="1" applyAlignment="1">
      <alignment horizontal="center" vertical="center"/>
    </xf>
    <xf numFmtId="41" fontId="10" fillId="2" borderId="12" xfId="4" applyFont="1" applyFill="1" applyBorder="1" applyAlignment="1">
      <alignment horizontal="center" vertical="center"/>
    </xf>
    <xf numFmtId="0" fontId="10" fillId="2" borderId="11" xfId="4" applyNumberFormat="1" applyFont="1" applyFill="1" applyBorder="1" applyAlignment="1">
      <alignment horizontal="center" vertical="center" wrapText="1"/>
    </xf>
    <xf numFmtId="10" fontId="10" fillId="2" borderId="11" xfId="4" applyNumberFormat="1" applyFont="1" applyFill="1" applyBorder="1" applyAlignment="1">
      <alignment horizontal="center" vertical="center" wrapText="1"/>
    </xf>
    <xf numFmtId="3" fontId="7" fillId="0" borderId="0" xfId="10" applyNumberFormat="1"/>
    <xf numFmtId="41" fontId="7" fillId="0" borderId="0" xfId="13" applyFont="1"/>
    <xf numFmtId="41" fontId="14" fillId="0" borderId="0" xfId="4" applyFont="1" applyFill="1" applyAlignment="1"/>
    <xf numFmtId="0" fontId="10" fillId="0" borderId="0" xfId="4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Border="1" applyAlignment="1">
      <alignment vertical="center"/>
    </xf>
    <xf numFmtId="0" fontId="15" fillId="0" borderId="0" xfId="8" applyFont="1" applyAlignment="1">
      <alignment vertical="center"/>
    </xf>
    <xf numFmtId="41" fontId="15" fillId="0" borderId="0" xfId="4" applyFont="1" applyFill="1" applyAlignment="1">
      <alignment vertical="center"/>
    </xf>
    <xf numFmtId="41" fontId="15" fillId="0" borderId="0" xfId="4" applyFont="1" applyFill="1" applyAlignment="1">
      <alignment horizontal="center" vertical="center"/>
    </xf>
    <xf numFmtId="0" fontId="15" fillId="0" borderId="0" xfId="4" applyNumberFormat="1" applyFont="1" applyFill="1" applyAlignment="1">
      <alignment horizontal="center" vertical="center"/>
    </xf>
    <xf numFmtId="0" fontId="15" fillId="0" borderId="0" xfId="8" applyFont="1" applyAlignment="1">
      <alignment horizontal="left" vertical="center"/>
    </xf>
    <xf numFmtId="0" fontId="15" fillId="0" borderId="0" xfId="8" applyFont="1" applyAlignment="1">
      <alignment horizontal="center" vertical="center"/>
    </xf>
    <xf numFmtId="0" fontId="15" fillId="0" borderId="0" xfId="8" applyFont="1"/>
    <xf numFmtId="168" fontId="9" fillId="0" borderId="5" xfId="8" applyNumberFormat="1" applyFont="1" applyBorder="1" applyAlignment="1">
      <alignment horizontal="center" vertical="center"/>
    </xf>
    <xf numFmtId="169" fontId="9" fillId="0" borderId="5" xfId="4" quotePrefix="1" applyNumberFormat="1" applyFont="1" applyFill="1" applyBorder="1" applyAlignment="1" applyProtection="1">
      <alignment horizontal="center" vertical="center"/>
    </xf>
    <xf numFmtId="167" fontId="9" fillId="0" borderId="5" xfId="8" applyNumberFormat="1" applyFont="1" applyBorder="1" applyAlignment="1">
      <alignment horizontal="left" vertical="center"/>
    </xf>
    <xf numFmtId="41" fontId="7" fillId="0" borderId="0" xfId="4" applyFont="1" applyFill="1" applyAlignment="1">
      <alignment vertical="center"/>
    </xf>
    <xf numFmtId="0" fontId="7" fillId="0" borderId="5" xfId="11" applyBorder="1" applyAlignment="1">
      <alignment horizontal="center" vertical="center"/>
    </xf>
    <xf numFmtId="0" fontId="7" fillId="3" borderId="5" xfId="11" applyFill="1" applyBorder="1" applyAlignment="1">
      <alignment horizontal="center" vertical="center"/>
    </xf>
    <xf numFmtId="164" fontId="7" fillId="0" borderId="0" xfId="10" applyNumberFormat="1"/>
    <xf numFmtId="41" fontId="13" fillId="0" borderId="0" xfId="4" applyFont="1" applyFill="1" applyAlignment="1">
      <alignment vertical="center"/>
    </xf>
    <xf numFmtId="3" fontId="7" fillId="0" borderId="0" xfId="8" applyNumberFormat="1" applyFont="1" applyAlignment="1">
      <alignment vertical="center"/>
    </xf>
    <xf numFmtId="168" fontId="9" fillId="0" borderId="5" xfId="8" quotePrefix="1" applyNumberFormat="1" applyFont="1" applyBorder="1" applyAlignment="1">
      <alignment horizontal="center" vertical="center"/>
    </xf>
    <xf numFmtId="0" fontId="7" fillId="0" borderId="5" xfId="11" applyFill="1" applyBorder="1" applyAlignment="1">
      <alignment horizontal="center" vertical="center"/>
    </xf>
    <xf numFmtId="0" fontId="7" fillId="0" borderId="0" xfId="8" applyFont="1" applyAlignment="1">
      <alignment horizontal="left" vertical="center"/>
    </xf>
    <xf numFmtId="167" fontId="9" fillId="0" borderId="0" xfId="8" applyNumberFormat="1" applyFont="1" applyBorder="1" applyAlignment="1">
      <alignment horizontal="left" vertical="center"/>
    </xf>
    <xf numFmtId="168" fontId="84" fillId="0" borderId="5" xfId="8" applyNumberFormat="1" applyFont="1" applyBorder="1" applyAlignment="1">
      <alignment horizontal="center" vertical="center"/>
    </xf>
    <xf numFmtId="41" fontId="11" fillId="0" borderId="0" xfId="4" applyFont="1" applyFill="1" applyAlignment="1">
      <alignment horizontal="center" vertical="center"/>
    </xf>
    <xf numFmtId="0" fontId="85" fillId="0" borderId="4" xfId="11" applyFont="1" applyBorder="1" applyAlignment="1">
      <alignment horizontal="center" vertical="center"/>
    </xf>
    <xf numFmtId="41" fontId="11" fillId="0" borderId="0" xfId="4" applyFont="1" applyFill="1" applyAlignment="1">
      <alignment horizontal="center" vertical="center"/>
    </xf>
    <xf numFmtId="41" fontId="14" fillId="0" borderId="0" xfId="4" applyFont="1" applyFill="1" applyAlignment="1">
      <alignment horizontal="center"/>
    </xf>
    <xf numFmtId="167" fontId="9" fillId="0" borderId="4" xfId="8" applyNumberFormat="1" applyFont="1" applyFill="1" applyBorder="1" applyAlignment="1">
      <alignment horizontal="center" vertical="center"/>
    </xf>
    <xf numFmtId="167" fontId="9" fillId="0" borderId="4" xfId="8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11" fillId="0" borderId="0" xfId="4" applyFont="1" applyFill="1" applyAlignment="1">
      <alignment horizontal="center" vertical="center"/>
    </xf>
    <xf numFmtId="9" fontId="11" fillId="0" borderId="0" xfId="12" applyFont="1" applyFill="1" applyAlignment="1">
      <alignment horizontal="center" vertical="center"/>
    </xf>
    <xf numFmtId="41" fontId="14" fillId="0" borderId="0" xfId="4" applyFont="1" applyFill="1" applyAlignment="1">
      <alignment horizontal="center"/>
    </xf>
    <xf numFmtId="41" fontId="14" fillId="0" borderId="0" xfId="4" applyFont="1" applyFill="1" applyAlignment="1">
      <alignment horizontal="center" vertical="center"/>
    </xf>
    <xf numFmtId="168" fontId="9" fillId="45" borderId="5" xfId="8" applyNumberFormat="1" applyFont="1" applyFill="1" applyBorder="1" applyAlignment="1">
      <alignment horizontal="center" vertical="center"/>
    </xf>
    <xf numFmtId="168" fontId="9" fillId="45" borderId="4" xfId="8" quotePrefix="1" applyNumberFormat="1" applyFont="1" applyFill="1" applyBorder="1" applyAlignment="1">
      <alignment horizontal="center" vertical="center"/>
    </xf>
    <xf numFmtId="168" fontId="9" fillId="45" borderId="5" xfId="8" quotePrefix="1" applyNumberFormat="1" applyFont="1" applyFill="1" applyBorder="1" applyAlignment="1">
      <alignment horizontal="center" vertical="center"/>
    </xf>
  </cellXfs>
  <cellStyles count="1598">
    <cellStyle name="‡" xfId="19"/>
    <cellStyle name="‡_515" xfId="20"/>
    <cellStyle name="‡_516" xfId="21"/>
    <cellStyle name="‡_529" xfId="22"/>
    <cellStyle name="‡_530" xfId="23"/>
    <cellStyle name="‡_581" xfId="24"/>
    <cellStyle name="‡_582" xfId="25"/>
    <cellStyle name="‡_BOOK1" xfId="26"/>
    <cellStyle name="‡_BOOK1_1" xfId="27"/>
    <cellStyle name="‡_STA-DRP" xfId="28"/>
    <cellStyle name="‡_STA-DRP_515" xfId="29"/>
    <cellStyle name="‡_STA-DRP_516" xfId="30"/>
    <cellStyle name="‡_STA-DRP_529" xfId="31"/>
    <cellStyle name="‡_STA-DRP_530" xfId="32"/>
    <cellStyle name="‡_STA-DRP_581" xfId="33"/>
    <cellStyle name="‡_STA-DRP_582" xfId="34"/>
    <cellStyle name="‡_STA-DRP_BOOK1" xfId="35"/>
    <cellStyle name="‡_STA-DRP_BOOK1_1" xfId="36"/>
    <cellStyle name="¹éºÐÀ²_±âÅ¸" xfId="37"/>
    <cellStyle name="20% - Accent1 10" xfId="38"/>
    <cellStyle name="20% - Accent1 10 2" xfId="39"/>
    <cellStyle name="20% - Accent1 10 3" xfId="40"/>
    <cellStyle name="20% - Accent1 11" xfId="41"/>
    <cellStyle name="20% - Accent1 11 2" xfId="42"/>
    <cellStyle name="20% - Accent1 11 3" xfId="43"/>
    <cellStyle name="20% - Accent1 12" xfId="44"/>
    <cellStyle name="20% - Accent1 2" xfId="45"/>
    <cellStyle name="20% - Accent1 2 2" xfId="46"/>
    <cellStyle name="20% - Accent1 3" xfId="47"/>
    <cellStyle name="20% - Accent1 3 2" xfId="48"/>
    <cellStyle name="20% - Accent1 3 3" xfId="49"/>
    <cellStyle name="20% - Accent1 4" xfId="50"/>
    <cellStyle name="20% - Accent1 4 2" xfId="51"/>
    <cellStyle name="20% - Accent1 4 3" xfId="52"/>
    <cellStyle name="20% - Accent1 5" xfId="53"/>
    <cellStyle name="20% - Accent1 5 2" xfId="54"/>
    <cellStyle name="20% - Accent1 5 3" xfId="55"/>
    <cellStyle name="20% - Accent1 6" xfId="56"/>
    <cellStyle name="20% - Accent1 6 2" xfId="57"/>
    <cellStyle name="20% - Accent1 6 3" xfId="58"/>
    <cellStyle name="20% - Accent1 7" xfId="59"/>
    <cellStyle name="20% - Accent1 7 2" xfId="60"/>
    <cellStyle name="20% - Accent1 7 3" xfId="61"/>
    <cellStyle name="20% - Accent1 8" xfId="62"/>
    <cellStyle name="20% - Accent1 8 2" xfId="63"/>
    <cellStyle name="20% - Accent1 8 3" xfId="64"/>
    <cellStyle name="20% - Accent1 9" xfId="65"/>
    <cellStyle name="20% - Accent1 9 2" xfId="66"/>
    <cellStyle name="20% - Accent1 9 3" xfId="67"/>
    <cellStyle name="20% - Accent2 10" xfId="68"/>
    <cellStyle name="20% - Accent2 10 2" xfId="69"/>
    <cellStyle name="20% - Accent2 11" xfId="70"/>
    <cellStyle name="20% - Accent2 11 2" xfId="71"/>
    <cellStyle name="20% - Accent2 12" xfId="72"/>
    <cellStyle name="20% - Accent2 2" xfId="73"/>
    <cellStyle name="20% - Accent2 3" xfId="74"/>
    <cellStyle name="20% - Accent2 3 2" xfId="75"/>
    <cellStyle name="20% - Accent2 4" xfId="76"/>
    <cellStyle name="20% - Accent2 4 2" xfId="77"/>
    <cellStyle name="20% - Accent2 5" xfId="78"/>
    <cellStyle name="20% - Accent2 5 2" xfId="79"/>
    <cellStyle name="20% - Accent2 6" xfId="80"/>
    <cellStyle name="20% - Accent2 6 2" xfId="81"/>
    <cellStyle name="20% - Accent2 7" xfId="82"/>
    <cellStyle name="20% - Accent2 7 2" xfId="83"/>
    <cellStyle name="20% - Accent2 8" xfId="84"/>
    <cellStyle name="20% - Accent2 8 2" xfId="85"/>
    <cellStyle name="20% - Accent2 9" xfId="86"/>
    <cellStyle name="20% - Accent2 9 2" xfId="87"/>
    <cellStyle name="20% - Accent3 10" xfId="88"/>
    <cellStyle name="20% - Accent3 10 2" xfId="89"/>
    <cellStyle name="20% - Accent3 11" xfId="90"/>
    <cellStyle name="20% - Accent3 11 2" xfId="91"/>
    <cellStyle name="20% - Accent3 12" xfId="92"/>
    <cellStyle name="20% - Accent3 2" xfId="93"/>
    <cellStyle name="20% - Accent3 3" xfId="94"/>
    <cellStyle name="20% - Accent3 3 2" xfId="95"/>
    <cellStyle name="20% - Accent3 4" xfId="96"/>
    <cellStyle name="20% - Accent3 4 2" xfId="97"/>
    <cellStyle name="20% - Accent3 5" xfId="98"/>
    <cellStyle name="20% - Accent3 5 2" xfId="99"/>
    <cellStyle name="20% - Accent3 6" xfId="100"/>
    <cellStyle name="20% - Accent3 6 2" xfId="101"/>
    <cellStyle name="20% - Accent3 7" xfId="102"/>
    <cellStyle name="20% - Accent3 7 2" xfId="103"/>
    <cellStyle name="20% - Accent3 8" xfId="104"/>
    <cellStyle name="20% - Accent3 8 2" xfId="105"/>
    <cellStyle name="20% - Accent3 9" xfId="106"/>
    <cellStyle name="20% - Accent3 9 2" xfId="107"/>
    <cellStyle name="20% - Accent4 10" xfId="108"/>
    <cellStyle name="20% - Accent4 10 2" xfId="109"/>
    <cellStyle name="20% - Accent4 11" xfId="110"/>
    <cellStyle name="20% - Accent4 11 2" xfId="111"/>
    <cellStyle name="20% - Accent4 12" xfId="112"/>
    <cellStyle name="20% - Accent4 2" xfId="113"/>
    <cellStyle name="20% - Accent4 3" xfId="114"/>
    <cellStyle name="20% - Accent4 3 2" xfId="115"/>
    <cellStyle name="20% - Accent4 4" xfId="116"/>
    <cellStyle name="20% - Accent4 4 2" xfId="117"/>
    <cellStyle name="20% - Accent4 5" xfId="118"/>
    <cellStyle name="20% - Accent4 5 2" xfId="119"/>
    <cellStyle name="20% - Accent4 6" xfId="120"/>
    <cellStyle name="20% - Accent4 6 2" xfId="121"/>
    <cellStyle name="20% - Accent4 7" xfId="122"/>
    <cellStyle name="20% - Accent4 7 2" xfId="123"/>
    <cellStyle name="20% - Accent4 8" xfId="124"/>
    <cellStyle name="20% - Accent4 8 2" xfId="125"/>
    <cellStyle name="20% - Accent4 9" xfId="126"/>
    <cellStyle name="20% - Accent4 9 2" xfId="127"/>
    <cellStyle name="20% - Accent5 10" xfId="128"/>
    <cellStyle name="20% - Accent5 10 2" xfId="129"/>
    <cellStyle name="20% - Accent5 10 3" xfId="130"/>
    <cellStyle name="20% - Accent5 11" xfId="131"/>
    <cellStyle name="20% - Accent5 11 2" xfId="132"/>
    <cellStyle name="20% - Accent5 11 3" xfId="133"/>
    <cellStyle name="20% - Accent5 12" xfId="134"/>
    <cellStyle name="20% - Accent5 2" xfId="135"/>
    <cellStyle name="20% - Accent5 2 2" xfId="136"/>
    <cellStyle name="20% - Accent5 3" xfId="137"/>
    <cellStyle name="20% - Accent5 3 2" xfId="138"/>
    <cellStyle name="20% - Accent5 3 3" xfId="139"/>
    <cellStyle name="20% - Accent5 4" xfId="140"/>
    <cellStyle name="20% - Accent5 4 2" xfId="141"/>
    <cellStyle name="20% - Accent5 4 3" xfId="142"/>
    <cellStyle name="20% - Accent5 5" xfId="143"/>
    <cellStyle name="20% - Accent5 5 2" xfId="144"/>
    <cellStyle name="20% - Accent5 5 3" xfId="145"/>
    <cellStyle name="20% - Accent5 6" xfId="146"/>
    <cellStyle name="20% - Accent5 6 2" xfId="147"/>
    <cellStyle name="20% - Accent5 6 3" xfId="148"/>
    <cellStyle name="20% - Accent5 7" xfId="149"/>
    <cellStyle name="20% - Accent5 7 2" xfId="150"/>
    <cellStyle name="20% - Accent5 7 3" xfId="151"/>
    <cellStyle name="20% - Accent5 8" xfId="152"/>
    <cellStyle name="20% - Accent5 8 2" xfId="153"/>
    <cellStyle name="20% - Accent5 8 3" xfId="154"/>
    <cellStyle name="20% - Accent5 9" xfId="155"/>
    <cellStyle name="20% - Accent5 9 2" xfId="156"/>
    <cellStyle name="20% - Accent5 9 3" xfId="157"/>
    <cellStyle name="20% - Accent6 10" xfId="158"/>
    <cellStyle name="20% - Accent6 10 2" xfId="159"/>
    <cellStyle name="20% - Accent6 10 3" xfId="160"/>
    <cellStyle name="20% - Accent6 11" xfId="161"/>
    <cellStyle name="20% - Accent6 11 2" xfId="162"/>
    <cellStyle name="20% - Accent6 11 3" xfId="163"/>
    <cellStyle name="20% - Accent6 12" xfId="164"/>
    <cellStyle name="20% - Accent6 2" xfId="165"/>
    <cellStyle name="20% - Accent6 2 2" xfId="166"/>
    <cellStyle name="20% - Accent6 3" xfId="167"/>
    <cellStyle name="20% - Accent6 3 2" xfId="168"/>
    <cellStyle name="20% - Accent6 3 3" xfId="169"/>
    <cellStyle name="20% - Accent6 4" xfId="170"/>
    <cellStyle name="20% - Accent6 4 2" xfId="171"/>
    <cellStyle name="20% - Accent6 4 3" xfId="172"/>
    <cellStyle name="20% - Accent6 5" xfId="173"/>
    <cellStyle name="20% - Accent6 5 2" xfId="174"/>
    <cellStyle name="20% - Accent6 5 3" xfId="175"/>
    <cellStyle name="20% - Accent6 6" xfId="176"/>
    <cellStyle name="20% - Accent6 6 2" xfId="177"/>
    <cellStyle name="20% - Accent6 6 3" xfId="178"/>
    <cellStyle name="20% - Accent6 7" xfId="179"/>
    <cellStyle name="20% - Accent6 7 2" xfId="180"/>
    <cellStyle name="20% - Accent6 7 3" xfId="181"/>
    <cellStyle name="20% - Accent6 8" xfId="182"/>
    <cellStyle name="20% - Accent6 8 2" xfId="183"/>
    <cellStyle name="20% - Accent6 8 3" xfId="184"/>
    <cellStyle name="20% - Accent6 9" xfId="185"/>
    <cellStyle name="20% - Accent6 9 2" xfId="186"/>
    <cellStyle name="20% - Accent6 9 3" xfId="187"/>
    <cellStyle name="40% - Accent1 10" xfId="188"/>
    <cellStyle name="40% - Accent1 10 2" xfId="189"/>
    <cellStyle name="40% - Accent1 11" xfId="190"/>
    <cellStyle name="40% - Accent1 11 2" xfId="191"/>
    <cellStyle name="40% - Accent1 12" xfId="192"/>
    <cellStyle name="40% - Accent1 2" xfId="193"/>
    <cellStyle name="40% - Accent1 3" xfId="194"/>
    <cellStyle name="40% - Accent1 3 2" xfId="195"/>
    <cellStyle name="40% - Accent1 4" xfId="196"/>
    <cellStyle name="40% - Accent1 4 2" xfId="197"/>
    <cellStyle name="40% - Accent1 5" xfId="198"/>
    <cellStyle name="40% - Accent1 5 2" xfId="199"/>
    <cellStyle name="40% - Accent1 6" xfId="200"/>
    <cellStyle name="40% - Accent1 6 2" xfId="201"/>
    <cellStyle name="40% - Accent1 7" xfId="202"/>
    <cellStyle name="40% - Accent1 7 2" xfId="203"/>
    <cellStyle name="40% - Accent1 8" xfId="204"/>
    <cellStyle name="40% - Accent1 8 2" xfId="205"/>
    <cellStyle name="40% - Accent1 9" xfId="206"/>
    <cellStyle name="40% - Accent1 9 2" xfId="207"/>
    <cellStyle name="40% - Accent2 10" xfId="208"/>
    <cellStyle name="40% - Accent2 10 2" xfId="209"/>
    <cellStyle name="40% - Accent2 11" xfId="210"/>
    <cellStyle name="40% - Accent2 11 2" xfId="211"/>
    <cellStyle name="40% - Accent2 12" xfId="212"/>
    <cellStyle name="40% - Accent2 2" xfId="213"/>
    <cellStyle name="40% - Accent2 3" xfId="214"/>
    <cellStyle name="40% - Accent2 3 2" xfId="215"/>
    <cellStyle name="40% - Accent2 4" xfId="216"/>
    <cellStyle name="40% - Accent2 4 2" xfId="217"/>
    <cellStyle name="40% - Accent2 5" xfId="218"/>
    <cellStyle name="40% - Accent2 5 2" xfId="219"/>
    <cellStyle name="40% - Accent2 6" xfId="220"/>
    <cellStyle name="40% - Accent2 6 2" xfId="221"/>
    <cellStyle name="40% - Accent2 7" xfId="222"/>
    <cellStyle name="40% - Accent2 7 2" xfId="223"/>
    <cellStyle name="40% - Accent2 8" xfId="224"/>
    <cellStyle name="40% - Accent2 8 2" xfId="225"/>
    <cellStyle name="40% - Accent2 9" xfId="226"/>
    <cellStyle name="40% - Accent2 9 2" xfId="227"/>
    <cellStyle name="40% - Accent3 10" xfId="228"/>
    <cellStyle name="40% - Accent3 10 2" xfId="229"/>
    <cellStyle name="40% - Accent3 10 3" xfId="230"/>
    <cellStyle name="40% - Accent3 11" xfId="231"/>
    <cellStyle name="40% - Accent3 11 2" xfId="232"/>
    <cellStyle name="40% - Accent3 11 3" xfId="233"/>
    <cellStyle name="40% - Accent3 12" xfId="234"/>
    <cellStyle name="40% - Accent3 2" xfId="235"/>
    <cellStyle name="40% - Accent3 2 2" xfId="236"/>
    <cellStyle name="40% - Accent3 3" xfId="237"/>
    <cellStyle name="40% - Accent3 3 2" xfId="238"/>
    <cellStyle name="40% - Accent3 3 3" xfId="239"/>
    <cellStyle name="40% - Accent3 4" xfId="240"/>
    <cellStyle name="40% - Accent3 4 2" xfId="241"/>
    <cellStyle name="40% - Accent3 4 3" xfId="242"/>
    <cellStyle name="40% - Accent3 5" xfId="243"/>
    <cellStyle name="40% - Accent3 5 2" xfId="244"/>
    <cellStyle name="40% - Accent3 5 3" xfId="245"/>
    <cellStyle name="40% - Accent3 6" xfId="246"/>
    <cellStyle name="40% - Accent3 6 2" xfId="247"/>
    <cellStyle name="40% - Accent3 6 3" xfId="248"/>
    <cellStyle name="40% - Accent3 7" xfId="249"/>
    <cellStyle name="40% - Accent3 7 2" xfId="250"/>
    <cellStyle name="40% - Accent3 7 3" xfId="251"/>
    <cellStyle name="40% - Accent3 8" xfId="252"/>
    <cellStyle name="40% - Accent3 8 2" xfId="253"/>
    <cellStyle name="40% - Accent3 8 3" xfId="254"/>
    <cellStyle name="40% - Accent3 9" xfId="255"/>
    <cellStyle name="40% - Accent3 9 2" xfId="256"/>
    <cellStyle name="40% - Accent3 9 3" xfId="257"/>
    <cellStyle name="40% - Accent4 10" xfId="258"/>
    <cellStyle name="40% - Accent4 10 2" xfId="259"/>
    <cellStyle name="40% - Accent4 11" xfId="260"/>
    <cellStyle name="40% - Accent4 11 2" xfId="261"/>
    <cellStyle name="40% - Accent4 12" xfId="262"/>
    <cellStyle name="40% - Accent4 2" xfId="263"/>
    <cellStyle name="40% - Accent4 3" xfId="264"/>
    <cellStyle name="40% - Accent4 3 2" xfId="265"/>
    <cellStyle name="40% - Accent4 4" xfId="266"/>
    <cellStyle name="40% - Accent4 4 2" xfId="267"/>
    <cellStyle name="40% - Accent4 5" xfId="268"/>
    <cellStyle name="40% - Accent4 5 2" xfId="269"/>
    <cellStyle name="40% - Accent4 6" xfId="270"/>
    <cellStyle name="40% - Accent4 6 2" xfId="271"/>
    <cellStyle name="40% - Accent4 7" xfId="272"/>
    <cellStyle name="40% - Accent4 7 2" xfId="273"/>
    <cellStyle name="40% - Accent4 8" xfId="274"/>
    <cellStyle name="40% - Accent4 8 2" xfId="275"/>
    <cellStyle name="40% - Accent4 9" xfId="276"/>
    <cellStyle name="40% - Accent4 9 2" xfId="277"/>
    <cellStyle name="40% - Accent5 10" xfId="278"/>
    <cellStyle name="40% - Accent5 10 2" xfId="279"/>
    <cellStyle name="40% - Accent5 11" xfId="280"/>
    <cellStyle name="40% - Accent5 11 2" xfId="281"/>
    <cellStyle name="40% - Accent5 2" xfId="282"/>
    <cellStyle name="40% - Accent5 3" xfId="283"/>
    <cellStyle name="40% - Accent5 3 2" xfId="284"/>
    <cellStyle name="40% - Accent5 4" xfId="285"/>
    <cellStyle name="40% - Accent5 4 2" xfId="286"/>
    <cellStyle name="40% - Accent5 5" xfId="287"/>
    <cellStyle name="40% - Accent5 5 2" xfId="288"/>
    <cellStyle name="40% - Accent5 6" xfId="289"/>
    <cellStyle name="40% - Accent5 6 2" xfId="290"/>
    <cellStyle name="40% - Accent5 7" xfId="291"/>
    <cellStyle name="40% - Accent5 7 2" xfId="292"/>
    <cellStyle name="40% - Accent5 8" xfId="293"/>
    <cellStyle name="40% - Accent5 8 2" xfId="294"/>
    <cellStyle name="40% - Accent5 9" xfId="295"/>
    <cellStyle name="40% - Accent5 9 2" xfId="296"/>
    <cellStyle name="40% - Accent6 10" xfId="297"/>
    <cellStyle name="40% - Accent6 10 2" xfId="298"/>
    <cellStyle name="40% - Accent6 11" xfId="299"/>
    <cellStyle name="40% - Accent6 11 2" xfId="300"/>
    <cellStyle name="40% - Accent6 12" xfId="301"/>
    <cellStyle name="40% - Accent6 2" xfId="302"/>
    <cellStyle name="40% - Accent6 3" xfId="303"/>
    <cellStyle name="40% - Accent6 3 2" xfId="304"/>
    <cellStyle name="40% - Accent6 4" xfId="305"/>
    <cellStyle name="40% - Accent6 4 2" xfId="306"/>
    <cellStyle name="40% - Accent6 5" xfId="307"/>
    <cellStyle name="40% - Accent6 5 2" xfId="308"/>
    <cellStyle name="40% - Accent6 6" xfId="309"/>
    <cellStyle name="40% - Accent6 6 2" xfId="310"/>
    <cellStyle name="40% - Accent6 7" xfId="311"/>
    <cellStyle name="40% - Accent6 7 2" xfId="312"/>
    <cellStyle name="40% - Accent6 8" xfId="313"/>
    <cellStyle name="40% - Accent6 8 2" xfId="314"/>
    <cellStyle name="40% - Accent6 9" xfId="315"/>
    <cellStyle name="40% - Accent6 9 2" xfId="316"/>
    <cellStyle name="60% - Accent1 10" xfId="317"/>
    <cellStyle name="60% - Accent1 11" xfId="318"/>
    <cellStyle name="60% - Accent1 12" xfId="319"/>
    <cellStyle name="60% - Accent1 2" xfId="320"/>
    <cellStyle name="60% - Accent1 3" xfId="321"/>
    <cellStyle name="60% - Accent1 4" xfId="322"/>
    <cellStyle name="60% - Accent1 5" xfId="323"/>
    <cellStyle name="60% - Accent1 6" xfId="324"/>
    <cellStyle name="60% - Accent1 7" xfId="325"/>
    <cellStyle name="60% - Accent1 8" xfId="326"/>
    <cellStyle name="60% - Accent1 9" xfId="327"/>
    <cellStyle name="60% - Accent2 10" xfId="328"/>
    <cellStyle name="60% - Accent2 11" xfId="329"/>
    <cellStyle name="60% - Accent2 12" xfId="330"/>
    <cellStyle name="60% - Accent2 2" xfId="331"/>
    <cellStyle name="60% - Accent2 3" xfId="332"/>
    <cellStyle name="60% - Accent2 4" xfId="333"/>
    <cellStyle name="60% - Accent2 5" xfId="334"/>
    <cellStyle name="60% - Accent2 6" xfId="335"/>
    <cellStyle name="60% - Accent2 7" xfId="336"/>
    <cellStyle name="60% - Accent2 8" xfId="337"/>
    <cellStyle name="60% - Accent2 9" xfId="338"/>
    <cellStyle name="60% - Accent3 10" xfId="339"/>
    <cellStyle name="60% - Accent3 10 2" xfId="340"/>
    <cellStyle name="60% - Accent3 11" xfId="341"/>
    <cellStyle name="60% - Accent3 11 2" xfId="342"/>
    <cellStyle name="60% - Accent3 12" xfId="343"/>
    <cellStyle name="60% - Accent3 2" xfId="344"/>
    <cellStyle name="60% - Accent3 2 2" xfId="345"/>
    <cellStyle name="60% - Accent3 3" xfId="346"/>
    <cellStyle name="60% - Accent3 3 2" xfId="347"/>
    <cellStyle name="60% - Accent3 4" xfId="348"/>
    <cellStyle name="60% - Accent3 4 2" xfId="349"/>
    <cellStyle name="60% - Accent3 5" xfId="350"/>
    <cellStyle name="60% - Accent3 5 2" xfId="351"/>
    <cellStyle name="60% - Accent3 6" xfId="352"/>
    <cellStyle name="60% - Accent3 6 2" xfId="353"/>
    <cellStyle name="60% - Accent3 7" xfId="354"/>
    <cellStyle name="60% - Accent3 7 2" xfId="355"/>
    <cellStyle name="60% - Accent3 8" xfId="356"/>
    <cellStyle name="60% - Accent3 8 2" xfId="357"/>
    <cellStyle name="60% - Accent3 9" xfId="358"/>
    <cellStyle name="60% - Accent3 9 2" xfId="359"/>
    <cellStyle name="60% - Accent4 10" xfId="360"/>
    <cellStyle name="60% - Accent4 10 2" xfId="361"/>
    <cellStyle name="60% - Accent4 11" xfId="362"/>
    <cellStyle name="60% - Accent4 11 2" xfId="363"/>
    <cellStyle name="60% - Accent4 12" xfId="364"/>
    <cellStyle name="60% - Accent4 2" xfId="365"/>
    <cellStyle name="60% - Accent4 2 2" xfId="366"/>
    <cellStyle name="60% - Accent4 3" xfId="367"/>
    <cellStyle name="60% - Accent4 3 2" xfId="368"/>
    <cellStyle name="60% - Accent4 4" xfId="369"/>
    <cellStyle name="60% - Accent4 4 2" xfId="370"/>
    <cellStyle name="60% - Accent4 5" xfId="371"/>
    <cellStyle name="60% - Accent4 5 2" xfId="372"/>
    <cellStyle name="60% - Accent4 6" xfId="373"/>
    <cellStyle name="60% - Accent4 6 2" xfId="374"/>
    <cellStyle name="60% - Accent4 7" xfId="375"/>
    <cellStyle name="60% - Accent4 7 2" xfId="376"/>
    <cellStyle name="60% - Accent4 8" xfId="377"/>
    <cellStyle name="60% - Accent4 8 2" xfId="378"/>
    <cellStyle name="60% - Accent4 9" xfId="379"/>
    <cellStyle name="60% - Accent4 9 2" xfId="380"/>
    <cellStyle name="60% - Accent5 10" xfId="381"/>
    <cellStyle name="60% - Accent5 11" xfId="382"/>
    <cellStyle name="60% - Accent5 12" xfId="383"/>
    <cellStyle name="60% - Accent5 2" xfId="384"/>
    <cellStyle name="60% - Accent5 3" xfId="385"/>
    <cellStyle name="60% - Accent5 4" xfId="386"/>
    <cellStyle name="60% - Accent5 5" xfId="387"/>
    <cellStyle name="60% - Accent5 6" xfId="388"/>
    <cellStyle name="60% - Accent5 7" xfId="389"/>
    <cellStyle name="60% - Accent5 8" xfId="390"/>
    <cellStyle name="60% - Accent5 9" xfId="391"/>
    <cellStyle name="60% - Accent6 10" xfId="392"/>
    <cellStyle name="60% - Accent6 10 2" xfId="393"/>
    <cellStyle name="60% - Accent6 11" xfId="394"/>
    <cellStyle name="60% - Accent6 11 2" xfId="395"/>
    <cellStyle name="60% - Accent6 12" xfId="396"/>
    <cellStyle name="60% - Accent6 2" xfId="397"/>
    <cellStyle name="60% - Accent6 2 2" xfId="398"/>
    <cellStyle name="60% - Accent6 3" xfId="399"/>
    <cellStyle name="60% - Accent6 3 2" xfId="400"/>
    <cellStyle name="60% - Accent6 4" xfId="401"/>
    <cellStyle name="60% - Accent6 4 2" xfId="402"/>
    <cellStyle name="60% - Accent6 5" xfId="403"/>
    <cellStyle name="60% - Accent6 5 2" xfId="404"/>
    <cellStyle name="60% - Accent6 6" xfId="405"/>
    <cellStyle name="60% - Accent6 6 2" xfId="406"/>
    <cellStyle name="60% - Accent6 7" xfId="407"/>
    <cellStyle name="60% - Accent6 7 2" xfId="408"/>
    <cellStyle name="60% - Accent6 8" xfId="409"/>
    <cellStyle name="60% - Accent6 8 2" xfId="410"/>
    <cellStyle name="60% - Accent6 9" xfId="411"/>
    <cellStyle name="60% - Accent6 9 2" xfId="412"/>
    <cellStyle name="Accent1 10" xfId="413"/>
    <cellStyle name="Accent1 11" xfId="414"/>
    <cellStyle name="Accent1 12" xfId="415"/>
    <cellStyle name="Accent1 2" xfId="416"/>
    <cellStyle name="Accent1 3" xfId="417"/>
    <cellStyle name="Accent1 4" xfId="418"/>
    <cellStyle name="Accent1 5" xfId="419"/>
    <cellStyle name="Accent1 6" xfId="420"/>
    <cellStyle name="Accent1 7" xfId="421"/>
    <cellStyle name="Accent1 8" xfId="422"/>
    <cellStyle name="Accent1 9" xfId="423"/>
    <cellStyle name="Accent2 10" xfId="424"/>
    <cellStyle name="Accent2 11" xfId="425"/>
    <cellStyle name="Accent2 12" xfId="426"/>
    <cellStyle name="Accent2 2" xfId="427"/>
    <cellStyle name="Accent2 3" xfId="428"/>
    <cellStyle name="Accent2 4" xfId="429"/>
    <cellStyle name="Accent2 5" xfId="430"/>
    <cellStyle name="Accent2 6" xfId="431"/>
    <cellStyle name="Accent2 7" xfId="432"/>
    <cellStyle name="Accent2 8" xfId="433"/>
    <cellStyle name="Accent2 9" xfId="434"/>
    <cellStyle name="Accent3 10" xfId="435"/>
    <cellStyle name="Accent3 10 2" xfId="436"/>
    <cellStyle name="Accent3 11" xfId="437"/>
    <cellStyle name="Accent3 11 2" xfId="438"/>
    <cellStyle name="Accent3 12" xfId="439"/>
    <cellStyle name="Accent3 2" xfId="440"/>
    <cellStyle name="Accent3 2 2" xfId="441"/>
    <cellStyle name="Accent3 3" xfId="442"/>
    <cellStyle name="Accent3 3 2" xfId="443"/>
    <cellStyle name="Accent3 4" xfId="444"/>
    <cellStyle name="Accent3 4 2" xfId="445"/>
    <cellStyle name="Accent3 5" xfId="446"/>
    <cellStyle name="Accent3 5 2" xfId="447"/>
    <cellStyle name="Accent3 6" xfId="448"/>
    <cellStyle name="Accent3 6 2" xfId="449"/>
    <cellStyle name="Accent3 7" xfId="450"/>
    <cellStyle name="Accent3 7 2" xfId="451"/>
    <cellStyle name="Accent3 8" xfId="452"/>
    <cellStyle name="Accent3 8 2" xfId="453"/>
    <cellStyle name="Accent3 9" xfId="454"/>
    <cellStyle name="Accent3 9 2" xfId="455"/>
    <cellStyle name="Accent4 10" xfId="456"/>
    <cellStyle name="Accent4 10 2" xfId="457"/>
    <cellStyle name="Accent4 11" xfId="458"/>
    <cellStyle name="Accent4 11 2" xfId="459"/>
    <cellStyle name="Accent4 12" xfId="460"/>
    <cellStyle name="Accent4 2" xfId="461"/>
    <cellStyle name="Accent4 2 2" xfId="462"/>
    <cellStyle name="Accent4 3" xfId="463"/>
    <cellStyle name="Accent4 3 2" xfId="464"/>
    <cellStyle name="Accent4 4" xfId="465"/>
    <cellStyle name="Accent4 4 2" xfId="466"/>
    <cellStyle name="Accent4 5" xfId="467"/>
    <cellStyle name="Accent4 5 2" xfId="468"/>
    <cellStyle name="Accent4 6" xfId="469"/>
    <cellStyle name="Accent4 6 2" xfId="470"/>
    <cellStyle name="Accent4 7" xfId="471"/>
    <cellStyle name="Accent4 7 2" xfId="472"/>
    <cellStyle name="Accent4 8" xfId="473"/>
    <cellStyle name="Accent4 8 2" xfId="474"/>
    <cellStyle name="Accent4 9" xfId="475"/>
    <cellStyle name="Accent4 9 2" xfId="476"/>
    <cellStyle name="Accent5 10" xfId="477"/>
    <cellStyle name="Accent5 11" xfId="478"/>
    <cellStyle name="Accent5 12" xfId="479"/>
    <cellStyle name="Accent5 2" xfId="480"/>
    <cellStyle name="Accent5 3" xfId="481"/>
    <cellStyle name="Accent5 4" xfId="482"/>
    <cellStyle name="Accent5 5" xfId="483"/>
    <cellStyle name="Accent5 6" xfId="484"/>
    <cellStyle name="Accent5 7" xfId="485"/>
    <cellStyle name="Accent5 8" xfId="486"/>
    <cellStyle name="Accent5 9" xfId="487"/>
    <cellStyle name="Accent6 10" xfId="488"/>
    <cellStyle name="Accent6 10 2" xfId="489"/>
    <cellStyle name="Accent6 11" xfId="490"/>
    <cellStyle name="Accent6 11 2" xfId="491"/>
    <cellStyle name="Accent6 12" xfId="492"/>
    <cellStyle name="Accent6 2" xfId="493"/>
    <cellStyle name="Accent6 2 2" xfId="494"/>
    <cellStyle name="Accent6 3" xfId="495"/>
    <cellStyle name="Accent6 3 2" xfId="496"/>
    <cellStyle name="Accent6 4" xfId="497"/>
    <cellStyle name="Accent6 4 2" xfId="498"/>
    <cellStyle name="Accent6 5" xfId="499"/>
    <cellStyle name="Accent6 5 2" xfId="500"/>
    <cellStyle name="Accent6 6" xfId="501"/>
    <cellStyle name="Accent6 6 2" xfId="502"/>
    <cellStyle name="Accent6 7" xfId="503"/>
    <cellStyle name="Accent6 7 2" xfId="504"/>
    <cellStyle name="Accent6 8" xfId="505"/>
    <cellStyle name="Accent6 8 2" xfId="506"/>
    <cellStyle name="Accent6 9" xfId="507"/>
    <cellStyle name="Accent6 9 2" xfId="508"/>
    <cellStyle name="ÅëÈ­ [0]_±âÅ¸" xfId="509"/>
    <cellStyle name="ÅëÈ­_±âÅ¸" xfId="510"/>
    <cellStyle name="args.style" xfId="511"/>
    <cellStyle name="ÄÞ¸¶ [0]_±âÅ¸" xfId="512"/>
    <cellStyle name="ÄÞ¸¶_±âÅ¸" xfId="513"/>
    <cellStyle name="Bad 10" xfId="514"/>
    <cellStyle name="Bad 11" xfId="515"/>
    <cellStyle name="Bad 12" xfId="516"/>
    <cellStyle name="Bad 2" xfId="517"/>
    <cellStyle name="Bad 3" xfId="518"/>
    <cellStyle name="Bad 4" xfId="519"/>
    <cellStyle name="Bad 5" xfId="520"/>
    <cellStyle name="Bad 6" xfId="521"/>
    <cellStyle name="Bad 7" xfId="522"/>
    <cellStyle name="Bad 8" xfId="523"/>
    <cellStyle name="Bad 9" xfId="524"/>
    <cellStyle name="Ç¥ÁØ_¿¬°£´©°è¿¹»ó" xfId="525"/>
    <cellStyle name="Calc Currency (0)" xfId="526"/>
    <cellStyle name="Calc Currency (2)" xfId="527"/>
    <cellStyle name="Calc Percent (0)" xfId="528"/>
    <cellStyle name="Calc Percent (1)" xfId="529"/>
    <cellStyle name="Calc Percent (2)" xfId="530"/>
    <cellStyle name="Calc Units (0)" xfId="531"/>
    <cellStyle name="Calc Units (1)" xfId="532"/>
    <cellStyle name="Calc Units (2)" xfId="533"/>
    <cellStyle name="Calculation 10" xfId="534"/>
    <cellStyle name="Calculation 10 2" xfId="1492"/>
    <cellStyle name="Calculation 11" xfId="535"/>
    <cellStyle name="Calculation 11 2" xfId="1549"/>
    <cellStyle name="Calculation 12" xfId="536"/>
    <cellStyle name="Calculation 12 2" xfId="1548"/>
    <cellStyle name="Calculation 2" xfId="537"/>
    <cellStyle name="Calculation 2 2" xfId="1547"/>
    <cellStyle name="Calculation 3" xfId="538"/>
    <cellStyle name="Calculation 3 2" xfId="1546"/>
    <cellStyle name="Calculation 4" xfId="539"/>
    <cellStyle name="Calculation 4 2" xfId="1545"/>
    <cellStyle name="Calculation 5" xfId="540"/>
    <cellStyle name="Calculation 5 2" xfId="1544"/>
    <cellStyle name="Calculation 6" xfId="541"/>
    <cellStyle name="Calculation 6 2" xfId="1543"/>
    <cellStyle name="Calculation 7" xfId="542"/>
    <cellStyle name="Calculation 7 2" xfId="1542"/>
    <cellStyle name="Calculation 8" xfId="543"/>
    <cellStyle name="Calculation 8 2" xfId="1541"/>
    <cellStyle name="Calculation 9" xfId="544"/>
    <cellStyle name="Calculation 9 2" xfId="1540"/>
    <cellStyle name="Check Cell 10" xfId="545"/>
    <cellStyle name="Check Cell 10 2" xfId="546"/>
    <cellStyle name="Check Cell 11" xfId="547"/>
    <cellStyle name="Check Cell 11 2" xfId="548"/>
    <cellStyle name="Check Cell 12" xfId="549"/>
    <cellStyle name="Check Cell 2" xfId="550"/>
    <cellStyle name="Check Cell 2 2" xfId="551"/>
    <cellStyle name="Check Cell 3" xfId="552"/>
    <cellStyle name="Check Cell 3 2" xfId="553"/>
    <cellStyle name="Check Cell 4" xfId="554"/>
    <cellStyle name="Check Cell 4 2" xfId="555"/>
    <cellStyle name="Check Cell 5" xfId="556"/>
    <cellStyle name="Check Cell 5 2" xfId="557"/>
    <cellStyle name="Check Cell 6" xfId="558"/>
    <cellStyle name="Check Cell 6 2" xfId="559"/>
    <cellStyle name="Check Cell 7" xfId="560"/>
    <cellStyle name="Check Cell 7 2" xfId="561"/>
    <cellStyle name="Check Cell 8" xfId="562"/>
    <cellStyle name="Check Cell 8 2" xfId="563"/>
    <cellStyle name="Check Cell 9" xfId="564"/>
    <cellStyle name="Check Cell 9 2" xfId="565"/>
    <cellStyle name="Comma" xfId="1" builtinId="3"/>
    <cellStyle name="Comma [0]" xfId="13" builtinId="6"/>
    <cellStyle name="Comma [0] 10" xfId="566"/>
    <cellStyle name="Comma [0] 10 2" xfId="567"/>
    <cellStyle name="Comma [0] 10 2 2" xfId="568"/>
    <cellStyle name="Comma [0] 10 2 2 2" xfId="569"/>
    <cellStyle name="Comma [0] 10 2 2 2 2" xfId="570"/>
    <cellStyle name="Comma [0] 10 2 2 2 3" xfId="571"/>
    <cellStyle name="Comma [0] 10 2 2 3" xfId="572"/>
    <cellStyle name="Comma [0] 10 2 2 3 2" xfId="573"/>
    <cellStyle name="Comma [0] 10 2 2 4" xfId="574"/>
    <cellStyle name="Comma [0] 10 2 3" xfId="575"/>
    <cellStyle name="Comma [0] 10 2 3 2" xfId="576"/>
    <cellStyle name="Comma [0] 10 2 4" xfId="577"/>
    <cellStyle name="Comma [0] 10 3" xfId="578"/>
    <cellStyle name="Comma [0] 10 3 2" xfId="579"/>
    <cellStyle name="Comma [0] 10 3 3" xfId="580"/>
    <cellStyle name="Comma [0] 10 4" xfId="581"/>
    <cellStyle name="Comma [0] 10 4 2" xfId="582"/>
    <cellStyle name="Comma [0] 10 4 3" xfId="583"/>
    <cellStyle name="Comma [0] 10 5" xfId="584"/>
    <cellStyle name="Comma [0] 10 5 2" xfId="585"/>
    <cellStyle name="Comma [0] 10 5 3" xfId="586"/>
    <cellStyle name="Comma [0] 10 6" xfId="587"/>
    <cellStyle name="Comma [0] 10 6 2" xfId="588"/>
    <cellStyle name="Comma [0] 10 6 3" xfId="589"/>
    <cellStyle name="Comma [0] 10 7" xfId="590"/>
    <cellStyle name="Comma [0] 10 7 2" xfId="591"/>
    <cellStyle name="Comma [0] 10 7 3" xfId="592"/>
    <cellStyle name="Comma [0] 11" xfId="593"/>
    <cellStyle name="Comma [0] 12" xfId="594"/>
    <cellStyle name="Comma [0] 12 2" xfId="595"/>
    <cellStyle name="Comma [0] 13" xfId="596"/>
    <cellStyle name="Comma [0] 14" xfId="597"/>
    <cellStyle name="Comma [0] 2" xfId="3"/>
    <cellStyle name="Comma [0] 2 10" xfId="598"/>
    <cellStyle name="Comma [0] 2 10 2" xfId="599"/>
    <cellStyle name="Comma [0] 2 11" xfId="600"/>
    <cellStyle name="Comma [0] 2 11 2" xfId="601"/>
    <cellStyle name="Comma [0] 2 12" xfId="602"/>
    <cellStyle name="Comma [0] 2 12 2" xfId="603"/>
    <cellStyle name="Comma [0] 2 13" xfId="604"/>
    <cellStyle name="Comma [0] 2 13 2" xfId="605"/>
    <cellStyle name="Comma [0] 2 14" xfId="606"/>
    <cellStyle name="Comma [0] 2 15" xfId="607"/>
    <cellStyle name="Comma [0] 2 15 2" xfId="608"/>
    <cellStyle name="Comma [0] 2 16" xfId="609"/>
    <cellStyle name="Comma [0] 2 17" xfId="610"/>
    <cellStyle name="Comma [0] 2 18" xfId="14"/>
    <cellStyle name="Comma [0] 2 2" xfId="611"/>
    <cellStyle name="Comma [0] 2 2 2" xfId="612"/>
    <cellStyle name="Comma [0] 2 2 3" xfId="613"/>
    <cellStyle name="Comma [0] 2 2 4" xfId="614"/>
    <cellStyle name="Comma [0] 2 2 5" xfId="615"/>
    <cellStyle name="Comma [0] 2 2 6" xfId="616"/>
    <cellStyle name="Comma [0] 2 2 7" xfId="617"/>
    <cellStyle name="Comma [0] 2 2 8" xfId="618"/>
    <cellStyle name="Comma [0] 2 2 9" xfId="619"/>
    <cellStyle name="Comma [0] 2 3" xfId="620"/>
    <cellStyle name="Comma [0] 2 3 2" xfId="621"/>
    <cellStyle name="Comma [0] 2 4" xfId="622"/>
    <cellStyle name="Comma [0] 2 4 2" xfId="623"/>
    <cellStyle name="Comma [0] 2 5" xfId="624"/>
    <cellStyle name="Comma [0] 2 5 2" xfId="625"/>
    <cellStyle name="Comma [0] 2 6" xfId="626"/>
    <cellStyle name="Comma [0] 2 6 2" xfId="627"/>
    <cellStyle name="Comma [0] 2 7" xfId="628"/>
    <cellStyle name="Comma [0] 2 7 2" xfId="629"/>
    <cellStyle name="Comma [0] 2 8" xfId="630"/>
    <cellStyle name="Comma [0] 2 8 2" xfId="631"/>
    <cellStyle name="Comma [0] 2 9" xfId="632"/>
    <cellStyle name="Comma [0] 2 9 2" xfId="633"/>
    <cellStyle name="Comma [0] 2_Trial Balance Apr11-Mar12 Oil MillA" xfId="634"/>
    <cellStyle name="Comma [0] 21" xfId="635"/>
    <cellStyle name="Comma [0] 21 2" xfId="636"/>
    <cellStyle name="Comma [0] 21 3" xfId="637"/>
    <cellStyle name="Comma [0] 3" xfId="638"/>
    <cellStyle name="Comma [0] 3 2" xfId="639"/>
    <cellStyle name="Comma [0] 3 2 2" xfId="640"/>
    <cellStyle name="Comma [0] 3 3" xfId="641"/>
    <cellStyle name="Comma [0] 3 3 2" xfId="642"/>
    <cellStyle name="Comma [0] 3 4" xfId="643"/>
    <cellStyle name="Comma [0] 3 5" xfId="644"/>
    <cellStyle name="Comma [0] 3 5 2" xfId="645"/>
    <cellStyle name="Comma [0] 3 6" xfId="646"/>
    <cellStyle name="Comma [0] 3 6 2" xfId="647"/>
    <cellStyle name="Comma [0] 3 6 2 2" xfId="648"/>
    <cellStyle name="Comma [0] 4" xfId="4"/>
    <cellStyle name="Comma [0] 4 2" xfId="649"/>
    <cellStyle name="Comma [0] 4 2 2" xfId="1488"/>
    <cellStyle name="Comma [0] 4 2 2 2" xfId="1490"/>
    <cellStyle name="Comma [0] 4 2 2 2 2" xfId="1491"/>
    <cellStyle name="Comma [0] 4 3" xfId="650"/>
    <cellStyle name="Comma [0] 4 4" xfId="651"/>
    <cellStyle name="Comma [0] 4 4 2" xfId="1489"/>
    <cellStyle name="Comma [0] 4 5" xfId="652"/>
    <cellStyle name="Comma [0] 4 6" xfId="653"/>
    <cellStyle name="Comma [0] 4 7" xfId="16"/>
    <cellStyle name="Comma [0] 5" xfId="654"/>
    <cellStyle name="Comma [0] 5 2" xfId="655"/>
    <cellStyle name="Comma [0] 5 2 2" xfId="656"/>
    <cellStyle name="Comma [0] 5 2 3" xfId="657"/>
    <cellStyle name="Comma [0] 5 3" xfId="658"/>
    <cellStyle name="Comma [0] 5 4" xfId="659"/>
    <cellStyle name="Comma [0] 5 5" xfId="660"/>
    <cellStyle name="Comma [0] 5 6" xfId="661"/>
    <cellStyle name="Comma [0] 6" xfId="662"/>
    <cellStyle name="Comma [0] 6 2" xfId="663"/>
    <cellStyle name="Comma [0] 6 2 2" xfId="664"/>
    <cellStyle name="Comma [0] 6 2 3" xfId="665"/>
    <cellStyle name="Comma [0] 6 2 4" xfId="666"/>
    <cellStyle name="Comma [0] 6 2 5" xfId="667"/>
    <cellStyle name="Comma [0] 6 3" xfId="668"/>
    <cellStyle name="Comma [0] 6 4" xfId="669"/>
    <cellStyle name="Comma [0] 7" xfId="670"/>
    <cellStyle name="Comma [0] 7 2" xfId="671"/>
    <cellStyle name="Comma [0] 8" xfId="672"/>
    <cellStyle name="Comma [0] 8 2" xfId="673"/>
    <cellStyle name="Comma [0] 9" xfId="674"/>
    <cellStyle name="Comma [00]" xfId="675"/>
    <cellStyle name="Comma 10" xfId="676"/>
    <cellStyle name="Comma 10 10" xfId="677"/>
    <cellStyle name="Comma 10 10 2" xfId="678"/>
    <cellStyle name="Comma 10 10 3" xfId="679"/>
    <cellStyle name="Comma 10 11" xfId="680"/>
    <cellStyle name="Comma 10 11 2" xfId="681"/>
    <cellStyle name="Comma 10 11 3" xfId="682"/>
    <cellStyle name="Comma 10 12" xfId="683"/>
    <cellStyle name="Comma 10 12 2" xfId="684"/>
    <cellStyle name="Comma 10 12 3" xfId="685"/>
    <cellStyle name="Comma 10 13" xfId="686"/>
    <cellStyle name="Comma 10 13 2" xfId="687"/>
    <cellStyle name="Comma 10 13 3" xfId="688"/>
    <cellStyle name="Comma 10 14" xfId="689"/>
    <cellStyle name="Comma 10 14 2" xfId="690"/>
    <cellStyle name="Comma 10 14 3" xfId="691"/>
    <cellStyle name="Comma 10 15" xfId="692"/>
    <cellStyle name="Comma 10 15 2" xfId="693"/>
    <cellStyle name="Comma 10 15 3" xfId="694"/>
    <cellStyle name="Comma 10 16" xfId="695"/>
    <cellStyle name="Comma 10 17" xfId="696"/>
    <cellStyle name="Comma 10 2" xfId="697"/>
    <cellStyle name="Comma 10 2 2" xfId="698"/>
    <cellStyle name="Comma 10 2 3" xfId="699"/>
    <cellStyle name="Comma 10 3" xfId="700"/>
    <cellStyle name="Comma 10 3 2" xfId="701"/>
    <cellStyle name="Comma 10 3 3" xfId="702"/>
    <cellStyle name="Comma 10 4" xfId="703"/>
    <cellStyle name="Comma 10 4 2" xfId="704"/>
    <cellStyle name="Comma 10 4 3" xfId="705"/>
    <cellStyle name="Comma 10 5" xfId="706"/>
    <cellStyle name="Comma 10 5 2" xfId="707"/>
    <cellStyle name="Comma 10 5 3" xfId="708"/>
    <cellStyle name="Comma 10 6" xfId="709"/>
    <cellStyle name="Comma 10 6 2" xfId="710"/>
    <cellStyle name="Comma 10 6 3" xfId="711"/>
    <cellStyle name="Comma 10 7" xfId="712"/>
    <cellStyle name="Comma 10 7 2" xfId="713"/>
    <cellStyle name="Comma 10 7 3" xfId="714"/>
    <cellStyle name="Comma 10 8" xfId="715"/>
    <cellStyle name="Comma 10 8 2" xfId="716"/>
    <cellStyle name="Comma 10 8 3" xfId="717"/>
    <cellStyle name="Comma 10 9" xfId="718"/>
    <cellStyle name="Comma 10 9 2" xfId="719"/>
    <cellStyle name="Comma 10 9 3" xfId="720"/>
    <cellStyle name="Comma 11" xfId="721"/>
    <cellStyle name="Comma 11 10" xfId="722"/>
    <cellStyle name="Comma 11 10 2" xfId="723"/>
    <cellStyle name="Comma 11 10 3" xfId="724"/>
    <cellStyle name="Comma 11 11" xfId="725"/>
    <cellStyle name="Comma 11 11 2" xfId="726"/>
    <cellStyle name="Comma 11 11 3" xfId="727"/>
    <cellStyle name="Comma 11 12" xfId="728"/>
    <cellStyle name="Comma 11 12 2" xfId="729"/>
    <cellStyle name="Comma 11 12 3" xfId="730"/>
    <cellStyle name="Comma 11 13" xfId="731"/>
    <cellStyle name="Comma 11 13 2" xfId="732"/>
    <cellStyle name="Comma 11 13 3" xfId="733"/>
    <cellStyle name="Comma 11 14" xfId="734"/>
    <cellStyle name="Comma 11 14 2" xfId="735"/>
    <cellStyle name="Comma 11 14 3" xfId="736"/>
    <cellStyle name="Comma 11 15" xfId="737"/>
    <cellStyle name="Comma 11 15 2" xfId="738"/>
    <cellStyle name="Comma 11 15 3" xfId="739"/>
    <cellStyle name="Comma 11 16" xfId="740"/>
    <cellStyle name="Comma 11 17" xfId="741"/>
    <cellStyle name="Comma 11 18" xfId="742"/>
    <cellStyle name="Comma 11 2" xfId="743"/>
    <cellStyle name="Comma 11 2 2" xfId="744"/>
    <cellStyle name="Comma 11 2 3" xfId="745"/>
    <cellStyle name="Comma 11 2 4" xfId="746"/>
    <cellStyle name="Comma 11 3" xfId="747"/>
    <cellStyle name="Comma 11 3 2" xfId="748"/>
    <cellStyle name="Comma 11 3 3" xfId="749"/>
    <cellStyle name="Comma 11 4" xfId="750"/>
    <cellStyle name="Comma 11 4 2" xfId="751"/>
    <cellStyle name="Comma 11 4 3" xfId="752"/>
    <cellStyle name="Comma 11 5" xfId="753"/>
    <cellStyle name="Comma 11 5 2" xfId="754"/>
    <cellStyle name="Comma 11 5 3" xfId="755"/>
    <cellStyle name="Comma 11 6" xfId="756"/>
    <cellStyle name="Comma 11 6 2" xfId="757"/>
    <cellStyle name="Comma 11 6 3" xfId="758"/>
    <cellStyle name="Comma 11 7" xfId="759"/>
    <cellStyle name="Comma 11 7 2" xfId="760"/>
    <cellStyle name="Comma 11 7 3" xfId="761"/>
    <cellStyle name="Comma 11 8" xfId="762"/>
    <cellStyle name="Comma 11 8 2" xfId="763"/>
    <cellStyle name="Comma 11 8 3" xfId="764"/>
    <cellStyle name="Comma 11 9" xfId="765"/>
    <cellStyle name="Comma 11 9 2" xfId="766"/>
    <cellStyle name="Comma 11 9 3" xfId="767"/>
    <cellStyle name="Comma 12" xfId="768"/>
    <cellStyle name="Comma 12 10" xfId="769"/>
    <cellStyle name="Comma 12 10 2" xfId="770"/>
    <cellStyle name="Comma 12 10 3" xfId="771"/>
    <cellStyle name="Comma 12 11" xfId="772"/>
    <cellStyle name="Comma 12 11 2" xfId="773"/>
    <cellStyle name="Comma 12 11 3" xfId="774"/>
    <cellStyle name="Comma 12 12" xfId="775"/>
    <cellStyle name="Comma 12 12 2" xfId="776"/>
    <cellStyle name="Comma 12 12 3" xfId="777"/>
    <cellStyle name="Comma 12 13" xfId="778"/>
    <cellStyle name="Comma 12 13 2" xfId="779"/>
    <cellStyle name="Comma 12 13 3" xfId="780"/>
    <cellStyle name="Comma 12 14" xfId="781"/>
    <cellStyle name="Comma 12 14 2" xfId="782"/>
    <cellStyle name="Comma 12 14 3" xfId="783"/>
    <cellStyle name="Comma 12 15" xfId="784"/>
    <cellStyle name="Comma 12 15 2" xfId="785"/>
    <cellStyle name="Comma 12 15 3" xfId="786"/>
    <cellStyle name="Comma 12 16" xfId="787"/>
    <cellStyle name="Comma 12 17" xfId="788"/>
    <cellStyle name="Comma 12 18" xfId="789"/>
    <cellStyle name="Comma 12 2" xfId="790"/>
    <cellStyle name="Comma 12 2 2" xfId="791"/>
    <cellStyle name="Comma 12 2 3" xfId="792"/>
    <cellStyle name="Comma 12 2 4" xfId="793"/>
    <cellStyle name="Comma 12 3" xfId="794"/>
    <cellStyle name="Comma 12 3 2" xfId="795"/>
    <cellStyle name="Comma 12 3 3" xfId="796"/>
    <cellStyle name="Comma 12 4" xfId="797"/>
    <cellStyle name="Comma 12 4 2" xfId="798"/>
    <cellStyle name="Comma 12 4 3" xfId="799"/>
    <cellStyle name="Comma 12 5" xfId="800"/>
    <cellStyle name="Comma 12 5 2" xfId="801"/>
    <cellStyle name="Comma 12 5 3" xfId="802"/>
    <cellStyle name="Comma 12 6" xfId="803"/>
    <cellStyle name="Comma 12 6 2" xfId="804"/>
    <cellStyle name="Comma 12 6 3" xfId="805"/>
    <cellStyle name="Comma 12 7" xfId="806"/>
    <cellStyle name="Comma 12 7 2" xfId="807"/>
    <cellStyle name="Comma 12 7 3" xfId="808"/>
    <cellStyle name="Comma 12 8" xfId="809"/>
    <cellStyle name="Comma 12 8 2" xfId="810"/>
    <cellStyle name="Comma 12 8 3" xfId="811"/>
    <cellStyle name="Comma 12 9" xfId="812"/>
    <cellStyle name="Comma 12 9 2" xfId="813"/>
    <cellStyle name="Comma 12 9 3" xfId="814"/>
    <cellStyle name="Comma 13" xfId="815"/>
    <cellStyle name="Comma 13 2" xfId="816"/>
    <cellStyle name="Comma 14" xfId="817"/>
    <cellStyle name="Comma 14 2" xfId="818"/>
    <cellStyle name="Comma 14 3" xfId="819"/>
    <cellStyle name="Comma 15" xfId="820"/>
    <cellStyle name="Comma 15 2" xfId="821"/>
    <cellStyle name="Comma 15 3" xfId="822"/>
    <cellStyle name="Comma 16" xfId="823"/>
    <cellStyle name="Comma 16 2" xfId="824"/>
    <cellStyle name="Comma 16 3" xfId="825"/>
    <cellStyle name="Comma 17" xfId="826"/>
    <cellStyle name="Comma 17 2" xfId="827"/>
    <cellStyle name="Comma 17 3" xfId="828"/>
    <cellStyle name="Comma 18" xfId="829"/>
    <cellStyle name="Comma 18 2" xfId="830"/>
    <cellStyle name="Comma 18 2 2" xfId="831"/>
    <cellStyle name="Comma 18 2 3" xfId="832"/>
    <cellStyle name="Comma 18 2 4" xfId="833"/>
    <cellStyle name="Comma 18 3" xfId="834"/>
    <cellStyle name="Comma 19" xfId="835"/>
    <cellStyle name="Comma 19 2" xfId="836"/>
    <cellStyle name="Comma 19 2 2" xfId="837"/>
    <cellStyle name="Comma 19 2 3" xfId="838"/>
    <cellStyle name="Comma 19 2 4" xfId="839"/>
    <cellStyle name="Comma 19 3" xfId="840"/>
    <cellStyle name="Comma 2" xfId="5"/>
    <cellStyle name="Comma 2 10" xfId="841"/>
    <cellStyle name="Comma 2 11" xfId="842"/>
    <cellStyle name="Comma 2 12" xfId="843"/>
    <cellStyle name="Comma 2 13" xfId="844"/>
    <cellStyle name="Comma 2 14" xfId="845"/>
    <cellStyle name="Comma 2 15" xfId="846"/>
    <cellStyle name="Comma 2 16" xfId="847"/>
    <cellStyle name="Comma 2 17" xfId="848"/>
    <cellStyle name="Comma 2 18" xfId="849"/>
    <cellStyle name="Comma 2 19" xfId="850"/>
    <cellStyle name="Comma 2 2" xfId="18"/>
    <cellStyle name="Comma 2 2 10" xfId="851"/>
    <cellStyle name="Comma 2 2 11" xfId="852"/>
    <cellStyle name="Comma 2 2 12" xfId="853"/>
    <cellStyle name="Comma 2 2 13" xfId="854"/>
    <cellStyle name="Comma 2 2 14" xfId="855"/>
    <cellStyle name="Comma 2 2 15" xfId="856"/>
    <cellStyle name="Comma 2 2 16" xfId="857"/>
    <cellStyle name="Comma 2 2 2" xfId="858"/>
    <cellStyle name="Comma 2 2 2 2" xfId="859"/>
    <cellStyle name="Comma 2 2 3" xfId="860"/>
    <cellStyle name="Comma 2 2 4" xfId="861"/>
    <cellStyle name="Comma 2 2 5" xfId="862"/>
    <cellStyle name="Comma 2 2 6" xfId="863"/>
    <cellStyle name="Comma 2 2 7" xfId="864"/>
    <cellStyle name="Comma 2 2 8" xfId="865"/>
    <cellStyle name="Comma 2 2 9" xfId="866"/>
    <cellStyle name="Comma 2 20" xfId="867"/>
    <cellStyle name="Comma 2 3" xfId="868"/>
    <cellStyle name="Comma 2 3 2" xfId="869"/>
    <cellStyle name="Comma 2 3 3" xfId="870"/>
    <cellStyle name="Comma 2 4" xfId="871"/>
    <cellStyle name="Comma 2 5" xfId="872"/>
    <cellStyle name="Comma 2 6" xfId="873"/>
    <cellStyle name="Comma 2 6 2" xfId="874"/>
    <cellStyle name="Comma 2 6 2 2" xfId="875"/>
    <cellStyle name="Comma 2 6 2 2 2" xfId="876"/>
    <cellStyle name="Comma 2 6 2 2 3" xfId="877"/>
    <cellStyle name="Comma 2 6 2 2 4" xfId="878"/>
    <cellStyle name="Comma 2 6 2 2 4 2" xfId="879"/>
    <cellStyle name="Comma 2 6 2 2 4 3" xfId="880"/>
    <cellStyle name="Comma 2 6 3" xfId="881"/>
    <cellStyle name="Comma 2 7" xfId="882"/>
    <cellStyle name="Comma 2 8" xfId="883"/>
    <cellStyle name="Comma 2 9" xfId="884"/>
    <cellStyle name="Comma 20" xfId="885"/>
    <cellStyle name="Comma 20 2" xfId="886"/>
    <cellStyle name="Comma 20 2 2" xfId="887"/>
    <cellStyle name="Comma 20 2 3" xfId="888"/>
    <cellStyle name="Comma 21" xfId="889"/>
    <cellStyle name="Comma 21 2" xfId="890"/>
    <cellStyle name="Comma 21 3" xfId="891"/>
    <cellStyle name="Comma 22" xfId="892"/>
    <cellStyle name="Comma 22 2" xfId="893"/>
    <cellStyle name="Comma 22 3" xfId="894"/>
    <cellStyle name="Comma 23" xfId="895"/>
    <cellStyle name="Comma 23 2" xfId="896"/>
    <cellStyle name="Comma 23 3" xfId="897"/>
    <cellStyle name="Comma 24" xfId="898"/>
    <cellStyle name="Comma 24 2" xfId="899"/>
    <cellStyle name="Comma 24 3" xfId="900"/>
    <cellStyle name="Comma 25" xfId="901"/>
    <cellStyle name="Comma 3" xfId="6"/>
    <cellStyle name="Comma 3 10" xfId="902"/>
    <cellStyle name="Comma 3 10 2" xfId="903"/>
    <cellStyle name="Comma 3 11" xfId="904"/>
    <cellStyle name="Comma 3 12" xfId="905"/>
    <cellStyle name="Comma 3 2" xfId="906"/>
    <cellStyle name="Comma 3 2 10" xfId="907"/>
    <cellStyle name="Comma 3 2 2" xfId="908"/>
    <cellStyle name="Comma 3 2 3" xfId="909"/>
    <cellStyle name="Comma 3 2 4" xfId="910"/>
    <cellStyle name="Comma 3 2 5" xfId="911"/>
    <cellStyle name="Comma 3 2 6" xfId="912"/>
    <cellStyle name="Comma 3 2 7" xfId="913"/>
    <cellStyle name="Comma 3 2 8" xfId="914"/>
    <cellStyle name="Comma 3 2 9" xfId="915"/>
    <cellStyle name="Comma 3 3" xfId="916"/>
    <cellStyle name="Comma 3 3 2" xfId="917"/>
    <cellStyle name="Comma 3 3 3" xfId="918"/>
    <cellStyle name="Comma 3 4" xfId="919"/>
    <cellStyle name="Comma 3 4 2" xfId="920"/>
    <cellStyle name="Comma 3 4 3" xfId="921"/>
    <cellStyle name="Comma 3 5" xfId="922"/>
    <cellStyle name="Comma 3 5 2" xfId="923"/>
    <cellStyle name="Comma 3 5 2 2" xfId="924"/>
    <cellStyle name="Comma 3 5 2 2 2" xfId="925"/>
    <cellStyle name="Comma 3 5 2 2 3" xfId="926"/>
    <cellStyle name="Comma 3 5 2 3" xfId="927"/>
    <cellStyle name="Comma 3 5 3" xfId="928"/>
    <cellStyle name="Comma 3 6" xfId="929"/>
    <cellStyle name="Comma 3 6 2" xfId="930"/>
    <cellStyle name="Comma 3 7" xfId="931"/>
    <cellStyle name="Comma 3 7 2" xfId="932"/>
    <cellStyle name="Comma 3 8" xfId="933"/>
    <cellStyle name="Comma 3 8 2" xfId="934"/>
    <cellStyle name="Comma 3 9" xfId="935"/>
    <cellStyle name="Comma 3 9 2" xfId="936"/>
    <cellStyle name="Comma 3_Trial Balance Apr11-Mar12 Oil MillA" xfId="937"/>
    <cellStyle name="Comma 4" xfId="17"/>
    <cellStyle name="Comma 4 10" xfId="938"/>
    <cellStyle name="Comma 4 10 2" xfId="939"/>
    <cellStyle name="Comma 4 10 3" xfId="940"/>
    <cellStyle name="Comma 4 11" xfId="941"/>
    <cellStyle name="Comma 4 12" xfId="942"/>
    <cellStyle name="Comma 4 13" xfId="943"/>
    <cellStyle name="Comma 4 2" xfId="944"/>
    <cellStyle name="Comma 4 2 2" xfId="945"/>
    <cellStyle name="Comma 4 2 3" xfId="946"/>
    <cellStyle name="Comma 4 2 4" xfId="947"/>
    <cellStyle name="Comma 4 3" xfId="948"/>
    <cellStyle name="Comma 4 3 2" xfId="949"/>
    <cellStyle name="Comma 4 4" xfId="950"/>
    <cellStyle name="Comma 4 4 2" xfId="951"/>
    <cellStyle name="Comma 4 4 3" xfId="952"/>
    <cellStyle name="Comma 4 5" xfId="953"/>
    <cellStyle name="Comma 4 5 2" xfId="954"/>
    <cellStyle name="Comma 4 5 3" xfId="955"/>
    <cellStyle name="Comma 4 6" xfId="956"/>
    <cellStyle name="Comma 4 6 2" xfId="957"/>
    <cellStyle name="Comma 4 6 3" xfId="958"/>
    <cellStyle name="Comma 4 7" xfId="959"/>
    <cellStyle name="Comma 4 7 2" xfId="960"/>
    <cellStyle name="Comma 4 7 3" xfId="961"/>
    <cellStyle name="Comma 4 8" xfId="962"/>
    <cellStyle name="Comma 4 8 2" xfId="963"/>
    <cellStyle name="Comma 4 8 3" xfId="964"/>
    <cellStyle name="Comma 4 9" xfId="965"/>
    <cellStyle name="Comma 4 9 2" xfId="966"/>
    <cellStyle name="Comma 4 9 3" xfId="967"/>
    <cellStyle name="Comma 5" xfId="968"/>
    <cellStyle name="Comma 5 2" xfId="969"/>
    <cellStyle name="Comma 5 2 2" xfId="970"/>
    <cellStyle name="Comma 5 2 3" xfId="971"/>
    <cellStyle name="Comma 5 3" xfId="972"/>
    <cellStyle name="Comma 5 3 2" xfId="973"/>
    <cellStyle name="Comma 5 4" xfId="974"/>
    <cellStyle name="Comma 6" xfId="975"/>
    <cellStyle name="Comma 6 10" xfId="976"/>
    <cellStyle name="Comma 6 10 2" xfId="977"/>
    <cellStyle name="Comma 6 10 3" xfId="978"/>
    <cellStyle name="Comma 6 11" xfId="979"/>
    <cellStyle name="Comma 6 11 2" xfId="980"/>
    <cellStyle name="Comma 6 11 3" xfId="981"/>
    <cellStyle name="Comma 6 12" xfId="982"/>
    <cellStyle name="Comma 6 12 2" xfId="983"/>
    <cellStyle name="Comma 6 12 3" xfId="984"/>
    <cellStyle name="Comma 6 13" xfId="985"/>
    <cellStyle name="Comma 6 13 2" xfId="986"/>
    <cellStyle name="Comma 6 13 3" xfId="987"/>
    <cellStyle name="Comma 6 14" xfId="988"/>
    <cellStyle name="Comma 6 14 2" xfId="989"/>
    <cellStyle name="Comma 6 14 3" xfId="990"/>
    <cellStyle name="Comma 6 15" xfId="991"/>
    <cellStyle name="Comma 6 15 2" xfId="992"/>
    <cellStyle name="Comma 6 15 3" xfId="993"/>
    <cellStyle name="Comma 6 16" xfId="994"/>
    <cellStyle name="Comma 6 17" xfId="995"/>
    <cellStyle name="Comma 6 18" xfId="996"/>
    <cellStyle name="Comma 6 2" xfId="997"/>
    <cellStyle name="Comma 6 2 2" xfId="998"/>
    <cellStyle name="Comma 6 2 3" xfId="999"/>
    <cellStyle name="Comma 6 2 3 2" xfId="1000"/>
    <cellStyle name="Comma 6 2 4" xfId="1001"/>
    <cellStyle name="Comma 6 2 5" xfId="1002"/>
    <cellStyle name="Comma 6 3" xfId="1003"/>
    <cellStyle name="Comma 6 3 2" xfId="1004"/>
    <cellStyle name="Comma 6 3 3" xfId="1005"/>
    <cellStyle name="Comma 6 4" xfId="1006"/>
    <cellStyle name="Comma 6 4 2" xfId="1007"/>
    <cellStyle name="Comma 6 4 3" xfId="1008"/>
    <cellStyle name="Comma 6 5" xfId="1009"/>
    <cellStyle name="Comma 6 5 2" xfId="1010"/>
    <cellStyle name="Comma 6 5 3" xfId="1011"/>
    <cellStyle name="Comma 6 6" xfId="1012"/>
    <cellStyle name="Comma 6 6 2" xfId="1013"/>
    <cellStyle name="Comma 6 6 3" xfId="1014"/>
    <cellStyle name="Comma 6 7" xfId="1015"/>
    <cellStyle name="Comma 6 7 2" xfId="1016"/>
    <cellStyle name="Comma 6 7 3" xfId="1017"/>
    <cellStyle name="Comma 6 8" xfId="1018"/>
    <cellStyle name="Comma 6 8 2" xfId="1019"/>
    <cellStyle name="Comma 6 8 3" xfId="1020"/>
    <cellStyle name="Comma 6 9" xfId="1021"/>
    <cellStyle name="Comma 6 9 2" xfId="1022"/>
    <cellStyle name="Comma 6 9 3" xfId="1023"/>
    <cellStyle name="Comma 7" xfId="1024"/>
    <cellStyle name="Comma 7 2" xfId="1025"/>
    <cellStyle name="Comma 7 2 2" xfId="1026"/>
    <cellStyle name="Comma 7 2 3" xfId="1027"/>
    <cellStyle name="Comma 8" xfId="1028"/>
    <cellStyle name="Comma 8 2" xfId="1029"/>
    <cellStyle name="Comma 9" xfId="1030"/>
    <cellStyle name="Comma 9 2" xfId="1031"/>
    <cellStyle name="Comma 9 3" xfId="1032"/>
    <cellStyle name="Comma 9 3 2" xfId="1033"/>
    <cellStyle name="Comma 9 4" xfId="1034"/>
    <cellStyle name="Copied" xfId="1035"/>
    <cellStyle name="Currency (0.00)" xfId="1036"/>
    <cellStyle name="Currency (0.00) 2" xfId="1550"/>
    <cellStyle name="Currency (0.00) 3" xfId="1539"/>
    <cellStyle name="Currency [0] 2" xfId="1037"/>
    <cellStyle name="Currency [0] 2 2" xfId="1038"/>
    <cellStyle name="Currency [0] 3" xfId="1039"/>
    <cellStyle name="Currency [0] 4" xfId="1040"/>
    <cellStyle name="Currency [00]" xfId="1041"/>
    <cellStyle name="Currency [1]" xfId="1042"/>
    <cellStyle name="Currency [2]" xfId="1043"/>
    <cellStyle name="Currency 2" xfId="1044"/>
    <cellStyle name="Date [d-mmm-yy]" xfId="1045"/>
    <cellStyle name="Date [mm-d-yy]" xfId="1046"/>
    <cellStyle name="Date [mm-d-yyyy]" xfId="1047"/>
    <cellStyle name="Date [mmm-yy]" xfId="1048"/>
    <cellStyle name="Date Short" xfId="1049"/>
    <cellStyle name="Enter Currency (0)" xfId="1050"/>
    <cellStyle name="Enter Currency (2)" xfId="1051"/>
    <cellStyle name="Enter Units (0)" xfId="1052"/>
    <cellStyle name="Enter Units (1)" xfId="1053"/>
    <cellStyle name="Enter Units (2)" xfId="1054"/>
    <cellStyle name="Entered" xfId="1055"/>
    <cellStyle name="Excel Built-in Comma" xfId="1056"/>
    <cellStyle name="Excel Built-in Comma [0]" xfId="1057"/>
    <cellStyle name="Excel Built-in Normal" xfId="1058"/>
    <cellStyle name="Excel Built-in Normal 2" xfId="1059"/>
    <cellStyle name="Excel Built-in Normal 3" xfId="1060"/>
    <cellStyle name="Explanatory Text 10" xfId="1061"/>
    <cellStyle name="Explanatory Text 11" xfId="1062"/>
    <cellStyle name="Explanatory Text 2" xfId="1063"/>
    <cellStyle name="Explanatory Text 3" xfId="1064"/>
    <cellStyle name="Explanatory Text 4" xfId="1065"/>
    <cellStyle name="Explanatory Text 5" xfId="1066"/>
    <cellStyle name="Explanatory Text 6" xfId="1067"/>
    <cellStyle name="Explanatory Text 7" xfId="1068"/>
    <cellStyle name="Explanatory Text 8" xfId="1069"/>
    <cellStyle name="Explanatory Text 9" xfId="1070"/>
    <cellStyle name="Fixed [0]" xfId="1071"/>
    <cellStyle name="Good 10" xfId="1072"/>
    <cellStyle name="Good 11" xfId="1073"/>
    <cellStyle name="Good 2" xfId="1074"/>
    <cellStyle name="Good 3" xfId="1075"/>
    <cellStyle name="Good 4" xfId="1076"/>
    <cellStyle name="Good 5" xfId="1077"/>
    <cellStyle name="Good 6" xfId="1078"/>
    <cellStyle name="Good 7" xfId="1079"/>
    <cellStyle name="Good 8" xfId="1080"/>
    <cellStyle name="Good 9" xfId="1081"/>
    <cellStyle name="Grey" xfId="1082"/>
    <cellStyle name="Header1" xfId="1083"/>
    <cellStyle name="Header2" xfId="1084"/>
    <cellStyle name="Header2 2" xfId="1551"/>
    <cellStyle name="Header2 3" xfId="1538"/>
    <cellStyle name="Heading 1 10" xfId="1085"/>
    <cellStyle name="Heading 1 11" xfId="1086"/>
    <cellStyle name="Heading 1 12" xfId="1087"/>
    <cellStyle name="Heading 1 2" xfId="1088"/>
    <cellStyle name="Heading 1 3" xfId="1089"/>
    <cellStyle name="Heading 1 4" xfId="1090"/>
    <cellStyle name="Heading 1 5" xfId="1091"/>
    <cellStyle name="Heading 1 6" xfId="1092"/>
    <cellStyle name="Heading 1 7" xfId="1093"/>
    <cellStyle name="Heading 1 8" xfId="1094"/>
    <cellStyle name="Heading 1 9" xfId="1095"/>
    <cellStyle name="Heading 2 10" xfId="1096"/>
    <cellStyle name="Heading 2 11" xfId="1097"/>
    <cellStyle name="Heading 2 12" xfId="1098"/>
    <cellStyle name="Heading 2 2" xfId="1099"/>
    <cellStyle name="Heading 2 3" xfId="1100"/>
    <cellStyle name="Heading 2 4" xfId="1101"/>
    <cellStyle name="Heading 2 5" xfId="1102"/>
    <cellStyle name="Heading 2 6" xfId="1103"/>
    <cellStyle name="Heading 2 7" xfId="1104"/>
    <cellStyle name="Heading 2 8" xfId="1105"/>
    <cellStyle name="Heading 2 9" xfId="1106"/>
    <cellStyle name="Heading 3 10" xfId="1107"/>
    <cellStyle name="Heading 3 11" xfId="1108"/>
    <cellStyle name="Heading 3 12" xfId="1109"/>
    <cellStyle name="Heading 3 2" xfId="1110"/>
    <cellStyle name="Heading 3 3" xfId="1111"/>
    <cellStyle name="Heading 3 4" xfId="1112"/>
    <cellStyle name="Heading 3 5" xfId="1113"/>
    <cellStyle name="Heading 3 6" xfId="1114"/>
    <cellStyle name="Heading 3 7" xfId="1115"/>
    <cellStyle name="Heading 3 8" xfId="1116"/>
    <cellStyle name="Heading 3 9" xfId="1117"/>
    <cellStyle name="Heading 4 10" xfId="1118"/>
    <cellStyle name="Heading 4 11" xfId="1119"/>
    <cellStyle name="Heading 4 12" xfId="1120"/>
    <cellStyle name="Heading 4 2" xfId="1121"/>
    <cellStyle name="Heading 4 3" xfId="1122"/>
    <cellStyle name="Heading 4 4" xfId="1123"/>
    <cellStyle name="Heading 4 5" xfId="1124"/>
    <cellStyle name="Heading 4 6" xfId="1125"/>
    <cellStyle name="Heading 4 7" xfId="1126"/>
    <cellStyle name="Heading 4 8" xfId="1127"/>
    <cellStyle name="Heading 4 9" xfId="1128"/>
    <cellStyle name="HEADINGS" xfId="1129"/>
    <cellStyle name="HEADINGSTOP" xfId="1130"/>
    <cellStyle name="Input [yellow]" xfId="1131"/>
    <cellStyle name="Input [yellow] 2" xfId="1552"/>
    <cellStyle name="Input [yellow] 3" xfId="1537"/>
    <cellStyle name="Input 10" xfId="1132"/>
    <cellStyle name="Input 10 2" xfId="1133"/>
    <cellStyle name="Input 10 2 2" xfId="1535"/>
    <cellStyle name="Input 10 3" xfId="1536"/>
    <cellStyle name="Input 11" xfId="1134"/>
    <cellStyle name="Input 11 2" xfId="1135"/>
    <cellStyle name="Input 11 2 2" xfId="1533"/>
    <cellStyle name="Input 11 3" xfId="1534"/>
    <cellStyle name="Input 12" xfId="1136"/>
    <cellStyle name="Input 12 2" xfId="1532"/>
    <cellStyle name="Input 2" xfId="1137"/>
    <cellStyle name="Input 2 2" xfId="1138"/>
    <cellStyle name="Input 2 2 2" xfId="1530"/>
    <cellStyle name="Input 2 3" xfId="1531"/>
    <cellStyle name="Input 3" xfId="1139"/>
    <cellStyle name="Input 3 2" xfId="1140"/>
    <cellStyle name="Input 3 2 2" xfId="1528"/>
    <cellStyle name="Input 3 3" xfId="1529"/>
    <cellStyle name="Input 4" xfId="1141"/>
    <cellStyle name="Input 4 2" xfId="1142"/>
    <cellStyle name="Input 4 2 2" xfId="1526"/>
    <cellStyle name="Input 4 3" xfId="1527"/>
    <cellStyle name="Input 5" xfId="1143"/>
    <cellStyle name="Input 5 2" xfId="1144"/>
    <cellStyle name="Input 5 2 2" xfId="1524"/>
    <cellStyle name="Input 5 3" xfId="1525"/>
    <cellStyle name="Input 6" xfId="1145"/>
    <cellStyle name="Input 6 2" xfId="1146"/>
    <cellStyle name="Input 6 2 2" xfId="1522"/>
    <cellStyle name="Input 6 3" xfId="1523"/>
    <cellStyle name="Input 7" xfId="1147"/>
    <cellStyle name="Input 7 2" xfId="1148"/>
    <cellStyle name="Input 7 2 2" xfId="1520"/>
    <cellStyle name="Input 7 3" xfId="1521"/>
    <cellStyle name="Input 8" xfId="1149"/>
    <cellStyle name="Input 8 2" xfId="1150"/>
    <cellStyle name="Input 8 2 2" xfId="1518"/>
    <cellStyle name="Input 8 3" xfId="1519"/>
    <cellStyle name="Input 9" xfId="1151"/>
    <cellStyle name="Input 9 2" xfId="1152"/>
    <cellStyle name="Input 9 2 2" xfId="1516"/>
    <cellStyle name="Input 9 3" xfId="1517"/>
    <cellStyle name="Input Currency" xfId="1153"/>
    <cellStyle name="Input Date" xfId="1154"/>
    <cellStyle name="Input Fixed [0]" xfId="1155"/>
    <cellStyle name="Input Normal" xfId="1156"/>
    <cellStyle name="Input Percent" xfId="1157"/>
    <cellStyle name="Input Percent [2]" xfId="1158"/>
    <cellStyle name="Input Titles" xfId="1159"/>
    <cellStyle name="Link Currency (0)" xfId="1160"/>
    <cellStyle name="Link Currency (2)" xfId="1161"/>
    <cellStyle name="Link Units (0)" xfId="1162"/>
    <cellStyle name="Link Units (1)" xfId="1163"/>
    <cellStyle name="Link Units (2)" xfId="1164"/>
    <cellStyle name="Linked Cell 10" xfId="1165"/>
    <cellStyle name="Linked Cell 11" xfId="1166"/>
    <cellStyle name="Linked Cell 2" xfId="1167"/>
    <cellStyle name="Linked Cell 3" xfId="1168"/>
    <cellStyle name="Linked Cell 4" xfId="1169"/>
    <cellStyle name="Linked Cell 5" xfId="1170"/>
    <cellStyle name="Linked Cell 6" xfId="1171"/>
    <cellStyle name="Linked Cell 7" xfId="1172"/>
    <cellStyle name="Linked Cell 8" xfId="1173"/>
    <cellStyle name="Linked Cell 9" xfId="1174"/>
    <cellStyle name="NA is zero" xfId="1175"/>
    <cellStyle name="Neutral 10" xfId="1176"/>
    <cellStyle name="Neutral 11" xfId="1177"/>
    <cellStyle name="Neutral 12" xfId="1178"/>
    <cellStyle name="Neutral 2" xfId="1179"/>
    <cellStyle name="Neutral 3" xfId="1180"/>
    <cellStyle name="Neutral 4" xfId="1181"/>
    <cellStyle name="Neutral 5" xfId="1182"/>
    <cellStyle name="Neutral 6" xfId="1183"/>
    <cellStyle name="Neutral 7" xfId="1184"/>
    <cellStyle name="Neutral 8" xfId="1185"/>
    <cellStyle name="Neutral 9" xfId="1186"/>
    <cellStyle name="Normal" xfId="0" builtinId="0"/>
    <cellStyle name="Normal - Style1" xfId="1187"/>
    <cellStyle name="Normal [0]" xfId="1188"/>
    <cellStyle name="Normal [1]" xfId="1189"/>
    <cellStyle name="Normal [2]" xfId="1190"/>
    <cellStyle name="Normal [3]" xfId="1191"/>
    <cellStyle name="Normal 10" xfId="1192"/>
    <cellStyle name="Normal 10 2" xfId="1193"/>
    <cellStyle name="Normal 10 2 2" xfId="1194"/>
    <cellStyle name="Normal 10 2 3" xfId="15"/>
    <cellStyle name="Normal 10 3" xfId="1195"/>
    <cellStyle name="Normal 11" xfId="1196"/>
    <cellStyle name="Normal 11 2" xfId="1197"/>
    <cellStyle name="Normal 11 3" xfId="1198"/>
    <cellStyle name="Normal 11 3 2" xfId="1199"/>
    <cellStyle name="Normal 12" xfId="1200"/>
    <cellStyle name="Normal 12 2" xfId="1201"/>
    <cellStyle name="Normal 12 3" xfId="1202"/>
    <cellStyle name="Normal 13" xfId="1203"/>
    <cellStyle name="Normal 13 2" xfId="1204"/>
    <cellStyle name="Normal 13 2 2" xfId="1205"/>
    <cellStyle name="Normal 13 2 2 2" xfId="1206"/>
    <cellStyle name="Normal 13 2 2 2 2" xfId="1207"/>
    <cellStyle name="Normal 13 2 2 3" xfId="1208"/>
    <cellStyle name="Normal 13 2 2 3 2" xfId="1209"/>
    <cellStyle name="Normal 13 2 2 3 3" xfId="1210"/>
    <cellStyle name="Normal 13 3" xfId="1211"/>
    <cellStyle name="Normal 13 4" xfId="1212"/>
    <cellStyle name="Normal 14" xfId="1213"/>
    <cellStyle name="Normal 14 2" xfId="1214"/>
    <cellStyle name="Normal 14 3" xfId="1215"/>
    <cellStyle name="Normal 15" xfId="1216"/>
    <cellStyle name="Normal 16" xfId="1217"/>
    <cellStyle name="Normal 16 2" xfId="1218"/>
    <cellStyle name="Normal 17" xfId="1219"/>
    <cellStyle name="Normal 18" xfId="1220"/>
    <cellStyle name="Normal 19" xfId="1221"/>
    <cellStyle name="Normal 2" xfId="7"/>
    <cellStyle name="Normal 2 10" xfId="1222"/>
    <cellStyle name="Normal 2 11" xfId="1223"/>
    <cellStyle name="Normal 2 11 2" xfId="1224"/>
    <cellStyle name="Normal 2 11 3" xfId="1225"/>
    <cellStyle name="Normal 2 11 3 2" xfId="1226"/>
    <cellStyle name="Normal 2 11 3 2 2" xfId="1227"/>
    <cellStyle name="Normal 2 11 3 2 3" xfId="1228"/>
    <cellStyle name="Normal 2 11 3 2 3 2" xfId="1229"/>
    <cellStyle name="Normal 2 11 3 2 3 2 2" xfId="1230"/>
    <cellStyle name="Normal 2 11 4" xfId="1231"/>
    <cellStyle name="Normal 2 12" xfId="1232"/>
    <cellStyle name="Normal 2 13" xfId="1233"/>
    <cellStyle name="Normal 2 14" xfId="1234"/>
    <cellStyle name="Normal 2 15" xfId="1235"/>
    <cellStyle name="Normal 2 16" xfId="1236"/>
    <cellStyle name="Normal 2 17" xfId="1237"/>
    <cellStyle name="Normal 2 18" xfId="1238"/>
    <cellStyle name="Normal 2 2" xfId="1239"/>
    <cellStyle name="Normal 2 2 10" xfId="1240"/>
    <cellStyle name="Normal 2 2 11" xfId="1241"/>
    <cellStyle name="Normal 2 2 2" xfId="1242"/>
    <cellStyle name="Normal 2 2 2 2" xfId="1243"/>
    <cellStyle name="Normal 2 2 2 2 2" xfId="1244"/>
    <cellStyle name="Normal 2 2 3" xfId="1245"/>
    <cellStyle name="Normal 2 2 4" xfId="1246"/>
    <cellStyle name="Normal 2 2 5" xfId="1247"/>
    <cellStyle name="Normal 2 2 6" xfId="1248"/>
    <cellStyle name="Normal 2 2 7" xfId="1249"/>
    <cellStyle name="Normal 2 2 8" xfId="1250"/>
    <cellStyle name="Normal 2 2 9" xfId="1251"/>
    <cellStyle name="Normal 2 3" xfId="1252"/>
    <cellStyle name="Normal 2 3 2" xfId="1253"/>
    <cellStyle name="Normal 2 4" xfId="1254"/>
    <cellStyle name="Normal 2 4 2" xfId="1255"/>
    <cellStyle name="Normal 2 4 2 2" xfId="1256"/>
    <cellStyle name="Normal 2 4 2 2 2" xfId="1257"/>
    <cellStyle name="Normal 2 4 3" xfId="1258"/>
    <cellStyle name="Normal 2 5" xfId="1259"/>
    <cellStyle name="Normal 2 5 2" xfId="1260"/>
    <cellStyle name="Normal 2 6" xfId="1261"/>
    <cellStyle name="Normal 2 6 2" xfId="1262"/>
    <cellStyle name="Normal 2 6 2 2" xfId="1263"/>
    <cellStyle name="Normal 2 6 3" xfId="1264"/>
    <cellStyle name="Normal 2 6 3 2" xfId="1265"/>
    <cellStyle name="Normal 2 6 3 3" xfId="1266"/>
    <cellStyle name="Normal 2 6 4" xfId="1267"/>
    <cellStyle name="Normal 2 6 5" xfId="1268"/>
    <cellStyle name="Normal 2 6 6" xfId="1269"/>
    <cellStyle name="Normal 2 6 7" xfId="1270"/>
    <cellStyle name="Normal 2 7" xfId="1271"/>
    <cellStyle name="Normal 2 7 2" xfId="1272"/>
    <cellStyle name="Normal 2 7 2 2" xfId="1273"/>
    <cellStyle name="Normal 2 8" xfId="1274"/>
    <cellStyle name="Normal 2 8 2" xfId="1275"/>
    <cellStyle name="Normal 2 9" xfId="1276"/>
    <cellStyle name="Normal 2_DISTRIBUSI C-R bulanan REZA " xfId="1277"/>
    <cellStyle name="Normal 20" xfId="1278"/>
    <cellStyle name="Normal 21" xfId="1279"/>
    <cellStyle name="Normal 22" xfId="1280"/>
    <cellStyle name="Normal 23" xfId="1281"/>
    <cellStyle name="Normal 24" xfId="1282"/>
    <cellStyle name="Normal 25" xfId="1283"/>
    <cellStyle name="Normal 26" xfId="1284"/>
    <cellStyle name="Normal 27" xfId="1285"/>
    <cellStyle name="Normal 28" xfId="1286"/>
    <cellStyle name="Normal 29" xfId="1287"/>
    <cellStyle name="Normal 3" xfId="8"/>
    <cellStyle name="Normal 3 2" xfId="1288"/>
    <cellStyle name="Normal 3 2 2" xfId="1289"/>
    <cellStyle name="Normal 3 3" xfId="1290"/>
    <cellStyle name="Normal 3 3 2" xfId="1291"/>
    <cellStyle name="Normal 3 3 2 2" xfId="1292"/>
    <cellStyle name="Normal 3 3 2 2 2" xfId="1293"/>
    <cellStyle name="Normal 3 3 2 2 2 2" xfId="1294"/>
    <cellStyle name="Normal 3 3 2 2 2 2 2" xfId="1295"/>
    <cellStyle name="Normal 3 3 2 2 3" xfId="1296"/>
    <cellStyle name="Normal 3 3 2 3" xfId="1297"/>
    <cellStyle name="Normal 3 3 2 3 2" xfId="1298"/>
    <cellStyle name="Normal 3 3 2 3 2 2" xfId="1299"/>
    <cellStyle name="Normal 3 3 2 4" xfId="1300"/>
    <cellStyle name="Normal 3 3 2 5" xfId="1301"/>
    <cellStyle name="Normal 3 3 2 6" xfId="1302"/>
    <cellStyle name="Normal 3 3 3" xfId="1303"/>
    <cellStyle name="Normal 3 4" xfId="1304"/>
    <cellStyle name="Normal 3 4 2" xfId="1305"/>
    <cellStyle name="Normal 3 4 2 2" xfId="1306"/>
    <cellStyle name="Normal 3 4 2 2 2" xfId="1307"/>
    <cellStyle name="Normal 3 4 3" xfId="1308"/>
    <cellStyle name="Normal 3 4 4" xfId="1309"/>
    <cellStyle name="Normal 4" xfId="9"/>
    <cellStyle name="Normal 4 2" xfId="1310"/>
    <cellStyle name="Normal 4 2 2" xfId="1311"/>
    <cellStyle name="Normal 4 3" xfId="1312"/>
    <cellStyle name="Normal 4 4" xfId="1313"/>
    <cellStyle name="Normal 4 4 2" xfId="1314"/>
    <cellStyle name="Normal 4 5" xfId="1315"/>
    <cellStyle name="Normal 5" xfId="1316"/>
    <cellStyle name="Normal 5 10" xfId="1317"/>
    <cellStyle name="Normal 5 11" xfId="1318"/>
    <cellStyle name="Normal 5 2" xfId="1319"/>
    <cellStyle name="Normal 5 3" xfId="1320"/>
    <cellStyle name="Normal 5 4" xfId="1321"/>
    <cellStyle name="Normal 5 5" xfId="1322"/>
    <cellStyle name="Normal 5 6" xfId="1323"/>
    <cellStyle name="Normal 5 7" xfId="1324"/>
    <cellStyle name="Normal 5 8" xfId="1325"/>
    <cellStyle name="Normal 5 9" xfId="1326"/>
    <cellStyle name="Normal 6" xfId="1327"/>
    <cellStyle name="Normal 6 10" xfId="1328"/>
    <cellStyle name="Normal 6 11" xfId="1329"/>
    <cellStyle name="Normal 6 2" xfId="10"/>
    <cellStyle name="Normal 6 3" xfId="1330"/>
    <cellStyle name="Normal 6 4" xfId="1331"/>
    <cellStyle name="Normal 6 5" xfId="1332"/>
    <cellStyle name="Normal 6 6" xfId="1333"/>
    <cellStyle name="Normal 6 7" xfId="1334"/>
    <cellStyle name="Normal 6 8" xfId="1335"/>
    <cellStyle name="Normal 6 9" xfId="1336"/>
    <cellStyle name="Normal 7" xfId="1337"/>
    <cellStyle name="Normal 7 10" xfId="1338"/>
    <cellStyle name="Normal 7 11" xfId="1339"/>
    <cellStyle name="Normal 7 2" xfId="1340"/>
    <cellStyle name="Normal 7 3" xfId="1341"/>
    <cellStyle name="Normal 7 4" xfId="1342"/>
    <cellStyle name="Normal 7 5" xfId="1343"/>
    <cellStyle name="Normal 7 6" xfId="1344"/>
    <cellStyle name="Normal 7 7" xfId="1345"/>
    <cellStyle name="Normal 7 8" xfId="1346"/>
    <cellStyle name="Normal 7 9" xfId="1347"/>
    <cellStyle name="Normal 8" xfId="1348"/>
    <cellStyle name="Normal 8 10" xfId="1349"/>
    <cellStyle name="Normal 8 11" xfId="1350"/>
    <cellStyle name="Normal 8 12" xfId="1351"/>
    <cellStyle name="Normal 8 13" xfId="1352"/>
    <cellStyle name="Normal 8 14" xfId="1353"/>
    <cellStyle name="Normal 8 15" xfId="1354"/>
    <cellStyle name="Normal 8 16" xfId="1355"/>
    <cellStyle name="Normal 8 17" xfId="1356"/>
    <cellStyle name="Normal 8 18" xfId="1357"/>
    <cellStyle name="Normal 8 19" xfId="1358"/>
    <cellStyle name="Normal 8 2" xfId="1359"/>
    <cellStyle name="Normal 8 20" xfId="1360"/>
    <cellStyle name="Normal 8 21" xfId="1361"/>
    <cellStyle name="Normal 8 22" xfId="1362"/>
    <cellStyle name="Normal 8 23" xfId="1363"/>
    <cellStyle name="Normal 8 24" xfId="1364"/>
    <cellStyle name="Normal 8 25" xfId="1365"/>
    <cellStyle name="Normal 8 3" xfId="1366"/>
    <cellStyle name="Normal 8 4" xfId="1367"/>
    <cellStyle name="Normal 8 5" xfId="1368"/>
    <cellStyle name="Normal 8 6" xfId="1369"/>
    <cellStyle name="Normal 8 7" xfId="1370"/>
    <cellStyle name="Normal 8 8" xfId="1371"/>
    <cellStyle name="Normal 8 9" xfId="1372"/>
    <cellStyle name="Normal 9" xfId="1373"/>
    <cellStyle name="Normal 9 2" xfId="1374"/>
    <cellStyle name="Normal Bold" xfId="1375"/>
    <cellStyle name="Normal Pct" xfId="1376"/>
    <cellStyle name="Normal_Tetap" xfId="11"/>
    <cellStyle name="Note 10" xfId="1377"/>
    <cellStyle name="Note 10 2" xfId="1553"/>
    <cellStyle name="Note 10 3" xfId="1515"/>
    <cellStyle name="Note 11" xfId="1378"/>
    <cellStyle name="Note 11 2" xfId="1554"/>
    <cellStyle name="Note 11 3" xfId="1514"/>
    <cellStyle name="Note 2" xfId="1379"/>
    <cellStyle name="Note 2 2" xfId="1555"/>
    <cellStyle name="Note 2 3" xfId="1513"/>
    <cellStyle name="Note 3" xfId="1380"/>
    <cellStyle name="Note 3 2" xfId="1556"/>
    <cellStyle name="Note 3 3" xfId="1512"/>
    <cellStyle name="Note 4" xfId="1381"/>
    <cellStyle name="Note 4 2" xfId="1557"/>
    <cellStyle name="Note 4 3" xfId="1511"/>
    <cellStyle name="Note 5" xfId="1382"/>
    <cellStyle name="Note 5 2" xfId="1558"/>
    <cellStyle name="Note 5 3" xfId="1510"/>
    <cellStyle name="Note 6" xfId="1383"/>
    <cellStyle name="Note 6 2" xfId="1559"/>
    <cellStyle name="Note 6 3" xfId="1509"/>
    <cellStyle name="Note 7" xfId="1384"/>
    <cellStyle name="Note 7 2" xfId="1560"/>
    <cellStyle name="Note 7 3" xfId="1508"/>
    <cellStyle name="Note 8" xfId="1385"/>
    <cellStyle name="Note 8 2" xfId="1561"/>
    <cellStyle name="Note 8 3" xfId="1507"/>
    <cellStyle name="Note 9" xfId="1386"/>
    <cellStyle name="Note 9 2" xfId="1562"/>
    <cellStyle name="Note 9 3" xfId="1506"/>
    <cellStyle name="NPPESalesPct" xfId="1387"/>
    <cellStyle name="NWI%S" xfId="1388"/>
    <cellStyle name="Output 10" xfId="1389"/>
    <cellStyle name="Output 10 2" xfId="1563"/>
    <cellStyle name="Output 10 3" xfId="1505"/>
    <cellStyle name="Output 11" xfId="1390"/>
    <cellStyle name="Output 11 2" xfId="1564"/>
    <cellStyle name="Output 11 3" xfId="1504"/>
    <cellStyle name="Output 12" xfId="1391"/>
    <cellStyle name="Output 12 2" xfId="1565"/>
    <cellStyle name="Output 12 3" xfId="1503"/>
    <cellStyle name="Output 2" xfId="1392"/>
    <cellStyle name="Output 2 2" xfId="1566"/>
    <cellStyle name="Output 2 3" xfId="1502"/>
    <cellStyle name="Output 3" xfId="1393"/>
    <cellStyle name="Output 3 2" xfId="1567"/>
    <cellStyle name="Output 3 3" xfId="1501"/>
    <cellStyle name="Output 4" xfId="1394"/>
    <cellStyle name="Output 4 2" xfId="1568"/>
    <cellStyle name="Output 4 3" xfId="1500"/>
    <cellStyle name="Output 5" xfId="1395"/>
    <cellStyle name="Output 5 2" xfId="1569"/>
    <cellStyle name="Output 5 3" xfId="1499"/>
    <cellStyle name="Output 6" xfId="1396"/>
    <cellStyle name="Output 6 2" xfId="1570"/>
    <cellStyle name="Output 6 3" xfId="1498"/>
    <cellStyle name="Output 7" xfId="1397"/>
    <cellStyle name="Output 7 2" xfId="1571"/>
    <cellStyle name="Output 7 3" xfId="1497"/>
    <cellStyle name="Output 8" xfId="1398"/>
    <cellStyle name="Output 8 2" xfId="1572"/>
    <cellStyle name="Output 8 3" xfId="1496"/>
    <cellStyle name="Output 9" xfId="1399"/>
    <cellStyle name="Output 9 2" xfId="1573"/>
    <cellStyle name="Output 9 3" xfId="1495"/>
    <cellStyle name="pc1" xfId="1400"/>
    <cellStyle name="per.style" xfId="1401"/>
    <cellStyle name="Percent" xfId="2" builtinId="5"/>
    <cellStyle name="Percent [0]" xfId="1402"/>
    <cellStyle name="Percent [00]" xfId="1403"/>
    <cellStyle name="Percent [1]" xfId="1404"/>
    <cellStyle name="Percent [2]" xfId="1405"/>
    <cellStyle name="Percent 2" xfId="12"/>
    <cellStyle name="Percent 2 2" xfId="1406"/>
    <cellStyle name="Percent 2 2 2" xfId="1407"/>
    <cellStyle name="Percent 3" xfId="1408"/>
    <cellStyle name="Percent 3 2" xfId="1409"/>
    <cellStyle name="Percent 3 3" xfId="1410"/>
    <cellStyle name="Percent 4" xfId="1411"/>
    <cellStyle name="Percent 5" xfId="1412"/>
    <cellStyle name="PercentSales" xfId="1413"/>
    <cellStyle name="PrePop Currency (0)" xfId="1414"/>
    <cellStyle name="PrePop Currency (2)" xfId="1415"/>
    <cellStyle name="PrePop Units (0)" xfId="1416"/>
    <cellStyle name="PrePop Units (1)" xfId="1417"/>
    <cellStyle name="PrePop Units (2)" xfId="1418"/>
    <cellStyle name="Red font" xfId="1419"/>
    <cellStyle name="regstoresfromspecstores" xfId="1420"/>
    <cellStyle name="RevList" xfId="1421"/>
    <cellStyle name="S0" xfId="1422"/>
    <cellStyle name="S1" xfId="1423"/>
    <cellStyle name="S10" xfId="1424"/>
    <cellStyle name="S11" xfId="1425"/>
    <cellStyle name="S12" xfId="1426"/>
    <cellStyle name="S13" xfId="1427"/>
    <cellStyle name="S14" xfId="1428"/>
    <cellStyle name="S15" xfId="1429"/>
    <cellStyle name="S16" xfId="1430"/>
    <cellStyle name="S17" xfId="1431"/>
    <cellStyle name="S18" xfId="1432"/>
    <cellStyle name="S19" xfId="1433"/>
    <cellStyle name="S2" xfId="1434"/>
    <cellStyle name="S20" xfId="1435"/>
    <cellStyle name="S21" xfId="1436"/>
    <cellStyle name="S3" xfId="1437"/>
    <cellStyle name="S4" xfId="1438"/>
    <cellStyle name="S5" xfId="1439"/>
    <cellStyle name="S6" xfId="1440"/>
    <cellStyle name="S7" xfId="1441"/>
    <cellStyle name="S8" xfId="1442"/>
    <cellStyle name="S9" xfId="1443"/>
    <cellStyle name="sbt2" xfId="1444"/>
    <cellStyle name="sbt2 2" xfId="1574"/>
    <cellStyle name="sbt2 3" xfId="1494"/>
    <cellStyle name="SHADEDSTORES" xfId="1445"/>
    <cellStyle name="SHADEDSTORES 2" xfId="1575"/>
    <cellStyle name="SHADEDSTORES 3" xfId="1493"/>
    <cellStyle name="specstores" xfId="1446"/>
    <cellStyle name="Strange" xfId="1447"/>
    <cellStyle name="subt1" xfId="1448"/>
    <cellStyle name="Subtotal" xfId="1449"/>
    <cellStyle name="Test [green]" xfId="1450"/>
    <cellStyle name="Text Indent A" xfId="1451"/>
    <cellStyle name="Text Indent B" xfId="1452"/>
    <cellStyle name="Text Indent C" xfId="1453"/>
    <cellStyle name="TFCF" xfId="1454"/>
    <cellStyle name="Title 10" xfId="1455"/>
    <cellStyle name="Title 11" xfId="1456"/>
    <cellStyle name="Title 12" xfId="1457"/>
    <cellStyle name="Title 2" xfId="1458"/>
    <cellStyle name="Title 3" xfId="1459"/>
    <cellStyle name="Title 4" xfId="1460"/>
    <cellStyle name="Title 5" xfId="1461"/>
    <cellStyle name="Title 6" xfId="1462"/>
    <cellStyle name="Title 7" xfId="1463"/>
    <cellStyle name="Title 8" xfId="1464"/>
    <cellStyle name="Title 9" xfId="1465"/>
    <cellStyle name="Total 10" xfId="1466"/>
    <cellStyle name="Total 10 2" xfId="1576"/>
    <cellStyle name="Total 10 3" xfId="1587"/>
    <cellStyle name="Total 11" xfId="1467"/>
    <cellStyle name="Total 11 2" xfId="1577"/>
    <cellStyle name="Total 11 3" xfId="1588"/>
    <cellStyle name="Total 12" xfId="1468"/>
    <cellStyle name="Total 12 2" xfId="1578"/>
    <cellStyle name="Total 12 3" xfId="1589"/>
    <cellStyle name="Total 2" xfId="1469"/>
    <cellStyle name="Total 2 2" xfId="1579"/>
    <cellStyle name="Total 2 3" xfId="1590"/>
    <cellStyle name="Total 3" xfId="1470"/>
    <cellStyle name="Total 3 2" xfId="1580"/>
    <cellStyle name="Total 3 3" xfId="1591"/>
    <cellStyle name="Total 4" xfId="1471"/>
    <cellStyle name="Total 4 2" xfId="1581"/>
    <cellStyle name="Total 4 3" xfId="1592"/>
    <cellStyle name="Total 5" xfId="1472"/>
    <cellStyle name="Total 5 2" xfId="1582"/>
    <cellStyle name="Total 5 3" xfId="1593"/>
    <cellStyle name="Total 6" xfId="1473"/>
    <cellStyle name="Total 6 2" xfId="1583"/>
    <cellStyle name="Total 6 3" xfId="1594"/>
    <cellStyle name="Total 7" xfId="1474"/>
    <cellStyle name="Total 7 2" xfId="1584"/>
    <cellStyle name="Total 7 3" xfId="1595"/>
    <cellStyle name="Total 8" xfId="1475"/>
    <cellStyle name="Total 8 2" xfId="1585"/>
    <cellStyle name="Total 8 3" xfId="1596"/>
    <cellStyle name="Total 9" xfId="1476"/>
    <cellStyle name="Total 9 2" xfId="1586"/>
    <cellStyle name="Total 9 3" xfId="1597"/>
    <cellStyle name="Warning Text 10" xfId="1477"/>
    <cellStyle name="Warning Text 11" xfId="1478"/>
    <cellStyle name="Warning Text 2" xfId="1479"/>
    <cellStyle name="Warning Text 3" xfId="1480"/>
    <cellStyle name="Warning Text 4" xfId="1481"/>
    <cellStyle name="Warning Text 5" xfId="1482"/>
    <cellStyle name="Warning Text 6" xfId="1483"/>
    <cellStyle name="Warning Text 7" xfId="1484"/>
    <cellStyle name="Warning Text 8" xfId="1485"/>
    <cellStyle name="Warning Text 9" xfId="1486"/>
    <cellStyle name="White" xfId="148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AJI%20JANUARI%202026%201B%20P.TEMBALU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PORT"/>
      <sheetName val="MAINTENANCE-2"/>
      <sheetName val="HARVESTING (KHT)"/>
      <sheetName val="HARVESTING(BHL)"/>
      <sheetName val="BHL"/>
      <sheetName val="DAF.REKENING"/>
      <sheetName val="JAN'26"/>
      <sheetName val="LAP.KARY"/>
      <sheetName val="Sheet2"/>
      <sheetName val="LIST KK"/>
      <sheetName val="NO.HP"/>
      <sheetName val="Sheet1"/>
      <sheetName val="Sheet3"/>
    </sheetNames>
    <sheetDataSet>
      <sheetData sheetId="0">
        <row r="11">
          <cell r="S11">
            <v>172050</v>
          </cell>
          <cell r="V11">
            <v>87500</v>
          </cell>
          <cell r="Y11">
            <v>50500</v>
          </cell>
          <cell r="Z11">
            <v>1679306.4000000001</v>
          </cell>
          <cell r="AE11">
            <v>6656021.4000000004</v>
          </cell>
          <cell r="AJ11">
            <v>163420</v>
          </cell>
          <cell r="BE11">
            <v>0</v>
          </cell>
        </row>
        <row r="12">
          <cell r="S12">
            <v>69750</v>
          </cell>
          <cell r="V12">
            <v>62500</v>
          </cell>
          <cell r="Y12">
            <v>36500</v>
          </cell>
          <cell r="Z12">
            <v>1644320.85</v>
          </cell>
          <cell r="AE12">
            <v>6479675.8499999996</v>
          </cell>
          <cell r="AJ12">
            <v>162860</v>
          </cell>
          <cell r="BE12">
            <v>0</v>
          </cell>
        </row>
        <row r="13">
          <cell r="S13">
            <v>69750</v>
          </cell>
          <cell r="V13">
            <v>77000</v>
          </cell>
          <cell r="Y13">
            <v>89000</v>
          </cell>
          <cell r="Z13">
            <v>734696.55</v>
          </cell>
          <cell r="AE13">
            <v>5364756.55</v>
          </cell>
          <cell r="AJ13">
            <v>164960</v>
          </cell>
          <cell r="BE13">
            <v>0</v>
          </cell>
        </row>
        <row r="14">
          <cell r="S14">
            <v>172050</v>
          </cell>
          <cell r="V14">
            <v>62500</v>
          </cell>
          <cell r="Y14">
            <v>54000</v>
          </cell>
          <cell r="Z14">
            <v>851315.05</v>
          </cell>
          <cell r="AE14">
            <v>5691660.0499999998</v>
          </cell>
          <cell r="AJ14">
            <v>163560</v>
          </cell>
          <cell r="BE14">
            <v>0</v>
          </cell>
        </row>
        <row r="15">
          <cell r="S15">
            <v>144150</v>
          </cell>
          <cell r="V15">
            <v>87500</v>
          </cell>
          <cell r="Y15">
            <v>27000</v>
          </cell>
          <cell r="Z15">
            <v>688049.15</v>
          </cell>
          <cell r="AE15">
            <v>5400483.1500000004</v>
          </cell>
          <cell r="AJ15">
            <v>162480</v>
          </cell>
          <cell r="BE15">
            <v>0</v>
          </cell>
        </row>
        <row r="16">
          <cell r="S16">
            <v>627750</v>
          </cell>
          <cell r="V16">
            <v>377000</v>
          </cell>
          <cell r="Y16">
            <v>257000</v>
          </cell>
          <cell r="Z16">
            <v>5597688</v>
          </cell>
          <cell r="AE16">
            <v>29592597</v>
          </cell>
          <cell r="AJ16">
            <v>817280</v>
          </cell>
          <cell r="AQ16">
            <v>132081</v>
          </cell>
          <cell r="BE16">
            <v>0</v>
          </cell>
        </row>
      </sheetData>
      <sheetData sheetId="1">
        <row r="11">
          <cell r="X11">
            <v>97500</v>
          </cell>
          <cell r="AA11">
            <v>73500</v>
          </cell>
          <cell r="AD11">
            <v>50500</v>
          </cell>
          <cell r="AL11">
            <v>4256500</v>
          </cell>
          <cell r="AQ11">
            <v>163420</v>
          </cell>
          <cell r="BI11">
            <v>-134500</v>
          </cell>
        </row>
        <row r="12">
          <cell r="X12">
            <v>144150</v>
          </cell>
          <cell r="AD12">
            <v>50500</v>
          </cell>
          <cell r="AL12">
            <v>4364150</v>
          </cell>
          <cell r="AQ12">
            <v>163420</v>
          </cell>
          <cell r="BI12">
            <v>0</v>
          </cell>
        </row>
        <row r="13">
          <cell r="X13">
            <v>134850</v>
          </cell>
          <cell r="AD13">
            <v>33000</v>
          </cell>
          <cell r="AL13">
            <v>4068350</v>
          </cell>
          <cell r="AQ13">
            <v>162720</v>
          </cell>
          <cell r="BI13">
            <v>-269000</v>
          </cell>
        </row>
        <row r="14">
          <cell r="X14">
            <v>166500</v>
          </cell>
          <cell r="AD14">
            <v>50500</v>
          </cell>
          <cell r="AL14">
            <v>4252000</v>
          </cell>
          <cell r="AQ14">
            <v>163420</v>
          </cell>
          <cell r="BI14">
            <v>-134500</v>
          </cell>
        </row>
        <row r="15">
          <cell r="X15">
            <v>155400</v>
          </cell>
          <cell r="AD15">
            <v>50500</v>
          </cell>
          <cell r="AE15">
            <v>0</v>
          </cell>
          <cell r="AL15">
            <v>3971900</v>
          </cell>
          <cell r="AQ15">
            <v>163420</v>
          </cell>
          <cell r="BI15">
            <v>-403500</v>
          </cell>
        </row>
        <row r="16">
          <cell r="X16">
            <v>149850</v>
          </cell>
          <cell r="AD16">
            <v>33000</v>
          </cell>
          <cell r="AL16">
            <v>3814350</v>
          </cell>
          <cell r="AQ16">
            <v>162720</v>
          </cell>
          <cell r="BI16">
            <v>-538000</v>
          </cell>
        </row>
        <row r="17">
          <cell r="X17">
            <v>69750</v>
          </cell>
          <cell r="AD17">
            <v>54000</v>
          </cell>
          <cell r="AL17">
            <v>4293250</v>
          </cell>
          <cell r="AQ17">
            <v>163560</v>
          </cell>
          <cell r="BI17">
            <v>0</v>
          </cell>
        </row>
        <row r="18">
          <cell r="X18">
            <v>67500</v>
          </cell>
          <cell r="AD18">
            <v>54000</v>
          </cell>
          <cell r="AL18">
            <v>4156500</v>
          </cell>
          <cell r="AQ18">
            <v>163560</v>
          </cell>
          <cell r="BI18">
            <v>-134500</v>
          </cell>
        </row>
        <row r="19">
          <cell r="X19">
            <v>69750</v>
          </cell>
          <cell r="AD19">
            <v>36500</v>
          </cell>
          <cell r="AL19">
            <v>4275750</v>
          </cell>
          <cell r="AQ19">
            <v>162860</v>
          </cell>
          <cell r="BI19">
            <v>0</v>
          </cell>
        </row>
        <row r="20">
          <cell r="X20">
            <v>69750</v>
          </cell>
          <cell r="AD20">
            <v>36500</v>
          </cell>
          <cell r="AL20">
            <v>4275750</v>
          </cell>
          <cell r="AQ20">
            <v>162860</v>
          </cell>
          <cell r="BI20">
            <v>0</v>
          </cell>
        </row>
        <row r="21">
          <cell r="X21">
            <v>67500</v>
          </cell>
          <cell r="AD21">
            <v>50500</v>
          </cell>
          <cell r="AL21">
            <v>4153000</v>
          </cell>
          <cell r="AQ21">
            <v>163420</v>
          </cell>
          <cell r="BI21">
            <v>-134500</v>
          </cell>
        </row>
        <row r="22">
          <cell r="X22">
            <v>69750</v>
          </cell>
          <cell r="AD22">
            <v>30000</v>
          </cell>
          <cell r="AE22">
            <v>0</v>
          </cell>
          <cell r="AL22">
            <v>4269250</v>
          </cell>
          <cell r="AQ22">
            <v>162600</v>
          </cell>
          <cell r="BI22">
            <v>0</v>
          </cell>
        </row>
        <row r="23">
          <cell r="X23">
            <v>100750</v>
          </cell>
          <cell r="AD23">
            <v>30000</v>
          </cell>
          <cell r="AL23">
            <v>4300250</v>
          </cell>
          <cell r="AQ23">
            <v>162600</v>
          </cell>
          <cell r="BI23">
            <v>0</v>
          </cell>
        </row>
        <row r="24">
          <cell r="X24">
            <v>69750</v>
          </cell>
          <cell r="AD24">
            <v>57500</v>
          </cell>
          <cell r="AL24">
            <v>4296750</v>
          </cell>
          <cell r="AQ24">
            <v>163700</v>
          </cell>
          <cell r="BI24">
            <v>0</v>
          </cell>
        </row>
        <row r="25">
          <cell r="X25">
            <v>144150</v>
          </cell>
          <cell r="AD25">
            <v>18000</v>
          </cell>
          <cell r="AL25">
            <v>4331650</v>
          </cell>
          <cell r="AQ25">
            <v>162120</v>
          </cell>
          <cell r="BI25">
            <v>0</v>
          </cell>
        </row>
        <row r="26">
          <cell r="X26">
            <v>160950</v>
          </cell>
          <cell r="AD26">
            <v>54000</v>
          </cell>
          <cell r="AL26">
            <v>4115450</v>
          </cell>
          <cell r="AQ26">
            <v>163560</v>
          </cell>
          <cell r="BI26">
            <v>-269000</v>
          </cell>
        </row>
        <row r="27">
          <cell r="X27">
            <v>144150</v>
          </cell>
          <cell r="AD27">
            <v>36500</v>
          </cell>
          <cell r="AL27">
            <v>4350150</v>
          </cell>
          <cell r="AQ27">
            <v>162860</v>
          </cell>
          <cell r="BI27">
            <v>0</v>
          </cell>
        </row>
        <row r="28">
          <cell r="X28">
            <v>69750</v>
          </cell>
          <cell r="AD28">
            <v>50500</v>
          </cell>
          <cell r="AL28">
            <v>4289750</v>
          </cell>
          <cell r="AQ28">
            <v>163420</v>
          </cell>
          <cell r="BI28">
            <v>0</v>
          </cell>
        </row>
        <row r="29">
          <cell r="X29">
            <v>65250</v>
          </cell>
          <cell r="AD29">
            <v>21000</v>
          </cell>
          <cell r="AL29">
            <v>3986750</v>
          </cell>
          <cell r="AQ29">
            <v>162240</v>
          </cell>
          <cell r="BI29">
            <v>-269000</v>
          </cell>
        </row>
        <row r="30">
          <cell r="X30">
            <v>63000</v>
          </cell>
          <cell r="AD30">
            <v>54000</v>
          </cell>
          <cell r="AL30">
            <v>3883000</v>
          </cell>
          <cell r="AQ30">
            <v>163560</v>
          </cell>
          <cell r="BI30">
            <v>-403500</v>
          </cell>
        </row>
        <row r="31">
          <cell r="X31">
            <v>67500</v>
          </cell>
          <cell r="AD31">
            <v>92500</v>
          </cell>
          <cell r="AL31">
            <v>4195000</v>
          </cell>
          <cell r="AQ31">
            <v>165100</v>
          </cell>
          <cell r="BI31">
            <v>-134500</v>
          </cell>
        </row>
        <row r="32">
          <cell r="X32">
            <v>166500</v>
          </cell>
          <cell r="AD32">
            <v>27000</v>
          </cell>
          <cell r="AL32">
            <v>4228500</v>
          </cell>
          <cell r="AQ32">
            <v>162480</v>
          </cell>
          <cell r="BI32">
            <v>-134500</v>
          </cell>
        </row>
        <row r="33">
          <cell r="X33">
            <v>69750</v>
          </cell>
          <cell r="AD33">
            <v>7500</v>
          </cell>
          <cell r="AE33">
            <v>268222.55</v>
          </cell>
          <cell r="AL33">
            <v>4514972.55</v>
          </cell>
          <cell r="AQ33">
            <v>161700</v>
          </cell>
          <cell r="BI33">
            <v>0</v>
          </cell>
        </row>
        <row r="34">
          <cell r="X34">
            <v>67500</v>
          </cell>
          <cell r="AD34">
            <v>50500</v>
          </cell>
          <cell r="AL34">
            <v>4153000</v>
          </cell>
          <cell r="AQ34">
            <v>163420</v>
          </cell>
          <cell r="BI34">
            <v>-134500</v>
          </cell>
        </row>
        <row r="35">
          <cell r="X35">
            <v>100750</v>
          </cell>
          <cell r="AD35">
            <v>21000</v>
          </cell>
          <cell r="AL35">
            <v>4291250</v>
          </cell>
          <cell r="AQ35">
            <v>162240</v>
          </cell>
          <cell r="BI35">
            <v>0</v>
          </cell>
        </row>
        <row r="36">
          <cell r="X36">
            <v>125550</v>
          </cell>
          <cell r="AD36">
            <v>27000</v>
          </cell>
          <cell r="AL36">
            <v>3784050</v>
          </cell>
          <cell r="AQ36">
            <v>162480</v>
          </cell>
          <cell r="BI36">
            <v>-538000</v>
          </cell>
        </row>
        <row r="37">
          <cell r="X37">
            <v>67500</v>
          </cell>
          <cell r="AD37">
            <v>36500</v>
          </cell>
          <cell r="AE37">
            <v>0</v>
          </cell>
          <cell r="AL37">
            <v>4139000</v>
          </cell>
          <cell r="AQ37">
            <v>162860</v>
          </cell>
          <cell r="BI37">
            <v>-134500</v>
          </cell>
        </row>
        <row r="38">
          <cell r="X38">
            <v>69750</v>
          </cell>
          <cell r="AD38">
            <v>54000</v>
          </cell>
          <cell r="AL38">
            <v>4293250</v>
          </cell>
          <cell r="AQ38">
            <v>163560</v>
          </cell>
          <cell r="BI38">
            <v>0</v>
          </cell>
        </row>
        <row r="39">
          <cell r="X39">
            <v>69750</v>
          </cell>
          <cell r="AD39">
            <v>33000</v>
          </cell>
          <cell r="AL39">
            <v>4272250</v>
          </cell>
          <cell r="AQ39">
            <v>162720</v>
          </cell>
          <cell r="BI39">
            <v>0</v>
          </cell>
        </row>
        <row r="40">
          <cell r="X40">
            <v>60750</v>
          </cell>
          <cell r="AD40">
            <v>50500</v>
          </cell>
          <cell r="AL40">
            <v>3742750</v>
          </cell>
          <cell r="AQ40">
            <v>163420</v>
          </cell>
          <cell r="BI40">
            <v>-538000</v>
          </cell>
        </row>
        <row r="41">
          <cell r="X41">
            <v>87750</v>
          </cell>
          <cell r="AD41">
            <v>40000</v>
          </cell>
          <cell r="AL41">
            <v>3759250</v>
          </cell>
          <cell r="AQ41">
            <v>163000</v>
          </cell>
          <cell r="BI41">
            <v>-538000</v>
          </cell>
        </row>
        <row r="42">
          <cell r="X42">
            <v>97500</v>
          </cell>
          <cell r="AD42">
            <v>21000</v>
          </cell>
          <cell r="AL42">
            <v>4153500</v>
          </cell>
          <cell r="AQ42">
            <v>162240</v>
          </cell>
          <cell r="BI42">
            <v>-134500</v>
          </cell>
        </row>
        <row r="43">
          <cell r="X43">
            <v>69750</v>
          </cell>
          <cell r="AD43">
            <v>30000</v>
          </cell>
          <cell r="AL43">
            <v>4269250</v>
          </cell>
          <cell r="AQ43">
            <v>162600</v>
          </cell>
          <cell r="BI43">
            <v>0</v>
          </cell>
        </row>
        <row r="44">
          <cell r="X44">
            <v>139500</v>
          </cell>
          <cell r="AD44">
            <v>30000</v>
          </cell>
          <cell r="AL44">
            <v>4204500</v>
          </cell>
          <cell r="AQ44">
            <v>162600</v>
          </cell>
          <cell r="BI44">
            <v>-134500</v>
          </cell>
        </row>
        <row r="45">
          <cell r="X45">
            <v>144150</v>
          </cell>
          <cell r="AD45">
            <v>5000</v>
          </cell>
          <cell r="AL45">
            <v>4318650</v>
          </cell>
          <cell r="AQ45">
            <v>161600</v>
          </cell>
          <cell r="BI45">
            <v>0</v>
          </cell>
        </row>
        <row r="46">
          <cell r="X46">
            <v>155400</v>
          </cell>
          <cell r="AD46">
            <v>5000</v>
          </cell>
          <cell r="AL46">
            <v>3926400</v>
          </cell>
          <cell r="AQ46">
            <v>161600</v>
          </cell>
          <cell r="BI46">
            <v>-403500</v>
          </cell>
        </row>
        <row r="47">
          <cell r="X47">
            <v>69750</v>
          </cell>
          <cell r="AA47">
            <v>57500</v>
          </cell>
          <cell r="AD47">
            <v>57500</v>
          </cell>
          <cell r="AE47">
            <v>2857153.25</v>
          </cell>
          <cell r="AL47">
            <v>7211403.25</v>
          </cell>
          <cell r="AQ47">
            <v>163700</v>
          </cell>
          <cell r="BI47">
            <v>0</v>
          </cell>
        </row>
        <row r="48">
          <cell r="X48">
            <v>114700</v>
          </cell>
          <cell r="AD48">
            <v>30000</v>
          </cell>
          <cell r="AL48">
            <v>4314200</v>
          </cell>
          <cell r="AQ48">
            <v>162600</v>
          </cell>
          <cell r="BI48">
            <v>0</v>
          </cell>
        </row>
        <row r="49">
          <cell r="X49">
            <v>69750</v>
          </cell>
          <cell r="AD49">
            <v>36500</v>
          </cell>
          <cell r="AL49">
            <v>4275750</v>
          </cell>
          <cell r="AQ49">
            <v>162860</v>
          </cell>
          <cell r="BI49">
            <v>0</v>
          </cell>
        </row>
        <row r="50">
          <cell r="X50">
            <v>67500</v>
          </cell>
          <cell r="AD50">
            <v>50500</v>
          </cell>
          <cell r="AL50">
            <v>4153000</v>
          </cell>
          <cell r="AQ50">
            <v>163420</v>
          </cell>
          <cell r="BI50">
            <v>-134500</v>
          </cell>
        </row>
        <row r="51">
          <cell r="X51">
            <v>139500</v>
          </cell>
          <cell r="AD51">
            <v>50500</v>
          </cell>
          <cell r="AL51">
            <v>4225000</v>
          </cell>
          <cell r="AQ51">
            <v>163420</v>
          </cell>
          <cell r="BI51">
            <v>-134500</v>
          </cell>
        </row>
        <row r="52">
          <cell r="X52">
            <v>69750</v>
          </cell>
          <cell r="AD52">
            <v>50500</v>
          </cell>
          <cell r="AL52">
            <v>4289750</v>
          </cell>
          <cell r="AQ52">
            <v>163420</v>
          </cell>
          <cell r="BI52">
            <v>0</v>
          </cell>
        </row>
        <row r="53">
          <cell r="X53">
            <v>69750</v>
          </cell>
          <cell r="AD53">
            <v>54000</v>
          </cell>
          <cell r="AL53">
            <v>4293250</v>
          </cell>
          <cell r="AQ53">
            <v>163560</v>
          </cell>
          <cell r="BI53">
            <v>0</v>
          </cell>
        </row>
        <row r="54">
          <cell r="X54">
            <v>67500</v>
          </cell>
          <cell r="AD54">
            <v>57500</v>
          </cell>
          <cell r="AL54">
            <v>4160000</v>
          </cell>
          <cell r="AQ54">
            <v>163700</v>
          </cell>
          <cell r="BI54">
            <v>-134500</v>
          </cell>
        </row>
        <row r="55">
          <cell r="X55">
            <v>69750</v>
          </cell>
          <cell r="AD55">
            <v>30000</v>
          </cell>
          <cell r="AL55">
            <v>4269250</v>
          </cell>
          <cell r="AQ55">
            <v>162600</v>
          </cell>
          <cell r="BI55">
            <v>0</v>
          </cell>
        </row>
        <row r="56">
          <cell r="X56">
            <v>69750</v>
          </cell>
          <cell r="AD56">
            <v>30000</v>
          </cell>
          <cell r="AL56">
            <v>4242350</v>
          </cell>
          <cell r="AQ56">
            <v>162600</v>
          </cell>
          <cell r="BI56">
            <v>0</v>
          </cell>
        </row>
        <row r="57">
          <cell r="X57">
            <v>69750</v>
          </cell>
          <cell r="AD57">
            <v>50500</v>
          </cell>
          <cell r="AE57">
            <v>0</v>
          </cell>
          <cell r="AL57">
            <v>4289750</v>
          </cell>
          <cell r="AQ57">
            <v>163420</v>
          </cell>
          <cell r="BI57">
            <v>0</v>
          </cell>
        </row>
        <row r="58">
          <cell r="X58">
            <v>69750</v>
          </cell>
          <cell r="AD58">
            <v>43500</v>
          </cell>
          <cell r="AL58">
            <v>4282750</v>
          </cell>
          <cell r="AQ58">
            <v>163140</v>
          </cell>
          <cell r="BI58">
            <v>0</v>
          </cell>
        </row>
        <row r="59">
          <cell r="X59">
            <v>160950</v>
          </cell>
          <cell r="AD59">
            <v>50500</v>
          </cell>
          <cell r="AL59">
            <v>4111950</v>
          </cell>
          <cell r="AQ59">
            <v>163420</v>
          </cell>
          <cell r="BI59">
            <v>-269000</v>
          </cell>
        </row>
        <row r="60">
          <cell r="X60">
            <v>67500</v>
          </cell>
          <cell r="AD60">
            <v>50500</v>
          </cell>
          <cell r="AL60">
            <v>4153000</v>
          </cell>
          <cell r="AQ60">
            <v>163420</v>
          </cell>
          <cell r="BI60">
            <v>-134500</v>
          </cell>
        </row>
        <row r="61">
          <cell r="X61">
            <v>69750</v>
          </cell>
          <cell r="AD61">
            <v>50500</v>
          </cell>
          <cell r="AL61">
            <v>4289750</v>
          </cell>
          <cell r="AQ61">
            <v>163420</v>
          </cell>
          <cell r="BI61">
            <v>0</v>
          </cell>
        </row>
        <row r="62">
          <cell r="X62">
            <v>69750</v>
          </cell>
          <cell r="AD62">
            <v>50500</v>
          </cell>
          <cell r="AL62">
            <v>4289750</v>
          </cell>
          <cell r="AQ62">
            <v>163420</v>
          </cell>
          <cell r="BI62">
            <v>0</v>
          </cell>
        </row>
        <row r="63">
          <cell r="X63">
            <v>114700</v>
          </cell>
          <cell r="AD63">
            <v>92500</v>
          </cell>
          <cell r="AL63">
            <v>4376700</v>
          </cell>
          <cell r="AQ63">
            <v>165100</v>
          </cell>
          <cell r="BI63">
            <v>0</v>
          </cell>
        </row>
        <row r="64">
          <cell r="X64">
            <v>67500</v>
          </cell>
          <cell r="AD64">
            <v>50500</v>
          </cell>
          <cell r="AL64">
            <v>4153000</v>
          </cell>
          <cell r="AQ64">
            <v>163420</v>
          </cell>
          <cell r="BI64">
            <v>-134500</v>
          </cell>
        </row>
        <row r="65">
          <cell r="X65">
            <v>69750</v>
          </cell>
          <cell r="AD65">
            <v>89000</v>
          </cell>
          <cell r="AL65">
            <v>4328250</v>
          </cell>
          <cell r="AQ65">
            <v>164960</v>
          </cell>
          <cell r="BI65">
            <v>0</v>
          </cell>
        </row>
        <row r="66">
          <cell r="X66">
            <v>97500</v>
          </cell>
          <cell r="AD66">
            <v>50500</v>
          </cell>
          <cell r="AL66">
            <v>4183000</v>
          </cell>
          <cell r="AQ66">
            <v>163420</v>
          </cell>
          <cell r="BI66">
            <v>-134500</v>
          </cell>
        </row>
        <row r="67">
          <cell r="X67">
            <v>172050</v>
          </cell>
          <cell r="AD67">
            <v>54000</v>
          </cell>
          <cell r="AL67">
            <v>4368650</v>
          </cell>
          <cell r="AQ67">
            <v>163560</v>
          </cell>
          <cell r="BI67">
            <v>0</v>
          </cell>
        </row>
        <row r="68">
          <cell r="X68">
            <v>67500</v>
          </cell>
          <cell r="AD68">
            <v>50500</v>
          </cell>
          <cell r="AL68">
            <v>4153000</v>
          </cell>
          <cell r="AQ68">
            <v>163420</v>
          </cell>
          <cell r="BI68">
            <v>-134500</v>
          </cell>
        </row>
        <row r="69">
          <cell r="X69">
            <v>69750</v>
          </cell>
          <cell r="AD69">
            <v>57500</v>
          </cell>
          <cell r="AL69">
            <v>4296750</v>
          </cell>
          <cell r="AQ69">
            <v>163700</v>
          </cell>
          <cell r="BI69">
            <v>0</v>
          </cell>
        </row>
        <row r="70">
          <cell r="X70">
            <v>69750</v>
          </cell>
          <cell r="AD70">
            <v>54000</v>
          </cell>
          <cell r="AL70">
            <v>4293250</v>
          </cell>
          <cell r="AQ70">
            <v>163560</v>
          </cell>
          <cell r="BI70">
            <v>0</v>
          </cell>
        </row>
        <row r="71">
          <cell r="X71">
            <v>67500</v>
          </cell>
          <cell r="AD71">
            <v>54000</v>
          </cell>
          <cell r="AL71">
            <v>4156500</v>
          </cell>
          <cell r="AQ71">
            <v>163560</v>
          </cell>
          <cell r="BI71">
            <v>-134500</v>
          </cell>
        </row>
        <row r="72">
          <cell r="X72">
            <v>69750</v>
          </cell>
          <cell r="AD72">
            <v>50500</v>
          </cell>
          <cell r="AL72">
            <v>4289750</v>
          </cell>
          <cell r="AQ72">
            <v>163420</v>
          </cell>
          <cell r="BI72">
            <v>0</v>
          </cell>
        </row>
        <row r="73">
          <cell r="X73">
            <v>67500</v>
          </cell>
          <cell r="AD73">
            <v>12500</v>
          </cell>
          <cell r="AL73">
            <v>4115000</v>
          </cell>
          <cell r="AQ73">
            <v>161900</v>
          </cell>
          <cell r="BI73">
            <v>-134500</v>
          </cell>
        </row>
        <row r="74">
          <cell r="X74">
            <v>144150</v>
          </cell>
          <cell r="AD74">
            <v>27000</v>
          </cell>
          <cell r="AL74">
            <v>4313750</v>
          </cell>
          <cell r="AQ74">
            <v>162480</v>
          </cell>
          <cell r="BI74">
            <v>0</v>
          </cell>
        </row>
        <row r="75">
          <cell r="X75">
            <v>144150</v>
          </cell>
          <cell r="AD75">
            <v>27000</v>
          </cell>
          <cell r="AL75">
            <v>4313750</v>
          </cell>
          <cell r="AQ75">
            <v>162480</v>
          </cell>
          <cell r="BI75">
            <v>0</v>
          </cell>
        </row>
        <row r="76">
          <cell r="X76">
            <v>166500</v>
          </cell>
          <cell r="AD76">
            <v>5000</v>
          </cell>
          <cell r="AL76">
            <v>4179600</v>
          </cell>
          <cell r="AQ76">
            <v>161600</v>
          </cell>
          <cell r="BI76">
            <v>-134500</v>
          </cell>
        </row>
        <row r="77">
          <cell r="X77">
            <v>144150</v>
          </cell>
          <cell r="AD77">
            <v>50500</v>
          </cell>
          <cell r="AL77">
            <v>4364150</v>
          </cell>
          <cell r="AQ77">
            <v>163420</v>
          </cell>
          <cell r="BI77">
            <v>0</v>
          </cell>
        </row>
        <row r="78">
          <cell r="X78">
            <v>69750</v>
          </cell>
          <cell r="AD78">
            <v>21000</v>
          </cell>
          <cell r="AE78">
            <v>1107875.75</v>
          </cell>
          <cell r="AL78">
            <v>5368125.75</v>
          </cell>
          <cell r="AQ78">
            <v>162240</v>
          </cell>
          <cell r="BI78">
            <v>0</v>
          </cell>
        </row>
        <row r="79">
          <cell r="X79">
            <v>144150</v>
          </cell>
          <cell r="AD79">
            <v>27000</v>
          </cell>
          <cell r="AL79">
            <v>4340650</v>
          </cell>
          <cell r="AQ79">
            <v>162480</v>
          </cell>
          <cell r="BI79">
            <v>0</v>
          </cell>
        </row>
        <row r="80">
          <cell r="X80">
            <v>114700</v>
          </cell>
          <cell r="AL80">
            <v>4284200</v>
          </cell>
          <cell r="AQ80">
            <v>161400</v>
          </cell>
          <cell r="BI80">
            <v>0</v>
          </cell>
        </row>
        <row r="81">
          <cell r="X81">
            <v>65250</v>
          </cell>
          <cell r="AL81">
            <v>3965750</v>
          </cell>
          <cell r="AQ81">
            <v>161400</v>
          </cell>
          <cell r="BI81">
            <v>-269000</v>
          </cell>
        </row>
        <row r="82">
          <cell r="X82">
            <v>69750</v>
          </cell>
          <cell r="AL82">
            <v>4239250</v>
          </cell>
          <cell r="AQ82">
            <v>161400</v>
          </cell>
          <cell r="BI82">
            <v>0</v>
          </cell>
        </row>
        <row r="83">
          <cell r="X83">
            <v>172050</v>
          </cell>
          <cell r="AL83">
            <v>4341550</v>
          </cell>
          <cell r="AQ83">
            <v>161400</v>
          </cell>
          <cell r="BI83">
            <v>0</v>
          </cell>
        </row>
        <row r="84">
          <cell r="X84">
            <v>69750</v>
          </cell>
          <cell r="AL84">
            <v>4239250</v>
          </cell>
          <cell r="AQ84">
            <v>161400</v>
          </cell>
          <cell r="BI84">
            <v>0</v>
          </cell>
        </row>
        <row r="85">
          <cell r="X85">
            <v>7192100</v>
          </cell>
          <cell r="AA85">
            <v>131000</v>
          </cell>
          <cell r="AD85">
            <v>2897500</v>
          </cell>
          <cell r="AE85">
            <v>4233251.55</v>
          </cell>
          <cell r="AL85">
            <v>315464851.55000001</v>
          </cell>
          <cell r="AQ85">
            <v>12059500</v>
          </cell>
          <cell r="AW85">
            <v>106530</v>
          </cell>
          <cell r="BI85">
            <v>-7397500</v>
          </cell>
        </row>
      </sheetData>
      <sheetData sheetId="2">
        <row r="11">
          <cell r="X11">
            <v>166500</v>
          </cell>
          <cell r="AA11">
            <v>73500</v>
          </cell>
          <cell r="AD11">
            <v>24000</v>
          </cell>
          <cell r="AE11">
            <v>0</v>
          </cell>
          <cell r="AL11">
            <v>4299000</v>
          </cell>
          <cell r="AQ11">
            <v>162360</v>
          </cell>
          <cell r="BI11">
            <v>-134500</v>
          </cell>
        </row>
        <row r="12">
          <cell r="X12">
            <v>65250</v>
          </cell>
          <cell r="AA12">
            <v>57500</v>
          </cell>
          <cell r="AD12">
            <v>5000</v>
          </cell>
          <cell r="AE12">
            <v>0</v>
          </cell>
          <cell r="AL12">
            <v>4028250</v>
          </cell>
          <cell r="AQ12">
            <v>161600</v>
          </cell>
          <cell r="BI12">
            <v>-269000</v>
          </cell>
        </row>
        <row r="13">
          <cell r="X13">
            <v>94250</v>
          </cell>
          <cell r="AD13">
            <v>54000</v>
          </cell>
          <cell r="AL13">
            <v>4544642</v>
          </cell>
          <cell r="AQ13">
            <v>163560</v>
          </cell>
          <cell r="BI13">
            <v>-269000</v>
          </cell>
        </row>
        <row r="14">
          <cell r="X14">
            <v>160950</v>
          </cell>
          <cell r="AD14">
            <v>10000</v>
          </cell>
          <cell r="AL14">
            <v>4511542</v>
          </cell>
          <cell r="AQ14">
            <v>161800</v>
          </cell>
          <cell r="BI14">
            <v>-269000</v>
          </cell>
        </row>
        <row r="15">
          <cell r="X15">
            <v>144150</v>
          </cell>
          <cell r="AL15">
            <v>4807774</v>
          </cell>
          <cell r="AQ15">
            <v>161400</v>
          </cell>
          <cell r="BI15">
            <v>0</v>
          </cell>
        </row>
        <row r="16">
          <cell r="X16">
            <v>631100</v>
          </cell>
          <cell r="AA16">
            <v>131000</v>
          </cell>
          <cell r="AD16">
            <v>93000</v>
          </cell>
          <cell r="AE16">
            <v>0</v>
          </cell>
          <cell r="AF16">
            <v>894608</v>
          </cell>
          <cell r="AG16">
            <v>535500</v>
          </cell>
          <cell r="AL16">
            <v>22191208</v>
          </cell>
          <cell r="AQ16">
            <v>810720</v>
          </cell>
          <cell r="AW16">
            <v>0</v>
          </cell>
          <cell r="BI16">
            <v>-941500</v>
          </cell>
        </row>
      </sheetData>
      <sheetData sheetId="3">
        <row r="11">
          <cell r="X11">
            <v>0</v>
          </cell>
          <cell r="AD11">
            <v>0</v>
          </cell>
          <cell r="AL11">
            <v>4546340</v>
          </cell>
          <cell r="AQ11">
            <v>161400</v>
          </cell>
          <cell r="BI11">
            <v>0</v>
          </cell>
        </row>
        <row r="12">
          <cell r="X12">
            <v>0</v>
          </cell>
          <cell r="AD12">
            <v>0</v>
          </cell>
          <cell r="AL12">
            <v>4551392</v>
          </cell>
          <cell r="AQ12">
            <v>161400</v>
          </cell>
          <cell r="BI12">
            <v>0</v>
          </cell>
        </row>
        <row r="13">
          <cell r="X13">
            <v>0</v>
          </cell>
          <cell r="AL13">
            <v>4607896</v>
          </cell>
          <cell r="AQ13">
            <v>161400</v>
          </cell>
          <cell r="BI13">
            <v>0</v>
          </cell>
        </row>
        <row r="14">
          <cell r="X14">
            <v>0</v>
          </cell>
          <cell r="AL14">
            <v>4821640</v>
          </cell>
          <cell r="AQ14">
            <v>161400</v>
          </cell>
          <cell r="BI14">
            <v>-134500</v>
          </cell>
        </row>
        <row r="15">
          <cell r="X15">
            <v>0</v>
          </cell>
          <cell r="AL15">
            <v>4606182</v>
          </cell>
          <cell r="AQ15">
            <v>161400</v>
          </cell>
          <cell r="BI15">
            <v>0</v>
          </cell>
        </row>
        <row r="16">
          <cell r="X16">
            <v>0</v>
          </cell>
          <cell r="AL16">
            <v>4644952</v>
          </cell>
          <cell r="AQ16">
            <v>161400</v>
          </cell>
          <cell r="BI16">
            <v>0</v>
          </cell>
        </row>
        <row r="17">
          <cell r="X17">
            <v>0</v>
          </cell>
          <cell r="AL17">
            <v>4598172</v>
          </cell>
          <cell r="AQ17">
            <v>161400</v>
          </cell>
          <cell r="BI17">
            <v>0</v>
          </cell>
        </row>
        <row r="18">
          <cell r="X18">
            <v>0</v>
          </cell>
          <cell r="AL18">
            <v>4711920</v>
          </cell>
          <cell r="AQ18">
            <v>161400</v>
          </cell>
        </row>
        <row r="19">
          <cell r="X19">
            <v>0</v>
          </cell>
          <cell r="AL19">
            <v>4379006</v>
          </cell>
          <cell r="AQ19">
            <v>161400</v>
          </cell>
        </row>
        <row r="20">
          <cell r="X20">
            <v>0</v>
          </cell>
          <cell r="AL20">
            <v>4386114</v>
          </cell>
          <cell r="AQ20">
            <v>161400</v>
          </cell>
        </row>
        <row r="21">
          <cell r="AF21">
            <v>2736864</v>
          </cell>
          <cell r="AG21">
            <v>1825250</v>
          </cell>
          <cell r="AL21">
            <v>45853614</v>
          </cell>
          <cell r="AQ21">
            <v>1614000</v>
          </cell>
          <cell r="BI21">
            <v>-134500</v>
          </cell>
        </row>
      </sheetData>
      <sheetData sheetId="4">
        <row r="11">
          <cell r="X11">
            <v>0</v>
          </cell>
          <cell r="AD11">
            <v>0</v>
          </cell>
          <cell r="AL11">
            <v>4126810</v>
          </cell>
          <cell r="AQ11">
            <v>161400</v>
          </cell>
          <cell r="BI11">
            <v>0</v>
          </cell>
        </row>
        <row r="12">
          <cell r="X12">
            <v>0</v>
          </cell>
          <cell r="AD12">
            <v>0</v>
          </cell>
          <cell r="AL12">
            <v>4084450</v>
          </cell>
          <cell r="AQ12">
            <v>161400</v>
          </cell>
          <cell r="BI12">
            <v>0</v>
          </cell>
        </row>
        <row r="13">
          <cell r="X13">
            <v>0</v>
          </cell>
          <cell r="AL13">
            <v>4089754</v>
          </cell>
          <cell r="AQ13">
            <v>161400</v>
          </cell>
          <cell r="BI13">
            <v>0</v>
          </cell>
        </row>
        <row r="14">
          <cell r="X14">
            <v>0</v>
          </cell>
          <cell r="AL14">
            <v>3979970</v>
          </cell>
          <cell r="AQ14">
            <v>161400</v>
          </cell>
          <cell r="BI14">
            <v>-134500</v>
          </cell>
        </row>
        <row r="15">
          <cell r="X15">
            <v>0</v>
          </cell>
          <cell r="AL15">
            <v>3948200</v>
          </cell>
          <cell r="AQ15">
            <v>161400</v>
          </cell>
          <cell r="BI15">
            <v>-134500</v>
          </cell>
        </row>
        <row r="16">
          <cell r="X16">
            <v>0</v>
          </cell>
          <cell r="AL16">
            <v>4117104</v>
          </cell>
          <cell r="AQ16">
            <v>161400</v>
          </cell>
          <cell r="BI16">
            <v>0</v>
          </cell>
        </row>
        <row r="17">
          <cell r="AF17">
            <v>359788</v>
          </cell>
          <cell r="AG17">
            <v>45500</v>
          </cell>
          <cell r="AL17">
            <v>24346288</v>
          </cell>
          <cell r="AQ17">
            <v>968400</v>
          </cell>
          <cell r="BI17">
            <v>-269000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workbookViewId="0">
      <selection activeCell="K3" sqref="K3"/>
    </sheetView>
  </sheetViews>
  <sheetFormatPr defaultColWidth="8.7109375" defaultRowHeight="15" customHeight="1"/>
  <cols>
    <col min="1" max="1" width="4.7109375" style="11" customWidth="1"/>
    <col min="2" max="2" width="13.7109375" style="30" customWidth="1"/>
    <col min="3" max="3" width="4.7109375" style="11" customWidth="1"/>
    <col min="4" max="4" width="14.7109375" style="30" customWidth="1"/>
    <col min="5" max="5" width="8.7109375" style="31" customWidth="1"/>
    <col min="6" max="7" width="4.7109375" style="11" customWidth="1"/>
    <col min="8" max="8" width="13.7109375" style="11" customWidth="1"/>
    <col min="9" max="9" width="4.7109375" style="11" customWidth="1"/>
    <col min="10" max="10" width="14.7109375" style="11" customWidth="1"/>
    <col min="11" max="11" width="8.7109375" style="22" customWidth="1"/>
    <col min="12" max="13" width="4.7109375" style="11" customWidth="1"/>
    <col min="14" max="14" width="13.7109375" style="11" customWidth="1"/>
    <col min="15" max="15" width="4.7109375" style="11" customWidth="1"/>
    <col min="16" max="16" width="14.7109375" style="11" customWidth="1"/>
    <col min="17" max="17" width="8.7109375" style="22" customWidth="1"/>
    <col min="18" max="18" width="4.7109375" style="11" customWidth="1"/>
    <col min="19" max="19" width="14.28515625" style="14" customWidth="1"/>
    <col min="20" max="20" width="4.7109375" style="14" customWidth="1"/>
    <col min="21" max="21" width="13.85546875" style="14" customWidth="1"/>
    <col min="22" max="22" width="8.7109375" style="14" customWidth="1"/>
    <col min="23" max="23" width="4.7109375" style="12" customWidth="1"/>
    <col min="24" max="24" width="4.7109375" style="22" customWidth="1"/>
    <col min="25" max="25" width="8.7109375" style="14"/>
    <col min="26" max="16384" width="8.7109375" style="11"/>
  </cols>
  <sheetData>
    <row r="1" spans="1:25" s="2" customFormat="1" ht="20.100000000000001" customHeight="1">
      <c r="A1" s="1" t="s">
        <v>0</v>
      </c>
      <c r="E1" s="3"/>
      <c r="F1" s="4"/>
      <c r="G1" s="1" t="s">
        <v>1</v>
      </c>
      <c r="H1" s="4"/>
      <c r="I1" s="4"/>
      <c r="J1" s="4"/>
      <c r="K1" s="5"/>
      <c r="M1" s="1" t="s">
        <v>2</v>
      </c>
      <c r="Q1" s="5"/>
      <c r="S1" s="1" t="s">
        <v>3</v>
      </c>
      <c r="T1" s="6"/>
      <c r="U1" s="6"/>
      <c r="V1" s="6"/>
      <c r="W1" s="7"/>
      <c r="X1" s="8"/>
      <c r="Y1" s="6"/>
    </row>
    <row r="2" spans="1:25" ht="20.100000000000001" customHeight="1">
      <c r="A2" s="9" t="s">
        <v>4</v>
      </c>
      <c r="B2" s="115" t="s">
        <v>5</v>
      </c>
      <c r="C2" s="115"/>
      <c r="D2" s="115"/>
      <c r="E2" s="10" t="s">
        <v>6</v>
      </c>
      <c r="G2" s="9" t="s">
        <v>4</v>
      </c>
      <c r="H2" s="115" t="s">
        <v>5</v>
      </c>
      <c r="I2" s="115"/>
      <c r="J2" s="115"/>
      <c r="K2" s="10" t="s">
        <v>7</v>
      </c>
      <c r="M2" s="9" t="s">
        <v>4</v>
      </c>
      <c r="N2" s="115" t="s">
        <v>5</v>
      </c>
      <c r="O2" s="115"/>
      <c r="P2" s="115"/>
      <c r="Q2" s="10" t="s">
        <v>8</v>
      </c>
      <c r="S2" s="115" t="s">
        <v>9</v>
      </c>
      <c r="T2" s="115"/>
      <c r="U2" s="115"/>
      <c r="V2" s="9" t="s">
        <v>10</v>
      </c>
      <c r="X2" s="13"/>
    </row>
    <row r="3" spans="1:25" ht="15" customHeight="1">
      <c r="A3" s="15">
        <v>1</v>
      </c>
      <c r="B3" s="16">
        <v>0</v>
      </c>
      <c r="C3" s="15" t="s">
        <v>11</v>
      </c>
      <c r="D3" s="17">
        <v>5400000</v>
      </c>
      <c r="E3" s="18">
        <v>0</v>
      </c>
      <c r="G3" s="15">
        <v>1</v>
      </c>
      <c r="H3" s="16">
        <v>0</v>
      </c>
      <c r="I3" s="15" t="s">
        <v>11</v>
      </c>
      <c r="J3" s="17">
        <v>6200000</v>
      </c>
      <c r="K3" s="18">
        <v>0</v>
      </c>
      <c r="M3" s="15">
        <v>1</v>
      </c>
      <c r="N3" s="16">
        <v>0</v>
      </c>
      <c r="O3" s="15" t="s">
        <v>11</v>
      </c>
      <c r="P3" s="17">
        <v>6600000</v>
      </c>
      <c r="Q3" s="18">
        <v>0</v>
      </c>
      <c r="S3" s="16">
        <v>0</v>
      </c>
      <c r="T3" s="15" t="s">
        <v>11</v>
      </c>
      <c r="U3" s="19">
        <v>450000</v>
      </c>
      <c r="V3" s="20">
        <v>0</v>
      </c>
      <c r="X3" s="13"/>
    </row>
    <row r="4" spans="1:25" ht="15" customHeight="1">
      <c r="A4" s="15">
        <f>A3+1</f>
        <v>2</v>
      </c>
      <c r="B4" s="17">
        <f>D3+1</f>
        <v>5400001</v>
      </c>
      <c r="C4" s="15" t="s">
        <v>11</v>
      </c>
      <c r="D4" s="17">
        <v>5650000</v>
      </c>
      <c r="E4" s="18">
        <v>2.5000000000000001E-3</v>
      </c>
      <c r="G4" s="15">
        <f>G3+1</f>
        <v>2</v>
      </c>
      <c r="H4" s="17">
        <f>J3+1</f>
        <v>6200001</v>
      </c>
      <c r="I4" s="15" t="s">
        <v>11</v>
      </c>
      <c r="J4" s="17">
        <v>6500000</v>
      </c>
      <c r="K4" s="18">
        <v>2.5000000000000001E-3</v>
      </c>
      <c r="M4" s="15">
        <f>M3+1</f>
        <v>2</v>
      </c>
      <c r="N4" s="17">
        <f>P3+1</f>
        <v>6600001</v>
      </c>
      <c r="O4" s="15" t="s">
        <v>11</v>
      </c>
      <c r="P4" s="17">
        <v>6950000</v>
      </c>
      <c r="Q4" s="18">
        <v>2.5000000000000001E-3</v>
      </c>
      <c r="S4" s="19">
        <v>450001</v>
      </c>
      <c r="T4" s="15" t="s">
        <v>11</v>
      </c>
      <c r="U4" s="19">
        <v>2500000</v>
      </c>
      <c r="V4" s="21">
        <v>5.0000000000000001E-3</v>
      </c>
      <c r="X4" s="13"/>
    </row>
    <row r="5" spans="1:25" ht="15" customHeight="1">
      <c r="A5" s="15">
        <f t="shared" ref="A5:A46" si="0">A4+1</f>
        <v>3</v>
      </c>
      <c r="B5" s="17">
        <f t="shared" ref="B5:B46" si="1">D4+1</f>
        <v>5650001</v>
      </c>
      <c r="C5" s="15" t="s">
        <v>11</v>
      </c>
      <c r="D5" s="17">
        <v>5950000</v>
      </c>
      <c r="E5" s="18">
        <v>5.0000000000000001E-3</v>
      </c>
      <c r="G5" s="15">
        <f t="shared" ref="G5:G42" si="2">G4+1</f>
        <v>3</v>
      </c>
      <c r="H5" s="17">
        <f t="shared" ref="H5:H42" si="3">J4+1</f>
        <v>6500001</v>
      </c>
      <c r="I5" s="15" t="s">
        <v>11</v>
      </c>
      <c r="J5" s="17">
        <v>6850000</v>
      </c>
      <c r="K5" s="18">
        <v>5.0000000000000001E-3</v>
      </c>
      <c r="M5" s="15">
        <f t="shared" ref="M5:M42" si="4">M4+1</f>
        <v>3</v>
      </c>
      <c r="N5" s="17">
        <f t="shared" ref="N5:N43" si="5">P4+1</f>
        <v>6950001</v>
      </c>
      <c r="O5" s="15" t="s">
        <v>11</v>
      </c>
      <c r="P5" s="17">
        <v>7350000</v>
      </c>
      <c r="Q5" s="18">
        <v>5.0000000000000001E-3</v>
      </c>
    </row>
    <row r="6" spans="1:25" ht="15" customHeight="1">
      <c r="A6" s="15">
        <f t="shared" si="0"/>
        <v>4</v>
      </c>
      <c r="B6" s="17">
        <f t="shared" si="1"/>
        <v>5950001</v>
      </c>
      <c r="C6" s="15" t="s">
        <v>11</v>
      </c>
      <c r="D6" s="17">
        <v>6300000</v>
      </c>
      <c r="E6" s="18">
        <v>7.4999999999999997E-3</v>
      </c>
      <c r="G6" s="15">
        <f t="shared" si="2"/>
        <v>4</v>
      </c>
      <c r="H6" s="17">
        <f t="shared" si="3"/>
        <v>6850001</v>
      </c>
      <c r="I6" s="15" t="s">
        <v>11</v>
      </c>
      <c r="J6" s="17">
        <v>7300000</v>
      </c>
      <c r="K6" s="18">
        <v>7.4999999999999997E-3</v>
      </c>
      <c r="M6" s="15">
        <f t="shared" si="4"/>
        <v>4</v>
      </c>
      <c r="N6" s="17">
        <f t="shared" si="5"/>
        <v>7350001</v>
      </c>
      <c r="O6" s="15" t="s">
        <v>11</v>
      </c>
      <c r="P6" s="17">
        <v>7800000</v>
      </c>
      <c r="Q6" s="18">
        <v>7.4999999999999997E-3</v>
      </c>
    </row>
    <row r="7" spans="1:25" ht="15" customHeight="1">
      <c r="A7" s="15">
        <f t="shared" si="0"/>
        <v>5</v>
      </c>
      <c r="B7" s="17">
        <f t="shared" si="1"/>
        <v>6300001</v>
      </c>
      <c r="C7" s="15" t="s">
        <v>11</v>
      </c>
      <c r="D7" s="17">
        <v>6750000</v>
      </c>
      <c r="E7" s="18">
        <v>0.01</v>
      </c>
      <c r="G7" s="15">
        <f t="shared" si="2"/>
        <v>5</v>
      </c>
      <c r="H7" s="17">
        <f t="shared" si="3"/>
        <v>7300001</v>
      </c>
      <c r="I7" s="15" t="s">
        <v>11</v>
      </c>
      <c r="J7" s="17">
        <v>9200000</v>
      </c>
      <c r="K7" s="18">
        <v>0.01</v>
      </c>
      <c r="M7" s="15">
        <f t="shared" si="4"/>
        <v>5</v>
      </c>
      <c r="N7" s="17">
        <f t="shared" si="5"/>
        <v>7800001</v>
      </c>
      <c r="O7" s="15" t="s">
        <v>11</v>
      </c>
      <c r="P7" s="17">
        <v>8850000</v>
      </c>
      <c r="Q7" s="18">
        <v>0.01</v>
      </c>
      <c r="S7" s="1" t="s">
        <v>12</v>
      </c>
      <c r="T7" s="6"/>
      <c r="U7" s="6"/>
      <c r="V7" s="6"/>
    </row>
    <row r="8" spans="1:25" ht="15" customHeight="1">
      <c r="A8" s="15">
        <f t="shared" si="0"/>
        <v>6</v>
      </c>
      <c r="B8" s="17">
        <f t="shared" si="1"/>
        <v>6750001</v>
      </c>
      <c r="C8" s="15" t="s">
        <v>11</v>
      </c>
      <c r="D8" s="17">
        <v>7500000</v>
      </c>
      <c r="E8" s="18">
        <v>1.2500000000000001E-2</v>
      </c>
      <c r="G8" s="15">
        <f t="shared" si="2"/>
        <v>6</v>
      </c>
      <c r="H8" s="17">
        <f t="shared" si="3"/>
        <v>9200001</v>
      </c>
      <c r="I8" s="15" t="s">
        <v>11</v>
      </c>
      <c r="J8" s="17">
        <v>10750000</v>
      </c>
      <c r="K8" s="18">
        <v>1.4999999999999999E-2</v>
      </c>
      <c r="M8" s="15">
        <f t="shared" si="4"/>
        <v>6</v>
      </c>
      <c r="N8" s="17">
        <f t="shared" si="5"/>
        <v>8850001</v>
      </c>
      <c r="O8" s="15" t="s">
        <v>11</v>
      </c>
      <c r="P8" s="17">
        <v>9800000</v>
      </c>
      <c r="Q8" s="18">
        <v>1.2500000000000001E-2</v>
      </c>
      <c r="S8" s="115" t="s">
        <v>13</v>
      </c>
      <c r="T8" s="115"/>
      <c r="U8" s="115"/>
      <c r="V8" s="9" t="s">
        <v>10</v>
      </c>
    </row>
    <row r="9" spans="1:25" ht="15" customHeight="1">
      <c r="A9" s="15">
        <f t="shared" si="0"/>
        <v>7</v>
      </c>
      <c r="B9" s="17">
        <f t="shared" si="1"/>
        <v>7500001</v>
      </c>
      <c r="C9" s="15" t="s">
        <v>11</v>
      </c>
      <c r="D9" s="17">
        <v>8550000</v>
      </c>
      <c r="E9" s="18">
        <v>1.5000000000000001E-2</v>
      </c>
      <c r="G9" s="15">
        <f t="shared" si="2"/>
        <v>7</v>
      </c>
      <c r="H9" s="17">
        <f t="shared" si="3"/>
        <v>10750001</v>
      </c>
      <c r="I9" s="15" t="s">
        <v>11</v>
      </c>
      <c r="J9" s="17">
        <v>11250000</v>
      </c>
      <c r="K9" s="18">
        <v>0.02</v>
      </c>
      <c r="M9" s="15">
        <f t="shared" si="4"/>
        <v>7</v>
      </c>
      <c r="N9" s="17">
        <f t="shared" si="5"/>
        <v>9800001</v>
      </c>
      <c r="O9" s="15" t="s">
        <v>11</v>
      </c>
      <c r="P9" s="17">
        <v>10950000</v>
      </c>
      <c r="Q9" s="18">
        <v>1.5000000000000001E-2</v>
      </c>
      <c r="S9" s="16">
        <v>0</v>
      </c>
      <c r="T9" s="15" t="s">
        <v>11</v>
      </c>
      <c r="U9" s="19">
        <v>60000000</v>
      </c>
      <c r="V9" s="20">
        <v>0.05</v>
      </c>
    </row>
    <row r="10" spans="1:25" ht="15" customHeight="1">
      <c r="A10" s="15">
        <f t="shared" si="0"/>
        <v>8</v>
      </c>
      <c r="B10" s="17">
        <f t="shared" si="1"/>
        <v>8550001</v>
      </c>
      <c r="C10" s="15" t="s">
        <v>11</v>
      </c>
      <c r="D10" s="17">
        <v>9650000</v>
      </c>
      <c r="E10" s="18">
        <v>1.7500000000000002E-2</v>
      </c>
      <c r="G10" s="15">
        <f t="shared" si="2"/>
        <v>8</v>
      </c>
      <c r="H10" s="17">
        <f t="shared" si="3"/>
        <v>11250001</v>
      </c>
      <c r="I10" s="15" t="s">
        <v>11</v>
      </c>
      <c r="J10" s="17">
        <v>11600000</v>
      </c>
      <c r="K10" s="18">
        <v>2.5000000000000001E-2</v>
      </c>
      <c r="M10" s="15">
        <f t="shared" si="4"/>
        <v>8</v>
      </c>
      <c r="N10" s="17">
        <f t="shared" si="5"/>
        <v>10950001</v>
      </c>
      <c r="O10" s="15" t="s">
        <v>11</v>
      </c>
      <c r="P10" s="17">
        <v>11200000</v>
      </c>
      <c r="Q10" s="18">
        <v>1.7500000000000002E-2</v>
      </c>
      <c r="S10" s="19">
        <f>U9+1</f>
        <v>60000001</v>
      </c>
      <c r="T10" s="15" t="s">
        <v>11</v>
      </c>
      <c r="U10" s="19">
        <v>250000000</v>
      </c>
      <c r="V10" s="20">
        <v>0.15</v>
      </c>
    </row>
    <row r="11" spans="1:25" ht="15" customHeight="1">
      <c r="A11" s="15">
        <f t="shared" si="0"/>
        <v>9</v>
      </c>
      <c r="B11" s="17">
        <f t="shared" si="1"/>
        <v>9650001</v>
      </c>
      <c r="C11" s="15" t="s">
        <v>11</v>
      </c>
      <c r="D11" s="17">
        <v>10050000</v>
      </c>
      <c r="E11" s="18">
        <v>0.02</v>
      </c>
      <c r="G11" s="15">
        <f t="shared" si="2"/>
        <v>9</v>
      </c>
      <c r="H11" s="17">
        <f t="shared" si="3"/>
        <v>11600001</v>
      </c>
      <c r="I11" s="15" t="s">
        <v>11</v>
      </c>
      <c r="J11" s="17">
        <v>12600000</v>
      </c>
      <c r="K11" s="18">
        <v>3.0000000000000002E-2</v>
      </c>
      <c r="M11" s="15">
        <f t="shared" si="4"/>
        <v>9</v>
      </c>
      <c r="N11" s="17">
        <f t="shared" si="5"/>
        <v>11200001</v>
      </c>
      <c r="O11" s="15" t="s">
        <v>11</v>
      </c>
      <c r="P11" s="17">
        <v>12050000</v>
      </c>
      <c r="Q11" s="18">
        <v>0.02</v>
      </c>
      <c r="S11" s="19">
        <f>U10+1</f>
        <v>250000001</v>
      </c>
      <c r="T11" s="15" t="s">
        <v>11</v>
      </c>
      <c r="U11" s="19">
        <v>500000000</v>
      </c>
      <c r="V11" s="20">
        <v>0.25</v>
      </c>
    </row>
    <row r="12" spans="1:25" ht="15" customHeight="1">
      <c r="A12" s="15">
        <f t="shared" si="0"/>
        <v>10</v>
      </c>
      <c r="B12" s="17">
        <f t="shared" si="1"/>
        <v>10050001</v>
      </c>
      <c r="C12" s="15" t="s">
        <v>11</v>
      </c>
      <c r="D12" s="17">
        <v>10350000</v>
      </c>
      <c r="E12" s="18">
        <v>2.2499999999999999E-2</v>
      </c>
      <c r="G12" s="15">
        <f t="shared" si="2"/>
        <v>10</v>
      </c>
      <c r="H12" s="17">
        <f t="shared" si="3"/>
        <v>12600001</v>
      </c>
      <c r="I12" s="15" t="s">
        <v>11</v>
      </c>
      <c r="J12" s="17">
        <v>13600000</v>
      </c>
      <c r="K12" s="18">
        <v>0.04</v>
      </c>
      <c r="M12" s="15">
        <f t="shared" si="4"/>
        <v>10</v>
      </c>
      <c r="N12" s="17">
        <f t="shared" si="5"/>
        <v>12050001</v>
      </c>
      <c r="O12" s="15" t="s">
        <v>11</v>
      </c>
      <c r="P12" s="17">
        <v>12950000</v>
      </c>
      <c r="Q12" s="18">
        <v>0.03</v>
      </c>
      <c r="S12" s="19">
        <f>U11+1</f>
        <v>500000001</v>
      </c>
      <c r="T12" s="15" t="s">
        <v>11</v>
      </c>
      <c r="U12" s="19">
        <v>5000000000</v>
      </c>
      <c r="V12" s="20">
        <v>0.3</v>
      </c>
    </row>
    <row r="13" spans="1:25" ht="15" customHeight="1">
      <c r="A13" s="15">
        <f t="shared" si="0"/>
        <v>11</v>
      </c>
      <c r="B13" s="17">
        <f t="shared" si="1"/>
        <v>10350001</v>
      </c>
      <c r="C13" s="15" t="s">
        <v>11</v>
      </c>
      <c r="D13" s="17">
        <v>10700000</v>
      </c>
      <c r="E13" s="18">
        <v>2.4999999999999998E-2</v>
      </c>
      <c r="G13" s="15">
        <f t="shared" si="2"/>
        <v>11</v>
      </c>
      <c r="H13" s="17">
        <f t="shared" si="3"/>
        <v>13600001</v>
      </c>
      <c r="I13" s="15" t="s">
        <v>11</v>
      </c>
      <c r="J13" s="17">
        <v>14950000</v>
      </c>
      <c r="K13" s="18">
        <v>0.05</v>
      </c>
      <c r="M13" s="15">
        <f t="shared" si="4"/>
        <v>11</v>
      </c>
      <c r="N13" s="17">
        <f t="shared" si="5"/>
        <v>12950001</v>
      </c>
      <c r="O13" s="15" t="s">
        <v>11</v>
      </c>
      <c r="P13" s="17">
        <v>14150000</v>
      </c>
      <c r="Q13" s="18">
        <v>0.04</v>
      </c>
      <c r="S13" s="19">
        <f>U12+1</f>
        <v>5000000001</v>
      </c>
      <c r="T13" s="15" t="s">
        <v>11</v>
      </c>
      <c r="U13" s="17" t="s">
        <v>14</v>
      </c>
      <c r="V13" s="20">
        <v>0.35</v>
      </c>
    </row>
    <row r="14" spans="1:25" ht="15" customHeight="1">
      <c r="A14" s="15">
        <f t="shared" si="0"/>
        <v>12</v>
      </c>
      <c r="B14" s="17">
        <f t="shared" si="1"/>
        <v>10700001</v>
      </c>
      <c r="C14" s="15" t="s">
        <v>11</v>
      </c>
      <c r="D14" s="17">
        <v>11050000</v>
      </c>
      <c r="E14" s="18">
        <v>0.03</v>
      </c>
      <c r="G14" s="15">
        <f t="shared" si="2"/>
        <v>12</v>
      </c>
      <c r="H14" s="17">
        <f t="shared" si="3"/>
        <v>14950001</v>
      </c>
      <c r="I14" s="15" t="s">
        <v>11</v>
      </c>
      <c r="J14" s="17">
        <v>16400000</v>
      </c>
      <c r="K14" s="18">
        <v>6.0000000000000005E-2</v>
      </c>
      <c r="M14" s="15">
        <f t="shared" si="4"/>
        <v>12</v>
      </c>
      <c r="N14" s="17">
        <f t="shared" si="5"/>
        <v>14150001</v>
      </c>
      <c r="O14" s="15" t="s">
        <v>11</v>
      </c>
      <c r="P14" s="17">
        <v>1550000</v>
      </c>
      <c r="Q14" s="18">
        <v>0.05</v>
      </c>
      <c r="T14" s="114"/>
      <c r="U14" s="114"/>
    </row>
    <row r="15" spans="1:25" ht="15" customHeight="1">
      <c r="A15" s="15">
        <f t="shared" si="0"/>
        <v>13</v>
      </c>
      <c r="B15" s="17">
        <f t="shared" si="1"/>
        <v>11050001</v>
      </c>
      <c r="C15" s="15" t="s">
        <v>11</v>
      </c>
      <c r="D15" s="17">
        <v>11600000</v>
      </c>
      <c r="E15" s="18">
        <v>3.5000000000000003E-2</v>
      </c>
      <c r="G15" s="15">
        <f t="shared" si="2"/>
        <v>13</v>
      </c>
      <c r="H15" s="17">
        <f t="shared" si="3"/>
        <v>16400001</v>
      </c>
      <c r="I15" s="15" t="s">
        <v>11</v>
      </c>
      <c r="J15" s="17">
        <v>18450000</v>
      </c>
      <c r="K15" s="18">
        <v>7.0000000000000007E-2</v>
      </c>
      <c r="M15" s="15">
        <f t="shared" si="4"/>
        <v>13</v>
      </c>
      <c r="N15" s="17">
        <f t="shared" si="5"/>
        <v>1550001</v>
      </c>
      <c r="O15" s="15" t="s">
        <v>11</v>
      </c>
      <c r="P15" s="17">
        <v>17050000</v>
      </c>
      <c r="Q15" s="18">
        <v>6.0000000000000005E-2</v>
      </c>
      <c r="U15" s="23"/>
    </row>
    <row r="16" spans="1:25" ht="15" customHeight="1">
      <c r="A16" s="15">
        <f t="shared" si="0"/>
        <v>14</v>
      </c>
      <c r="B16" s="17">
        <f t="shared" si="1"/>
        <v>11600001</v>
      </c>
      <c r="C16" s="15" t="s">
        <v>11</v>
      </c>
      <c r="D16" s="17">
        <v>12500000</v>
      </c>
      <c r="E16" s="18">
        <v>0.04</v>
      </c>
      <c r="G16" s="15">
        <f t="shared" si="2"/>
        <v>14</v>
      </c>
      <c r="H16" s="17">
        <f t="shared" si="3"/>
        <v>18450001</v>
      </c>
      <c r="I16" s="15" t="s">
        <v>11</v>
      </c>
      <c r="J16" s="17">
        <v>21850000</v>
      </c>
      <c r="K16" s="18">
        <v>0.08</v>
      </c>
      <c r="M16" s="15">
        <f t="shared" si="4"/>
        <v>14</v>
      </c>
      <c r="N16" s="17">
        <f t="shared" si="5"/>
        <v>17050001</v>
      </c>
      <c r="O16" s="15" t="s">
        <v>11</v>
      </c>
      <c r="P16" s="17">
        <v>19500000</v>
      </c>
      <c r="Q16" s="18">
        <v>7.0000000000000007E-2</v>
      </c>
      <c r="S16" s="1" t="s">
        <v>15</v>
      </c>
      <c r="T16" s="7"/>
      <c r="U16" s="23"/>
    </row>
    <row r="17" spans="1:25" ht="15" customHeight="1">
      <c r="A17" s="15">
        <f t="shared" si="0"/>
        <v>15</v>
      </c>
      <c r="B17" s="17">
        <f t="shared" si="1"/>
        <v>12500001</v>
      </c>
      <c r="C17" s="15" t="s">
        <v>11</v>
      </c>
      <c r="D17" s="17">
        <v>13750000</v>
      </c>
      <c r="E17" s="18">
        <v>0.05</v>
      </c>
      <c r="G17" s="15">
        <f t="shared" si="2"/>
        <v>15</v>
      </c>
      <c r="H17" s="17">
        <f t="shared" si="3"/>
        <v>21850001</v>
      </c>
      <c r="I17" s="15" t="s">
        <v>11</v>
      </c>
      <c r="J17" s="17">
        <v>26000000</v>
      </c>
      <c r="K17" s="18">
        <v>0.09</v>
      </c>
      <c r="M17" s="15">
        <f t="shared" si="4"/>
        <v>15</v>
      </c>
      <c r="N17" s="17">
        <f t="shared" si="5"/>
        <v>19500001</v>
      </c>
      <c r="O17" s="15" t="s">
        <v>11</v>
      </c>
      <c r="P17" s="17">
        <v>22700000</v>
      </c>
      <c r="Q17" s="18">
        <v>0.08</v>
      </c>
      <c r="S17" s="115" t="s">
        <v>16</v>
      </c>
      <c r="T17" s="115"/>
      <c r="U17" s="24" t="s">
        <v>17</v>
      </c>
      <c r="V17" s="11"/>
      <c r="W17" s="11"/>
      <c r="X17" s="11"/>
      <c r="Y17" s="11"/>
    </row>
    <row r="18" spans="1:25" ht="15" customHeight="1">
      <c r="A18" s="15">
        <f t="shared" si="0"/>
        <v>16</v>
      </c>
      <c r="B18" s="17">
        <f t="shared" si="1"/>
        <v>13750001</v>
      </c>
      <c r="C18" s="15" t="s">
        <v>11</v>
      </c>
      <c r="D18" s="17">
        <v>15100000</v>
      </c>
      <c r="E18" s="18">
        <v>6.0000000000000005E-2</v>
      </c>
      <c r="G18" s="15">
        <f t="shared" si="2"/>
        <v>16</v>
      </c>
      <c r="H18" s="17">
        <f t="shared" si="3"/>
        <v>26000001</v>
      </c>
      <c r="I18" s="15" t="s">
        <v>11</v>
      </c>
      <c r="J18" s="17">
        <v>27700000</v>
      </c>
      <c r="K18" s="18">
        <v>9.9999999999999992E-2</v>
      </c>
      <c r="M18" s="15">
        <f t="shared" si="4"/>
        <v>16</v>
      </c>
      <c r="N18" s="17">
        <f t="shared" si="5"/>
        <v>22700001</v>
      </c>
      <c r="O18" s="15" t="s">
        <v>11</v>
      </c>
      <c r="P18" s="17">
        <v>26600000</v>
      </c>
      <c r="Q18" s="18">
        <v>0.09</v>
      </c>
      <c r="S18" s="116" t="s">
        <v>18</v>
      </c>
      <c r="T18" s="116"/>
      <c r="U18" s="25">
        <v>54000000</v>
      </c>
      <c r="V18" s="11"/>
      <c r="W18" s="11"/>
      <c r="X18" s="11"/>
      <c r="Y18" s="11"/>
    </row>
    <row r="19" spans="1:25" ht="15" customHeight="1">
      <c r="A19" s="15">
        <f t="shared" si="0"/>
        <v>17</v>
      </c>
      <c r="B19" s="17">
        <f t="shared" si="1"/>
        <v>15100001</v>
      </c>
      <c r="C19" s="15" t="s">
        <v>11</v>
      </c>
      <c r="D19" s="17">
        <v>16950000</v>
      </c>
      <c r="E19" s="18">
        <v>7.0000000000000007E-2</v>
      </c>
      <c r="G19" s="15">
        <f t="shared" si="2"/>
        <v>17</v>
      </c>
      <c r="H19" s="17">
        <f t="shared" si="3"/>
        <v>27700001</v>
      </c>
      <c r="I19" s="15" t="s">
        <v>11</v>
      </c>
      <c r="J19" s="17">
        <v>29350000</v>
      </c>
      <c r="K19" s="18">
        <v>0.10999999999999999</v>
      </c>
      <c r="M19" s="15">
        <f t="shared" si="4"/>
        <v>17</v>
      </c>
      <c r="N19" s="17">
        <f t="shared" si="5"/>
        <v>26600001</v>
      </c>
      <c r="O19" s="15" t="s">
        <v>11</v>
      </c>
      <c r="P19" s="17">
        <v>28100000</v>
      </c>
      <c r="Q19" s="18">
        <v>9.9999999999999992E-2</v>
      </c>
      <c r="S19" s="116" t="s">
        <v>19</v>
      </c>
      <c r="T19" s="116"/>
      <c r="U19" s="25">
        <v>58500000</v>
      </c>
      <c r="V19" s="11"/>
      <c r="W19" s="11"/>
      <c r="X19" s="11"/>
      <c r="Y19" s="11"/>
    </row>
    <row r="20" spans="1:25" ht="15" customHeight="1">
      <c r="A20" s="15">
        <f t="shared" si="0"/>
        <v>18</v>
      </c>
      <c r="B20" s="17">
        <f t="shared" si="1"/>
        <v>16950001</v>
      </c>
      <c r="C20" s="15" t="s">
        <v>11</v>
      </c>
      <c r="D20" s="17">
        <v>19750000</v>
      </c>
      <c r="E20" s="18">
        <v>0.08</v>
      </c>
      <c r="G20" s="15">
        <f t="shared" si="2"/>
        <v>18</v>
      </c>
      <c r="H20" s="17">
        <f t="shared" si="3"/>
        <v>29350001</v>
      </c>
      <c r="I20" s="15" t="s">
        <v>11</v>
      </c>
      <c r="J20" s="17">
        <v>31450000</v>
      </c>
      <c r="K20" s="18">
        <v>0.11999999999999998</v>
      </c>
      <c r="M20" s="15">
        <f t="shared" si="4"/>
        <v>18</v>
      </c>
      <c r="N20" s="17">
        <f t="shared" si="5"/>
        <v>28100001</v>
      </c>
      <c r="O20" s="15" t="s">
        <v>11</v>
      </c>
      <c r="P20" s="17">
        <v>30100000</v>
      </c>
      <c r="Q20" s="18">
        <v>0.10999999999999999</v>
      </c>
      <c r="S20" s="116" t="s">
        <v>20</v>
      </c>
      <c r="T20" s="116"/>
      <c r="U20" s="25">
        <v>63000000</v>
      </c>
      <c r="V20" s="11"/>
      <c r="W20" s="11"/>
      <c r="X20" s="11"/>
      <c r="Y20" s="11"/>
    </row>
    <row r="21" spans="1:25" ht="15" customHeight="1">
      <c r="A21" s="15">
        <f t="shared" si="0"/>
        <v>19</v>
      </c>
      <c r="B21" s="17">
        <f t="shared" si="1"/>
        <v>19750001</v>
      </c>
      <c r="C21" s="15" t="s">
        <v>11</v>
      </c>
      <c r="D21" s="17">
        <v>24150000</v>
      </c>
      <c r="E21" s="18">
        <v>0.09</v>
      </c>
      <c r="G21" s="15">
        <f t="shared" si="2"/>
        <v>19</v>
      </c>
      <c r="H21" s="17">
        <f t="shared" si="3"/>
        <v>31450001</v>
      </c>
      <c r="I21" s="15" t="s">
        <v>11</v>
      </c>
      <c r="J21" s="17">
        <v>33950000</v>
      </c>
      <c r="K21" s="18">
        <v>0.12999999999999998</v>
      </c>
      <c r="M21" s="15">
        <f t="shared" si="4"/>
        <v>19</v>
      </c>
      <c r="N21" s="17">
        <f t="shared" si="5"/>
        <v>30100001</v>
      </c>
      <c r="O21" s="15" t="s">
        <v>11</v>
      </c>
      <c r="P21" s="17">
        <v>32600000</v>
      </c>
      <c r="Q21" s="18">
        <v>0.11999999999999998</v>
      </c>
      <c r="S21" s="116" t="s">
        <v>21</v>
      </c>
      <c r="T21" s="116"/>
      <c r="U21" s="25">
        <v>67500000</v>
      </c>
      <c r="V21" s="11"/>
      <c r="W21" s="11"/>
      <c r="X21" s="11"/>
      <c r="Y21" s="11"/>
    </row>
    <row r="22" spans="1:25" ht="15" customHeight="1">
      <c r="A22" s="15">
        <f t="shared" si="0"/>
        <v>20</v>
      </c>
      <c r="B22" s="17">
        <f t="shared" si="1"/>
        <v>24150001</v>
      </c>
      <c r="C22" s="15" t="s">
        <v>11</v>
      </c>
      <c r="D22" s="17">
        <v>26450000</v>
      </c>
      <c r="E22" s="18">
        <v>9.9999999999999992E-2</v>
      </c>
      <c r="G22" s="15">
        <f t="shared" si="2"/>
        <v>20</v>
      </c>
      <c r="H22" s="17">
        <f t="shared" si="3"/>
        <v>33950001</v>
      </c>
      <c r="I22" s="15" t="s">
        <v>11</v>
      </c>
      <c r="J22" s="17">
        <v>37100000</v>
      </c>
      <c r="K22" s="18">
        <v>0.13999999999999999</v>
      </c>
      <c r="M22" s="15">
        <f t="shared" si="4"/>
        <v>20</v>
      </c>
      <c r="N22" s="17">
        <f t="shared" si="5"/>
        <v>32600001</v>
      </c>
      <c r="O22" s="15" t="s">
        <v>11</v>
      </c>
      <c r="P22" s="17">
        <v>35400000</v>
      </c>
      <c r="Q22" s="18">
        <v>0.12999999999999998</v>
      </c>
      <c r="S22" s="116" t="s">
        <v>22</v>
      </c>
      <c r="T22" s="116"/>
      <c r="U22" s="25">
        <v>58500000</v>
      </c>
      <c r="V22" s="11"/>
      <c r="W22" s="11"/>
      <c r="X22" s="11"/>
      <c r="Y22" s="11"/>
    </row>
    <row r="23" spans="1:25" ht="15" customHeight="1">
      <c r="A23" s="15">
        <f t="shared" si="0"/>
        <v>21</v>
      </c>
      <c r="B23" s="17">
        <f t="shared" si="1"/>
        <v>26450001</v>
      </c>
      <c r="C23" s="15" t="s">
        <v>11</v>
      </c>
      <c r="D23" s="17">
        <v>28000000</v>
      </c>
      <c r="E23" s="18">
        <v>0.10999999999999999</v>
      </c>
      <c r="G23" s="15">
        <f t="shared" si="2"/>
        <v>21</v>
      </c>
      <c r="H23" s="17">
        <f t="shared" si="3"/>
        <v>37100001</v>
      </c>
      <c r="I23" s="15" t="s">
        <v>11</v>
      </c>
      <c r="J23" s="17">
        <v>41100000</v>
      </c>
      <c r="K23" s="18">
        <v>0.15</v>
      </c>
      <c r="M23" s="15">
        <f t="shared" si="4"/>
        <v>21</v>
      </c>
      <c r="N23" s="17">
        <f t="shared" si="5"/>
        <v>35400001</v>
      </c>
      <c r="O23" s="15" t="s">
        <v>11</v>
      </c>
      <c r="P23" s="17">
        <v>38900000</v>
      </c>
      <c r="Q23" s="18">
        <v>0.13999999999999999</v>
      </c>
      <c r="S23" s="116" t="s">
        <v>23</v>
      </c>
      <c r="T23" s="116"/>
      <c r="U23" s="25">
        <v>63000000</v>
      </c>
      <c r="V23" s="11"/>
      <c r="W23" s="11"/>
      <c r="X23" s="11"/>
      <c r="Y23" s="11"/>
    </row>
    <row r="24" spans="1:25" ht="15" customHeight="1">
      <c r="A24" s="15">
        <f t="shared" si="0"/>
        <v>22</v>
      </c>
      <c r="B24" s="17">
        <f t="shared" si="1"/>
        <v>28000001</v>
      </c>
      <c r="C24" s="15" t="s">
        <v>11</v>
      </c>
      <c r="D24" s="17">
        <v>30050000</v>
      </c>
      <c r="E24" s="18">
        <v>0.11999999999999998</v>
      </c>
      <c r="G24" s="15">
        <f t="shared" si="2"/>
        <v>22</v>
      </c>
      <c r="H24" s="17">
        <f t="shared" si="3"/>
        <v>41100001</v>
      </c>
      <c r="I24" s="15" t="s">
        <v>11</v>
      </c>
      <c r="J24" s="17">
        <v>45800000</v>
      </c>
      <c r="K24" s="18">
        <v>0.16</v>
      </c>
      <c r="M24" s="15">
        <f t="shared" si="4"/>
        <v>22</v>
      </c>
      <c r="N24" s="17">
        <f t="shared" si="5"/>
        <v>38900001</v>
      </c>
      <c r="O24" s="15" t="s">
        <v>11</v>
      </c>
      <c r="P24" s="17">
        <v>43000000</v>
      </c>
      <c r="Q24" s="18">
        <v>0.15</v>
      </c>
      <c r="S24" s="116" t="s">
        <v>24</v>
      </c>
      <c r="T24" s="116"/>
      <c r="U24" s="25">
        <v>67500000</v>
      </c>
      <c r="V24" s="11"/>
      <c r="W24" s="11"/>
      <c r="X24" s="11"/>
      <c r="Y24" s="11"/>
    </row>
    <row r="25" spans="1:25" ht="15" customHeight="1">
      <c r="A25" s="15">
        <f t="shared" si="0"/>
        <v>23</v>
      </c>
      <c r="B25" s="17">
        <f t="shared" si="1"/>
        <v>30050001</v>
      </c>
      <c r="C25" s="15" t="s">
        <v>11</v>
      </c>
      <c r="D25" s="17">
        <v>32400000</v>
      </c>
      <c r="E25" s="18">
        <v>0.12999999999999998</v>
      </c>
      <c r="G25" s="15">
        <f t="shared" si="2"/>
        <v>23</v>
      </c>
      <c r="H25" s="17">
        <f t="shared" si="3"/>
        <v>45800001</v>
      </c>
      <c r="I25" s="15" t="s">
        <v>11</v>
      </c>
      <c r="J25" s="17">
        <v>49500000</v>
      </c>
      <c r="K25" s="18">
        <v>0.17</v>
      </c>
      <c r="M25" s="15">
        <f t="shared" si="4"/>
        <v>23</v>
      </c>
      <c r="N25" s="17">
        <f t="shared" si="5"/>
        <v>43000001</v>
      </c>
      <c r="O25" s="15" t="s">
        <v>11</v>
      </c>
      <c r="P25" s="17">
        <v>47400000</v>
      </c>
      <c r="Q25" s="18">
        <v>0.16</v>
      </c>
      <c r="S25" s="116" t="s">
        <v>25</v>
      </c>
      <c r="T25" s="116"/>
      <c r="U25" s="25">
        <v>72000000</v>
      </c>
      <c r="V25" s="11"/>
      <c r="W25" s="11"/>
      <c r="X25" s="11"/>
      <c r="Y25" s="11"/>
    </row>
    <row r="26" spans="1:25" ht="15" customHeight="1">
      <c r="A26" s="15">
        <f t="shared" si="0"/>
        <v>24</v>
      </c>
      <c r="B26" s="17">
        <f t="shared" si="1"/>
        <v>32400001</v>
      </c>
      <c r="C26" s="15" t="s">
        <v>11</v>
      </c>
      <c r="D26" s="17">
        <v>35400000</v>
      </c>
      <c r="E26" s="18">
        <v>0.13999999999999999</v>
      </c>
      <c r="G26" s="15">
        <f t="shared" si="2"/>
        <v>24</v>
      </c>
      <c r="H26" s="17">
        <f t="shared" si="3"/>
        <v>49500001</v>
      </c>
      <c r="I26" s="15" t="s">
        <v>11</v>
      </c>
      <c r="J26" s="17">
        <v>53800000</v>
      </c>
      <c r="K26" s="18">
        <v>0.18000000000000002</v>
      </c>
      <c r="M26" s="15">
        <f t="shared" si="4"/>
        <v>24</v>
      </c>
      <c r="N26" s="17">
        <f t="shared" si="5"/>
        <v>47400001</v>
      </c>
      <c r="O26" s="15" t="s">
        <v>11</v>
      </c>
      <c r="P26" s="17">
        <v>51200000</v>
      </c>
      <c r="Q26" s="18">
        <v>0.17</v>
      </c>
      <c r="V26" s="11"/>
      <c r="W26" s="11"/>
      <c r="X26" s="11"/>
      <c r="Y26" s="11"/>
    </row>
    <row r="27" spans="1:25" ht="15" customHeight="1">
      <c r="A27" s="15">
        <f t="shared" si="0"/>
        <v>25</v>
      </c>
      <c r="B27" s="17">
        <f t="shared" si="1"/>
        <v>35400001</v>
      </c>
      <c r="C27" s="15" t="s">
        <v>11</v>
      </c>
      <c r="D27" s="17">
        <v>39100000</v>
      </c>
      <c r="E27" s="18">
        <v>0.15</v>
      </c>
      <c r="G27" s="15">
        <f t="shared" si="2"/>
        <v>25</v>
      </c>
      <c r="H27" s="17">
        <f t="shared" si="3"/>
        <v>53800001</v>
      </c>
      <c r="I27" s="15" t="s">
        <v>11</v>
      </c>
      <c r="J27" s="17">
        <v>58500000</v>
      </c>
      <c r="K27" s="18">
        <v>0.19000000000000003</v>
      </c>
      <c r="M27" s="15">
        <f t="shared" si="4"/>
        <v>25</v>
      </c>
      <c r="N27" s="17">
        <f t="shared" si="5"/>
        <v>51200001</v>
      </c>
      <c r="O27" s="15" t="s">
        <v>11</v>
      </c>
      <c r="P27" s="17">
        <v>55800000</v>
      </c>
      <c r="Q27" s="18">
        <v>0.18000000000000002</v>
      </c>
      <c r="V27" s="11"/>
      <c r="W27" s="11"/>
      <c r="X27" s="11"/>
      <c r="Y27" s="11"/>
    </row>
    <row r="28" spans="1:25" ht="15" customHeight="1">
      <c r="A28" s="15">
        <f t="shared" si="0"/>
        <v>26</v>
      </c>
      <c r="B28" s="17">
        <f t="shared" si="1"/>
        <v>39100001</v>
      </c>
      <c r="C28" s="15" t="s">
        <v>11</v>
      </c>
      <c r="D28" s="17">
        <v>43850000</v>
      </c>
      <c r="E28" s="18">
        <v>0.16</v>
      </c>
      <c r="G28" s="15">
        <f t="shared" si="2"/>
        <v>26</v>
      </c>
      <c r="H28" s="17">
        <f t="shared" si="3"/>
        <v>58500001</v>
      </c>
      <c r="I28" s="15" t="s">
        <v>11</v>
      </c>
      <c r="J28" s="17">
        <v>64000000</v>
      </c>
      <c r="K28" s="18">
        <v>0.20000000000000004</v>
      </c>
      <c r="M28" s="15">
        <f t="shared" si="4"/>
        <v>26</v>
      </c>
      <c r="N28" s="17">
        <f t="shared" si="5"/>
        <v>55800001</v>
      </c>
      <c r="O28" s="15" t="s">
        <v>11</v>
      </c>
      <c r="P28" s="17">
        <v>60400000</v>
      </c>
      <c r="Q28" s="18">
        <v>0.19000000000000003</v>
      </c>
      <c r="V28" s="11"/>
      <c r="W28" s="11"/>
      <c r="X28" s="11"/>
      <c r="Y28" s="11"/>
    </row>
    <row r="29" spans="1:25" ht="15" customHeight="1">
      <c r="A29" s="15">
        <f t="shared" si="0"/>
        <v>27</v>
      </c>
      <c r="B29" s="17">
        <f t="shared" si="1"/>
        <v>43850001</v>
      </c>
      <c r="C29" s="15" t="s">
        <v>11</v>
      </c>
      <c r="D29" s="17">
        <v>47800000</v>
      </c>
      <c r="E29" s="18">
        <v>0.17</v>
      </c>
      <c r="G29" s="15">
        <f t="shared" si="2"/>
        <v>27</v>
      </c>
      <c r="H29" s="17">
        <f t="shared" si="3"/>
        <v>64000001</v>
      </c>
      <c r="I29" s="15" t="s">
        <v>11</v>
      </c>
      <c r="J29" s="17">
        <v>71000000</v>
      </c>
      <c r="K29" s="18">
        <v>0.21000000000000005</v>
      </c>
      <c r="M29" s="15">
        <f t="shared" si="4"/>
        <v>27</v>
      </c>
      <c r="N29" s="17">
        <f t="shared" si="5"/>
        <v>60400001</v>
      </c>
      <c r="O29" s="15" t="s">
        <v>11</v>
      </c>
      <c r="P29" s="17">
        <v>66700000</v>
      </c>
      <c r="Q29" s="18">
        <v>0.20000000000000004</v>
      </c>
      <c r="V29" s="11"/>
      <c r="W29" s="11"/>
      <c r="X29" s="11"/>
      <c r="Y29" s="11"/>
    </row>
    <row r="30" spans="1:25" ht="15" customHeight="1">
      <c r="A30" s="15">
        <f t="shared" si="0"/>
        <v>28</v>
      </c>
      <c r="B30" s="17">
        <f t="shared" si="1"/>
        <v>47800001</v>
      </c>
      <c r="C30" s="15" t="s">
        <v>11</v>
      </c>
      <c r="D30" s="17">
        <v>51400000</v>
      </c>
      <c r="E30" s="18">
        <v>0.18000000000000002</v>
      </c>
      <c r="G30" s="15">
        <f t="shared" si="2"/>
        <v>28</v>
      </c>
      <c r="H30" s="17">
        <f t="shared" si="3"/>
        <v>71000001</v>
      </c>
      <c r="I30" s="15" t="s">
        <v>11</v>
      </c>
      <c r="J30" s="17">
        <v>80000000</v>
      </c>
      <c r="K30" s="18">
        <v>0.22000000000000006</v>
      </c>
      <c r="M30" s="15">
        <f t="shared" si="4"/>
        <v>28</v>
      </c>
      <c r="N30" s="17">
        <f t="shared" si="5"/>
        <v>66700001</v>
      </c>
      <c r="O30" s="15" t="s">
        <v>11</v>
      </c>
      <c r="P30" s="17">
        <v>74500000</v>
      </c>
      <c r="Q30" s="18">
        <v>0.21000000000000005</v>
      </c>
      <c r="V30" s="11"/>
      <c r="W30" s="11"/>
      <c r="X30" s="11"/>
      <c r="Y30" s="11"/>
    </row>
    <row r="31" spans="1:25" ht="15" customHeight="1">
      <c r="A31" s="15">
        <f t="shared" si="0"/>
        <v>29</v>
      </c>
      <c r="B31" s="17">
        <f t="shared" si="1"/>
        <v>51400001</v>
      </c>
      <c r="C31" s="15" t="s">
        <v>11</v>
      </c>
      <c r="D31" s="17">
        <v>56300000</v>
      </c>
      <c r="E31" s="18">
        <v>0.19000000000000003</v>
      </c>
      <c r="G31" s="15">
        <f t="shared" si="2"/>
        <v>29</v>
      </c>
      <c r="H31" s="17">
        <f t="shared" si="3"/>
        <v>80000001</v>
      </c>
      <c r="I31" s="15" t="s">
        <v>11</v>
      </c>
      <c r="J31" s="17">
        <v>93000000</v>
      </c>
      <c r="K31" s="18">
        <v>0.23000000000000007</v>
      </c>
      <c r="M31" s="15">
        <f t="shared" si="4"/>
        <v>29</v>
      </c>
      <c r="N31" s="17">
        <f t="shared" si="5"/>
        <v>74500001</v>
      </c>
      <c r="O31" s="15" t="s">
        <v>11</v>
      </c>
      <c r="P31" s="17">
        <v>83200000</v>
      </c>
      <c r="Q31" s="18">
        <v>0.22000000000000006</v>
      </c>
      <c r="S31" s="26"/>
      <c r="U31" s="27"/>
      <c r="V31" s="11"/>
      <c r="W31" s="11"/>
      <c r="X31" s="11"/>
      <c r="Y31" s="11"/>
    </row>
    <row r="32" spans="1:25" ht="15" customHeight="1">
      <c r="A32" s="15">
        <f t="shared" si="0"/>
        <v>30</v>
      </c>
      <c r="B32" s="17">
        <f t="shared" si="1"/>
        <v>56300001</v>
      </c>
      <c r="C32" s="15" t="s">
        <v>11</v>
      </c>
      <c r="D32" s="17">
        <v>62200000</v>
      </c>
      <c r="E32" s="18">
        <v>0.20000000000000004</v>
      </c>
      <c r="G32" s="15">
        <f t="shared" si="2"/>
        <v>30</v>
      </c>
      <c r="H32" s="17">
        <f t="shared" si="3"/>
        <v>93000001</v>
      </c>
      <c r="I32" s="15" t="s">
        <v>11</v>
      </c>
      <c r="J32" s="17">
        <v>109000000</v>
      </c>
      <c r="K32" s="18">
        <v>0.24000000000000007</v>
      </c>
      <c r="M32" s="15">
        <f t="shared" si="4"/>
        <v>30</v>
      </c>
      <c r="N32" s="17">
        <f t="shared" si="5"/>
        <v>83200001</v>
      </c>
      <c r="O32" s="15" t="s">
        <v>11</v>
      </c>
      <c r="P32" s="17">
        <v>95600000</v>
      </c>
      <c r="Q32" s="18">
        <v>0.23000000000000007</v>
      </c>
      <c r="V32" s="11"/>
      <c r="W32" s="11"/>
      <c r="X32" s="11"/>
      <c r="Y32" s="11"/>
    </row>
    <row r="33" spans="1:25" ht="15" customHeight="1">
      <c r="A33" s="15">
        <f t="shared" si="0"/>
        <v>31</v>
      </c>
      <c r="B33" s="17">
        <f t="shared" si="1"/>
        <v>62200001</v>
      </c>
      <c r="C33" s="15" t="s">
        <v>11</v>
      </c>
      <c r="D33" s="17">
        <v>68600000</v>
      </c>
      <c r="E33" s="18">
        <v>0.21000000000000005</v>
      </c>
      <c r="G33" s="15">
        <f t="shared" si="2"/>
        <v>31</v>
      </c>
      <c r="H33" s="17">
        <f t="shared" si="3"/>
        <v>109000001</v>
      </c>
      <c r="I33" s="15" t="s">
        <v>11</v>
      </c>
      <c r="J33" s="17">
        <v>129000000</v>
      </c>
      <c r="K33" s="18">
        <v>0.25000000000000006</v>
      </c>
      <c r="M33" s="15">
        <f t="shared" si="4"/>
        <v>31</v>
      </c>
      <c r="N33" s="17">
        <f t="shared" si="5"/>
        <v>95600001</v>
      </c>
      <c r="O33" s="15" t="s">
        <v>11</v>
      </c>
      <c r="P33" s="17">
        <v>110000000</v>
      </c>
      <c r="Q33" s="18">
        <v>0.24000000000000007</v>
      </c>
      <c r="S33" s="28"/>
      <c r="T33" s="11"/>
      <c r="U33" s="11"/>
      <c r="V33" s="11"/>
      <c r="W33" s="11"/>
      <c r="X33" s="11"/>
      <c r="Y33" s="11"/>
    </row>
    <row r="34" spans="1:25" ht="15" customHeight="1">
      <c r="A34" s="15">
        <f t="shared" si="0"/>
        <v>32</v>
      </c>
      <c r="B34" s="17">
        <f t="shared" si="1"/>
        <v>68600001</v>
      </c>
      <c r="C34" s="15" t="s">
        <v>11</v>
      </c>
      <c r="D34" s="17">
        <v>77500000</v>
      </c>
      <c r="E34" s="18">
        <v>0.22000000000000006</v>
      </c>
      <c r="G34" s="15">
        <f t="shared" si="2"/>
        <v>32</v>
      </c>
      <c r="H34" s="17">
        <f t="shared" si="3"/>
        <v>129000001</v>
      </c>
      <c r="I34" s="15" t="s">
        <v>11</v>
      </c>
      <c r="J34" s="17">
        <v>163000000</v>
      </c>
      <c r="K34" s="18">
        <v>0.26000000000000006</v>
      </c>
      <c r="M34" s="15">
        <f t="shared" si="4"/>
        <v>32</v>
      </c>
      <c r="N34" s="17">
        <f t="shared" si="5"/>
        <v>110000001</v>
      </c>
      <c r="O34" s="15" t="s">
        <v>11</v>
      </c>
      <c r="P34" s="17">
        <v>134000000</v>
      </c>
      <c r="Q34" s="18">
        <v>0.25000000000000006</v>
      </c>
      <c r="T34" s="11"/>
      <c r="U34" s="11"/>
      <c r="V34" s="11"/>
      <c r="W34" s="11"/>
      <c r="X34" s="11"/>
      <c r="Y34" s="11"/>
    </row>
    <row r="35" spans="1:25" ht="15" customHeight="1">
      <c r="A35" s="15">
        <f t="shared" si="0"/>
        <v>33</v>
      </c>
      <c r="B35" s="17">
        <f t="shared" si="1"/>
        <v>77500001</v>
      </c>
      <c r="C35" s="15" t="s">
        <v>11</v>
      </c>
      <c r="D35" s="17">
        <v>89000000</v>
      </c>
      <c r="E35" s="18">
        <v>0.23000000000000007</v>
      </c>
      <c r="G35" s="15">
        <f t="shared" si="2"/>
        <v>33</v>
      </c>
      <c r="H35" s="17">
        <f t="shared" si="3"/>
        <v>163000001</v>
      </c>
      <c r="I35" s="15" t="s">
        <v>11</v>
      </c>
      <c r="J35" s="17">
        <v>211000000</v>
      </c>
      <c r="K35" s="18">
        <v>0.27000000000000007</v>
      </c>
      <c r="M35" s="15">
        <f t="shared" si="4"/>
        <v>33</v>
      </c>
      <c r="N35" s="17">
        <f t="shared" si="5"/>
        <v>134000001</v>
      </c>
      <c r="O35" s="15" t="s">
        <v>11</v>
      </c>
      <c r="P35" s="17">
        <v>169000000</v>
      </c>
      <c r="Q35" s="18">
        <v>0.26000000000000006</v>
      </c>
      <c r="T35" s="11"/>
      <c r="U35" s="11"/>
      <c r="V35" s="11"/>
      <c r="W35" s="11"/>
      <c r="X35" s="11"/>
      <c r="Y35" s="11"/>
    </row>
    <row r="36" spans="1:25" ht="15" customHeight="1">
      <c r="A36" s="15">
        <f t="shared" si="0"/>
        <v>34</v>
      </c>
      <c r="B36" s="17">
        <f t="shared" si="1"/>
        <v>89000001</v>
      </c>
      <c r="C36" s="15" t="s">
        <v>11</v>
      </c>
      <c r="D36" s="17">
        <v>103000000</v>
      </c>
      <c r="E36" s="18">
        <v>0.24000000000000007</v>
      </c>
      <c r="G36" s="15">
        <f t="shared" si="2"/>
        <v>34</v>
      </c>
      <c r="H36" s="17">
        <f t="shared" si="3"/>
        <v>211000001</v>
      </c>
      <c r="I36" s="15" t="s">
        <v>11</v>
      </c>
      <c r="J36" s="17">
        <v>374000000</v>
      </c>
      <c r="K36" s="18">
        <v>0.28000000000000008</v>
      </c>
      <c r="M36" s="15">
        <f t="shared" si="4"/>
        <v>34</v>
      </c>
      <c r="N36" s="17">
        <f t="shared" si="5"/>
        <v>169000001</v>
      </c>
      <c r="O36" s="15" t="s">
        <v>11</v>
      </c>
      <c r="P36" s="17">
        <v>221000000</v>
      </c>
      <c r="Q36" s="18">
        <v>0.27000000000000007</v>
      </c>
      <c r="T36" s="11"/>
      <c r="U36" s="11"/>
      <c r="V36" s="11"/>
      <c r="W36" s="11"/>
      <c r="X36" s="11"/>
      <c r="Y36" s="11"/>
    </row>
    <row r="37" spans="1:25" ht="15" customHeight="1">
      <c r="A37" s="15">
        <f t="shared" si="0"/>
        <v>35</v>
      </c>
      <c r="B37" s="17">
        <f t="shared" si="1"/>
        <v>103000001</v>
      </c>
      <c r="C37" s="15" t="s">
        <v>11</v>
      </c>
      <c r="D37" s="17">
        <v>125000000</v>
      </c>
      <c r="E37" s="18">
        <v>0.25000000000000006</v>
      </c>
      <c r="G37" s="15">
        <f t="shared" si="2"/>
        <v>35</v>
      </c>
      <c r="H37" s="17">
        <f t="shared" si="3"/>
        <v>374000001</v>
      </c>
      <c r="I37" s="15" t="s">
        <v>11</v>
      </c>
      <c r="J37" s="17">
        <v>459000000</v>
      </c>
      <c r="K37" s="18">
        <v>0.29000000000000009</v>
      </c>
      <c r="M37" s="15">
        <f t="shared" si="4"/>
        <v>35</v>
      </c>
      <c r="N37" s="17">
        <f t="shared" si="5"/>
        <v>221000001</v>
      </c>
      <c r="O37" s="15" t="s">
        <v>11</v>
      </c>
      <c r="P37" s="17">
        <v>390000000</v>
      </c>
      <c r="Q37" s="18">
        <v>0.28000000000000008</v>
      </c>
      <c r="T37" s="11"/>
      <c r="U37" s="11"/>
      <c r="V37" s="11"/>
      <c r="W37" s="11"/>
      <c r="X37" s="11"/>
      <c r="Y37" s="11"/>
    </row>
    <row r="38" spans="1:25" ht="15" customHeight="1">
      <c r="A38" s="15">
        <f t="shared" si="0"/>
        <v>36</v>
      </c>
      <c r="B38" s="17">
        <f t="shared" si="1"/>
        <v>125000001</v>
      </c>
      <c r="C38" s="15" t="s">
        <v>11</v>
      </c>
      <c r="D38" s="17">
        <v>157000000</v>
      </c>
      <c r="E38" s="18">
        <v>0.26000000000000006</v>
      </c>
      <c r="G38" s="15">
        <f t="shared" si="2"/>
        <v>36</v>
      </c>
      <c r="H38" s="17">
        <f t="shared" si="3"/>
        <v>459000001</v>
      </c>
      <c r="I38" s="15" t="s">
        <v>11</v>
      </c>
      <c r="J38" s="17">
        <v>555000000</v>
      </c>
      <c r="K38" s="18">
        <v>0.3000000000000001</v>
      </c>
      <c r="M38" s="15">
        <f t="shared" si="4"/>
        <v>36</v>
      </c>
      <c r="N38" s="17">
        <f t="shared" si="5"/>
        <v>390000001</v>
      </c>
      <c r="O38" s="15" t="s">
        <v>11</v>
      </c>
      <c r="P38" s="17">
        <v>463000000</v>
      </c>
      <c r="Q38" s="18">
        <v>0.29000000000000009</v>
      </c>
      <c r="T38" s="11"/>
      <c r="U38" s="11"/>
      <c r="V38" s="11"/>
      <c r="W38" s="11"/>
      <c r="X38" s="11"/>
      <c r="Y38" s="11"/>
    </row>
    <row r="39" spans="1:25" ht="15" customHeight="1">
      <c r="A39" s="15">
        <f t="shared" si="0"/>
        <v>37</v>
      </c>
      <c r="B39" s="17">
        <f t="shared" si="1"/>
        <v>157000001</v>
      </c>
      <c r="C39" s="15" t="s">
        <v>11</v>
      </c>
      <c r="D39" s="17">
        <v>206000000</v>
      </c>
      <c r="E39" s="18">
        <v>0.27000000000000007</v>
      </c>
      <c r="G39" s="15">
        <f t="shared" si="2"/>
        <v>37</v>
      </c>
      <c r="H39" s="17">
        <f t="shared" si="3"/>
        <v>555000001</v>
      </c>
      <c r="I39" s="15" t="s">
        <v>11</v>
      </c>
      <c r="J39" s="17">
        <v>704000000</v>
      </c>
      <c r="K39" s="18">
        <v>0.31000000000000011</v>
      </c>
      <c r="M39" s="15">
        <f t="shared" si="4"/>
        <v>37</v>
      </c>
      <c r="N39" s="17">
        <f t="shared" si="5"/>
        <v>463000001</v>
      </c>
      <c r="O39" s="15" t="s">
        <v>11</v>
      </c>
      <c r="P39" s="17">
        <v>561000000</v>
      </c>
      <c r="Q39" s="18">
        <v>0.3000000000000001</v>
      </c>
      <c r="T39" s="11"/>
      <c r="U39" s="11"/>
      <c r="V39" s="11"/>
      <c r="W39" s="11"/>
      <c r="X39" s="11"/>
      <c r="Y39" s="11"/>
    </row>
    <row r="40" spans="1:25" ht="15" customHeight="1">
      <c r="A40" s="15">
        <f t="shared" si="0"/>
        <v>38</v>
      </c>
      <c r="B40" s="17">
        <f t="shared" si="1"/>
        <v>206000001</v>
      </c>
      <c r="C40" s="15" t="s">
        <v>11</v>
      </c>
      <c r="D40" s="17">
        <v>337000000</v>
      </c>
      <c r="E40" s="18">
        <v>0.28000000000000008</v>
      </c>
      <c r="G40" s="15">
        <f t="shared" si="2"/>
        <v>38</v>
      </c>
      <c r="H40" s="17">
        <f t="shared" si="3"/>
        <v>704000001</v>
      </c>
      <c r="I40" s="15" t="s">
        <v>11</v>
      </c>
      <c r="J40" s="17">
        <v>957000000</v>
      </c>
      <c r="K40" s="18">
        <v>0.32000000000000012</v>
      </c>
      <c r="M40" s="15">
        <f t="shared" si="4"/>
        <v>38</v>
      </c>
      <c r="N40" s="17">
        <f t="shared" si="5"/>
        <v>561000001</v>
      </c>
      <c r="O40" s="15" t="s">
        <v>11</v>
      </c>
      <c r="P40" s="17">
        <v>709000000</v>
      </c>
      <c r="Q40" s="18">
        <v>0.31000000000000011</v>
      </c>
      <c r="T40" s="11"/>
      <c r="U40" s="11"/>
      <c r="V40" s="11"/>
      <c r="W40" s="11"/>
      <c r="X40" s="11"/>
      <c r="Y40" s="11"/>
    </row>
    <row r="41" spans="1:25" ht="15" customHeight="1">
      <c r="A41" s="15">
        <f t="shared" si="0"/>
        <v>39</v>
      </c>
      <c r="B41" s="17">
        <f t="shared" si="1"/>
        <v>337000001</v>
      </c>
      <c r="C41" s="15" t="s">
        <v>11</v>
      </c>
      <c r="D41" s="17">
        <v>454000000</v>
      </c>
      <c r="E41" s="18">
        <v>0.29000000000000009</v>
      </c>
      <c r="G41" s="15">
        <f t="shared" si="2"/>
        <v>39</v>
      </c>
      <c r="H41" s="17">
        <f t="shared" si="3"/>
        <v>957000001</v>
      </c>
      <c r="I41" s="15" t="s">
        <v>11</v>
      </c>
      <c r="J41" s="17">
        <v>1405000000</v>
      </c>
      <c r="K41" s="18">
        <v>0.33000000000000013</v>
      </c>
      <c r="M41" s="15">
        <f t="shared" si="4"/>
        <v>39</v>
      </c>
      <c r="N41" s="17">
        <f t="shared" si="5"/>
        <v>709000001</v>
      </c>
      <c r="O41" s="15" t="s">
        <v>11</v>
      </c>
      <c r="P41" s="17">
        <v>965000000</v>
      </c>
      <c r="Q41" s="18">
        <v>0.32000000000000012</v>
      </c>
      <c r="T41" s="11"/>
      <c r="U41" s="11"/>
      <c r="V41" s="11"/>
      <c r="W41" s="11"/>
      <c r="X41" s="11"/>
      <c r="Y41" s="11"/>
    </row>
    <row r="42" spans="1:25" ht="15" customHeight="1">
      <c r="A42" s="15">
        <f t="shared" si="0"/>
        <v>40</v>
      </c>
      <c r="B42" s="17">
        <f t="shared" si="1"/>
        <v>454000001</v>
      </c>
      <c r="C42" s="15" t="s">
        <v>11</v>
      </c>
      <c r="D42" s="17">
        <v>550000000</v>
      </c>
      <c r="E42" s="18">
        <v>0.3000000000000001</v>
      </c>
      <c r="G42" s="15">
        <f t="shared" si="2"/>
        <v>40</v>
      </c>
      <c r="H42" s="17">
        <f t="shared" si="3"/>
        <v>1405000001</v>
      </c>
      <c r="I42" s="15" t="s">
        <v>11</v>
      </c>
      <c r="J42" s="17" t="s">
        <v>14</v>
      </c>
      <c r="K42" s="18">
        <v>0.34000000000000014</v>
      </c>
      <c r="M42" s="15">
        <f t="shared" si="4"/>
        <v>40</v>
      </c>
      <c r="N42" s="17">
        <f t="shared" si="5"/>
        <v>965000001</v>
      </c>
      <c r="O42" s="15" t="s">
        <v>11</v>
      </c>
      <c r="P42" s="17">
        <v>1419000000</v>
      </c>
      <c r="Q42" s="18">
        <v>0.33000000000000013</v>
      </c>
      <c r="T42" s="11"/>
      <c r="U42" s="11"/>
      <c r="V42" s="11"/>
      <c r="W42" s="11"/>
      <c r="X42" s="11"/>
      <c r="Y42" s="11"/>
    </row>
    <row r="43" spans="1:25" ht="15" customHeight="1">
      <c r="A43" s="15">
        <f t="shared" si="0"/>
        <v>41</v>
      </c>
      <c r="B43" s="17">
        <f t="shared" si="1"/>
        <v>550000001</v>
      </c>
      <c r="C43" s="15" t="s">
        <v>11</v>
      </c>
      <c r="D43" s="17">
        <v>695000000</v>
      </c>
      <c r="E43" s="18">
        <v>0.31000000000000011</v>
      </c>
      <c r="M43" s="15">
        <f>M42+1</f>
        <v>41</v>
      </c>
      <c r="N43" s="17">
        <f t="shared" si="5"/>
        <v>1419000001</v>
      </c>
      <c r="O43" s="15" t="s">
        <v>11</v>
      </c>
      <c r="P43" s="17" t="s">
        <v>14</v>
      </c>
      <c r="Q43" s="18">
        <v>0.34000000000000014</v>
      </c>
      <c r="T43" s="11"/>
      <c r="U43" s="11"/>
      <c r="V43" s="11"/>
      <c r="W43" s="11"/>
      <c r="X43" s="11"/>
      <c r="Y43" s="11"/>
    </row>
    <row r="44" spans="1:25" ht="15" customHeight="1">
      <c r="A44" s="15">
        <f t="shared" si="0"/>
        <v>42</v>
      </c>
      <c r="B44" s="17">
        <f t="shared" si="1"/>
        <v>695000001</v>
      </c>
      <c r="C44" s="15" t="s">
        <v>11</v>
      </c>
      <c r="D44" s="17">
        <v>910000000</v>
      </c>
      <c r="E44" s="18">
        <v>0.32000000000000012</v>
      </c>
      <c r="T44" s="11"/>
      <c r="U44" s="11"/>
      <c r="V44" s="11"/>
      <c r="W44" s="11"/>
      <c r="X44" s="11"/>
      <c r="Y44" s="11"/>
    </row>
    <row r="45" spans="1:25" ht="15" customHeight="1">
      <c r="A45" s="15">
        <f t="shared" si="0"/>
        <v>43</v>
      </c>
      <c r="B45" s="17">
        <f t="shared" si="1"/>
        <v>910000001</v>
      </c>
      <c r="C45" s="15" t="s">
        <v>11</v>
      </c>
      <c r="D45" s="17">
        <v>1400000000</v>
      </c>
      <c r="E45" s="18">
        <v>0.33000000000000013</v>
      </c>
      <c r="T45" s="11"/>
      <c r="U45" s="11"/>
      <c r="V45" s="11"/>
      <c r="W45" s="11"/>
      <c r="X45" s="11"/>
      <c r="Y45" s="11"/>
    </row>
    <row r="46" spans="1:25" ht="15" customHeight="1">
      <c r="A46" s="15">
        <f t="shared" si="0"/>
        <v>44</v>
      </c>
      <c r="B46" s="17">
        <f t="shared" si="1"/>
        <v>1400000001</v>
      </c>
      <c r="C46" s="15" t="s">
        <v>11</v>
      </c>
      <c r="D46" s="17" t="s">
        <v>14</v>
      </c>
      <c r="E46" s="18">
        <v>0.34000000000000014</v>
      </c>
      <c r="J46" s="29"/>
      <c r="T46" s="11"/>
      <c r="U46" s="11"/>
      <c r="V46" s="11"/>
      <c r="W46" s="11"/>
      <c r="X46" s="11"/>
      <c r="Y46" s="11"/>
    </row>
    <row r="47" spans="1:25" ht="15" customHeight="1">
      <c r="J47" s="32"/>
      <c r="T47" s="11"/>
      <c r="U47" s="11"/>
      <c r="V47" s="11"/>
      <c r="W47" s="11"/>
      <c r="X47" s="11"/>
      <c r="Y47" s="11"/>
    </row>
    <row r="48" spans="1:25" ht="15" customHeight="1">
      <c r="J48" s="32"/>
      <c r="T48" s="11"/>
      <c r="U48" s="11"/>
      <c r="V48" s="11"/>
      <c r="W48" s="11"/>
      <c r="X48" s="11"/>
      <c r="Y48" s="11"/>
    </row>
    <row r="54" spans="2:25" ht="15" customHeight="1">
      <c r="B54" s="11"/>
      <c r="D54" s="11"/>
      <c r="E54" s="11"/>
      <c r="J54" s="12"/>
      <c r="K54" s="11"/>
      <c r="Q54" s="11"/>
      <c r="S54" s="11"/>
      <c r="T54" s="11"/>
      <c r="U54" s="11"/>
      <c r="V54" s="11"/>
      <c r="W54" s="11"/>
      <c r="X54" s="11"/>
      <c r="Y54" s="11"/>
    </row>
    <row r="55" spans="2:25" ht="15" customHeight="1">
      <c r="B55" s="11"/>
      <c r="D55" s="11"/>
      <c r="E55" s="11"/>
      <c r="J55" s="12">
        <v>20000000</v>
      </c>
      <c r="K55" s="11"/>
      <c r="Q55" s="11"/>
      <c r="S55" s="11"/>
      <c r="T55" s="11"/>
      <c r="U55" s="11"/>
      <c r="V55" s="11"/>
      <c r="W55" s="11"/>
      <c r="X55" s="11"/>
      <c r="Y55" s="11"/>
    </row>
    <row r="56" spans="2:25" ht="15" customHeight="1">
      <c r="B56" s="11"/>
      <c r="D56" s="11"/>
      <c r="E56" s="11"/>
      <c r="J56" s="12">
        <f ca="1">J61</f>
        <v>1739130.4347826089</v>
      </c>
      <c r="K56" s="11"/>
      <c r="Q56" s="11"/>
      <c r="S56" s="11"/>
      <c r="T56" s="11"/>
      <c r="U56" s="11"/>
      <c r="V56" s="11"/>
      <c r="W56" s="11"/>
      <c r="X56" s="11"/>
      <c r="Y56" s="11"/>
    </row>
    <row r="57" spans="2:25" ht="15" customHeight="1">
      <c r="B57" s="11"/>
      <c r="D57" s="11"/>
      <c r="E57" s="11"/>
      <c r="J57" s="12">
        <f ca="1">SUM(J55:J56)</f>
        <v>21739130.434782609</v>
      </c>
      <c r="K57" s="11"/>
      <c r="Q57" s="11"/>
      <c r="S57" s="11"/>
      <c r="T57" s="11"/>
      <c r="U57" s="11"/>
      <c r="V57" s="11"/>
      <c r="W57" s="11"/>
      <c r="X57" s="11"/>
      <c r="Y57" s="11"/>
    </row>
    <row r="59" spans="2:25" ht="15" customHeight="1">
      <c r="B59" s="11"/>
      <c r="D59" s="11"/>
      <c r="E59" s="11"/>
      <c r="J59" s="12"/>
      <c r="K59" s="11"/>
      <c r="Q59" s="11"/>
      <c r="S59" s="11"/>
      <c r="T59" s="11"/>
      <c r="U59" s="11"/>
      <c r="V59" s="11"/>
      <c r="W59" s="11"/>
      <c r="X59" s="11"/>
      <c r="Y59" s="11"/>
    </row>
    <row r="60" spans="2:25" ht="15" customHeight="1">
      <c r="B60" s="11"/>
      <c r="D60" s="11"/>
      <c r="E60" s="11"/>
      <c r="J60" s="12"/>
      <c r="K60" s="11"/>
      <c r="Q60" s="11"/>
      <c r="S60" s="11"/>
      <c r="T60" s="11"/>
      <c r="U60" s="11"/>
      <c r="V60" s="11"/>
      <c r="W60" s="11"/>
      <c r="X60" s="11"/>
      <c r="Y60" s="11"/>
    </row>
    <row r="61" spans="2:25" ht="15" customHeight="1">
      <c r="B61" s="11"/>
      <c r="D61" s="11"/>
      <c r="E61" s="11"/>
      <c r="J61" s="12">
        <f ca="1">J57*8%</f>
        <v>1739130.4347826089</v>
      </c>
      <c r="K61" s="11"/>
      <c r="Q61" s="11"/>
      <c r="S61" s="11"/>
      <c r="T61" s="11"/>
      <c r="U61" s="11"/>
      <c r="V61" s="11"/>
      <c r="W61" s="11"/>
      <c r="X61" s="11"/>
      <c r="Y61" s="11"/>
    </row>
  </sheetData>
  <mergeCells count="15">
    <mergeCell ref="S23:T23"/>
    <mergeCell ref="S24:T24"/>
    <mergeCell ref="S25:T25"/>
    <mergeCell ref="S17:T17"/>
    <mergeCell ref="S18:T18"/>
    <mergeCell ref="S19:T19"/>
    <mergeCell ref="S20:T20"/>
    <mergeCell ref="S21:T21"/>
    <mergeCell ref="S22:T22"/>
    <mergeCell ref="T14:U14"/>
    <mergeCell ref="B2:D2"/>
    <mergeCell ref="H2:J2"/>
    <mergeCell ref="N2:P2"/>
    <mergeCell ref="S2:U2"/>
    <mergeCell ref="S8:U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34"/>
  <sheetViews>
    <sheetView tabSelected="1" view="pageBreakPreview" zoomScale="91" zoomScaleNormal="90" zoomScaleSheetLayoutView="91" workbookViewId="0">
      <pane xSplit="4" ySplit="5" topLeftCell="E21" activePane="bottomRight" state="frozen"/>
      <selection pane="topRight" activeCell="E1" sqref="E1"/>
      <selection pane="bottomLeft" activeCell="A6" sqref="A6"/>
      <selection pane="bottomRight" activeCell="F27" sqref="F27"/>
    </sheetView>
  </sheetViews>
  <sheetFormatPr defaultRowHeight="12.75" outlineLevelCol="1"/>
  <cols>
    <col min="1" max="1" width="1.5703125" style="39" customWidth="1"/>
    <col min="2" max="2" width="6.7109375" style="33" customWidth="1"/>
    <col min="3" max="3" width="24.42578125" style="97" customWidth="1"/>
    <col min="4" max="4" width="20.28515625" style="34" customWidth="1" outlineLevel="1"/>
    <col min="5" max="5" width="19.42578125" style="35" customWidth="1" outlineLevel="1"/>
    <col min="6" max="6" width="69.5703125" style="97" customWidth="1" outlineLevel="1"/>
    <col min="7" max="7" width="25.140625" style="36" customWidth="1" outlineLevel="1"/>
    <col min="8" max="8" width="6" style="37" customWidth="1" outlineLevel="1"/>
    <col min="9" max="9" width="6.7109375" style="37" customWidth="1" outlineLevel="1"/>
    <col min="10" max="10" width="9.42578125" style="37" customWidth="1" outlineLevel="1"/>
    <col min="11" max="11" width="13.140625" style="97" customWidth="1"/>
    <col min="12" max="12" width="11.42578125" style="97" customWidth="1"/>
    <col min="13" max="13" width="11.85546875" style="97" customWidth="1"/>
    <col min="14" max="14" width="11" style="97" customWidth="1"/>
    <col min="15" max="15" width="12.140625" style="97" customWidth="1"/>
    <col min="16" max="16" width="10" style="97" customWidth="1"/>
    <col min="17" max="18" width="11" style="97" customWidth="1"/>
    <col min="19" max="19" width="11.5703125" style="97" customWidth="1"/>
    <col min="20" max="20" width="11.7109375" style="97" customWidth="1"/>
    <col min="21" max="21" width="10.7109375" style="97" hidden="1" customWidth="1"/>
    <col min="22" max="22" width="11.140625" style="97" customWidth="1"/>
    <col min="23" max="23" width="9.85546875" style="97" customWidth="1"/>
    <col min="24" max="24" width="12.7109375" style="97" customWidth="1"/>
    <col min="25" max="25" width="9.140625" style="97" hidden="1" customWidth="1"/>
    <col min="26" max="26" width="12.140625" style="97" customWidth="1"/>
    <col min="27" max="27" width="9.5703125" style="97" hidden="1" customWidth="1"/>
    <col min="28" max="28" width="10.42578125" style="97" hidden="1" customWidth="1"/>
    <col min="29" max="31" width="12.7109375" style="97" hidden="1" customWidth="1"/>
    <col min="32" max="32" width="15" style="97" customWidth="1"/>
    <col min="33" max="33" width="13.140625" style="97" hidden="1" customWidth="1"/>
    <col min="34" max="34" width="12.7109375" style="97" hidden="1" customWidth="1"/>
    <col min="35" max="35" width="14.85546875" style="97" customWidth="1" collapsed="1"/>
    <col min="36" max="36" width="10.85546875" style="38" customWidth="1"/>
    <col min="37" max="37" width="12.7109375" style="97" customWidth="1"/>
    <col min="38" max="38" width="11.42578125" style="97" customWidth="1"/>
    <col min="39" max="42" width="13.7109375" style="33" customWidth="1"/>
    <col min="43" max="16384" width="9.140625" style="39"/>
  </cols>
  <sheetData>
    <row r="1" spans="2:42">
      <c r="B1" s="33" t="s">
        <v>26</v>
      </c>
      <c r="AM1" s="39"/>
      <c r="AN1" s="39"/>
      <c r="AO1" s="39"/>
      <c r="AP1" s="39"/>
    </row>
    <row r="2" spans="2:42">
      <c r="B2" s="33" t="s">
        <v>408</v>
      </c>
      <c r="AM2" s="39"/>
      <c r="AN2" s="39"/>
      <c r="AO2" s="39"/>
      <c r="AP2" s="39"/>
    </row>
    <row r="3" spans="2:42">
      <c r="B3" s="33" t="s">
        <v>352</v>
      </c>
      <c r="AM3" s="39"/>
      <c r="AN3" s="39"/>
      <c r="AO3" s="39"/>
      <c r="AP3" s="39"/>
    </row>
    <row r="4" spans="2:42" s="33" customFormat="1" ht="13.5" thickBot="1">
      <c r="C4" s="40" t="s">
        <v>27</v>
      </c>
      <c r="D4" s="34"/>
      <c r="E4" s="35"/>
      <c r="F4" s="97"/>
      <c r="G4" s="36"/>
      <c r="H4" s="37"/>
      <c r="I4" s="37"/>
      <c r="J4" s="3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 t="s">
        <v>28</v>
      </c>
      <c r="W4" s="97" t="s">
        <v>29</v>
      </c>
      <c r="X4" s="97" t="s">
        <v>30</v>
      </c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38"/>
      <c r="AK4" s="97"/>
      <c r="AL4" s="97"/>
    </row>
    <row r="5" spans="2:42" s="33" customFormat="1" ht="67.5" customHeight="1">
      <c r="B5" s="73" t="s">
        <v>31</v>
      </c>
      <c r="C5" s="73" t="s">
        <v>32</v>
      </c>
      <c r="D5" s="74" t="s">
        <v>33</v>
      </c>
      <c r="E5" s="75" t="s">
        <v>34</v>
      </c>
      <c r="F5" s="73" t="s">
        <v>35</v>
      </c>
      <c r="G5" s="76" t="s">
        <v>36</v>
      </c>
      <c r="H5" s="77" t="s">
        <v>37</v>
      </c>
      <c r="I5" s="78" t="s">
        <v>15</v>
      </c>
      <c r="J5" s="78" t="s">
        <v>38</v>
      </c>
      <c r="K5" s="79" t="s">
        <v>39</v>
      </c>
      <c r="L5" s="80" t="s">
        <v>40</v>
      </c>
      <c r="M5" s="80" t="s">
        <v>41</v>
      </c>
      <c r="N5" s="80" t="s">
        <v>42</v>
      </c>
      <c r="O5" s="80" t="s">
        <v>43</v>
      </c>
      <c r="P5" s="80" t="s">
        <v>44</v>
      </c>
      <c r="Q5" s="80" t="s">
        <v>45</v>
      </c>
      <c r="R5" s="80" t="s">
        <v>357</v>
      </c>
      <c r="S5" s="80" t="s">
        <v>46</v>
      </c>
      <c r="T5" s="80" t="s">
        <v>47</v>
      </c>
      <c r="U5" s="80" t="s">
        <v>53</v>
      </c>
      <c r="V5" s="80" t="s">
        <v>48</v>
      </c>
      <c r="W5" s="80" t="s">
        <v>49</v>
      </c>
      <c r="X5" s="80" t="s">
        <v>50</v>
      </c>
      <c r="Y5" s="80" t="s">
        <v>51</v>
      </c>
      <c r="Z5" s="80" t="s">
        <v>52</v>
      </c>
      <c r="AA5" s="80" t="s">
        <v>53</v>
      </c>
      <c r="AB5" s="80" t="s">
        <v>54</v>
      </c>
      <c r="AC5" s="80" t="s">
        <v>55</v>
      </c>
      <c r="AD5" s="80" t="s">
        <v>56</v>
      </c>
      <c r="AE5" s="80" t="s">
        <v>57</v>
      </c>
      <c r="AF5" s="80" t="s">
        <v>58</v>
      </c>
      <c r="AG5" s="80" t="s">
        <v>59</v>
      </c>
      <c r="AH5" s="80" t="s">
        <v>60</v>
      </c>
      <c r="AI5" s="80" t="s">
        <v>61</v>
      </c>
      <c r="AJ5" s="81" t="s">
        <v>62</v>
      </c>
      <c r="AK5" s="80" t="s">
        <v>351</v>
      </c>
      <c r="AL5" s="85"/>
      <c r="AM5" s="33" t="s">
        <v>223</v>
      </c>
      <c r="AP5" s="33" t="s">
        <v>222</v>
      </c>
    </row>
    <row r="6" spans="2:42" s="33" customFormat="1" ht="23.25" customHeight="1">
      <c r="B6" s="41">
        <v>1</v>
      </c>
      <c r="C6" s="42" t="s">
        <v>63</v>
      </c>
      <c r="D6" s="52" t="s">
        <v>64</v>
      </c>
      <c r="E6" s="53" t="s">
        <v>65</v>
      </c>
      <c r="F6" s="42" t="s">
        <v>66</v>
      </c>
      <c r="G6" s="43" t="s">
        <v>67</v>
      </c>
      <c r="H6" s="54" t="s">
        <v>68</v>
      </c>
      <c r="I6" s="55" t="s">
        <v>22</v>
      </c>
      <c r="J6" s="70" t="str">
        <f>IF(ISBLANK(I6),"",IF(OR(I6="TK/0",I6="TK/1",I6="K/0"),"TER A",IF(I6="K/3","TER C","TER B")))</f>
        <v>TER A</v>
      </c>
      <c r="K6" s="45">
        <f>31*134500</f>
        <v>4169500</v>
      </c>
      <c r="L6" s="45">
        <f>(4035000+Z6)*0.84%</f>
        <v>34318.199999999997</v>
      </c>
      <c r="M6" s="45">
        <f>'[2]MAINTENANCE-2'!$AQ11</f>
        <v>163420</v>
      </c>
      <c r="N6" s="47"/>
      <c r="O6" s="47"/>
      <c r="P6" s="47"/>
      <c r="Q6" s="47"/>
      <c r="R6" s="47"/>
      <c r="S6" s="47"/>
      <c r="T6" s="47"/>
      <c r="U6" s="47"/>
      <c r="V6" s="47">
        <f>'[2]MAINTENANCE-2'!$X11</f>
        <v>97500</v>
      </c>
      <c r="W6" s="47">
        <f>'[2]MAINTENANCE-2'!$AA11</f>
        <v>73500</v>
      </c>
      <c r="X6" s="47">
        <f>'[2]MAINTENANCE-2'!$AE11</f>
        <v>0</v>
      </c>
      <c r="Y6" s="47"/>
      <c r="Z6" s="47">
        <f>'[2]MAINTENANCE-2'!$AD11</f>
        <v>50500</v>
      </c>
      <c r="AA6" s="47"/>
      <c r="AB6" s="47"/>
      <c r="AC6" s="47"/>
      <c r="AD6" s="47"/>
      <c r="AE6" s="47"/>
      <c r="AF6" s="47">
        <f>'[2]MAINTENANCE-2'!$BI11</f>
        <v>-134500</v>
      </c>
      <c r="AG6" s="47"/>
      <c r="AH6" s="47"/>
      <c r="AI6" s="71">
        <f t="shared" ref="AI6:AI35" si="0">ROUND(SUM(K6:AH6),0)</f>
        <v>4454238</v>
      </c>
      <c r="AJ6" s="72">
        <f t="shared" ref="AJ6:AJ35" si="1">IF(J6="TER A",VLOOKUP(AI6,Ter_A,4,TRUE),IF(J6="TER B",VLOOKUP(AI6,Ter_B,4,TRUE),VLOOKUP(AI6,Ter_C,4,TRUE)))</f>
        <v>0</v>
      </c>
      <c r="AK6" s="71">
        <f>ROUND(IF(E6=0,AI6*AJ6*120%,AI6*AJ6),0)</f>
        <v>0</v>
      </c>
      <c r="AL6" s="47"/>
      <c r="AM6" s="48">
        <f>'[2]MAINTENANCE-2'!$AL11</f>
        <v>4256500</v>
      </c>
      <c r="AN6" s="50">
        <f>L6+M6</f>
        <v>197738.2</v>
      </c>
      <c r="AO6" s="50">
        <f>AM6+AN6+AG6</f>
        <v>4454238.2</v>
      </c>
      <c r="AP6" s="50">
        <f>AI6-AO6</f>
        <v>-0.20000000018626451</v>
      </c>
    </row>
    <row r="7" spans="2:42" s="33" customFormat="1" ht="23.25" customHeight="1">
      <c r="B7" s="41">
        <v>2</v>
      </c>
      <c r="C7" s="42" t="s">
        <v>69</v>
      </c>
      <c r="D7" s="52" t="s">
        <v>70</v>
      </c>
      <c r="E7" s="53" t="s">
        <v>71</v>
      </c>
      <c r="F7" s="42" t="s">
        <v>66</v>
      </c>
      <c r="G7" s="43" t="s">
        <v>67</v>
      </c>
      <c r="H7" s="54" t="s">
        <v>68</v>
      </c>
      <c r="I7" s="55" t="s">
        <v>23</v>
      </c>
      <c r="J7" s="99" t="str">
        <f t="shared" ref="J7:J96" si="2">IF(ISBLANK(I7),"",IF(OR(I7="TK/0",I7="TK/1",I7="K/0"),"TER A",IF(I7="K/3","TER C","TER B")))</f>
        <v>TER B</v>
      </c>
      <c r="K7" s="45">
        <f t="shared" ref="K7:K70" si="3">31*134500</f>
        <v>4169500</v>
      </c>
      <c r="L7" s="45">
        <f t="shared" ref="L7:L70" si="4">(4035000+Z7)*0.84%</f>
        <v>34318.199999999997</v>
      </c>
      <c r="M7" s="45">
        <f>'[2]MAINTENANCE-2'!$AQ12</f>
        <v>163420</v>
      </c>
      <c r="N7" s="47"/>
      <c r="O7" s="47"/>
      <c r="P7" s="47"/>
      <c r="Q7" s="47"/>
      <c r="R7" s="47"/>
      <c r="S7" s="47"/>
      <c r="T7" s="47"/>
      <c r="U7" s="47"/>
      <c r="V7" s="47">
        <f>'[2]MAINTENANCE-2'!$X12</f>
        <v>144150</v>
      </c>
      <c r="W7" s="47">
        <f>'[2]MAINTENANCE-2'!$AA12</f>
        <v>0</v>
      </c>
      <c r="X7" s="47">
        <f>'[2]MAINTENANCE-2'!$AE12</f>
        <v>0</v>
      </c>
      <c r="Y7" s="47"/>
      <c r="Z7" s="47">
        <f>'[2]MAINTENANCE-2'!$AD12</f>
        <v>50500</v>
      </c>
      <c r="AA7" s="47"/>
      <c r="AB7" s="47"/>
      <c r="AC7" s="47"/>
      <c r="AD7" s="47"/>
      <c r="AE7" s="47"/>
      <c r="AF7" s="47">
        <f>'[2]MAINTENANCE-2'!$BI12</f>
        <v>0</v>
      </c>
      <c r="AG7" s="47"/>
      <c r="AH7" s="47"/>
      <c r="AI7" s="71">
        <f t="shared" si="0"/>
        <v>4561888</v>
      </c>
      <c r="AJ7" s="49">
        <f t="shared" si="1"/>
        <v>0</v>
      </c>
      <c r="AK7" s="71">
        <f>ROUND(IF(E7=0,AI7*AJ7*120%,AI7*AJ7),0)</f>
        <v>0</v>
      </c>
      <c r="AL7" s="47"/>
      <c r="AM7" s="48">
        <f>'[2]MAINTENANCE-2'!$AL12</f>
        <v>4364150</v>
      </c>
      <c r="AN7" s="50">
        <f t="shared" ref="AN7:AN36" si="5">L7+M7</f>
        <v>197738.2</v>
      </c>
      <c r="AO7" s="50">
        <f t="shared" ref="AO7:AO36" si="6">AM7+AN7+AG7</f>
        <v>4561888.2</v>
      </c>
      <c r="AP7" s="50">
        <f t="shared" ref="AP7:AP36" si="7">AI7-AO7</f>
        <v>-0.20000000018626451</v>
      </c>
    </row>
    <row r="8" spans="2:42" s="33" customFormat="1" ht="23.25" customHeight="1">
      <c r="B8" s="41">
        <v>3</v>
      </c>
      <c r="C8" s="42" t="s">
        <v>72</v>
      </c>
      <c r="D8" s="52" t="s">
        <v>73</v>
      </c>
      <c r="E8" s="53" t="s">
        <v>74</v>
      </c>
      <c r="F8" s="42" t="s">
        <v>75</v>
      </c>
      <c r="G8" s="43" t="s">
        <v>67</v>
      </c>
      <c r="H8" s="54" t="s">
        <v>68</v>
      </c>
      <c r="I8" s="55" t="s">
        <v>23</v>
      </c>
      <c r="J8" s="99" t="str">
        <f t="shared" si="2"/>
        <v>TER B</v>
      </c>
      <c r="K8" s="45">
        <f t="shared" si="3"/>
        <v>4169500</v>
      </c>
      <c r="L8" s="45">
        <f t="shared" si="4"/>
        <v>34171.199999999997</v>
      </c>
      <c r="M8" s="45">
        <f>'[2]MAINTENANCE-2'!$AQ13</f>
        <v>162720</v>
      </c>
      <c r="N8" s="47"/>
      <c r="O8" s="47"/>
      <c r="P8" s="47"/>
      <c r="Q8" s="47"/>
      <c r="R8" s="47"/>
      <c r="S8" s="47"/>
      <c r="T8" s="47"/>
      <c r="U8" s="47"/>
      <c r="V8" s="47">
        <f>'[2]MAINTENANCE-2'!$X13</f>
        <v>134850</v>
      </c>
      <c r="W8" s="47">
        <f>'[2]MAINTENANCE-2'!$AA13</f>
        <v>0</v>
      </c>
      <c r="X8" s="47">
        <f>'[2]MAINTENANCE-2'!$AE13</f>
        <v>0</v>
      </c>
      <c r="Y8" s="47"/>
      <c r="Z8" s="47">
        <f>'[2]MAINTENANCE-2'!$AD13</f>
        <v>33000</v>
      </c>
      <c r="AA8" s="47"/>
      <c r="AB8" s="47"/>
      <c r="AC8" s="47"/>
      <c r="AD8" s="47"/>
      <c r="AE8" s="47"/>
      <c r="AF8" s="47">
        <f>'[2]MAINTENANCE-2'!$BI13</f>
        <v>-269000</v>
      </c>
      <c r="AG8" s="47"/>
      <c r="AH8" s="47"/>
      <c r="AI8" s="71">
        <f t="shared" si="0"/>
        <v>4265241</v>
      </c>
      <c r="AJ8" s="49">
        <f t="shared" si="1"/>
        <v>0</v>
      </c>
      <c r="AK8" s="71">
        <f t="shared" ref="AK8:AK67" si="8">ROUND(IF(E8=0,AI8*AJ8*120%,AI8*AJ8),0)</f>
        <v>0</v>
      </c>
      <c r="AL8" s="47"/>
      <c r="AM8" s="48">
        <f>'[2]MAINTENANCE-2'!$AL13</f>
        <v>4068350</v>
      </c>
      <c r="AN8" s="50">
        <f t="shared" si="5"/>
        <v>196891.2</v>
      </c>
      <c r="AO8" s="50">
        <f t="shared" si="6"/>
        <v>4265241.2</v>
      </c>
      <c r="AP8" s="50">
        <f t="shared" si="7"/>
        <v>-0.20000000018626451</v>
      </c>
    </row>
    <row r="9" spans="2:42" s="33" customFormat="1" ht="23.25" customHeight="1">
      <c r="B9" s="41">
        <v>4</v>
      </c>
      <c r="C9" s="42" t="s">
        <v>76</v>
      </c>
      <c r="D9" s="52" t="s">
        <v>77</v>
      </c>
      <c r="E9" s="53" t="s">
        <v>78</v>
      </c>
      <c r="F9" s="42" t="s">
        <v>79</v>
      </c>
      <c r="G9" s="43" t="s">
        <v>67</v>
      </c>
      <c r="H9" s="54" t="s">
        <v>68</v>
      </c>
      <c r="I9" s="55" t="s">
        <v>24</v>
      </c>
      <c r="J9" s="99" t="str">
        <f t="shared" si="2"/>
        <v>TER B</v>
      </c>
      <c r="K9" s="45">
        <f t="shared" si="3"/>
        <v>4169500</v>
      </c>
      <c r="L9" s="45">
        <f t="shared" si="4"/>
        <v>34318.199999999997</v>
      </c>
      <c r="M9" s="45">
        <f>'[2]MAINTENANCE-2'!$AQ14</f>
        <v>163420</v>
      </c>
      <c r="N9" s="47"/>
      <c r="O9" s="47"/>
      <c r="P9" s="47"/>
      <c r="Q9" s="47"/>
      <c r="R9" s="47"/>
      <c r="S9" s="47"/>
      <c r="T9" s="47"/>
      <c r="U9" s="47"/>
      <c r="V9" s="47">
        <f>'[2]MAINTENANCE-2'!$X14</f>
        <v>166500</v>
      </c>
      <c r="W9" s="47">
        <f>'[2]MAINTENANCE-2'!$AA14</f>
        <v>0</v>
      </c>
      <c r="X9" s="47">
        <f>'[2]MAINTENANCE-2'!$AE14</f>
        <v>0</v>
      </c>
      <c r="Y9" s="47"/>
      <c r="Z9" s="47">
        <f>'[2]MAINTENANCE-2'!$AD14</f>
        <v>50500</v>
      </c>
      <c r="AA9" s="47"/>
      <c r="AB9" s="47"/>
      <c r="AC9" s="47"/>
      <c r="AD9" s="47"/>
      <c r="AE9" s="47"/>
      <c r="AF9" s="47">
        <f>'[2]MAINTENANCE-2'!$BI14</f>
        <v>-134500</v>
      </c>
      <c r="AG9" s="47"/>
      <c r="AH9" s="47"/>
      <c r="AI9" s="71">
        <f t="shared" si="0"/>
        <v>4449738</v>
      </c>
      <c r="AJ9" s="49">
        <f t="shared" si="1"/>
        <v>0</v>
      </c>
      <c r="AK9" s="71">
        <f t="shared" si="8"/>
        <v>0</v>
      </c>
      <c r="AL9" s="47"/>
      <c r="AM9" s="48">
        <f>'[2]MAINTENANCE-2'!$AL14</f>
        <v>4252000</v>
      </c>
      <c r="AN9" s="50">
        <f t="shared" si="5"/>
        <v>197738.2</v>
      </c>
      <c r="AO9" s="50">
        <f t="shared" si="6"/>
        <v>4449738.2</v>
      </c>
      <c r="AP9" s="50">
        <f t="shared" si="7"/>
        <v>-0.20000000018626451</v>
      </c>
    </row>
    <row r="10" spans="2:42" s="33" customFormat="1" ht="23.25" customHeight="1">
      <c r="B10" s="41">
        <v>5</v>
      </c>
      <c r="C10" s="42" t="s">
        <v>80</v>
      </c>
      <c r="D10" s="94" t="s">
        <v>81</v>
      </c>
      <c r="E10" s="95" t="s">
        <v>82</v>
      </c>
      <c r="F10" s="96" t="s">
        <v>83</v>
      </c>
      <c r="G10" s="43" t="s">
        <v>67</v>
      </c>
      <c r="H10" s="44" t="s">
        <v>68</v>
      </c>
      <c r="I10" s="98" t="s">
        <v>24</v>
      </c>
      <c r="J10" s="99" t="str">
        <f t="shared" si="2"/>
        <v>TER B</v>
      </c>
      <c r="K10" s="45">
        <f t="shared" si="3"/>
        <v>4169500</v>
      </c>
      <c r="L10" s="45">
        <f t="shared" si="4"/>
        <v>34318.199999999997</v>
      </c>
      <c r="M10" s="45">
        <f>'[2]MAINTENANCE-2'!$AQ15</f>
        <v>163420</v>
      </c>
      <c r="N10" s="46"/>
      <c r="O10" s="46"/>
      <c r="P10" s="46"/>
      <c r="Q10" s="46"/>
      <c r="R10" s="46"/>
      <c r="S10" s="46"/>
      <c r="T10" s="46"/>
      <c r="U10" s="47"/>
      <c r="V10" s="47">
        <f>'[2]MAINTENANCE-2'!$X15</f>
        <v>155400</v>
      </c>
      <c r="W10" s="47">
        <f>'[2]MAINTENANCE-2'!$AA15</f>
        <v>0</v>
      </c>
      <c r="X10" s="47">
        <f>'[2]MAINTENANCE-2'!$AE15</f>
        <v>0</v>
      </c>
      <c r="Y10" s="47"/>
      <c r="Z10" s="47">
        <f>'[2]MAINTENANCE-2'!$AD15</f>
        <v>50500</v>
      </c>
      <c r="AA10" s="47"/>
      <c r="AB10" s="47"/>
      <c r="AC10" s="47"/>
      <c r="AD10" s="47"/>
      <c r="AE10" s="47"/>
      <c r="AF10" s="47">
        <f>'[2]MAINTENANCE-2'!$BI15</f>
        <v>-403500</v>
      </c>
      <c r="AG10" s="47"/>
      <c r="AH10" s="47"/>
      <c r="AI10" s="71">
        <f t="shared" si="0"/>
        <v>4169638</v>
      </c>
      <c r="AJ10" s="49">
        <f t="shared" si="1"/>
        <v>0</v>
      </c>
      <c r="AK10" s="71">
        <f t="shared" si="8"/>
        <v>0</v>
      </c>
      <c r="AL10" s="47"/>
      <c r="AM10" s="48">
        <f>'[2]MAINTENANCE-2'!$AL15</f>
        <v>3971900</v>
      </c>
      <c r="AN10" s="50">
        <f t="shared" si="5"/>
        <v>197738.2</v>
      </c>
      <c r="AO10" s="50">
        <f t="shared" si="6"/>
        <v>4169638.2</v>
      </c>
      <c r="AP10" s="50">
        <f t="shared" si="7"/>
        <v>-0.20000000018626451</v>
      </c>
    </row>
    <row r="11" spans="2:42" s="33" customFormat="1" ht="23.25" customHeight="1">
      <c r="B11" s="41">
        <v>6</v>
      </c>
      <c r="C11" s="42" t="s">
        <v>84</v>
      </c>
      <c r="D11" s="94" t="s">
        <v>85</v>
      </c>
      <c r="E11" s="95" t="s">
        <v>74</v>
      </c>
      <c r="F11" s="96" t="s">
        <v>86</v>
      </c>
      <c r="G11" s="43" t="s">
        <v>67</v>
      </c>
      <c r="H11" s="44" t="s">
        <v>68</v>
      </c>
      <c r="I11" s="98" t="s">
        <v>24</v>
      </c>
      <c r="J11" s="99" t="str">
        <f t="shared" si="2"/>
        <v>TER B</v>
      </c>
      <c r="K11" s="45">
        <f t="shared" si="3"/>
        <v>4169500</v>
      </c>
      <c r="L11" s="45">
        <f t="shared" si="4"/>
        <v>34171.199999999997</v>
      </c>
      <c r="M11" s="45">
        <f>'[2]MAINTENANCE-2'!$AQ16</f>
        <v>162720</v>
      </c>
      <c r="N11" s="46"/>
      <c r="O11" s="46"/>
      <c r="P11" s="46"/>
      <c r="Q11" s="46"/>
      <c r="R11" s="46"/>
      <c r="S11" s="46"/>
      <c r="T11" s="46"/>
      <c r="U11" s="47"/>
      <c r="V11" s="47">
        <f>'[2]MAINTENANCE-2'!$X16</f>
        <v>149850</v>
      </c>
      <c r="W11" s="47">
        <f>'[2]MAINTENANCE-2'!$AA16</f>
        <v>0</v>
      </c>
      <c r="X11" s="47">
        <f>'[2]MAINTENANCE-2'!$AE16</f>
        <v>0</v>
      </c>
      <c r="Y11" s="47"/>
      <c r="Z11" s="47">
        <f>'[2]MAINTENANCE-2'!$AD16</f>
        <v>33000</v>
      </c>
      <c r="AA11" s="47"/>
      <c r="AB11" s="47"/>
      <c r="AC11" s="47"/>
      <c r="AD11" s="47"/>
      <c r="AE11" s="47"/>
      <c r="AF11" s="47">
        <f>'[2]MAINTENANCE-2'!$BI16</f>
        <v>-538000</v>
      </c>
      <c r="AG11" s="47"/>
      <c r="AH11" s="47"/>
      <c r="AI11" s="71">
        <f t="shared" si="0"/>
        <v>4011241</v>
      </c>
      <c r="AJ11" s="49">
        <f t="shared" si="1"/>
        <v>0</v>
      </c>
      <c r="AK11" s="71">
        <f t="shared" si="8"/>
        <v>0</v>
      </c>
      <c r="AL11" s="47"/>
      <c r="AM11" s="48">
        <f>'[2]MAINTENANCE-2'!$AL16</f>
        <v>3814350</v>
      </c>
      <c r="AN11" s="50">
        <f t="shared" si="5"/>
        <v>196891.2</v>
      </c>
      <c r="AO11" s="50">
        <f t="shared" si="6"/>
        <v>4011241.2</v>
      </c>
      <c r="AP11" s="50">
        <f t="shared" si="7"/>
        <v>-0.20000000018626451</v>
      </c>
    </row>
    <row r="12" spans="2:42" s="33" customFormat="1" ht="23.25" customHeight="1">
      <c r="B12" s="41">
        <v>7</v>
      </c>
      <c r="C12" s="42" t="s">
        <v>87</v>
      </c>
      <c r="D12" s="94" t="s">
        <v>88</v>
      </c>
      <c r="E12" s="95" t="s">
        <v>89</v>
      </c>
      <c r="F12" s="96" t="s">
        <v>90</v>
      </c>
      <c r="G12" s="43" t="s">
        <v>67</v>
      </c>
      <c r="H12" s="44" t="s">
        <v>91</v>
      </c>
      <c r="I12" s="98" t="s">
        <v>18</v>
      </c>
      <c r="J12" s="99" t="str">
        <f t="shared" si="2"/>
        <v>TER A</v>
      </c>
      <c r="K12" s="45">
        <f t="shared" si="3"/>
        <v>4169500</v>
      </c>
      <c r="L12" s="45">
        <f t="shared" si="4"/>
        <v>34347.599999999999</v>
      </c>
      <c r="M12" s="45">
        <f>'[2]MAINTENANCE-2'!$AQ17</f>
        <v>163560</v>
      </c>
      <c r="N12" s="46"/>
      <c r="O12" s="46"/>
      <c r="P12" s="46"/>
      <c r="Q12" s="46"/>
      <c r="R12" s="46"/>
      <c r="S12" s="46"/>
      <c r="T12" s="46"/>
      <c r="U12" s="47"/>
      <c r="V12" s="47">
        <f>'[2]MAINTENANCE-2'!$X17</f>
        <v>69750</v>
      </c>
      <c r="W12" s="47">
        <f>'[2]MAINTENANCE-2'!$AA17</f>
        <v>0</v>
      </c>
      <c r="X12" s="47">
        <f>'[2]MAINTENANCE-2'!$AE17</f>
        <v>0</v>
      </c>
      <c r="Y12" s="47"/>
      <c r="Z12" s="47">
        <f>'[2]MAINTENANCE-2'!$AD17</f>
        <v>54000</v>
      </c>
      <c r="AA12" s="47"/>
      <c r="AB12" s="47"/>
      <c r="AC12" s="47"/>
      <c r="AD12" s="47"/>
      <c r="AE12" s="47"/>
      <c r="AF12" s="47">
        <f>'[2]MAINTENANCE-2'!$BI17</f>
        <v>0</v>
      </c>
      <c r="AG12" s="47"/>
      <c r="AH12" s="47"/>
      <c r="AI12" s="71">
        <f t="shared" si="0"/>
        <v>4491158</v>
      </c>
      <c r="AJ12" s="49">
        <f t="shared" si="1"/>
        <v>0</v>
      </c>
      <c r="AK12" s="71">
        <f t="shared" si="8"/>
        <v>0</v>
      </c>
      <c r="AL12" s="47"/>
      <c r="AM12" s="48">
        <f>'[2]MAINTENANCE-2'!$AL17</f>
        <v>4293250</v>
      </c>
      <c r="AN12" s="50">
        <f t="shared" si="5"/>
        <v>197907.6</v>
      </c>
      <c r="AO12" s="50">
        <f t="shared" si="6"/>
        <v>4491157.5999999996</v>
      </c>
      <c r="AP12" s="50">
        <f t="shared" si="7"/>
        <v>0.40000000037252903</v>
      </c>
    </row>
    <row r="13" spans="2:42" s="33" customFormat="1" ht="23.25" customHeight="1">
      <c r="B13" s="41">
        <v>8</v>
      </c>
      <c r="C13" s="42" t="s">
        <v>92</v>
      </c>
      <c r="D13" s="94" t="s">
        <v>93</v>
      </c>
      <c r="E13" s="95" t="s">
        <v>94</v>
      </c>
      <c r="F13" s="96" t="s">
        <v>95</v>
      </c>
      <c r="G13" s="43" t="s">
        <v>67</v>
      </c>
      <c r="H13" s="44" t="s">
        <v>91</v>
      </c>
      <c r="I13" s="98" t="s">
        <v>18</v>
      </c>
      <c r="J13" s="99" t="str">
        <f t="shared" si="2"/>
        <v>TER A</v>
      </c>
      <c r="K13" s="45">
        <f t="shared" si="3"/>
        <v>4169500</v>
      </c>
      <c r="L13" s="45">
        <f t="shared" si="4"/>
        <v>34347.599999999999</v>
      </c>
      <c r="M13" s="45">
        <f>'[2]MAINTENANCE-2'!$AQ18</f>
        <v>163560</v>
      </c>
      <c r="N13" s="46"/>
      <c r="O13" s="46"/>
      <c r="P13" s="46"/>
      <c r="Q13" s="46"/>
      <c r="R13" s="46"/>
      <c r="S13" s="46"/>
      <c r="T13" s="46"/>
      <c r="U13" s="47"/>
      <c r="V13" s="47">
        <f>'[2]MAINTENANCE-2'!$X18</f>
        <v>67500</v>
      </c>
      <c r="W13" s="47">
        <f>'[2]MAINTENANCE-2'!$AA18</f>
        <v>0</v>
      </c>
      <c r="X13" s="47">
        <f>'[2]MAINTENANCE-2'!$AE18</f>
        <v>0</v>
      </c>
      <c r="Y13" s="47"/>
      <c r="Z13" s="47">
        <f>'[2]MAINTENANCE-2'!$AD18</f>
        <v>54000</v>
      </c>
      <c r="AA13" s="47"/>
      <c r="AB13" s="47"/>
      <c r="AC13" s="47"/>
      <c r="AD13" s="47"/>
      <c r="AE13" s="47"/>
      <c r="AF13" s="47">
        <f>'[2]MAINTENANCE-2'!$BI18</f>
        <v>-134500</v>
      </c>
      <c r="AG13" s="47"/>
      <c r="AH13" s="47"/>
      <c r="AI13" s="71">
        <f t="shared" si="0"/>
        <v>4354408</v>
      </c>
      <c r="AJ13" s="49">
        <f t="shared" si="1"/>
        <v>0</v>
      </c>
      <c r="AK13" s="71">
        <f t="shared" si="8"/>
        <v>0</v>
      </c>
      <c r="AL13" s="47"/>
      <c r="AM13" s="48">
        <f>'[2]MAINTENANCE-2'!$AL18</f>
        <v>4156500</v>
      </c>
      <c r="AN13" s="50">
        <f t="shared" si="5"/>
        <v>197907.6</v>
      </c>
      <c r="AO13" s="50">
        <f t="shared" si="6"/>
        <v>4354407.5999999996</v>
      </c>
      <c r="AP13" s="50">
        <f t="shared" si="7"/>
        <v>0.40000000037252903</v>
      </c>
    </row>
    <row r="14" spans="2:42" s="33" customFormat="1" ht="23.25" customHeight="1">
      <c r="B14" s="41">
        <v>9</v>
      </c>
      <c r="C14" s="42" t="s">
        <v>96</v>
      </c>
      <c r="D14" s="94" t="s">
        <v>97</v>
      </c>
      <c r="E14" s="95" t="s">
        <v>98</v>
      </c>
      <c r="F14" s="96" t="s">
        <v>99</v>
      </c>
      <c r="G14" s="43" t="s">
        <v>67</v>
      </c>
      <c r="H14" s="44" t="s">
        <v>91</v>
      </c>
      <c r="I14" s="98" t="s">
        <v>18</v>
      </c>
      <c r="J14" s="99" t="str">
        <f t="shared" si="2"/>
        <v>TER A</v>
      </c>
      <c r="K14" s="45">
        <f t="shared" si="3"/>
        <v>4169500</v>
      </c>
      <c r="L14" s="45">
        <f t="shared" si="4"/>
        <v>34200.6</v>
      </c>
      <c r="M14" s="45">
        <f>'[2]MAINTENANCE-2'!$AQ19</f>
        <v>162860</v>
      </c>
      <c r="N14" s="46"/>
      <c r="O14" s="46"/>
      <c r="P14" s="46"/>
      <c r="Q14" s="46"/>
      <c r="R14" s="46"/>
      <c r="S14" s="46"/>
      <c r="T14" s="46"/>
      <c r="U14" s="47"/>
      <c r="V14" s="47">
        <f>'[2]MAINTENANCE-2'!$X19</f>
        <v>69750</v>
      </c>
      <c r="W14" s="47">
        <f>'[2]MAINTENANCE-2'!$AA19</f>
        <v>0</v>
      </c>
      <c r="X14" s="47">
        <f>'[2]MAINTENANCE-2'!$AE19</f>
        <v>0</v>
      </c>
      <c r="Y14" s="47"/>
      <c r="Z14" s="47">
        <f>'[2]MAINTENANCE-2'!$AD19</f>
        <v>36500</v>
      </c>
      <c r="AA14" s="47"/>
      <c r="AB14" s="47"/>
      <c r="AC14" s="47"/>
      <c r="AD14" s="47"/>
      <c r="AE14" s="47"/>
      <c r="AF14" s="47">
        <f>'[2]MAINTENANCE-2'!$BI19</f>
        <v>0</v>
      </c>
      <c r="AG14" s="47"/>
      <c r="AH14" s="47"/>
      <c r="AI14" s="71">
        <f t="shared" si="0"/>
        <v>4472811</v>
      </c>
      <c r="AJ14" s="49">
        <f t="shared" si="1"/>
        <v>0</v>
      </c>
      <c r="AK14" s="71">
        <f t="shared" si="8"/>
        <v>0</v>
      </c>
      <c r="AL14" s="47"/>
      <c r="AM14" s="48">
        <f>'[2]MAINTENANCE-2'!$AL19</f>
        <v>4275750</v>
      </c>
      <c r="AN14" s="50">
        <f t="shared" si="5"/>
        <v>197060.6</v>
      </c>
      <c r="AO14" s="50">
        <f t="shared" si="6"/>
        <v>4472810.5999999996</v>
      </c>
      <c r="AP14" s="50">
        <f t="shared" si="7"/>
        <v>0.40000000037252903</v>
      </c>
    </row>
    <row r="15" spans="2:42" s="33" customFormat="1" ht="23.25" customHeight="1">
      <c r="B15" s="41">
        <v>10</v>
      </c>
      <c r="C15" s="42" t="s">
        <v>100</v>
      </c>
      <c r="D15" s="94" t="s">
        <v>101</v>
      </c>
      <c r="E15" s="95" t="s">
        <v>102</v>
      </c>
      <c r="F15" s="96" t="s">
        <v>103</v>
      </c>
      <c r="G15" s="43" t="s">
        <v>67</v>
      </c>
      <c r="H15" s="44" t="s">
        <v>91</v>
      </c>
      <c r="I15" s="98" t="s">
        <v>18</v>
      </c>
      <c r="J15" s="99" t="str">
        <f t="shared" si="2"/>
        <v>TER A</v>
      </c>
      <c r="K15" s="45">
        <f t="shared" si="3"/>
        <v>4169500</v>
      </c>
      <c r="L15" s="45">
        <f t="shared" si="4"/>
        <v>34200.6</v>
      </c>
      <c r="M15" s="45">
        <f>'[2]MAINTENANCE-2'!$AQ20</f>
        <v>162860</v>
      </c>
      <c r="N15" s="46"/>
      <c r="O15" s="46"/>
      <c r="P15" s="46"/>
      <c r="Q15" s="46"/>
      <c r="R15" s="46"/>
      <c r="S15" s="46"/>
      <c r="T15" s="46"/>
      <c r="U15" s="47"/>
      <c r="V15" s="47">
        <f>'[2]MAINTENANCE-2'!$X20</f>
        <v>69750</v>
      </c>
      <c r="W15" s="47">
        <f>'[2]MAINTENANCE-2'!$AA20</f>
        <v>0</v>
      </c>
      <c r="X15" s="47">
        <f>'[2]MAINTENANCE-2'!$AE20</f>
        <v>0</v>
      </c>
      <c r="Y15" s="47"/>
      <c r="Z15" s="47">
        <f>'[2]MAINTENANCE-2'!$AD20</f>
        <v>36500</v>
      </c>
      <c r="AA15" s="47"/>
      <c r="AB15" s="47"/>
      <c r="AC15" s="47"/>
      <c r="AD15" s="47"/>
      <c r="AE15" s="47"/>
      <c r="AF15" s="47">
        <f>'[2]MAINTENANCE-2'!$BI20</f>
        <v>0</v>
      </c>
      <c r="AG15" s="47"/>
      <c r="AH15" s="47"/>
      <c r="AI15" s="71">
        <f t="shared" si="0"/>
        <v>4472811</v>
      </c>
      <c r="AJ15" s="49">
        <f t="shared" si="1"/>
        <v>0</v>
      </c>
      <c r="AK15" s="71">
        <f t="shared" si="8"/>
        <v>0</v>
      </c>
      <c r="AL15" s="47"/>
      <c r="AM15" s="48">
        <f>'[2]MAINTENANCE-2'!$AL20</f>
        <v>4275750</v>
      </c>
      <c r="AN15" s="50">
        <f t="shared" si="5"/>
        <v>197060.6</v>
      </c>
      <c r="AO15" s="50">
        <f t="shared" si="6"/>
        <v>4472810.5999999996</v>
      </c>
      <c r="AP15" s="50">
        <f t="shared" si="7"/>
        <v>0.40000000037252903</v>
      </c>
    </row>
    <row r="16" spans="2:42" s="33" customFormat="1" ht="23.25" customHeight="1">
      <c r="B16" s="41">
        <v>11</v>
      </c>
      <c r="C16" s="42" t="s">
        <v>104</v>
      </c>
      <c r="D16" s="94" t="s">
        <v>105</v>
      </c>
      <c r="E16" s="95" t="s">
        <v>106</v>
      </c>
      <c r="F16" s="96" t="s">
        <v>107</v>
      </c>
      <c r="G16" s="43" t="s">
        <v>67</v>
      </c>
      <c r="H16" s="44" t="s">
        <v>91</v>
      </c>
      <c r="I16" s="98" t="s">
        <v>18</v>
      </c>
      <c r="J16" s="99" t="str">
        <f t="shared" si="2"/>
        <v>TER A</v>
      </c>
      <c r="K16" s="45">
        <f t="shared" si="3"/>
        <v>4169500</v>
      </c>
      <c r="L16" s="45">
        <f t="shared" si="4"/>
        <v>34318.199999999997</v>
      </c>
      <c r="M16" s="45">
        <f>'[2]MAINTENANCE-2'!$AQ21</f>
        <v>163420</v>
      </c>
      <c r="N16" s="46"/>
      <c r="O16" s="46"/>
      <c r="P16" s="46"/>
      <c r="Q16" s="46"/>
      <c r="R16" s="46"/>
      <c r="S16" s="46"/>
      <c r="T16" s="46"/>
      <c r="U16" s="47"/>
      <c r="V16" s="47">
        <f>'[2]MAINTENANCE-2'!$X21</f>
        <v>67500</v>
      </c>
      <c r="W16" s="47">
        <f>'[2]MAINTENANCE-2'!$AA21</f>
        <v>0</v>
      </c>
      <c r="X16" s="47">
        <f>'[2]MAINTENANCE-2'!$AE21</f>
        <v>0</v>
      </c>
      <c r="Y16" s="47"/>
      <c r="Z16" s="47">
        <f>'[2]MAINTENANCE-2'!$AD21</f>
        <v>50500</v>
      </c>
      <c r="AA16" s="47"/>
      <c r="AB16" s="47"/>
      <c r="AC16" s="47"/>
      <c r="AD16" s="47"/>
      <c r="AE16" s="47"/>
      <c r="AF16" s="47">
        <f>'[2]MAINTENANCE-2'!$BI21</f>
        <v>-134500</v>
      </c>
      <c r="AG16" s="47"/>
      <c r="AH16" s="47"/>
      <c r="AI16" s="71">
        <f t="shared" si="0"/>
        <v>4350738</v>
      </c>
      <c r="AJ16" s="49">
        <f t="shared" si="1"/>
        <v>0</v>
      </c>
      <c r="AK16" s="71">
        <f t="shared" si="8"/>
        <v>0</v>
      </c>
      <c r="AL16" s="47"/>
      <c r="AM16" s="48">
        <f>'[2]MAINTENANCE-2'!$AL21</f>
        <v>4153000</v>
      </c>
      <c r="AN16" s="50">
        <f t="shared" si="5"/>
        <v>197738.2</v>
      </c>
      <c r="AO16" s="50">
        <f t="shared" si="6"/>
        <v>4350738.2</v>
      </c>
      <c r="AP16" s="50">
        <f t="shared" si="7"/>
        <v>-0.20000000018626451</v>
      </c>
    </row>
    <row r="17" spans="2:42" s="33" customFormat="1" ht="23.25" customHeight="1">
      <c r="B17" s="41">
        <v>12</v>
      </c>
      <c r="C17" s="42" t="s">
        <v>108</v>
      </c>
      <c r="D17" s="94" t="s">
        <v>109</v>
      </c>
      <c r="E17" s="95" t="s">
        <v>74</v>
      </c>
      <c r="F17" s="96" t="s">
        <v>110</v>
      </c>
      <c r="G17" s="43" t="s">
        <v>67</v>
      </c>
      <c r="H17" s="44" t="s">
        <v>91</v>
      </c>
      <c r="I17" s="98" t="s">
        <v>18</v>
      </c>
      <c r="J17" s="99" t="str">
        <f t="shared" si="2"/>
        <v>TER A</v>
      </c>
      <c r="K17" s="45">
        <f t="shared" si="3"/>
        <v>4169500</v>
      </c>
      <c r="L17" s="45">
        <f t="shared" si="4"/>
        <v>34146</v>
      </c>
      <c r="M17" s="45">
        <f>'[2]MAINTENANCE-2'!$AQ22</f>
        <v>162600</v>
      </c>
      <c r="N17" s="46"/>
      <c r="O17" s="46"/>
      <c r="P17" s="46"/>
      <c r="Q17" s="46"/>
      <c r="R17" s="46"/>
      <c r="S17" s="46"/>
      <c r="T17" s="46"/>
      <c r="U17" s="47"/>
      <c r="V17" s="47">
        <f>'[2]MAINTENANCE-2'!$X22</f>
        <v>69750</v>
      </c>
      <c r="W17" s="47">
        <f>'[2]MAINTENANCE-2'!$AA22</f>
        <v>0</v>
      </c>
      <c r="X17" s="47">
        <f>'[2]MAINTENANCE-2'!$AE22</f>
        <v>0</v>
      </c>
      <c r="Y17" s="47"/>
      <c r="Z17" s="47">
        <f>'[2]MAINTENANCE-2'!$AD22</f>
        <v>30000</v>
      </c>
      <c r="AA17" s="47"/>
      <c r="AB17" s="47"/>
      <c r="AC17" s="47"/>
      <c r="AD17" s="47"/>
      <c r="AE17" s="47"/>
      <c r="AF17" s="47">
        <f>'[2]MAINTENANCE-2'!$BI22</f>
        <v>0</v>
      </c>
      <c r="AG17" s="47"/>
      <c r="AH17" s="47"/>
      <c r="AI17" s="71">
        <f t="shared" si="0"/>
        <v>4465996</v>
      </c>
      <c r="AJ17" s="49">
        <f t="shared" si="1"/>
        <v>0</v>
      </c>
      <c r="AK17" s="71">
        <f t="shared" si="8"/>
        <v>0</v>
      </c>
      <c r="AL17" s="47"/>
      <c r="AM17" s="48">
        <f>'[2]MAINTENANCE-2'!$AL22</f>
        <v>4269250</v>
      </c>
      <c r="AN17" s="50">
        <f t="shared" si="5"/>
        <v>196746</v>
      </c>
      <c r="AO17" s="50">
        <f t="shared" si="6"/>
        <v>4465996</v>
      </c>
      <c r="AP17" s="50">
        <f t="shared" si="7"/>
        <v>0</v>
      </c>
    </row>
    <row r="18" spans="2:42" s="33" customFormat="1" ht="23.25" customHeight="1">
      <c r="B18" s="41">
        <v>13</v>
      </c>
      <c r="C18" s="42" t="s">
        <v>111</v>
      </c>
      <c r="D18" s="94" t="s">
        <v>112</v>
      </c>
      <c r="E18" s="95" t="s">
        <v>74</v>
      </c>
      <c r="F18" s="96" t="s">
        <v>113</v>
      </c>
      <c r="G18" s="43" t="s">
        <v>67</v>
      </c>
      <c r="H18" s="44" t="s">
        <v>91</v>
      </c>
      <c r="I18" s="98" t="s">
        <v>22</v>
      </c>
      <c r="J18" s="99" t="str">
        <f t="shared" si="2"/>
        <v>TER A</v>
      </c>
      <c r="K18" s="45">
        <f t="shared" si="3"/>
        <v>4169500</v>
      </c>
      <c r="L18" s="45">
        <f t="shared" si="4"/>
        <v>34146</v>
      </c>
      <c r="M18" s="45">
        <f>'[2]MAINTENANCE-2'!$AQ23</f>
        <v>162600</v>
      </c>
      <c r="N18" s="46"/>
      <c r="O18" s="46"/>
      <c r="P18" s="46"/>
      <c r="Q18" s="46"/>
      <c r="R18" s="46"/>
      <c r="S18" s="46"/>
      <c r="T18" s="46"/>
      <c r="U18" s="47"/>
      <c r="V18" s="47">
        <f>'[2]MAINTENANCE-2'!$X23</f>
        <v>100750</v>
      </c>
      <c r="W18" s="47">
        <f>'[2]MAINTENANCE-2'!$AA23</f>
        <v>0</v>
      </c>
      <c r="X18" s="47">
        <f>'[2]MAINTENANCE-2'!$AE23</f>
        <v>0</v>
      </c>
      <c r="Y18" s="47"/>
      <c r="Z18" s="47">
        <f>'[2]MAINTENANCE-2'!$AD23</f>
        <v>30000</v>
      </c>
      <c r="AA18" s="47"/>
      <c r="AB18" s="47"/>
      <c r="AC18" s="47"/>
      <c r="AD18" s="47"/>
      <c r="AE18" s="47"/>
      <c r="AF18" s="47">
        <f>'[2]MAINTENANCE-2'!$BI23</f>
        <v>0</v>
      </c>
      <c r="AG18" s="47"/>
      <c r="AH18" s="47"/>
      <c r="AI18" s="71">
        <f t="shared" si="0"/>
        <v>4496996</v>
      </c>
      <c r="AJ18" s="49">
        <f t="shared" si="1"/>
        <v>0</v>
      </c>
      <c r="AK18" s="71">
        <f t="shared" si="8"/>
        <v>0</v>
      </c>
      <c r="AL18" s="47"/>
      <c r="AM18" s="48">
        <f>'[2]MAINTENANCE-2'!$AL23</f>
        <v>4300250</v>
      </c>
      <c r="AN18" s="50">
        <f t="shared" si="5"/>
        <v>196746</v>
      </c>
      <c r="AO18" s="50">
        <f t="shared" si="6"/>
        <v>4496996</v>
      </c>
      <c r="AP18" s="50">
        <f t="shared" si="7"/>
        <v>0</v>
      </c>
    </row>
    <row r="19" spans="2:42" s="33" customFormat="1" ht="23.25" customHeight="1">
      <c r="B19" s="41">
        <v>14</v>
      </c>
      <c r="C19" s="42" t="s">
        <v>114</v>
      </c>
      <c r="D19" s="94" t="s">
        <v>115</v>
      </c>
      <c r="E19" s="95" t="s">
        <v>116</v>
      </c>
      <c r="F19" s="96" t="s">
        <v>117</v>
      </c>
      <c r="G19" s="43" t="s">
        <v>67</v>
      </c>
      <c r="H19" s="44" t="s">
        <v>91</v>
      </c>
      <c r="I19" s="98" t="s">
        <v>18</v>
      </c>
      <c r="J19" s="99" t="str">
        <f t="shared" si="2"/>
        <v>TER A</v>
      </c>
      <c r="K19" s="45">
        <f t="shared" si="3"/>
        <v>4169500</v>
      </c>
      <c r="L19" s="45">
        <f t="shared" si="4"/>
        <v>34377</v>
      </c>
      <c r="M19" s="45">
        <f>'[2]MAINTENANCE-2'!$AQ24</f>
        <v>163700</v>
      </c>
      <c r="N19" s="46"/>
      <c r="O19" s="46"/>
      <c r="P19" s="46"/>
      <c r="Q19" s="46"/>
      <c r="R19" s="46"/>
      <c r="S19" s="46"/>
      <c r="T19" s="46"/>
      <c r="U19" s="47"/>
      <c r="V19" s="47">
        <f>'[2]MAINTENANCE-2'!$X24</f>
        <v>69750</v>
      </c>
      <c r="W19" s="47">
        <f>'[2]MAINTENANCE-2'!$AA24</f>
        <v>0</v>
      </c>
      <c r="X19" s="47">
        <f>'[2]MAINTENANCE-2'!$AE24</f>
        <v>0</v>
      </c>
      <c r="Y19" s="47"/>
      <c r="Z19" s="47">
        <f>'[2]MAINTENANCE-2'!$AD24</f>
        <v>57500</v>
      </c>
      <c r="AA19" s="47"/>
      <c r="AB19" s="47"/>
      <c r="AC19" s="47"/>
      <c r="AD19" s="47"/>
      <c r="AE19" s="47"/>
      <c r="AF19" s="47">
        <f>'[2]MAINTENANCE-2'!$BI24</f>
        <v>0</v>
      </c>
      <c r="AG19" s="47"/>
      <c r="AH19" s="47"/>
      <c r="AI19" s="71">
        <f t="shared" si="0"/>
        <v>4494827</v>
      </c>
      <c r="AJ19" s="49">
        <f t="shared" si="1"/>
        <v>0</v>
      </c>
      <c r="AK19" s="71">
        <f t="shared" si="8"/>
        <v>0</v>
      </c>
      <c r="AL19" s="47"/>
      <c r="AM19" s="48">
        <f>'[2]MAINTENANCE-2'!$AL24</f>
        <v>4296750</v>
      </c>
      <c r="AN19" s="50">
        <f t="shared" si="5"/>
        <v>198077</v>
      </c>
      <c r="AO19" s="50">
        <f t="shared" si="6"/>
        <v>4494827</v>
      </c>
      <c r="AP19" s="50">
        <f t="shared" si="7"/>
        <v>0</v>
      </c>
    </row>
    <row r="20" spans="2:42" s="33" customFormat="1" ht="23.25" customHeight="1">
      <c r="B20" s="41">
        <v>15</v>
      </c>
      <c r="C20" s="42" t="s">
        <v>118</v>
      </c>
      <c r="D20" s="94" t="s">
        <v>119</v>
      </c>
      <c r="E20" s="95" t="s">
        <v>120</v>
      </c>
      <c r="F20" s="96" t="s">
        <v>121</v>
      </c>
      <c r="G20" s="43" t="s">
        <v>67</v>
      </c>
      <c r="H20" s="44" t="s">
        <v>68</v>
      </c>
      <c r="I20" s="98" t="s">
        <v>23</v>
      </c>
      <c r="J20" s="99" t="str">
        <f t="shared" si="2"/>
        <v>TER B</v>
      </c>
      <c r="K20" s="45">
        <f t="shared" si="3"/>
        <v>4169500</v>
      </c>
      <c r="L20" s="45">
        <f t="shared" si="4"/>
        <v>34045.199999999997</v>
      </c>
      <c r="M20" s="45">
        <f>'[2]MAINTENANCE-2'!$AQ25</f>
        <v>162120</v>
      </c>
      <c r="N20" s="46"/>
      <c r="O20" s="46"/>
      <c r="P20" s="46"/>
      <c r="Q20" s="46"/>
      <c r="R20" s="46"/>
      <c r="S20" s="46"/>
      <c r="T20" s="46"/>
      <c r="U20" s="47"/>
      <c r="V20" s="47">
        <f>'[2]MAINTENANCE-2'!$X25</f>
        <v>144150</v>
      </c>
      <c r="W20" s="47">
        <f>'[2]MAINTENANCE-2'!$AA25</f>
        <v>0</v>
      </c>
      <c r="X20" s="47">
        <f>'[2]MAINTENANCE-2'!$AE25</f>
        <v>0</v>
      </c>
      <c r="Y20" s="47"/>
      <c r="Z20" s="47">
        <f>'[2]MAINTENANCE-2'!$AD25</f>
        <v>18000</v>
      </c>
      <c r="AA20" s="47"/>
      <c r="AB20" s="47"/>
      <c r="AC20" s="47"/>
      <c r="AD20" s="47"/>
      <c r="AE20" s="47"/>
      <c r="AF20" s="47">
        <f>'[2]MAINTENANCE-2'!$BI25</f>
        <v>0</v>
      </c>
      <c r="AG20" s="47"/>
      <c r="AH20" s="47"/>
      <c r="AI20" s="71">
        <f t="shared" si="0"/>
        <v>4527815</v>
      </c>
      <c r="AJ20" s="49">
        <f t="shared" si="1"/>
        <v>0</v>
      </c>
      <c r="AK20" s="71">
        <f t="shared" si="8"/>
        <v>0</v>
      </c>
      <c r="AL20" s="47"/>
      <c r="AM20" s="48">
        <f>'[2]MAINTENANCE-2'!$AL25</f>
        <v>4331650</v>
      </c>
      <c r="AN20" s="50">
        <f t="shared" si="5"/>
        <v>196165.2</v>
      </c>
      <c r="AO20" s="50">
        <f t="shared" si="6"/>
        <v>4527815.2</v>
      </c>
      <c r="AP20" s="50">
        <f t="shared" si="7"/>
        <v>-0.20000000018626451</v>
      </c>
    </row>
    <row r="21" spans="2:42" s="33" customFormat="1" ht="23.25" customHeight="1">
      <c r="B21" s="41">
        <v>16</v>
      </c>
      <c r="C21" s="42" t="s">
        <v>122</v>
      </c>
      <c r="D21" s="94" t="s">
        <v>123</v>
      </c>
      <c r="E21" s="95" t="s">
        <v>124</v>
      </c>
      <c r="F21" s="96" t="s">
        <v>125</v>
      </c>
      <c r="G21" s="43" t="s">
        <v>67</v>
      </c>
      <c r="H21" s="44" t="s">
        <v>68</v>
      </c>
      <c r="I21" s="98" t="s">
        <v>24</v>
      </c>
      <c r="J21" s="99" t="str">
        <f t="shared" si="2"/>
        <v>TER B</v>
      </c>
      <c r="K21" s="45">
        <f t="shared" si="3"/>
        <v>4169500</v>
      </c>
      <c r="L21" s="45">
        <f t="shared" si="4"/>
        <v>34347.599999999999</v>
      </c>
      <c r="M21" s="45">
        <f>'[2]MAINTENANCE-2'!$AQ26</f>
        <v>163560</v>
      </c>
      <c r="N21" s="46"/>
      <c r="O21" s="46"/>
      <c r="P21" s="46"/>
      <c r="Q21" s="46"/>
      <c r="R21" s="46"/>
      <c r="S21" s="46"/>
      <c r="T21" s="46"/>
      <c r="U21" s="47"/>
      <c r="V21" s="47">
        <f>'[2]MAINTENANCE-2'!$X26</f>
        <v>160950</v>
      </c>
      <c r="W21" s="47">
        <f>'[2]MAINTENANCE-2'!$AA26</f>
        <v>0</v>
      </c>
      <c r="X21" s="47">
        <f>'[2]MAINTENANCE-2'!$AE26</f>
        <v>0</v>
      </c>
      <c r="Y21" s="47"/>
      <c r="Z21" s="47">
        <f>'[2]MAINTENANCE-2'!$AD26</f>
        <v>54000</v>
      </c>
      <c r="AA21" s="47"/>
      <c r="AB21" s="47"/>
      <c r="AC21" s="47"/>
      <c r="AD21" s="47"/>
      <c r="AE21" s="47"/>
      <c r="AF21" s="47">
        <f>'[2]MAINTENANCE-2'!$BI26</f>
        <v>-269000</v>
      </c>
      <c r="AG21" s="47"/>
      <c r="AH21" s="47"/>
      <c r="AI21" s="71">
        <f t="shared" si="0"/>
        <v>4313358</v>
      </c>
      <c r="AJ21" s="49">
        <f t="shared" si="1"/>
        <v>0</v>
      </c>
      <c r="AK21" s="71">
        <f t="shared" si="8"/>
        <v>0</v>
      </c>
      <c r="AL21" s="47"/>
      <c r="AM21" s="48">
        <f>'[2]MAINTENANCE-2'!$AL26</f>
        <v>4115450</v>
      </c>
      <c r="AN21" s="50">
        <f t="shared" si="5"/>
        <v>197907.6</v>
      </c>
      <c r="AO21" s="50">
        <f t="shared" si="6"/>
        <v>4313357.5999999996</v>
      </c>
      <c r="AP21" s="50">
        <f t="shared" si="7"/>
        <v>0.40000000037252903</v>
      </c>
    </row>
    <row r="22" spans="2:42" s="33" customFormat="1" ht="23.25" customHeight="1">
      <c r="B22" s="41">
        <v>17</v>
      </c>
      <c r="C22" s="42" t="s">
        <v>126</v>
      </c>
      <c r="D22" s="94" t="s">
        <v>127</v>
      </c>
      <c r="E22" s="95" t="s">
        <v>128</v>
      </c>
      <c r="F22" s="96" t="s">
        <v>129</v>
      </c>
      <c r="G22" s="43" t="s">
        <v>67</v>
      </c>
      <c r="H22" s="44" t="s">
        <v>68</v>
      </c>
      <c r="I22" s="98" t="s">
        <v>23</v>
      </c>
      <c r="J22" s="99" t="str">
        <f t="shared" si="2"/>
        <v>TER B</v>
      </c>
      <c r="K22" s="45">
        <f t="shared" si="3"/>
        <v>4169500</v>
      </c>
      <c r="L22" s="45">
        <f t="shared" si="4"/>
        <v>34200.6</v>
      </c>
      <c r="M22" s="45">
        <f>'[2]MAINTENANCE-2'!$AQ27</f>
        <v>162860</v>
      </c>
      <c r="N22" s="46"/>
      <c r="O22" s="46"/>
      <c r="P22" s="46"/>
      <c r="Q22" s="46"/>
      <c r="R22" s="46"/>
      <c r="S22" s="46"/>
      <c r="T22" s="46"/>
      <c r="U22" s="47"/>
      <c r="V22" s="47">
        <f>'[2]MAINTENANCE-2'!$X27</f>
        <v>144150</v>
      </c>
      <c r="W22" s="47">
        <f>'[2]MAINTENANCE-2'!$AA27</f>
        <v>0</v>
      </c>
      <c r="X22" s="47">
        <f>'[2]MAINTENANCE-2'!$AE27</f>
        <v>0</v>
      </c>
      <c r="Y22" s="47"/>
      <c r="Z22" s="47">
        <f>'[2]MAINTENANCE-2'!$AD27</f>
        <v>36500</v>
      </c>
      <c r="AA22" s="47"/>
      <c r="AB22" s="47"/>
      <c r="AC22" s="47"/>
      <c r="AD22" s="47"/>
      <c r="AE22" s="47"/>
      <c r="AF22" s="47">
        <f>'[2]MAINTENANCE-2'!$BI27</f>
        <v>0</v>
      </c>
      <c r="AG22" s="47"/>
      <c r="AH22" s="47"/>
      <c r="AI22" s="71">
        <f t="shared" si="0"/>
        <v>4547211</v>
      </c>
      <c r="AJ22" s="49">
        <f t="shared" si="1"/>
        <v>0</v>
      </c>
      <c r="AK22" s="71">
        <f t="shared" si="8"/>
        <v>0</v>
      </c>
      <c r="AL22" s="47"/>
      <c r="AM22" s="48">
        <f>'[2]MAINTENANCE-2'!$AL27</f>
        <v>4350150</v>
      </c>
      <c r="AN22" s="50">
        <f t="shared" si="5"/>
        <v>197060.6</v>
      </c>
      <c r="AO22" s="50">
        <f t="shared" si="6"/>
        <v>4547210.5999999996</v>
      </c>
      <c r="AP22" s="50">
        <f t="shared" si="7"/>
        <v>0.40000000037252903</v>
      </c>
    </row>
    <row r="23" spans="2:42" s="33" customFormat="1" ht="23.25" customHeight="1">
      <c r="B23" s="41">
        <v>18</v>
      </c>
      <c r="C23" s="42" t="s">
        <v>130</v>
      </c>
      <c r="D23" s="94" t="s">
        <v>131</v>
      </c>
      <c r="E23" s="95" t="s">
        <v>132</v>
      </c>
      <c r="F23" s="96" t="s">
        <v>66</v>
      </c>
      <c r="G23" s="43" t="s">
        <v>67</v>
      </c>
      <c r="H23" s="44" t="s">
        <v>91</v>
      </c>
      <c r="I23" s="98" t="s">
        <v>18</v>
      </c>
      <c r="J23" s="99" t="str">
        <f t="shared" si="2"/>
        <v>TER A</v>
      </c>
      <c r="K23" s="45">
        <f t="shared" si="3"/>
        <v>4169500</v>
      </c>
      <c r="L23" s="45">
        <f t="shared" si="4"/>
        <v>34318.199999999997</v>
      </c>
      <c r="M23" s="45">
        <f>'[2]MAINTENANCE-2'!$AQ28</f>
        <v>163420</v>
      </c>
      <c r="N23" s="46"/>
      <c r="O23" s="46"/>
      <c r="P23" s="46"/>
      <c r="Q23" s="46"/>
      <c r="R23" s="46"/>
      <c r="S23" s="46"/>
      <c r="T23" s="46"/>
      <c r="U23" s="47"/>
      <c r="V23" s="47">
        <f>'[2]MAINTENANCE-2'!$X28</f>
        <v>69750</v>
      </c>
      <c r="W23" s="47">
        <f>'[2]MAINTENANCE-2'!$AA28</f>
        <v>0</v>
      </c>
      <c r="X23" s="47">
        <f>'[2]MAINTENANCE-2'!$AE28</f>
        <v>0</v>
      </c>
      <c r="Y23" s="47"/>
      <c r="Z23" s="47">
        <f>'[2]MAINTENANCE-2'!$AD28</f>
        <v>50500</v>
      </c>
      <c r="AA23" s="47"/>
      <c r="AB23" s="47"/>
      <c r="AC23" s="47"/>
      <c r="AD23" s="47"/>
      <c r="AE23" s="47"/>
      <c r="AF23" s="47">
        <f>'[2]MAINTENANCE-2'!$BI28</f>
        <v>0</v>
      </c>
      <c r="AG23" s="47"/>
      <c r="AH23" s="47"/>
      <c r="AI23" s="71">
        <f t="shared" si="0"/>
        <v>4487488</v>
      </c>
      <c r="AJ23" s="49">
        <f t="shared" si="1"/>
        <v>0</v>
      </c>
      <c r="AK23" s="71">
        <f t="shared" si="8"/>
        <v>0</v>
      </c>
      <c r="AL23" s="47"/>
      <c r="AM23" s="48">
        <f>'[2]MAINTENANCE-2'!$AL28</f>
        <v>4289750</v>
      </c>
      <c r="AN23" s="50">
        <f t="shared" si="5"/>
        <v>197738.2</v>
      </c>
      <c r="AO23" s="50">
        <f t="shared" si="6"/>
        <v>4487488.2</v>
      </c>
      <c r="AP23" s="50">
        <f t="shared" si="7"/>
        <v>-0.20000000018626451</v>
      </c>
    </row>
    <row r="24" spans="2:42" s="33" customFormat="1" ht="23.25" customHeight="1">
      <c r="B24" s="41">
        <v>19</v>
      </c>
      <c r="C24" s="42" t="s">
        <v>133</v>
      </c>
      <c r="D24" s="94" t="s">
        <v>134</v>
      </c>
      <c r="E24" s="95" t="s">
        <v>135</v>
      </c>
      <c r="F24" s="96" t="s">
        <v>136</v>
      </c>
      <c r="G24" s="43" t="s">
        <v>67</v>
      </c>
      <c r="H24" s="44" t="s">
        <v>68</v>
      </c>
      <c r="I24" s="98" t="s">
        <v>18</v>
      </c>
      <c r="J24" s="99" t="str">
        <f t="shared" si="2"/>
        <v>TER A</v>
      </c>
      <c r="K24" s="45">
        <f t="shared" si="3"/>
        <v>4169500</v>
      </c>
      <c r="L24" s="45">
        <f t="shared" si="4"/>
        <v>34070.400000000001</v>
      </c>
      <c r="M24" s="45">
        <f>'[2]MAINTENANCE-2'!$AQ29</f>
        <v>162240</v>
      </c>
      <c r="N24" s="46"/>
      <c r="O24" s="46"/>
      <c r="P24" s="46"/>
      <c r="Q24" s="46"/>
      <c r="R24" s="46"/>
      <c r="S24" s="46"/>
      <c r="T24" s="46"/>
      <c r="U24" s="47"/>
      <c r="V24" s="47">
        <f>'[2]MAINTENANCE-2'!$X29</f>
        <v>65250</v>
      </c>
      <c r="W24" s="47">
        <f>'[2]MAINTENANCE-2'!$AA29</f>
        <v>0</v>
      </c>
      <c r="X24" s="47">
        <f>'[2]MAINTENANCE-2'!$AE29</f>
        <v>0</v>
      </c>
      <c r="Y24" s="47"/>
      <c r="Z24" s="47">
        <f>'[2]MAINTENANCE-2'!$AD29</f>
        <v>21000</v>
      </c>
      <c r="AA24" s="47"/>
      <c r="AB24" s="47"/>
      <c r="AC24" s="47"/>
      <c r="AD24" s="47"/>
      <c r="AE24" s="47"/>
      <c r="AF24" s="47">
        <f>'[2]MAINTENANCE-2'!$BI29</f>
        <v>-269000</v>
      </c>
      <c r="AG24" s="47"/>
      <c r="AH24" s="47"/>
      <c r="AI24" s="71">
        <f t="shared" si="0"/>
        <v>4183060</v>
      </c>
      <c r="AJ24" s="49">
        <f t="shared" si="1"/>
        <v>0</v>
      </c>
      <c r="AK24" s="71">
        <f t="shared" si="8"/>
        <v>0</v>
      </c>
      <c r="AL24" s="47"/>
      <c r="AM24" s="48">
        <f>'[2]MAINTENANCE-2'!$AL29</f>
        <v>3986750</v>
      </c>
      <c r="AN24" s="50">
        <f t="shared" si="5"/>
        <v>196310.39999999999</v>
      </c>
      <c r="AO24" s="50">
        <f t="shared" si="6"/>
        <v>4183060.4</v>
      </c>
      <c r="AP24" s="50">
        <f t="shared" si="7"/>
        <v>-0.39999999990686774</v>
      </c>
    </row>
    <row r="25" spans="2:42" s="33" customFormat="1" ht="23.25" customHeight="1">
      <c r="B25" s="41">
        <v>20</v>
      </c>
      <c r="C25" s="42" t="s">
        <v>137</v>
      </c>
      <c r="D25" s="123" t="s">
        <v>458</v>
      </c>
      <c r="E25" s="95" t="s">
        <v>138</v>
      </c>
      <c r="F25" s="96" t="s">
        <v>139</v>
      </c>
      <c r="G25" s="43" t="s">
        <v>67</v>
      </c>
      <c r="H25" s="44" t="s">
        <v>91</v>
      </c>
      <c r="I25" s="98" t="s">
        <v>18</v>
      </c>
      <c r="J25" s="99" t="str">
        <f t="shared" si="2"/>
        <v>TER A</v>
      </c>
      <c r="K25" s="45">
        <f t="shared" si="3"/>
        <v>4169500</v>
      </c>
      <c r="L25" s="45">
        <f t="shared" si="4"/>
        <v>34347.599999999999</v>
      </c>
      <c r="M25" s="45">
        <f>'[2]MAINTENANCE-2'!$AQ30</f>
        <v>163560</v>
      </c>
      <c r="N25" s="46"/>
      <c r="O25" s="46"/>
      <c r="P25" s="46"/>
      <c r="Q25" s="46"/>
      <c r="R25" s="46"/>
      <c r="S25" s="46"/>
      <c r="T25" s="46"/>
      <c r="U25" s="47"/>
      <c r="V25" s="47">
        <f>'[2]MAINTENANCE-2'!$X30</f>
        <v>63000</v>
      </c>
      <c r="W25" s="47">
        <f>'[2]MAINTENANCE-2'!$AA30</f>
        <v>0</v>
      </c>
      <c r="X25" s="47">
        <f>'[2]MAINTENANCE-2'!$AE30</f>
        <v>0</v>
      </c>
      <c r="Y25" s="47"/>
      <c r="Z25" s="47">
        <f>'[2]MAINTENANCE-2'!$AD30</f>
        <v>54000</v>
      </c>
      <c r="AA25" s="47"/>
      <c r="AB25" s="47"/>
      <c r="AC25" s="47"/>
      <c r="AD25" s="47"/>
      <c r="AE25" s="47"/>
      <c r="AF25" s="47">
        <f>'[2]MAINTENANCE-2'!$BI30</f>
        <v>-403500</v>
      </c>
      <c r="AG25" s="47"/>
      <c r="AH25" s="47"/>
      <c r="AI25" s="71">
        <f t="shared" si="0"/>
        <v>4080908</v>
      </c>
      <c r="AJ25" s="49">
        <f t="shared" si="1"/>
        <v>0</v>
      </c>
      <c r="AK25" s="71">
        <f t="shared" si="8"/>
        <v>0</v>
      </c>
      <c r="AL25" s="47"/>
      <c r="AM25" s="48">
        <f>'[2]MAINTENANCE-2'!$AL30</f>
        <v>3883000</v>
      </c>
      <c r="AN25" s="50">
        <f t="shared" si="5"/>
        <v>197907.6</v>
      </c>
      <c r="AO25" s="50">
        <f t="shared" si="6"/>
        <v>4080907.6</v>
      </c>
      <c r="AP25" s="50">
        <f t="shared" si="7"/>
        <v>0.39999999990686774</v>
      </c>
    </row>
    <row r="26" spans="2:42" s="33" customFormat="1" ht="23.25" customHeight="1">
      <c r="B26" s="41">
        <v>21</v>
      </c>
      <c r="C26" s="42" t="s">
        <v>140</v>
      </c>
      <c r="D26" s="94" t="s">
        <v>141</v>
      </c>
      <c r="E26" s="95" t="s">
        <v>142</v>
      </c>
      <c r="F26" s="96" t="s">
        <v>143</v>
      </c>
      <c r="G26" s="43" t="s">
        <v>67</v>
      </c>
      <c r="H26" s="44" t="s">
        <v>91</v>
      </c>
      <c r="I26" s="98" t="s">
        <v>18</v>
      </c>
      <c r="J26" s="99" t="str">
        <f t="shared" si="2"/>
        <v>TER A</v>
      </c>
      <c r="K26" s="45">
        <f t="shared" si="3"/>
        <v>4169500</v>
      </c>
      <c r="L26" s="45">
        <f t="shared" si="4"/>
        <v>34671</v>
      </c>
      <c r="M26" s="45">
        <f>'[2]MAINTENANCE-2'!$AQ31</f>
        <v>165100</v>
      </c>
      <c r="N26" s="46"/>
      <c r="O26" s="46"/>
      <c r="P26" s="46"/>
      <c r="Q26" s="46"/>
      <c r="R26" s="46"/>
      <c r="S26" s="46"/>
      <c r="T26" s="46"/>
      <c r="U26" s="47"/>
      <c r="V26" s="47">
        <f>'[2]MAINTENANCE-2'!$X31</f>
        <v>67500</v>
      </c>
      <c r="W26" s="47">
        <f>'[2]MAINTENANCE-2'!$AA31</f>
        <v>0</v>
      </c>
      <c r="X26" s="47">
        <f>'[2]MAINTENANCE-2'!$AE31</f>
        <v>0</v>
      </c>
      <c r="Y26" s="47"/>
      <c r="Z26" s="47">
        <f>'[2]MAINTENANCE-2'!$AD31</f>
        <v>92500</v>
      </c>
      <c r="AA26" s="47"/>
      <c r="AB26" s="47"/>
      <c r="AC26" s="47"/>
      <c r="AD26" s="47"/>
      <c r="AE26" s="47"/>
      <c r="AF26" s="47">
        <f>'[2]MAINTENANCE-2'!$BI31</f>
        <v>-134500</v>
      </c>
      <c r="AG26" s="47"/>
      <c r="AH26" s="47"/>
      <c r="AI26" s="71">
        <f t="shared" si="0"/>
        <v>4394771</v>
      </c>
      <c r="AJ26" s="49">
        <f t="shared" si="1"/>
        <v>0</v>
      </c>
      <c r="AK26" s="71">
        <f t="shared" si="8"/>
        <v>0</v>
      </c>
      <c r="AL26" s="47"/>
      <c r="AM26" s="48">
        <f>'[2]MAINTENANCE-2'!$AL31</f>
        <v>4195000</v>
      </c>
      <c r="AN26" s="50">
        <f t="shared" si="5"/>
        <v>199771</v>
      </c>
      <c r="AO26" s="50">
        <f t="shared" si="6"/>
        <v>4394771</v>
      </c>
      <c r="AP26" s="50">
        <f t="shared" si="7"/>
        <v>0</v>
      </c>
    </row>
    <row r="27" spans="2:42" s="33" customFormat="1" ht="23.25" customHeight="1">
      <c r="B27" s="41">
        <v>22</v>
      </c>
      <c r="C27" s="42" t="s">
        <v>144</v>
      </c>
      <c r="D27" s="94" t="s">
        <v>145</v>
      </c>
      <c r="E27" s="95" t="s">
        <v>146</v>
      </c>
      <c r="F27" s="96" t="s">
        <v>147</v>
      </c>
      <c r="G27" s="43" t="s">
        <v>67</v>
      </c>
      <c r="H27" s="44" t="s">
        <v>68</v>
      </c>
      <c r="I27" s="98" t="s">
        <v>24</v>
      </c>
      <c r="J27" s="99" t="str">
        <f t="shared" si="2"/>
        <v>TER B</v>
      </c>
      <c r="K27" s="45">
        <f t="shared" si="3"/>
        <v>4169500</v>
      </c>
      <c r="L27" s="45">
        <f t="shared" si="4"/>
        <v>34120.799999999996</v>
      </c>
      <c r="M27" s="45">
        <f>'[2]MAINTENANCE-2'!$AQ32</f>
        <v>162480</v>
      </c>
      <c r="N27" s="46"/>
      <c r="O27" s="46"/>
      <c r="P27" s="46"/>
      <c r="Q27" s="46"/>
      <c r="R27" s="46"/>
      <c r="S27" s="46"/>
      <c r="T27" s="46"/>
      <c r="U27" s="47"/>
      <c r="V27" s="47">
        <f>'[2]MAINTENANCE-2'!$X32</f>
        <v>166500</v>
      </c>
      <c r="W27" s="47">
        <f>'[2]MAINTENANCE-2'!$AA32</f>
        <v>0</v>
      </c>
      <c r="X27" s="47">
        <f>'[2]MAINTENANCE-2'!$AE32</f>
        <v>0</v>
      </c>
      <c r="Y27" s="47"/>
      <c r="Z27" s="47">
        <f>'[2]MAINTENANCE-2'!$AD32</f>
        <v>27000</v>
      </c>
      <c r="AA27" s="47"/>
      <c r="AB27" s="47"/>
      <c r="AC27" s="47"/>
      <c r="AD27" s="47"/>
      <c r="AE27" s="47"/>
      <c r="AF27" s="47">
        <f>'[2]MAINTENANCE-2'!$BI32</f>
        <v>-134500</v>
      </c>
      <c r="AG27" s="47"/>
      <c r="AH27" s="47"/>
      <c r="AI27" s="71">
        <f t="shared" si="0"/>
        <v>4425101</v>
      </c>
      <c r="AJ27" s="49">
        <f t="shared" si="1"/>
        <v>0</v>
      </c>
      <c r="AK27" s="71">
        <f t="shared" si="8"/>
        <v>0</v>
      </c>
      <c r="AL27" s="47"/>
      <c r="AM27" s="48">
        <f>'[2]MAINTENANCE-2'!$AL32</f>
        <v>4228500</v>
      </c>
      <c r="AN27" s="50">
        <f t="shared" si="5"/>
        <v>196600.8</v>
      </c>
      <c r="AO27" s="50">
        <f t="shared" si="6"/>
        <v>4425100.8</v>
      </c>
      <c r="AP27" s="50">
        <f t="shared" si="7"/>
        <v>0.20000000018626451</v>
      </c>
    </row>
    <row r="28" spans="2:42" s="33" customFormat="1" ht="23.25" customHeight="1">
      <c r="B28" s="41">
        <v>23</v>
      </c>
      <c r="C28" s="42" t="s">
        <v>150</v>
      </c>
      <c r="D28" s="94" t="s">
        <v>151</v>
      </c>
      <c r="E28" s="95" t="s">
        <v>74</v>
      </c>
      <c r="F28" s="96" t="s">
        <v>152</v>
      </c>
      <c r="G28" s="43" t="s">
        <v>67</v>
      </c>
      <c r="H28" s="44" t="s">
        <v>68</v>
      </c>
      <c r="I28" s="98" t="s">
        <v>18</v>
      </c>
      <c r="J28" s="99" t="str">
        <f t="shared" si="2"/>
        <v>TER A</v>
      </c>
      <c r="K28" s="45">
        <f t="shared" si="3"/>
        <v>4169500</v>
      </c>
      <c r="L28" s="45">
        <f t="shared" si="4"/>
        <v>33957</v>
      </c>
      <c r="M28" s="45">
        <f>'[2]MAINTENANCE-2'!$AQ33</f>
        <v>161700</v>
      </c>
      <c r="N28" s="46"/>
      <c r="O28" s="46"/>
      <c r="P28" s="46"/>
      <c r="Q28" s="46"/>
      <c r="R28" s="46"/>
      <c r="S28" s="46"/>
      <c r="T28" s="46"/>
      <c r="U28" s="47"/>
      <c r="V28" s="47">
        <f>'[2]MAINTENANCE-2'!$X33</f>
        <v>69750</v>
      </c>
      <c r="W28" s="47">
        <f>'[2]MAINTENANCE-2'!$AA33</f>
        <v>0</v>
      </c>
      <c r="X28" s="47">
        <f>'[2]MAINTENANCE-2'!$AE33</f>
        <v>268222.55</v>
      </c>
      <c r="Y28" s="47"/>
      <c r="Z28" s="47">
        <f>'[2]MAINTENANCE-2'!$AD33</f>
        <v>7500</v>
      </c>
      <c r="AA28" s="47"/>
      <c r="AB28" s="47"/>
      <c r="AC28" s="47"/>
      <c r="AD28" s="47"/>
      <c r="AE28" s="47"/>
      <c r="AF28" s="47">
        <f>'[2]MAINTENANCE-2'!$BI33</f>
        <v>0</v>
      </c>
      <c r="AG28" s="47"/>
      <c r="AH28" s="47"/>
      <c r="AI28" s="71">
        <f t="shared" si="0"/>
        <v>4710630</v>
      </c>
      <c r="AJ28" s="49">
        <f t="shared" si="1"/>
        <v>0</v>
      </c>
      <c r="AK28" s="71">
        <f t="shared" si="8"/>
        <v>0</v>
      </c>
      <c r="AL28" s="47"/>
      <c r="AM28" s="48">
        <f>'[2]MAINTENANCE-2'!$AL33</f>
        <v>4514972.55</v>
      </c>
      <c r="AN28" s="50">
        <f t="shared" si="5"/>
        <v>195657</v>
      </c>
      <c r="AO28" s="50">
        <f t="shared" si="6"/>
        <v>4710629.55</v>
      </c>
      <c r="AP28" s="50">
        <f t="shared" si="7"/>
        <v>0.45000000018626451</v>
      </c>
    </row>
    <row r="29" spans="2:42" s="33" customFormat="1" ht="23.25" customHeight="1">
      <c r="B29" s="41">
        <v>24</v>
      </c>
      <c r="C29" s="42" t="s">
        <v>153</v>
      </c>
      <c r="D29" s="123" t="s">
        <v>457</v>
      </c>
      <c r="E29" s="95" t="s">
        <v>154</v>
      </c>
      <c r="F29" s="96" t="s">
        <v>155</v>
      </c>
      <c r="G29" s="43" t="s">
        <v>67</v>
      </c>
      <c r="H29" s="44" t="s">
        <v>91</v>
      </c>
      <c r="I29" s="98" t="s">
        <v>18</v>
      </c>
      <c r="J29" s="99" t="str">
        <f t="shared" si="2"/>
        <v>TER A</v>
      </c>
      <c r="K29" s="45">
        <f t="shared" si="3"/>
        <v>4169500</v>
      </c>
      <c r="L29" s="45">
        <f t="shared" si="4"/>
        <v>34318.199999999997</v>
      </c>
      <c r="M29" s="45">
        <f>'[2]MAINTENANCE-2'!$AQ34</f>
        <v>163420</v>
      </c>
      <c r="N29" s="46"/>
      <c r="O29" s="46"/>
      <c r="P29" s="46"/>
      <c r="Q29" s="46"/>
      <c r="R29" s="46"/>
      <c r="S29" s="46"/>
      <c r="T29" s="46"/>
      <c r="U29" s="47"/>
      <c r="V29" s="47">
        <f>'[2]MAINTENANCE-2'!$X34</f>
        <v>67500</v>
      </c>
      <c r="W29" s="47">
        <f>'[2]MAINTENANCE-2'!$AA34</f>
        <v>0</v>
      </c>
      <c r="X29" s="47">
        <f>'[2]MAINTENANCE-2'!$AE34</f>
        <v>0</v>
      </c>
      <c r="Y29" s="47"/>
      <c r="Z29" s="47">
        <f>'[2]MAINTENANCE-2'!$AD34</f>
        <v>50500</v>
      </c>
      <c r="AA29" s="47"/>
      <c r="AB29" s="47"/>
      <c r="AC29" s="47"/>
      <c r="AD29" s="47"/>
      <c r="AE29" s="47"/>
      <c r="AF29" s="47">
        <f>'[2]MAINTENANCE-2'!$BI34</f>
        <v>-134500</v>
      </c>
      <c r="AG29" s="47"/>
      <c r="AH29" s="47"/>
      <c r="AI29" s="71">
        <f t="shared" si="0"/>
        <v>4350738</v>
      </c>
      <c r="AJ29" s="49">
        <f t="shared" si="1"/>
        <v>0</v>
      </c>
      <c r="AK29" s="71">
        <f t="shared" si="8"/>
        <v>0</v>
      </c>
      <c r="AL29" s="47"/>
      <c r="AM29" s="48">
        <f>'[2]MAINTENANCE-2'!$AL34</f>
        <v>4153000</v>
      </c>
      <c r="AN29" s="50">
        <f t="shared" si="5"/>
        <v>197738.2</v>
      </c>
      <c r="AO29" s="50">
        <f t="shared" si="6"/>
        <v>4350738.2</v>
      </c>
      <c r="AP29" s="50">
        <f t="shared" si="7"/>
        <v>-0.20000000018626451</v>
      </c>
    </row>
    <row r="30" spans="2:42" s="33" customFormat="1" ht="23.25" customHeight="1">
      <c r="B30" s="41">
        <v>25</v>
      </c>
      <c r="C30" s="42" t="s">
        <v>156</v>
      </c>
      <c r="D30" s="94" t="s">
        <v>157</v>
      </c>
      <c r="E30" s="95" t="s">
        <v>158</v>
      </c>
      <c r="F30" s="96" t="s">
        <v>159</v>
      </c>
      <c r="G30" s="43" t="s">
        <v>67</v>
      </c>
      <c r="H30" s="44" t="s">
        <v>91</v>
      </c>
      <c r="I30" s="98" t="s">
        <v>22</v>
      </c>
      <c r="J30" s="99" t="str">
        <f t="shared" si="2"/>
        <v>TER A</v>
      </c>
      <c r="K30" s="45">
        <f t="shared" si="3"/>
        <v>4169500</v>
      </c>
      <c r="L30" s="45">
        <f t="shared" si="4"/>
        <v>34070.400000000001</v>
      </c>
      <c r="M30" s="45">
        <f>'[2]MAINTENANCE-2'!$AQ35</f>
        <v>162240</v>
      </c>
      <c r="N30" s="46"/>
      <c r="O30" s="46"/>
      <c r="P30" s="46"/>
      <c r="Q30" s="46"/>
      <c r="R30" s="46"/>
      <c r="S30" s="46"/>
      <c r="T30" s="46"/>
      <c r="U30" s="47"/>
      <c r="V30" s="47">
        <f>'[2]MAINTENANCE-2'!$X35</f>
        <v>100750</v>
      </c>
      <c r="W30" s="47">
        <f>'[2]MAINTENANCE-2'!$AA35</f>
        <v>0</v>
      </c>
      <c r="X30" s="47">
        <f>'[2]MAINTENANCE-2'!$AE35</f>
        <v>0</v>
      </c>
      <c r="Y30" s="47"/>
      <c r="Z30" s="47">
        <f>'[2]MAINTENANCE-2'!$AD35</f>
        <v>21000</v>
      </c>
      <c r="AA30" s="47"/>
      <c r="AB30" s="47"/>
      <c r="AC30" s="47"/>
      <c r="AD30" s="47"/>
      <c r="AE30" s="47"/>
      <c r="AF30" s="47">
        <f>'[2]MAINTENANCE-2'!$BI35</f>
        <v>0</v>
      </c>
      <c r="AG30" s="47"/>
      <c r="AH30" s="47"/>
      <c r="AI30" s="71">
        <f t="shared" si="0"/>
        <v>4487560</v>
      </c>
      <c r="AJ30" s="49">
        <f t="shared" si="1"/>
        <v>0</v>
      </c>
      <c r="AK30" s="71">
        <f t="shared" si="8"/>
        <v>0</v>
      </c>
      <c r="AL30" s="47"/>
      <c r="AM30" s="48">
        <f>'[2]MAINTENANCE-2'!$AL35</f>
        <v>4291250</v>
      </c>
      <c r="AN30" s="50">
        <f t="shared" si="5"/>
        <v>196310.39999999999</v>
      </c>
      <c r="AO30" s="50">
        <f t="shared" si="6"/>
        <v>4487560.4000000004</v>
      </c>
      <c r="AP30" s="50">
        <f t="shared" si="7"/>
        <v>-0.40000000037252903</v>
      </c>
    </row>
    <row r="31" spans="2:42" s="33" customFormat="1" ht="23.25" customHeight="1">
      <c r="B31" s="41">
        <v>26</v>
      </c>
      <c r="C31" s="42" t="s">
        <v>160</v>
      </c>
      <c r="D31" s="94" t="s">
        <v>161</v>
      </c>
      <c r="E31" s="95" t="s">
        <v>162</v>
      </c>
      <c r="F31" s="96" t="s">
        <v>163</v>
      </c>
      <c r="G31" s="43" t="s">
        <v>67</v>
      </c>
      <c r="H31" s="44" t="s">
        <v>68</v>
      </c>
      <c r="I31" s="98" t="s">
        <v>23</v>
      </c>
      <c r="J31" s="99" t="str">
        <f t="shared" si="2"/>
        <v>TER B</v>
      </c>
      <c r="K31" s="45">
        <f t="shared" si="3"/>
        <v>4169500</v>
      </c>
      <c r="L31" s="45">
        <f t="shared" si="4"/>
        <v>34120.799999999996</v>
      </c>
      <c r="M31" s="45">
        <f>'[2]MAINTENANCE-2'!$AQ36</f>
        <v>162480</v>
      </c>
      <c r="N31" s="46"/>
      <c r="O31" s="46"/>
      <c r="P31" s="46"/>
      <c r="Q31" s="46"/>
      <c r="R31" s="46"/>
      <c r="S31" s="46"/>
      <c r="T31" s="46"/>
      <c r="U31" s="47"/>
      <c r="V31" s="47">
        <f>'[2]MAINTENANCE-2'!$X36</f>
        <v>125550</v>
      </c>
      <c r="W31" s="47">
        <f>'[2]MAINTENANCE-2'!$AA36</f>
        <v>0</v>
      </c>
      <c r="X31" s="47">
        <f>'[2]MAINTENANCE-2'!$AE36</f>
        <v>0</v>
      </c>
      <c r="Y31" s="47"/>
      <c r="Z31" s="47">
        <f>'[2]MAINTENANCE-2'!$AD36</f>
        <v>27000</v>
      </c>
      <c r="AA31" s="47"/>
      <c r="AB31" s="47"/>
      <c r="AC31" s="47"/>
      <c r="AD31" s="47"/>
      <c r="AE31" s="47"/>
      <c r="AF31" s="47">
        <f>'[2]MAINTENANCE-2'!$BI36</f>
        <v>-538000</v>
      </c>
      <c r="AG31" s="47"/>
      <c r="AH31" s="47"/>
      <c r="AI31" s="71">
        <f t="shared" si="0"/>
        <v>3980651</v>
      </c>
      <c r="AJ31" s="49">
        <f t="shared" si="1"/>
        <v>0</v>
      </c>
      <c r="AK31" s="71">
        <f t="shared" si="8"/>
        <v>0</v>
      </c>
      <c r="AL31" s="47"/>
      <c r="AM31" s="48">
        <f>'[2]MAINTENANCE-2'!$AL36</f>
        <v>3784050</v>
      </c>
      <c r="AN31" s="50">
        <f t="shared" si="5"/>
        <v>196600.8</v>
      </c>
      <c r="AO31" s="50">
        <f t="shared" si="6"/>
        <v>3980650.8</v>
      </c>
      <c r="AP31" s="50">
        <f t="shared" si="7"/>
        <v>0.20000000018626451</v>
      </c>
    </row>
    <row r="32" spans="2:42" s="33" customFormat="1" ht="23.25" customHeight="1">
      <c r="B32" s="41">
        <v>27</v>
      </c>
      <c r="C32" s="42" t="s">
        <v>164</v>
      </c>
      <c r="D32" s="94" t="s">
        <v>165</v>
      </c>
      <c r="E32" s="95" t="s">
        <v>166</v>
      </c>
      <c r="F32" s="96" t="s">
        <v>167</v>
      </c>
      <c r="G32" s="43" t="s">
        <v>67</v>
      </c>
      <c r="H32" s="44" t="s">
        <v>91</v>
      </c>
      <c r="I32" s="98" t="s">
        <v>18</v>
      </c>
      <c r="J32" s="99" t="str">
        <f t="shared" si="2"/>
        <v>TER A</v>
      </c>
      <c r="K32" s="45">
        <f t="shared" si="3"/>
        <v>4169500</v>
      </c>
      <c r="L32" s="45">
        <f t="shared" si="4"/>
        <v>34200.6</v>
      </c>
      <c r="M32" s="45">
        <f>'[2]MAINTENANCE-2'!$AQ37</f>
        <v>162860</v>
      </c>
      <c r="N32" s="46"/>
      <c r="O32" s="46"/>
      <c r="P32" s="46"/>
      <c r="Q32" s="46"/>
      <c r="R32" s="46"/>
      <c r="S32" s="46"/>
      <c r="T32" s="46"/>
      <c r="U32" s="47"/>
      <c r="V32" s="47">
        <f>'[2]MAINTENANCE-2'!$X37</f>
        <v>67500</v>
      </c>
      <c r="W32" s="47">
        <f>'[2]MAINTENANCE-2'!$AA37</f>
        <v>0</v>
      </c>
      <c r="X32" s="47">
        <f>'[2]MAINTENANCE-2'!$AE37</f>
        <v>0</v>
      </c>
      <c r="Y32" s="47"/>
      <c r="Z32" s="47">
        <f>'[2]MAINTENANCE-2'!$AD37</f>
        <v>36500</v>
      </c>
      <c r="AA32" s="47"/>
      <c r="AB32" s="47"/>
      <c r="AC32" s="47"/>
      <c r="AD32" s="47"/>
      <c r="AE32" s="47"/>
      <c r="AF32" s="47">
        <f>'[2]MAINTENANCE-2'!$BI37</f>
        <v>-134500</v>
      </c>
      <c r="AG32" s="47"/>
      <c r="AH32" s="47"/>
      <c r="AI32" s="71">
        <f t="shared" si="0"/>
        <v>4336061</v>
      </c>
      <c r="AJ32" s="49">
        <f t="shared" si="1"/>
        <v>0</v>
      </c>
      <c r="AK32" s="71">
        <f t="shared" si="8"/>
        <v>0</v>
      </c>
      <c r="AL32" s="47"/>
      <c r="AM32" s="48">
        <f>'[2]MAINTENANCE-2'!$AL37</f>
        <v>4139000</v>
      </c>
      <c r="AN32" s="50">
        <f t="shared" si="5"/>
        <v>197060.6</v>
      </c>
      <c r="AO32" s="50">
        <f t="shared" si="6"/>
        <v>4336060.5999999996</v>
      </c>
      <c r="AP32" s="50">
        <f t="shared" si="7"/>
        <v>0.40000000037252903</v>
      </c>
    </row>
    <row r="33" spans="2:42" s="33" customFormat="1" ht="23.25" customHeight="1">
      <c r="B33" s="41">
        <v>28</v>
      </c>
      <c r="C33" s="42" t="s">
        <v>169</v>
      </c>
      <c r="D33" s="94" t="s">
        <v>170</v>
      </c>
      <c r="E33" s="95" t="s">
        <v>171</v>
      </c>
      <c r="F33" s="96" t="s">
        <v>172</v>
      </c>
      <c r="G33" s="43" t="s">
        <v>67</v>
      </c>
      <c r="H33" s="44" t="s">
        <v>91</v>
      </c>
      <c r="I33" s="98" t="s">
        <v>18</v>
      </c>
      <c r="J33" s="99" t="str">
        <f t="shared" si="2"/>
        <v>TER A</v>
      </c>
      <c r="K33" s="45">
        <f t="shared" si="3"/>
        <v>4169500</v>
      </c>
      <c r="L33" s="45">
        <f t="shared" si="4"/>
        <v>34347.599999999999</v>
      </c>
      <c r="M33" s="45">
        <f>'[2]MAINTENANCE-2'!$AQ38</f>
        <v>163560</v>
      </c>
      <c r="N33" s="46"/>
      <c r="O33" s="46"/>
      <c r="P33" s="46"/>
      <c r="Q33" s="46"/>
      <c r="R33" s="46"/>
      <c r="S33" s="46"/>
      <c r="T33" s="46"/>
      <c r="U33" s="47"/>
      <c r="V33" s="47">
        <f>'[2]MAINTENANCE-2'!$X38</f>
        <v>69750</v>
      </c>
      <c r="W33" s="47">
        <f>'[2]MAINTENANCE-2'!$AA38</f>
        <v>0</v>
      </c>
      <c r="X33" s="47">
        <f>'[2]MAINTENANCE-2'!$AE38</f>
        <v>0</v>
      </c>
      <c r="Y33" s="47"/>
      <c r="Z33" s="47">
        <f>'[2]MAINTENANCE-2'!$AD38</f>
        <v>54000</v>
      </c>
      <c r="AA33" s="47"/>
      <c r="AB33" s="47"/>
      <c r="AC33" s="47"/>
      <c r="AD33" s="47"/>
      <c r="AE33" s="47"/>
      <c r="AF33" s="47">
        <f>'[2]MAINTENANCE-2'!$BI38</f>
        <v>0</v>
      </c>
      <c r="AG33" s="47"/>
      <c r="AH33" s="47"/>
      <c r="AI33" s="71">
        <f t="shared" si="0"/>
        <v>4491158</v>
      </c>
      <c r="AJ33" s="49">
        <f t="shared" si="1"/>
        <v>0</v>
      </c>
      <c r="AK33" s="71">
        <f t="shared" si="8"/>
        <v>0</v>
      </c>
      <c r="AL33" s="47"/>
      <c r="AM33" s="48">
        <f>'[2]MAINTENANCE-2'!$AL38</f>
        <v>4293250</v>
      </c>
      <c r="AN33" s="50">
        <f t="shared" si="5"/>
        <v>197907.6</v>
      </c>
      <c r="AO33" s="50">
        <f t="shared" si="6"/>
        <v>4491157.5999999996</v>
      </c>
      <c r="AP33" s="50">
        <f t="shared" si="7"/>
        <v>0.40000000037252903</v>
      </c>
    </row>
    <row r="34" spans="2:42" s="33" customFormat="1" ht="23.25" customHeight="1">
      <c r="B34" s="41">
        <v>29</v>
      </c>
      <c r="C34" s="42" t="s">
        <v>173</v>
      </c>
      <c r="D34" s="94" t="s">
        <v>174</v>
      </c>
      <c r="E34" s="95" t="s">
        <v>175</v>
      </c>
      <c r="F34" s="96" t="s">
        <v>176</v>
      </c>
      <c r="G34" s="43" t="s">
        <v>67</v>
      </c>
      <c r="H34" s="44" t="s">
        <v>91</v>
      </c>
      <c r="I34" s="98" t="s">
        <v>18</v>
      </c>
      <c r="J34" s="99" t="str">
        <f t="shared" si="2"/>
        <v>TER A</v>
      </c>
      <c r="K34" s="45">
        <f t="shared" si="3"/>
        <v>4169500</v>
      </c>
      <c r="L34" s="45">
        <f t="shared" si="4"/>
        <v>34171.199999999997</v>
      </c>
      <c r="M34" s="45">
        <f>'[2]MAINTENANCE-2'!$AQ39</f>
        <v>162720</v>
      </c>
      <c r="N34" s="46"/>
      <c r="O34" s="46"/>
      <c r="P34" s="46"/>
      <c r="Q34" s="46"/>
      <c r="R34" s="46"/>
      <c r="S34" s="46"/>
      <c r="T34" s="46"/>
      <c r="U34" s="47"/>
      <c r="V34" s="47">
        <f>'[2]MAINTENANCE-2'!$X39</f>
        <v>69750</v>
      </c>
      <c r="W34" s="47">
        <f>'[2]MAINTENANCE-2'!$AA39</f>
        <v>0</v>
      </c>
      <c r="X34" s="47">
        <f>'[2]MAINTENANCE-2'!$AE39</f>
        <v>0</v>
      </c>
      <c r="Y34" s="47"/>
      <c r="Z34" s="47">
        <f>'[2]MAINTENANCE-2'!$AD39</f>
        <v>33000</v>
      </c>
      <c r="AA34" s="47"/>
      <c r="AB34" s="47"/>
      <c r="AC34" s="47"/>
      <c r="AD34" s="47"/>
      <c r="AE34" s="47"/>
      <c r="AF34" s="47">
        <f>'[2]MAINTENANCE-2'!$BI39</f>
        <v>0</v>
      </c>
      <c r="AG34" s="47"/>
      <c r="AH34" s="47"/>
      <c r="AI34" s="71">
        <f t="shared" si="0"/>
        <v>4469141</v>
      </c>
      <c r="AJ34" s="49">
        <f t="shared" si="1"/>
        <v>0</v>
      </c>
      <c r="AK34" s="71">
        <f>ROUND(IF(E34=0,AI34*AJ34*120%,AI34*AJ34),0)</f>
        <v>0</v>
      </c>
      <c r="AL34" s="47"/>
      <c r="AM34" s="48">
        <f>'[2]MAINTENANCE-2'!$AL39</f>
        <v>4272250</v>
      </c>
      <c r="AN34" s="50">
        <f t="shared" si="5"/>
        <v>196891.2</v>
      </c>
      <c r="AO34" s="50">
        <f t="shared" si="6"/>
        <v>4469141.2</v>
      </c>
      <c r="AP34" s="50">
        <f t="shared" si="7"/>
        <v>-0.20000000018626451</v>
      </c>
    </row>
    <row r="35" spans="2:42" s="33" customFormat="1" ht="23.25" customHeight="1">
      <c r="B35" s="41">
        <v>30</v>
      </c>
      <c r="C35" s="42" t="s">
        <v>177</v>
      </c>
      <c r="D35" s="94" t="s">
        <v>224</v>
      </c>
      <c r="E35" s="95" t="s">
        <v>178</v>
      </c>
      <c r="F35" s="96" t="s">
        <v>179</v>
      </c>
      <c r="G35" s="43" t="s">
        <v>67</v>
      </c>
      <c r="H35" s="44" t="s">
        <v>91</v>
      </c>
      <c r="I35" s="98" t="s">
        <v>18</v>
      </c>
      <c r="J35" s="99" t="str">
        <f t="shared" si="2"/>
        <v>TER A</v>
      </c>
      <c r="K35" s="45">
        <f t="shared" si="3"/>
        <v>4169500</v>
      </c>
      <c r="L35" s="45">
        <f t="shared" si="4"/>
        <v>34318.199999999997</v>
      </c>
      <c r="M35" s="45">
        <f>'[2]MAINTENANCE-2'!$AQ40</f>
        <v>163420</v>
      </c>
      <c r="N35" s="46"/>
      <c r="O35" s="46"/>
      <c r="P35" s="46"/>
      <c r="Q35" s="46"/>
      <c r="R35" s="46"/>
      <c r="S35" s="46"/>
      <c r="T35" s="46"/>
      <c r="U35" s="47"/>
      <c r="V35" s="47">
        <f>'[2]MAINTENANCE-2'!$X40</f>
        <v>60750</v>
      </c>
      <c r="W35" s="47">
        <f>'[2]MAINTENANCE-2'!$AA40</f>
        <v>0</v>
      </c>
      <c r="X35" s="47">
        <f>'[2]MAINTENANCE-2'!$AE40</f>
        <v>0</v>
      </c>
      <c r="Y35" s="47"/>
      <c r="Z35" s="47">
        <f>'[2]MAINTENANCE-2'!$AD40</f>
        <v>50500</v>
      </c>
      <c r="AA35" s="47"/>
      <c r="AB35" s="47"/>
      <c r="AC35" s="47"/>
      <c r="AD35" s="47"/>
      <c r="AE35" s="47"/>
      <c r="AF35" s="47">
        <f>'[2]MAINTENANCE-2'!$BI40</f>
        <v>-538000</v>
      </c>
      <c r="AG35" s="47"/>
      <c r="AH35" s="47"/>
      <c r="AI35" s="71">
        <f t="shared" si="0"/>
        <v>3940488</v>
      </c>
      <c r="AJ35" s="49">
        <f t="shared" si="1"/>
        <v>0</v>
      </c>
      <c r="AK35" s="71">
        <f t="shared" si="8"/>
        <v>0</v>
      </c>
      <c r="AL35" s="47"/>
      <c r="AM35" s="48">
        <f>'[2]MAINTENANCE-2'!$AL40</f>
        <v>3742750</v>
      </c>
      <c r="AN35" s="50">
        <f t="shared" si="5"/>
        <v>197738.2</v>
      </c>
      <c r="AO35" s="50">
        <f t="shared" si="6"/>
        <v>3940488.2</v>
      </c>
      <c r="AP35" s="50">
        <f t="shared" si="7"/>
        <v>-0.20000000018626451</v>
      </c>
    </row>
    <row r="36" spans="2:42" s="33" customFormat="1" ht="23.25" customHeight="1">
      <c r="B36" s="41">
        <v>31</v>
      </c>
      <c r="C36" s="42" t="s">
        <v>180</v>
      </c>
      <c r="D36" s="94" t="s">
        <v>225</v>
      </c>
      <c r="E36" s="95" t="s">
        <v>181</v>
      </c>
      <c r="F36" s="96" t="s">
        <v>182</v>
      </c>
      <c r="G36" s="43" t="s">
        <v>67</v>
      </c>
      <c r="H36" s="44" t="s">
        <v>68</v>
      </c>
      <c r="I36" s="98" t="s">
        <v>22</v>
      </c>
      <c r="J36" s="99" t="str">
        <f t="shared" si="2"/>
        <v>TER A</v>
      </c>
      <c r="K36" s="45">
        <f t="shared" si="3"/>
        <v>4169500</v>
      </c>
      <c r="L36" s="45">
        <f t="shared" si="4"/>
        <v>34230</v>
      </c>
      <c r="M36" s="45">
        <f>'[2]MAINTENANCE-2'!$AQ41</f>
        <v>163000</v>
      </c>
      <c r="N36" s="46"/>
      <c r="O36" s="46"/>
      <c r="P36" s="46"/>
      <c r="Q36" s="46"/>
      <c r="R36" s="46"/>
      <c r="S36" s="46"/>
      <c r="T36" s="46"/>
      <c r="U36" s="47"/>
      <c r="V36" s="47">
        <f>'[2]MAINTENANCE-2'!$X41</f>
        <v>87750</v>
      </c>
      <c r="W36" s="47">
        <f>'[2]MAINTENANCE-2'!$AA41</f>
        <v>0</v>
      </c>
      <c r="X36" s="47">
        <f>'[2]MAINTENANCE-2'!$AE41</f>
        <v>0</v>
      </c>
      <c r="Y36" s="47"/>
      <c r="Z36" s="47">
        <f>'[2]MAINTENANCE-2'!$AD41</f>
        <v>40000</v>
      </c>
      <c r="AA36" s="47"/>
      <c r="AB36" s="47"/>
      <c r="AC36" s="47"/>
      <c r="AD36" s="47"/>
      <c r="AE36" s="47"/>
      <c r="AF36" s="47">
        <f>'[2]MAINTENANCE-2'!$BI41</f>
        <v>-538000</v>
      </c>
      <c r="AG36" s="47"/>
      <c r="AH36" s="47"/>
      <c r="AI36" s="71">
        <f t="shared" ref="AI36:AI66" si="9">ROUND(SUM(K36:AH36),0)</f>
        <v>3956480</v>
      </c>
      <c r="AJ36" s="49">
        <f t="shared" ref="AJ36:AJ66" si="10">IF(J36="TER A",VLOOKUP(AI36,Ter_A,4,TRUE),IF(J36="TER B",VLOOKUP(AI36,Ter_B,4,TRUE),VLOOKUP(AI36,Ter_C,4,TRUE)))</f>
        <v>0</v>
      </c>
      <c r="AK36" s="71">
        <f t="shared" si="8"/>
        <v>0</v>
      </c>
      <c r="AL36" s="47"/>
      <c r="AM36" s="48">
        <f>'[2]MAINTENANCE-2'!$AL41</f>
        <v>3759250</v>
      </c>
      <c r="AN36" s="50">
        <f t="shared" si="5"/>
        <v>197230</v>
      </c>
      <c r="AO36" s="50">
        <f t="shared" si="6"/>
        <v>3956480</v>
      </c>
      <c r="AP36" s="50">
        <f t="shared" si="7"/>
        <v>0</v>
      </c>
    </row>
    <row r="37" spans="2:42" s="33" customFormat="1" ht="23.25" customHeight="1">
      <c r="B37" s="41">
        <v>32</v>
      </c>
      <c r="C37" s="42" t="s">
        <v>183</v>
      </c>
      <c r="D37" s="94" t="s">
        <v>184</v>
      </c>
      <c r="E37" s="95" t="s">
        <v>74</v>
      </c>
      <c r="F37" s="96" t="s">
        <v>185</v>
      </c>
      <c r="G37" s="43" t="s">
        <v>67</v>
      </c>
      <c r="H37" s="44" t="s">
        <v>91</v>
      </c>
      <c r="I37" s="98" t="s">
        <v>22</v>
      </c>
      <c r="J37" s="99" t="str">
        <f t="shared" si="2"/>
        <v>TER A</v>
      </c>
      <c r="K37" s="45">
        <f t="shared" si="3"/>
        <v>4169500</v>
      </c>
      <c r="L37" s="45">
        <f t="shared" si="4"/>
        <v>34070.400000000001</v>
      </c>
      <c r="M37" s="45">
        <f>'[2]MAINTENANCE-2'!$AQ42</f>
        <v>162240</v>
      </c>
      <c r="N37" s="46"/>
      <c r="O37" s="46"/>
      <c r="P37" s="46"/>
      <c r="Q37" s="46"/>
      <c r="R37" s="46"/>
      <c r="S37" s="46"/>
      <c r="T37" s="46"/>
      <c r="U37" s="47"/>
      <c r="V37" s="47">
        <f>'[2]MAINTENANCE-2'!$X42</f>
        <v>97500</v>
      </c>
      <c r="W37" s="47">
        <f>'[2]MAINTENANCE-2'!$AA42</f>
        <v>0</v>
      </c>
      <c r="X37" s="47">
        <f>'[2]MAINTENANCE-2'!$AE42</f>
        <v>0</v>
      </c>
      <c r="Y37" s="47"/>
      <c r="Z37" s="47">
        <f>'[2]MAINTENANCE-2'!$AD42</f>
        <v>21000</v>
      </c>
      <c r="AA37" s="47"/>
      <c r="AB37" s="47"/>
      <c r="AC37" s="47"/>
      <c r="AD37" s="47"/>
      <c r="AE37" s="47"/>
      <c r="AF37" s="47">
        <f>'[2]MAINTENANCE-2'!$BI42</f>
        <v>-134500</v>
      </c>
      <c r="AG37" s="47"/>
      <c r="AH37" s="47"/>
      <c r="AI37" s="71">
        <f t="shared" si="9"/>
        <v>4349810</v>
      </c>
      <c r="AJ37" s="49">
        <f t="shared" si="10"/>
        <v>0</v>
      </c>
      <c r="AK37" s="71">
        <f t="shared" si="8"/>
        <v>0</v>
      </c>
      <c r="AL37" s="47"/>
      <c r="AM37" s="48">
        <f>'[2]MAINTENANCE-2'!$AL42</f>
        <v>4153500</v>
      </c>
      <c r="AN37" s="50">
        <f t="shared" ref="AN37:AN67" si="11">L37+M37</f>
        <v>196310.39999999999</v>
      </c>
      <c r="AO37" s="50">
        <f t="shared" ref="AO37:AO67" si="12">AM37+AN37+AG37</f>
        <v>4349810.4000000004</v>
      </c>
      <c r="AP37" s="50">
        <f t="shared" ref="AP37:AP67" si="13">AI37-AO37</f>
        <v>-0.40000000037252903</v>
      </c>
    </row>
    <row r="38" spans="2:42" s="33" customFormat="1" ht="23.25" customHeight="1">
      <c r="B38" s="41">
        <v>33</v>
      </c>
      <c r="C38" s="42" t="s">
        <v>186</v>
      </c>
      <c r="D38" s="107">
        <v>1214016708920000</v>
      </c>
      <c r="E38" s="95" t="s">
        <v>187</v>
      </c>
      <c r="F38" s="96" t="s">
        <v>188</v>
      </c>
      <c r="G38" s="43" t="s">
        <v>67</v>
      </c>
      <c r="H38" s="44" t="s">
        <v>91</v>
      </c>
      <c r="I38" s="98" t="s">
        <v>18</v>
      </c>
      <c r="J38" s="99" t="str">
        <f t="shared" si="2"/>
        <v>TER A</v>
      </c>
      <c r="K38" s="45">
        <f t="shared" si="3"/>
        <v>4169500</v>
      </c>
      <c r="L38" s="45">
        <f t="shared" si="4"/>
        <v>34146</v>
      </c>
      <c r="M38" s="45">
        <f>'[2]MAINTENANCE-2'!$AQ43</f>
        <v>162600</v>
      </c>
      <c r="N38" s="46"/>
      <c r="O38" s="46"/>
      <c r="P38" s="46"/>
      <c r="Q38" s="46"/>
      <c r="R38" s="46"/>
      <c r="S38" s="46"/>
      <c r="T38" s="46"/>
      <c r="U38" s="47"/>
      <c r="V38" s="47">
        <f>'[2]MAINTENANCE-2'!$X43</f>
        <v>69750</v>
      </c>
      <c r="W38" s="47">
        <f>'[2]MAINTENANCE-2'!$AA43</f>
        <v>0</v>
      </c>
      <c r="X38" s="47">
        <f>'[2]MAINTENANCE-2'!$AE43</f>
        <v>0</v>
      </c>
      <c r="Y38" s="47"/>
      <c r="Z38" s="47">
        <f>'[2]MAINTENANCE-2'!$AD43</f>
        <v>30000</v>
      </c>
      <c r="AA38" s="47"/>
      <c r="AB38" s="47"/>
      <c r="AC38" s="47"/>
      <c r="AD38" s="47"/>
      <c r="AE38" s="47"/>
      <c r="AF38" s="47">
        <f>'[2]MAINTENANCE-2'!$BI43</f>
        <v>0</v>
      </c>
      <c r="AG38" s="47"/>
      <c r="AH38" s="47"/>
      <c r="AI38" s="71">
        <f t="shared" si="9"/>
        <v>4465996</v>
      </c>
      <c r="AJ38" s="49">
        <f t="shared" si="10"/>
        <v>0</v>
      </c>
      <c r="AK38" s="71">
        <f t="shared" si="8"/>
        <v>0</v>
      </c>
      <c r="AL38" s="47"/>
      <c r="AM38" s="48">
        <f>'[2]MAINTENANCE-2'!$AL43</f>
        <v>4269250</v>
      </c>
      <c r="AN38" s="50">
        <f t="shared" si="11"/>
        <v>196746</v>
      </c>
      <c r="AO38" s="50">
        <f t="shared" si="12"/>
        <v>4465996</v>
      </c>
      <c r="AP38" s="50">
        <f t="shared" si="13"/>
        <v>0</v>
      </c>
    </row>
    <row r="39" spans="2:42" s="33" customFormat="1" ht="23.25" customHeight="1">
      <c r="B39" s="41">
        <v>34</v>
      </c>
      <c r="C39" s="42" t="s">
        <v>189</v>
      </c>
      <c r="D39" s="94" t="s">
        <v>190</v>
      </c>
      <c r="E39" s="95" t="s">
        <v>191</v>
      </c>
      <c r="F39" s="96" t="s">
        <v>192</v>
      </c>
      <c r="G39" s="43" t="s">
        <v>67</v>
      </c>
      <c r="H39" s="44" t="s">
        <v>68</v>
      </c>
      <c r="I39" s="98" t="s">
        <v>23</v>
      </c>
      <c r="J39" s="99" t="str">
        <f t="shared" si="2"/>
        <v>TER B</v>
      </c>
      <c r="K39" s="45">
        <f t="shared" si="3"/>
        <v>4169500</v>
      </c>
      <c r="L39" s="45">
        <f t="shared" si="4"/>
        <v>34146</v>
      </c>
      <c r="M39" s="45">
        <f>'[2]MAINTENANCE-2'!$AQ44</f>
        <v>162600</v>
      </c>
      <c r="N39" s="46"/>
      <c r="O39" s="46"/>
      <c r="P39" s="46"/>
      <c r="Q39" s="46"/>
      <c r="R39" s="46"/>
      <c r="S39" s="46"/>
      <c r="T39" s="46"/>
      <c r="U39" s="47"/>
      <c r="V39" s="47">
        <f>'[2]MAINTENANCE-2'!$X44</f>
        <v>139500</v>
      </c>
      <c r="W39" s="47">
        <f>'[2]MAINTENANCE-2'!$AA44</f>
        <v>0</v>
      </c>
      <c r="X39" s="47">
        <f>'[2]MAINTENANCE-2'!$AE44</f>
        <v>0</v>
      </c>
      <c r="Y39" s="47"/>
      <c r="Z39" s="47">
        <f>'[2]MAINTENANCE-2'!$AD44</f>
        <v>30000</v>
      </c>
      <c r="AA39" s="47"/>
      <c r="AB39" s="47"/>
      <c r="AC39" s="47"/>
      <c r="AD39" s="47"/>
      <c r="AE39" s="47"/>
      <c r="AF39" s="47">
        <f>'[2]MAINTENANCE-2'!$BI44</f>
        <v>-134500</v>
      </c>
      <c r="AG39" s="47"/>
      <c r="AH39" s="47"/>
      <c r="AI39" s="71">
        <f t="shared" si="9"/>
        <v>4401246</v>
      </c>
      <c r="AJ39" s="49">
        <f t="shared" si="10"/>
        <v>0</v>
      </c>
      <c r="AK39" s="71">
        <f t="shared" si="8"/>
        <v>0</v>
      </c>
      <c r="AL39" s="47"/>
      <c r="AM39" s="48">
        <f>'[2]MAINTENANCE-2'!$AL44</f>
        <v>4204500</v>
      </c>
      <c r="AN39" s="50">
        <f t="shared" si="11"/>
        <v>196746</v>
      </c>
      <c r="AO39" s="50">
        <f t="shared" si="12"/>
        <v>4401246</v>
      </c>
      <c r="AP39" s="50">
        <f t="shared" si="13"/>
        <v>0</v>
      </c>
    </row>
    <row r="40" spans="2:42" s="33" customFormat="1" ht="23.25" customHeight="1">
      <c r="B40" s="41">
        <v>35</v>
      </c>
      <c r="C40" s="42" t="s">
        <v>193</v>
      </c>
      <c r="D40" s="94" t="s">
        <v>194</v>
      </c>
      <c r="E40" s="95" t="s">
        <v>74</v>
      </c>
      <c r="F40" s="96" t="s">
        <v>195</v>
      </c>
      <c r="G40" s="43" t="s">
        <v>67</v>
      </c>
      <c r="H40" s="44" t="s">
        <v>68</v>
      </c>
      <c r="I40" s="98" t="s">
        <v>23</v>
      </c>
      <c r="J40" s="99" t="str">
        <f t="shared" si="2"/>
        <v>TER B</v>
      </c>
      <c r="K40" s="45">
        <f t="shared" si="3"/>
        <v>4169500</v>
      </c>
      <c r="L40" s="45">
        <f t="shared" si="4"/>
        <v>33936</v>
      </c>
      <c r="M40" s="45">
        <f>'[2]MAINTENANCE-2'!$AQ45</f>
        <v>161600</v>
      </c>
      <c r="N40" s="46"/>
      <c r="O40" s="46"/>
      <c r="P40" s="46"/>
      <c r="Q40" s="46"/>
      <c r="R40" s="46"/>
      <c r="S40" s="46"/>
      <c r="T40" s="46"/>
      <c r="U40" s="47"/>
      <c r="V40" s="47">
        <f>'[2]MAINTENANCE-2'!$X45</f>
        <v>144150</v>
      </c>
      <c r="W40" s="47">
        <f>'[2]MAINTENANCE-2'!$AA45</f>
        <v>0</v>
      </c>
      <c r="X40" s="47">
        <f>'[2]MAINTENANCE-2'!$AE45</f>
        <v>0</v>
      </c>
      <c r="Y40" s="47"/>
      <c r="Z40" s="47">
        <f>'[2]MAINTENANCE-2'!$AD45</f>
        <v>5000</v>
      </c>
      <c r="AA40" s="47"/>
      <c r="AB40" s="47"/>
      <c r="AC40" s="47"/>
      <c r="AD40" s="47"/>
      <c r="AE40" s="47"/>
      <c r="AF40" s="47">
        <f>'[2]MAINTENANCE-2'!$BI45</f>
        <v>0</v>
      </c>
      <c r="AG40" s="47"/>
      <c r="AH40" s="47"/>
      <c r="AI40" s="71">
        <f t="shared" si="9"/>
        <v>4514186</v>
      </c>
      <c r="AJ40" s="49">
        <f t="shared" si="10"/>
        <v>0</v>
      </c>
      <c r="AK40" s="71">
        <f t="shared" si="8"/>
        <v>0</v>
      </c>
      <c r="AL40" s="47"/>
      <c r="AM40" s="48">
        <f>'[2]MAINTENANCE-2'!$AL45</f>
        <v>4318650</v>
      </c>
      <c r="AN40" s="50">
        <f t="shared" si="11"/>
        <v>195536</v>
      </c>
      <c r="AO40" s="50">
        <f t="shared" si="12"/>
        <v>4514186</v>
      </c>
      <c r="AP40" s="50">
        <f t="shared" si="13"/>
        <v>0</v>
      </c>
    </row>
    <row r="41" spans="2:42" s="33" customFormat="1" ht="23.25" customHeight="1">
      <c r="B41" s="41">
        <v>36</v>
      </c>
      <c r="C41" s="42" t="s">
        <v>196</v>
      </c>
      <c r="D41" s="94" t="s">
        <v>197</v>
      </c>
      <c r="E41" s="95" t="s">
        <v>74</v>
      </c>
      <c r="F41" s="96" t="s">
        <v>198</v>
      </c>
      <c r="G41" s="43" t="s">
        <v>67</v>
      </c>
      <c r="H41" s="44" t="s">
        <v>68</v>
      </c>
      <c r="I41" s="98" t="s">
        <v>24</v>
      </c>
      <c r="J41" s="99" t="str">
        <f t="shared" si="2"/>
        <v>TER B</v>
      </c>
      <c r="K41" s="45">
        <f t="shared" si="3"/>
        <v>4169500</v>
      </c>
      <c r="L41" s="45">
        <f t="shared" si="4"/>
        <v>33936</v>
      </c>
      <c r="M41" s="45">
        <f>'[2]MAINTENANCE-2'!$AQ46</f>
        <v>161600</v>
      </c>
      <c r="N41" s="46"/>
      <c r="O41" s="46"/>
      <c r="P41" s="46"/>
      <c r="Q41" s="46"/>
      <c r="R41" s="46"/>
      <c r="S41" s="46"/>
      <c r="T41" s="46"/>
      <c r="U41" s="47"/>
      <c r="V41" s="47">
        <f>'[2]MAINTENANCE-2'!$X46</f>
        <v>155400</v>
      </c>
      <c r="W41" s="47">
        <f>'[2]MAINTENANCE-2'!$AA46</f>
        <v>0</v>
      </c>
      <c r="X41" s="47">
        <f>'[2]MAINTENANCE-2'!$AE46</f>
        <v>0</v>
      </c>
      <c r="Y41" s="47"/>
      <c r="Z41" s="47">
        <f>'[2]MAINTENANCE-2'!$AD46</f>
        <v>5000</v>
      </c>
      <c r="AA41" s="47"/>
      <c r="AB41" s="47"/>
      <c r="AC41" s="47"/>
      <c r="AD41" s="47"/>
      <c r="AE41" s="47"/>
      <c r="AF41" s="47">
        <f>'[2]MAINTENANCE-2'!$BI46</f>
        <v>-403500</v>
      </c>
      <c r="AG41" s="47"/>
      <c r="AH41" s="47"/>
      <c r="AI41" s="71">
        <f t="shared" si="9"/>
        <v>4121936</v>
      </c>
      <c r="AJ41" s="49">
        <f t="shared" si="10"/>
        <v>0</v>
      </c>
      <c r="AK41" s="71">
        <f t="shared" si="8"/>
        <v>0</v>
      </c>
      <c r="AL41" s="47"/>
      <c r="AM41" s="48">
        <f>'[2]MAINTENANCE-2'!$AL46</f>
        <v>3926400</v>
      </c>
      <c r="AN41" s="50">
        <f t="shared" si="11"/>
        <v>195536</v>
      </c>
      <c r="AO41" s="50">
        <f t="shared" si="12"/>
        <v>4121936</v>
      </c>
      <c r="AP41" s="50">
        <f t="shared" si="13"/>
        <v>0</v>
      </c>
    </row>
    <row r="42" spans="2:42" s="33" customFormat="1" ht="23.25" customHeight="1">
      <c r="B42" s="41">
        <v>37</v>
      </c>
      <c r="C42" s="42" t="s">
        <v>238</v>
      </c>
      <c r="D42" s="121">
        <v>1902056911870000</v>
      </c>
      <c r="E42" s="95" t="s">
        <v>239</v>
      </c>
      <c r="F42" s="96" t="s">
        <v>240</v>
      </c>
      <c r="G42" s="43" t="s">
        <v>241</v>
      </c>
      <c r="H42" s="44" t="s">
        <v>91</v>
      </c>
      <c r="I42" s="98" t="s">
        <v>18</v>
      </c>
      <c r="J42" s="99" t="str">
        <f t="shared" si="2"/>
        <v>TER A</v>
      </c>
      <c r="K42" s="45">
        <f t="shared" si="3"/>
        <v>4169500</v>
      </c>
      <c r="L42" s="45">
        <f t="shared" si="4"/>
        <v>34377</v>
      </c>
      <c r="M42" s="45">
        <f>'[2]MAINTENANCE-2'!$AQ47</f>
        <v>163700</v>
      </c>
      <c r="N42" s="46"/>
      <c r="O42" s="46"/>
      <c r="P42" s="46"/>
      <c r="Q42" s="46"/>
      <c r="R42" s="46"/>
      <c r="S42" s="46"/>
      <c r="T42" s="46"/>
      <c r="U42" s="47"/>
      <c r="V42" s="47">
        <f>'[2]MAINTENANCE-2'!$X47</f>
        <v>69750</v>
      </c>
      <c r="W42" s="47">
        <f>'[2]MAINTENANCE-2'!$AA47</f>
        <v>57500</v>
      </c>
      <c r="X42" s="47">
        <f>'[2]MAINTENANCE-2'!$AE47</f>
        <v>2857153.25</v>
      </c>
      <c r="Y42" s="47"/>
      <c r="Z42" s="47">
        <f>'[2]MAINTENANCE-2'!$AD47</f>
        <v>57500</v>
      </c>
      <c r="AA42" s="47"/>
      <c r="AB42" s="47"/>
      <c r="AC42" s="47"/>
      <c r="AD42" s="47"/>
      <c r="AE42" s="47"/>
      <c r="AF42" s="47">
        <f>'[2]MAINTENANCE-2'!$BI47</f>
        <v>0</v>
      </c>
      <c r="AG42" s="47"/>
      <c r="AH42" s="47"/>
      <c r="AI42" s="71">
        <f t="shared" si="9"/>
        <v>7409480</v>
      </c>
      <c r="AJ42" s="49">
        <f t="shared" si="10"/>
        <v>1.2500000000000001E-2</v>
      </c>
      <c r="AK42" s="71">
        <f>ROUND(IF(E42=0,AI42*AJ42*120%,AI42*AJ42),0)</f>
        <v>92619</v>
      </c>
      <c r="AL42" s="47"/>
      <c r="AM42" s="48">
        <f>'[2]MAINTENANCE-2'!$AL47</f>
        <v>7211403.25</v>
      </c>
      <c r="AN42" s="50">
        <f t="shared" si="11"/>
        <v>198077</v>
      </c>
      <c r="AO42" s="50">
        <f t="shared" si="12"/>
        <v>7409480.25</v>
      </c>
      <c r="AP42" s="50">
        <f t="shared" si="13"/>
        <v>-0.25</v>
      </c>
    </row>
    <row r="43" spans="2:42" s="33" customFormat="1" ht="23.25" customHeight="1">
      <c r="B43" s="41">
        <v>38</v>
      </c>
      <c r="C43" s="42" t="s">
        <v>242</v>
      </c>
      <c r="D43" s="94" t="s">
        <v>243</v>
      </c>
      <c r="E43" s="95" t="s">
        <v>74</v>
      </c>
      <c r="F43" s="96" t="s">
        <v>244</v>
      </c>
      <c r="G43" s="43" t="s">
        <v>67</v>
      </c>
      <c r="H43" s="44" t="s">
        <v>68</v>
      </c>
      <c r="I43" s="98" t="s">
        <v>22</v>
      </c>
      <c r="J43" s="99" t="str">
        <f t="shared" si="2"/>
        <v>TER A</v>
      </c>
      <c r="K43" s="45">
        <f t="shared" si="3"/>
        <v>4169500</v>
      </c>
      <c r="L43" s="45">
        <f t="shared" si="4"/>
        <v>34146</v>
      </c>
      <c r="M43" s="45">
        <f>'[2]MAINTENANCE-2'!$AQ48</f>
        <v>162600</v>
      </c>
      <c r="N43" s="46"/>
      <c r="O43" s="46"/>
      <c r="P43" s="46"/>
      <c r="Q43" s="46"/>
      <c r="R43" s="46"/>
      <c r="S43" s="46"/>
      <c r="T43" s="46"/>
      <c r="U43" s="47"/>
      <c r="V43" s="47">
        <f>'[2]MAINTENANCE-2'!$X48</f>
        <v>114700</v>
      </c>
      <c r="W43" s="47">
        <f>'[2]MAINTENANCE-2'!$AA48</f>
        <v>0</v>
      </c>
      <c r="X43" s="47">
        <f>'[2]MAINTENANCE-2'!$AE48</f>
        <v>0</v>
      </c>
      <c r="Y43" s="47"/>
      <c r="Z43" s="47">
        <f>'[2]MAINTENANCE-2'!$AD48</f>
        <v>30000</v>
      </c>
      <c r="AA43" s="47"/>
      <c r="AB43" s="47"/>
      <c r="AC43" s="47"/>
      <c r="AD43" s="47"/>
      <c r="AE43" s="47"/>
      <c r="AF43" s="47">
        <f>'[2]MAINTENANCE-2'!$BI48</f>
        <v>0</v>
      </c>
      <c r="AG43" s="47"/>
      <c r="AH43" s="47"/>
      <c r="AI43" s="71">
        <f t="shared" si="9"/>
        <v>4510946</v>
      </c>
      <c r="AJ43" s="49">
        <f t="shared" si="10"/>
        <v>0</v>
      </c>
      <c r="AK43" s="71">
        <f t="shared" si="8"/>
        <v>0</v>
      </c>
      <c r="AL43" s="47"/>
      <c r="AM43" s="48">
        <f>'[2]MAINTENANCE-2'!$AL48</f>
        <v>4314200</v>
      </c>
      <c r="AN43" s="50">
        <f t="shared" si="11"/>
        <v>196746</v>
      </c>
      <c r="AO43" s="50">
        <f t="shared" si="12"/>
        <v>4510946</v>
      </c>
      <c r="AP43" s="50">
        <f t="shared" si="13"/>
        <v>0</v>
      </c>
    </row>
    <row r="44" spans="2:42" s="33" customFormat="1" ht="23.25" customHeight="1">
      <c r="B44" s="41">
        <v>39</v>
      </c>
      <c r="C44" s="42" t="s">
        <v>245</v>
      </c>
      <c r="D44" s="94" t="s">
        <v>246</v>
      </c>
      <c r="E44" s="95" t="s">
        <v>247</v>
      </c>
      <c r="F44" s="96" t="s">
        <v>248</v>
      </c>
      <c r="G44" s="43" t="s">
        <v>67</v>
      </c>
      <c r="H44" s="44" t="s">
        <v>91</v>
      </c>
      <c r="I44" s="98" t="s">
        <v>18</v>
      </c>
      <c r="J44" s="99" t="str">
        <f t="shared" si="2"/>
        <v>TER A</v>
      </c>
      <c r="K44" s="45">
        <f t="shared" si="3"/>
        <v>4169500</v>
      </c>
      <c r="L44" s="45">
        <f t="shared" si="4"/>
        <v>34200.6</v>
      </c>
      <c r="M44" s="45">
        <f>'[2]MAINTENANCE-2'!$AQ49</f>
        <v>162860</v>
      </c>
      <c r="N44" s="46"/>
      <c r="O44" s="46"/>
      <c r="P44" s="46"/>
      <c r="Q44" s="46"/>
      <c r="R44" s="46"/>
      <c r="S44" s="46"/>
      <c r="T44" s="46"/>
      <c r="U44" s="47"/>
      <c r="V44" s="47">
        <f>'[2]MAINTENANCE-2'!$X49</f>
        <v>69750</v>
      </c>
      <c r="W44" s="47">
        <f>'[2]MAINTENANCE-2'!$AA49</f>
        <v>0</v>
      </c>
      <c r="X44" s="47">
        <f>'[2]MAINTENANCE-2'!$AE49</f>
        <v>0</v>
      </c>
      <c r="Y44" s="47"/>
      <c r="Z44" s="47">
        <f>'[2]MAINTENANCE-2'!$AD49</f>
        <v>36500</v>
      </c>
      <c r="AA44" s="47"/>
      <c r="AB44" s="47"/>
      <c r="AC44" s="47"/>
      <c r="AD44" s="47"/>
      <c r="AE44" s="47"/>
      <c r="AF44" s="47">
        <f>'[2]MAINTENANCE-2'!$BI49</f>
        <v>0</v>
      </c>
      <c r="AG44" s="47"/>
      <c r="AH44" s="47"/>
      <c r="AI44" s="71">
        <f t="shared" si="9"/>
        <v>4472811</v>
      </c>
      <c r="AJ44" s="49">
        <f t="shared" si="10"/>
        <v>0</v>
      </c>
      <c r="AK44" s="71">
        <f t="shared" si="8"/>
        <v>0</v>
      </c>
      <c r="AL44" s="47"/>
      <c r="AM44" s="48">
        <f>'[2]MAINTENANCE-2'!$AL49</f>
        <v>4275750</v>
      </c>
      <c r="AN44" s="50">
        <f t="shared" si="11"/>
        <v>197060.6</v>
      </c>
      <c r="AO44" s="50">
        <f t="shared" si="12"/>
        <v>4472810.5999999996</v>
      </c>
      <c r="AP44" s="50">
        <f t="shared" si="13"/>
        <v>0.40000000037252903</v>
      </c>
    </row>
    <row r="45" spans="2:42" s="33" customFormat="1" ht="23.25" customHeight="1">
      <c r="B45" s="41">
        <v>40</v>
      </c>
      <c r="C45" s="42" t="s">
        <v>249</v>
      </c>
      <c r="D45" s="94" t="s">
        <v>250</v>
      </c>
      <c r="E45" s="95" t="s">
        <v>251</v>
      </c>
      <c r="F45" s="96" t="s">
        <v>252</v>
      </c>
      <c r="G45" s="43" t="s">
        <v>67</v>
      </c>
      <c r="H45" s="44" t="s">
        <v>91</v>
      </c>
      <c r="I45" s="98" t="s">
        <v>18</v>
      </c>
      <c r="J45" s="99" t="str">
        <f t="shared" si="2"/>
        <v>TER A</v>
      </c>
      <c r="K45" s="45">
        <f t="shared" si="3"/>
        <v>4169500</v>
      </c>
      <c r="L45" s="45">
        <f t="shared" si="4"/>
        <v>34318.199999999997</v>
      </c>
      <c r="M45" s="45">
        <f>'[2]MAINTENANCE-2'!$AQ50</f>
        <v>163420</v>
      </c>
      <c r="N45" s="46"/>
      <c r="O45" s="46"/>
      <c r="P45" s="46"/>
      <c r="Q45" s="46"/>
      <c r="R45" s="46"/>
      <c r="S45" s="46"/>
      <c r="T45" s="46"/>
      <c r="U45" s="47"/>
      <c r="V45" s="47">
        <f>'[2]MAINTENANCE-2'!$X50</f>
        <v>67500</v>
      </c>
      <c r="W45" s="47">
        <f>'[2]MAINTENANCE-2'!$AA50</f>
        <v>0</v>
      </c>
      <c r="X45" s="47">
        <f>'[2]MAINTENANCE-2'!$AE50</f>
        <v>0</v>
      </c>
      <c r="Y45" s="47"/>
      <c r="Z45" s="47">
        <f>'[2]MAINTENANCE-2'!$AD50</f>
        <v>50500</v>
      </c>
      <c r="AA45" s="47"/>
      <c r="AB45" s="47"/>
      <c r="AC45" s="47"/>
      <c r="AD45" s="47"/>
      <c r="AE45" s="47"/>
      <c r="AF45" s="47">
        <f>'[2]MAINTENANCE-2'!$BI50</f>
        <v>-134500</v>
      </c>
      <c r="AG45" s="47"/>
      <c r="AH45" s="47"/>
      <c r="AI45" s="71">
        <f t="shared" si="9"/>
        <v>4350738</v>
      </c>
      <c r="AJ45" s="49">
        <f t="shared" si="10"/>
        <v>0</v>
      </c>
      <c r="AK45" s="71">
        <f t="shared" si="8"/>
        <v>0</v>
      </c>
      <c r="AL45" s="47"/>
      <c r="AM45" s="48">
        <f>'[2]MAINTENANCE-2'!$AL50</f>
        <v>4153000</v>
      </c>
      <c r="AN45" s="50">
        <f t="shared" si="11"/>
        <v>197738.2</v>
      </c>
      <c r="AO45" s="50">
        <f t="shared" si="12"/>
        <v>4350738.2</v>
      </c>
      <c r="AP45" s="50">
        <f t="shared" si="13"/>
        <v>-0.20000000018626451</v>
      </c>
    </row>
    <row r="46" spans="2:42" s="33" customFormat="1" ht="23.25" customHeight="1">
      <c r="B46" s="41">
        <v>41</v>
      </c>
      <c r="C46" s="42" t="s">
        <v>253</v>
      </c>
      <c r="D46" s="94" t="s">
        <v>254</v>
      </c>
      <c r="E46" s="95" t="s">
        <v>255</v>
      </c>
      <c r="F46" s="96" t="s">
        <v>256</v>
      </c>
      <c r="G46" s="43" t="s">
        <v>67</v>
      </c>
      <c r="H46" s="44" t="s">
        <v>68</v>
      </c>
      <c r="I46" s="98" t="s">
        <v>23</v>
      </c>
      <c r="J46" s="99" t="str">
        <f t="shared" si="2"/>
        <v>TER B</v>
      </c>
      <c r="K46" s="45">
        <f t="shared" si="3"/>
        <v>4169500</v>
      </c>
      <c r="L46" s="45">
        <f t="shared" si="4"/>
        <v>34318.199999999997</v>
      </c>
      <c r="M46" s="45">
        <f>'[2]MAINTENANCE-2'!$AQ51</f>
        <v>163420</v>
      </c>
      <c r="N46" s="46"/>
      <c r="O46" s="46"/>
      <c r="P46" s="46"/>
      <c r="Q46" s="46"/>
      <c r="R46" s="46"/>
      <c r="S46" s="46"/>
      <c r="T46" s="46"/>
      <c r="U46" s="47"/>
      <c r="V46" s="47">
        <f>'[2]MAINTENANCE-2'!$X51</f>
        <v>139500</v>
      </c>
      <c r="W46" s="47">
        <f>'[2]MAINTENANCE-2'!$AA51</f>
        <v>0</v>
      </c>
      <c r="X46" s="47">
        <f>'[2]MAINTENANCE-2'!$AE51</f>
        <v>0</v>
      </c>
      <c r="Y46" s="47"/>
      <c r="Z46" s="47">
        <f>'[2]MAINTENANCE-2'!$AD51</f>
        <v>50500</v>
      </c>
      <c r="AA46" s="47"/>
      <c r="AB46" s="47"/>
      <c r="AC46" s="47"/>
      <c r="AD46" s="47"/>
      <c r="AE46" s="47"/>
      <c r="AF46" s="47">
        <f>'[2]MAINTENANCE-2'!$BI51</f>
        <v>-134500</v>
      </c>
      <c r="AG46" s="47"/>
      <c r="AH46" s="47"/>
      <c r="AI46" s="71">
        <f t="shared" si="9"/>
        <v>4422738</v>
      </c>
      <c r="AJ46" s="49">
        <f t="shared" si="10"/>
        <v>0</v>
      </c>
      <c r="AK46" s="71">
        <f t="shared" si="8"/>
        <v>0</v>
      </c>
      <c r="AL46" s="47"/>
      <c r="AM46" s="48">
        <f>'[2]MAINTENANCE-2'!$AL51</f>
        <v>4225000</v>
      </c>
      <c r="AN46" s="50">
        <f t="shared" si="11"/>
        <v>197738.2</v>
      </c>
      <c r="AO46" s="50">
        <f t="shared" si="12"/>
        <v>4422738.2</v>
      </c>
      <c r="AP46" s="50">
        <f t="shared" si="13"/>
        <v>-0.20000000018626451</v>
      </c>
    </row>
    <row r="47" spans="2:42" s="33" customFormat="1" ht="23.25" customHeight="1">
      <c r="B47" s="41">
        <v>42</v>
      </c>
      <c r="C47" s="42" t="s">
        <v>257</v>
      </c>
      <c r="D47" s="94" t="s">
        <v>258</v>
      </c>
      <c r="E47" s="95" t="s">
        <v>259</v>
      </c>
      <c r="F47" s="96" t="s">
        <v>260</v>
      </c>
      <c r="G47" s="43" t="s">
        <v>67</v>
      </c>
      <c r="H47" s="44" t="s">
        <v>91</v>
      </c>
      <c r="I47" s="98" t="s">
        <v>18</v>
      </c>
      <c r="J47" s="99" t="str">
        <f t="shared" si="2"/>
        <v>TER A</v>
      </c>
      <c r="K47" s="45">
        <f t="shared" si="3"/>
        <v>4169500</v>
      </c>
      <c r="L47" s="45">
        <f t="shared" si="4"/>
        <v>34318.199999999997</v>
      </c>
      <c r="M47" s="45">
        <f>'[2]MAINTENANCE-2'!$AQ52</f>
        <v>163420</v>
      </c>
      <c r="N47" s="46"/>
      <c r="O47" s="46"/>
      <c r="P47" s="46"/>
      <c r="Q47" s="46"/>
      <c r="R47" s="46"/>
      <c r="S47" s="46"/>
      <c r="T47" s="46"/>
      <c r="U47" s="47"/>
      <c r="V47" s="47">
        <f>'[2]MAINTENANCE-2'!$X52</f>
        <v>69750</v>
      </c>
      <c r="W47" s="47">
        <f>'[2]MAINTENANCE-2'!$AA52</f>
        <v>0</v>
      </c>
      <c r="X47" s="47">
        <f>'[2]MAINTENANCE-2'!$AE52</f>
        <v>0</v>
      </c>
      <c r="Y47" s="47"/>
      <c r="Z47" s="47">
        <f>'[2]MAINTENANCE-2'!$AD52</f>
        <v>50500</v>
      </c>
      <c r="AA47" s="47"/>
      <c r="AB47" s="47"/>
      <c r="AC47" s="47"/>
      <c r="AD47" s="47"/>
      <c r="AE47" s="47"/>
      <c r="AF47" s="47">
        <f>'[2]MAINTENANCE-2'!$BI52</f>
        <v>0</v>
      </c>
      <c r="AG47" s="47"/>
      <c r="AH47" s="47"/>
      <c r="AI47" s="71">
        <f t="shared" si="9"/>
        <v>4487488</v>
      </c>
      <c r="AJ47" s="49">
        <f t="shared" si="10"/>
        <v>0</v>
      </c>
      <c r="AK47" s="71">
        <f t="shared" si="8"/>
        <v>0</v>
      </c>
      <c r="AL47" s="47"/>
      <c r="AM47" s="48">
        <f>'[2]MAINTENANCE-2'!$AL52</f>
        <v>4289750</v>
      </c>
      <c r="AN47" s="50">
        <f t="shared" si="11"/>
        <v>197738.2</v>
      </c>
      <c r="AO47" s="50">
        <f t="shared" si="12"/>
        <v>4487488.2</v>
      </c>
      <c r="AP47" s="50">
        <f t="shared" si="13"/>
        <v>-0.20000000018626451</v>
      </c>
    </row>
    <row r="48" spans="2:42" s="33" customFormat="1" ht="23.25" customHeight="1">
      <c r="B48" s="41">
        <v>43</v>
      </c>
      <c r="C48" s="42" t="s">
        <v>261</v>
      </c>
      <c r="D48" s="94" t="s">
        <v>262</v>
      </c>
      <c r="E48" s="95" t="s">
        <v>263</v>
      </c>
      <c r="F48" s="96" t="s">
        <v>264</v>
      </c>
      <c r="G48" s="43" t="s">
        <v>67</v>
      </c>
      <c r="H48" s="44" t="s">
        <v>91</v>
      </c>
      <c r="I48" s="98" t="s">
        <v>18</v>
      </c>
      <c r="J48" s="99" t="str">
        <f t="shared" si="2"/>
        <v>TER A</v>
      </c>
      <c r="K48" s="45">
        <f t="shared" si="3"/>
        <v>4169500</v>
      </c>
      <c r="L48" s="45">
        <f t="shared" si="4"/>
        <v>34347.599999999999</v>
      </c>
      <c r="M48" s="45">
        <f>'[2]MAINTENANCE-2'!$AQ53</f>
        <v>163560</v>
      </c>
      <c r="N48" s="46"/>
      <c r="O48" s="46"/>
      <c r="P48" s="46"/>
      <c r="Q48" s="46"/>
      <c r="R48" s="46"/>
      <c r="S48" s="46"/>
      <c r="T48" s="46"/>
      <c r="U48" s="47"/>
      <c r="V48" s="47">
        <f>'[2]MAINTENANCE-2'!$X53</f>
        <v>69750</v>
      </c>
      <c r="W48" s="47">
        <f>'[2]MAINTENANCE-2'!$AA53</f>
        <v>0</v>
      </c>
      <c r="X48" s="47">
        <f>'[2]MAINTENANCE-2'!$AE53</f>
        <v>0</v>
      </c>
      <c r="Y48" s="47"/>
      <c r="Z48" s="47">
        <f>'[2]MAINTENANCE-2'!$AD53</f>
        <v>54000</v>
      </c>
      <c r="AA48" s="47"/>
      <c r="AB48" s="47"/>
      <c r="AC48" s="47"/>
      <c r="AD48" s="47"/>
      <c r="AE48" s="47"/>
      <c r="AF48" s="47">
        <f>'[2]MAINTENANCE-2'!$BI53</f>
        <v>0</v>
      </c>
      <c r="AG48" s="47"/>
      <c r="AH48" s="47"/>
      <c r="AI48" s="71">
        <f t="shared" si="9"/>
        <v>4491158</v>
      </c>
      <c r="AJ48" s="49">
        <f t="shared" si="10"/>
        <v>0</v>
      </c>
      <c r="AK48" s="71">
        <f t="shared" si="8"/>
        <v>0</v>
      </c>
      <c r="AL48" s="47"/>
      <c r="AM48" s="48">
        <f>'[2]MAINTENANCE-2'!$AL53</f>
        <v>4293250</v>
      </c>
      <c r="AN48" s="50">
        <f t="shared" si="11"/>
        <v>197907.6</v>
      </c>
      <c r="AO48" s="50">
        <f t="shared" si="12"/>
        <v>4491157.5999999996</v>
      </c>
      <c r="AP48" s="50">
        <f t="shared" si="13"/>
        <v>0.40000000037252903</v>
      </c>
    </row>
    <row r="49" spans="2:42" s="33" customFormat="1" ht="23.25" customHeight="1">
      <c r="B49" s="41">
        <v>44</v>
      </c>
      <c r="C49" s="42" t="s">
        <v>265</v>
      </c>
      <c r="D49" s="94" t="s">
        <v>266</v>
      </c>
      <c r="E49" s="95" t="s">
        <v>267</v>
      </c>
      <c r="F49" s="96" t="s">
        <v>268</v>
      </c>
      <c r="G49" s="43" t="s">
        <v>67</v>
      </c>
      <c r="H49" s="44" t="s">
        <v>91</v>
      </c>
      <c r="I49" s="98" t="s">
        <v>18</v>
      </c>
      <c r="J49" s="99" t="str">
        <f t="shared" si="2"/>
        <v>TER A</v>
      </c>
      <c r="K49" s="45">
        <f t="shared" si="3"/>
        <v>4169500</v>
      </c>
      <c r="L49" s="45">
        <f t="shared" si="4"/>
        <v>34377</v>
      </c>
      <c r="M49" s="45">
        <f>'[2]MAINTENANCE-2'!$AQ54</f>
        <v>163700</v>
      </c>
      <c r="N49" s="46"/>
      <c r="O49" s="46"/>
      <c r="P49" s="46"/>
      <c r="Q49" s="46"/>
      <c r="R49" s="46"/>
      <c r="S49" s="46"/>
      <c r="T49" s="46"/>
      <c r="U49" s="47"/>
      <c r="V49" s="47">
        <f>'[2]MAINTENANCE-2'!$X54</f>
        <v>67500</v>
      </c>
      <c r="W49" s="47">
        <f>'[2]MAINTENANCE-2'!$AA54</f>
        <v>0</v>
      </c>
      <c r="X49" s="47">
        <f>'[2]MAINTENANCE-2'!$AE54</f>
        <v>0</v>
      </c>
      <c r="Y49" s="47"/>
      <c r="Z49" s="47">
        <f>'[2]MAINTENANCE-2'!$AD54</f>
        <v>57500</v>
      </c>
      <c r="AA49" s="47"/>
      <c r="AB49" s="47"/>
      <c r="AC49" s="47"/>
      <c r="AD49" s="47"/>
      <c r="AE49" s="47"/>
      <c r="AF49" s="47">
        <f>'[2]MAINTENANCE-2'!$BI54</f>
        <v>-134500</v>
      </c>
      <c r="AG49" s="47"/>
      <c r="AH49" s="47"/>
      <c r="AI49" s="71">
        <f t="shared" si="9"/>
        <v>4358077</v>
      </c>
      <c r="AJ49" s="49">
        <f t="shared" si="10"/>
        <v>0</v>
      </c>
      <c r="AK49" s="71">
        <f t="shared" si="8"/>
        <v>0</v>
      </c>
      <c r="AL49" s="47"/>
      <c r="AM49" s="48">
        <f>'[2]MAINTENANCE-2'!$AL54</f>
        <v>4160000</v>
      </c>
      <c r="AN49" s="50">
        <f t="shared" si="11"/>
        <v>198077</v>
      </c>
      <c r="AO49" s="50">
        <f t="shared" si="12"/>
        <v>4358077</v>
      </c>
      <c r="AP49" s="50">
        <f t="shared" si="13"/>
        <v>0</v>
      </c>
    </row>
    <row r="50" spans="2:42" s="33" customFormat="1" ht="23.25" customHeight="1">
      <c r="B50" s="41">
        <v>45</v>
      </c>
      <c r="C50" s="42" t="s">
        <v>269</v>
      </c>
      <c r="D50" s="94" t="s">
        <v>270</v>
      </c>
      <c r="E50" s="95" t="s">
        <v>271</v>
      </c>
      <c r="F50" s="96" t="s">
        <v>272</v>
      </c>
      <c r="G50" s="43" t="s">
        <v>67</v>
      </c>
      <c r="H50" s="44" t="s">
        <v>91</v>
      </c>
      <c r="I50" s="98" t="s">
        <v>18</v>
      </c>
      <c r="J50" s="99" t="str">
        <f t="shared" si="2"/>
        <v>TER A</v>
      </c>
      <c r="K50" s="45">
        <f t="shared" si="3"/>
        <v>4169500</v>
      </c>
      <c r="L50" s="45">
        <f t="shared" si="4"/>
        <v>34146</v>
      </c>
      <c r="M50" s="45">
        <f>'[2]MAINTENANCE-2'!$AQ55</f>
        <v>162600</v>
      </c>
      <c r="N50" s="46"/>
      <c r="O50" s="46"/>
      <c r="P50" s="46"/>
      <c r="Q50" s="46"/>
      <c r="R50" s="46"/>
      <c r="S50" s="46"/>
      <c r="T50" s="46"/>
      <c r="U50" s="47"/>
      <c r="V50" s="47">
        <f>'[2]MAINTENANCE-2'!$X55</f>
        <v>69750</v>
      </c>
      <c r="W50" s="47">
        <f>'[2]MAINTENANCE-2'!$AA55</f>
        <v>0</v>
      </c>
      <c r="X50" s="47">
        <f>'[2]MAINTENANCE-2'!$AE55</f>
        <v>0</v>
      </c>
      <c r="Y50" s="47"/>
      <c r="Z50" s="47">
        <f>'[2]MAINTENANCE-2'!$AD55</f>
        <v>30000</v>
      </c>
      <c r="AA50" s="47"/>
      <c r="AB50" s="47"/>
      <c r="AC50" s="47"/>
      <c r="AD50" s="47"/>
      <c r="AE50" s="47"/>
      <c r="AF50" s="47">
        <f>'[2]MAINTENANCE-2'!$BI55</f>
        <v>0</v>
      </c>
      <c r="AG50" s="47"/>
      <c r="AH50" s="47"/>
      <c r="AI50" s="71">
        <f t="shared" si="9"/>
        <v>4465996</v>
      </c>
      <c r="AJ50" s="49">
        <f t="shared" si="10"/>
        <v>0</v>
      </c>
      <c r="AK50" s="71">
        <f t="shared" si="8"/>
        <v>0</v>
      </c>
      <c r="AL50" s="47"/>
      <c r="AM50" s="48">
        <f>'[2]MAINTENANCE-2'!$AL55</f>
        <v>4269250</v>
      </c>
      <c r="AN50" s="50">
        <f t="shared" si="11"/>
        <v>196746</v>
      </c>
      <c r="AO50" s="50">
        <f t="shared" si="12"/>
        <v>4465996</v>
      </c>
      <c r="AP50" s="50">
        <f t="shared" si="13"/>
        <v>0</v>
      </c>
    </row>
    <row r="51" spans="2:42" s="33" customFormat="1" ht="23.25" customHeight="1">
      <c r="B51" s="41">
        <v>46</v>
      </c>
      <c r="C51" s="42" t="s">
        <v>273</v>
      </c>
      <c r="D51" s="94" t="s">
        <v>274</v>
      </c>
      <c r="E51" s="95" t="s">
        <v>275</v>
      </c>
      <c r="F51" s="96" t="s">
        <v>276</v>
      </c>
      <c r="G51" s="43" t="s">
        <v>67</v>
      </c>
      <c r="H51" s="44" t="s">
        <v>91</v>
      </c>
      <c r="I51" s="98" t="s">
        <v>18</v>
      </c>
      <c r="J51" s="99" t="str">
        <f t="shared" si="2"/>
        <v>TER A</v>
      </c>
      <c r="K51" s="45">
        <f t="shared" si="3"/>
        <v>4169500</v>
      </c>
      <c r="L51" s="45">
        <f t="shared" si="4"/>
        <v>34146</v>
      </c>
      <c r="M51" s="45">
        <f>'[2]MAINTENANCE-2'!$AQ56</f>
        <v>162600</v>
      </c>
      <c r="N51" s="46"/>
      <c r="O51" s="46"/>
      <c r="P51" s="46"/>
      <c r="Q51" s="46"/>
      <c r="R51" s="46"/>
      <c r="S51" s="46"/>
      <c r="T51" s="46"/>
      <c r="U51" s="47"/>
      <c r="V51" s="47">
        <f>'[2]MAINTENANCE-2'!$X56</f>
        <v>69750</v>
      </c>
      <c r="W51" s="47">
        <f>'[2]MAINTENANCE-2'!$AA56</f>
        <v>0</v>
      </c>
      <c r="X51" s="47">
        <f>'[2]MAINTENANCE-2'!$AE56</f>
        <v>0</v>
      </c>
      <c r="Y51" s="47"/>
      <c r="Z51" s="47">
        <f>'[2]MAINTENANCE-2'!$AD56</f>
        <v>30000</v>
      </c>
      <c r="AA51" s="47"/>
      <c r="AB51" s="47"/>
      <c r="AC51" s="47"/>
      <c r="AD51" s="47"/>
      <c r="AE51" s="47"/>
      <c r="AF51" s="47">
        <f>'[2]MAINTENANCE-2'!$BI56+(-26900)</f>
        <v>-26900</v>
      </c>
      <c r="AG51" s="47"/>
      <c r="AH51" s="47"/>
      <c r="AI51" s="71">
        <f t="shared" si="9"/>
        <v>4439096</v>
      </c>
      <c r="AJ51" s="49">
        <f t="shared" si="10"/>
        <v>0</v>
      </c>
      <c r="AK51" s="71">
        <f t="shared" si="8"/>
        <v>0</v>
      </c>
      <c r="AL51" s="47"/>
      <c r="AM51" s="48">
        <f>'[2]MAINTENANCE-2'!$AL56</f>
        <v>4242350</v>
      </c>
      <c r="AN51" s="50">
        <f t="shared" si="11"/>
        <v>196746</v>
      </c>
      <c r="AO51" s="50">
        <f t="shared" si="12"/>
        <v>4439096</v>
      </c>
      <c r="AP51" s="50">
        <f t="shared" si="13"/>
        <v>0</v>
      </c>
    </row>
    <row r="52" spans="2:42" s="33" customFormat="1" ht="23.25" customHeight="1">
      <c r="B52" s="41">
        <v>47</v>
      </c>
      <c r="C52" s="42" t="s">
        <v>277</v>
      </c>
      <c r="D52" s="94" t="s">
        <v>278</v>
      </c>
      <c r="E52" s="95" t="s">
        <v>279</v>
      </c>
      <c r="F52" s="96" t="s">
        <v>192</v>
      </c>
      <c r="G52" s="43" t="s">
        <v>67</v>
      </c>
      <c r="H52" s="44" t="s">
        <v>91</v>
      </c>
      <c r="I52" s="98" t="s">
        <v>18</v>
      </c>
      <c r="J52" s="99" t="str">
        <f t="shared" si="2"/>
        <v>TER A</v>
      </c>
      <c r="K52" s="45">
        <f t="shared" si="3"/>
        <v>4169500</v>
      </c>
      <c r="L52" s="45">
        <f t="shared" si="4"/>
        <v>34318.199999999997</v>
      </c>
      <c r="M52" s="45">
        <f>'[2]MAINTENANCE-2'!$AQ57</f>
        <v>163420</v>
      </c>
      <c r="N52" s="46"/>
      <c r="O52" s="46"/>
      <c r="P52" s="46"/>
      <c r="Q52" s="46"/>
      <c r="R52" s="46"/>
      <c r="S52" s="46"/>
      <c r="T52" s="46"/>
      <c r="U52" s="47"/>
      <c r="V52" s="47">
        <f>'[2]MAINTENANCE-2'!$X57</f>
        <v>69750</v>
      </c>
      <c r="W52" s="47">
        <f>'[2]MAINTENANCE-2'!$AA57</f>
        <v>0</v>
      </c>
      <c r="X52" s="47">
        <f>'[2]MAINTENANCE-2'!$AE57</f>
        <v>0</v>
      </c>
      <c r="Y52" s="47"/>
      <c r="Z52" s="47">
        <f>'[2]MAINTENANCE-2'!$AD57</f>
        <v>50500</v>
      </c>
      <c r="AA52" s="47"/>
      <c r="AB52" s="47"/>
      <c r="AC52" s="47"/>
      <c r="AD52" s="47"/>
      <c r="AE52" s="47"/>
      <c r="AF52" s="47">
        <f>'[2]MAINTENANCE-2'!$BI57</f>
        <v>0</v>
      </c>
      <c r="AG52" s="47"/>
      <c r="AH52" s="47"/>
      <c r="AI52" s="71">
        <f t="shared" si="9"/>
        <v>4487488</v>
      </c>
      <c r="AJ52" s="49">
        <f t="shared" si="10"/>
        <v>0</v>
      </c>
      <c r="AK52" s="71">
        <f t="shared" si="8"/>
        <v>0</v>
      </c>
      <c r="AL52" s="47"/>
      <c r="AM52" s="48">
        <f>'[2]MAINTENANCE-2'!$AL57</f>
        <v>4289750</v>
      </c>
      <c r="AN52" s="50">
        <f t="shared" si="11"/>
        <v>197738.2</v>
      </c>
      <c r="AO52" s="50">
        <f t="shared" si="12"/>
        <v>4487488.2</v>
      </c>
      <c r="AP52" s="50">
        <f t="shared" si="13"/>
        <v>-0.20000000018626451</v>
      </c>
    </row>
    <row r="53" spans="2:42" s="33" customFormat="1" ht="23.25" customHeight="1">
      <c r="B53" s="41">
        <v>48</v>
      </c>
      <c r="C53" s="42" t="s">
        <v>280</v>
      </c>
      <c r="D53" s="94" t="s">
        <v>281</v>
      </c>
      <c r="E53" s="95" t="s">
        <v>282</v>
      </c>
      <c r="F53" s="96" t="s">
        <v>283</v>
      </c>
      <c r="G53" s="43" t="s">
        <v>67</v>
      </c>
      <c r="H53" s="44" t="s">
        <v>91</v>
      </c>
      <c r="I53" s="98" t="s">
        <v>18</v>
      </c>
      <c r="J53" s="99" t="str">
        <f t="shared" si="2"/>
        <v>TER A</v>
      </c>
      <c r="K53" s="45">
        <f t="shared" si="3"/>
        <v>4169500</v>
      </c>
      <c r="L53" s="45">
        <f t="shared" si="4"/>
        <v>34259.4</v>
      </c>
      <c r="M53" s="45">
        <f>'[2]MAINTENANCE-2'!$AQ58</f>
        <v>163140</v>
      </c>
      <c r="N53" s="46"/>
      <c r="O53" s="46"/>
      <c r="P53" s="46"/>
      <c r="Q53" s="46"/>
      <c r="R53" s="46"/>
      <c r="S53" s="46"/>
      <c r="T53" s="46"/>
      <c r="U53" s="47"/>
      <c r="V53" s="47">
        <f>'[2]MAINTENANCE-2'!$X58</f>
        <v>69750</v>
      </c>
      <c r="W53" s="47">
        <f>'[2]MAINTENANCE-2'!$AA58</f>
        <v>0</v>
      </c>
      <c r="X53" s="47">
        <f>'[2]MAINTENANCE-2'!$AE58</f>
        <v>0</v>
      </c>
      <c r="Y53" s="47"/>
      <c r="Z53" s="47">
        <f>'[2]MAINTENANCE-2'!$AD58</f>
        <v>43500</v>
      </c>
      <c r="AA53" s="47"/>
      <c r="AB53" s="47"/>
      <c r="AC53" s="47"/>
      <c r="AD53" s="47"/>
      <c r="AE53" s="47"/>
      <c r="AF53" s="47">
        <f>'[2]MAINTENANCE-2'!$BI58</f>
        <v>0</v>
      </c>
      <c r="AG53" s="47"/>
      <c r="AH53" s="47"/>
      <c r="AI53" s="71">
        <f t="shared" si="9"/>
        <v>4480149</v>
      </c>
      <c r="AJ53" s="49">
        <f t="shared" si="10"/>
        <v>0</v>
      </c>
      <c r="AK53" s="71">
        <f t="shared" si="8"/>
        <v>0</v>
      </c>
      <c r="AL53" s="47"/>
      <c r="AM53" s="48">
        <f>'[2]MAINTENANCE-2'!$AL58</f>
        <v>4282750</v>
      </c>
      <c r="AN53" s="50">
        <f t="shared" si="11"/>
        <v>197399.4</v>
      </c>
      <c r="AO53" s="50">
        <f t="shared" si="12"/>
        <v>4480149.4000000004</v>
      </c>
      <c r="AP53" s="50">
        <f t="shared" si="13"/>
        <v>-0.40000000037252903</v>
      </c>
    </row>
    <row r="54" spans="2:42" s="33" customFormat="1" ht="23.25" customHeight="1">
      <c r="B54" s="41">
        <v>49</v>
      </c>
      <c r="C54" s="42" t="s">
        <v>284</v>
      </c>
      <c r="D54" s="94" t="s">
        <v>285</v>
      </c>
      <c r="E54" s="95" t="s">
        <v>286</v>
      </c>
      <c r="F54" s="96" t="s">
        <v>287</v>
      </c>
      <c r="G54" s="43" t="s">
        <v>67</v>
      </c>
      <c r="H54" s="44" t="s">
        <v>68</v>
      </c>
      <c r="I54" s="98" t="s">
        <v>24</v>
      </c>
      <c r="J54" s="99" t="str">
        <f t="shared" si="2"/>
        <v>TER B</v>
      </c>
      <c r="K54" s="45">
        <f t="shared" si="3"/>
        <v>4169500</v>
      </c>
      <c r="L54" s="45">
        <f t="shared" si="4"/>
        <v>34318.199999999997</v>
      </c>
      <c r="M54" s="45">
        <f>'[2]MAINTENANCE-2'!$AQ59</f>
        <v>163420</v>
      </c>
      <c r="N54" s="46"/>
      <c r="O54" s="46"/>
      <c r="P54" s="46"/>
      <c r="Q54" s="46"/>
      <c r="R54" s="46"/>
      <c r="S54" s="46"/>
      <c r="T54" s="46"/>
      <c r="U54" s="47"/>
      <c r="V54" s="47">
        <f>'[2]MAINTENANCE-2'!$X59</f>
        <v>160950</v>
      </c>
      <c r="W54" s="47">
        <f>'[2]MAINTENANCE-2'!$AA59</f>
        <v>0</v>
      </c>
      <c r="X54" s="47">
        <f>'[2]MAINTENANCE-2'!$AE59</f>
        <v>0</v>
      </c>
      <c r="Y54" s="47"/>
      <c r="Z54" s="47">
        <f>'[2]MAINTENANCE-2'!$AD59</f>
        <v>50500</v>
      </c>
      <c r="AA54" s="47"/>
      <c r="AB54" s="47"/>
      <c r="AC54" s="47"/>
      <c r="AD54" s="47"/>
      <c r="AE54" s="47"/>
      <c r="AF54" s="47">
        <f>'[2]MAINTENANCE-2'!$BI59</f>
        <v>-269000</v>
      </c>
      <c r="AG54" s="47"/>
      <c r="AH54" s="47"/>
      <c r="AI54" s="71">
        <f t="shared" si="9"/>
        <v>4309688</v>
      </c>
      <c r="AJ54" s="49">
        <f t="shared" si="10"/>
        <v>0</v>
      </c>
      <c r="AK54" s="71">
        <f t="shared" si="8"/>
        <v>0</v>
      </c>
      <c r="AL54" s="47"/>
      <c r="AM54" s="48">
        <f>'[2]MAINTENANCE-2'!$AL59</f>
        <v>4111950</v>
      </c>
      <c r="AN54" s="50">
        <f t="shared" si="11"/>
        <v>197738.2</v>
      </c>
      <c r="AO54" s="50">
        <f t="shared" si="12"/>
        <v>4309688.2</v>
      </c>
      <c r="AP54" s="50">
        <f t="shared" si="13"/>
        <v>-0.20000000018626451</v>
      </c>
    </row>
    <row r="55" spans="2:42" s="33" customFormat="1" ht="23.25" customHeight="1">
      <c r="B55" s="41">
        <v>50</v>
      </c>
      <c r="C55" s="42" t="s">
        <v>288</v>
      </c>
      <c r="D55" s="94" t="s">
        <v>289</v>
      </c>
      <c r="E55" s="95" t="s">
        <v>290</v>
      </c>
      <c r="F55" s="96" t="s">
        <v>291</v>
      </c>
      <c r="G55" s="43" t="s">
        <v>67</v>
      </c>
      <c r="H55" s="44" t="s">
        <v>68</v>
      </c>
      <c r="I55" s="98" t="s">
        <v>18</v>
      </c>
      <c r="J55" s="99" t="str">
        <f t="shared" si="2"/>
        <v>TER A</v>
      </c>
      <c r="K55" s="45">
        <f t="shared" si="3"/>
        <v>4169500</v>
      </c>
      <c r="L55" s="45">
        <f t="shared" si="4"/>
        <v>34318.199999999997</v>
      </c>
      <c r="M55" s="45">
        <f>'[2]MAINTENANCE-2'!$AQ60</f>
        <v>163420</v>
      </c>
      <c r="N55" s="46"/>
      <c r="O55" s="46"/>
      <c r="P55" s="46"/>
      <c r="Q55" s="46"/>
      <c r="R55" s="46"/>
      <c r="S55" s="46"/>
      <c r="T55" s="46"/>
      <c r="U55" s="47"/>
      <c r="V55" s="47">
        <f>'[2]MAINTENANCE-2'!$X60</f>
        <v>67500</v>
      </c>
      <c r="W55" s="47">
        <f>'[2]MAINTENANCE-2'!$AA60</f>
        <v>0</v>
      </c>
      <c r="X55" s="47">
        <f>'[2]MAINTENANCE-2'!$AE60</f>
        <v>0</v>
      </c>
      <c r="Y55" s="47"/>
      <c r="Z55" s="47">
        <f>'[2]MAINTENANCE-2'!$AD60</f>
        <v>50500</v>
      </c>
      <c r="AA55" s="47"/>
      <c r="AB55" s="47"/>
      <c r="AC55" s="47"/>
      <c r="AD55" s="47"/>
      <c r="AE55" s="47"/>
      <c r="AF55" s="47">
        <f>'[2]MAINTENANCE-2'!$BI60</f>
        <v>-134500</v>
      </c>
      <c r="AG55" s="47"/>
      <c r="AH55" s="47"/>
      <c r="AI55" s="71">
        <f t="shared" si="9"/>
        <v>4350738</v>
      </c>
      <c r="AJ55" s="49">
        <f t="shared" si="10"/>
        <v>0</v>
      </c>
      <c r="AK55" s="71">
        <f t="shared" si="8"/>
        <v>0</v>
      </c>
      <c r="AL55" s="47"/>
      <c r="AM55" s="48">
        <f>'[2]MAINTENANCE-2'!$AL60</f>
        <v>4153000</v>
      </c>
      <c r="AN55" s="50">
        <f t="shared" si="11"/>
        <v>197738.2</v>
      </c>
      <c r="AO55" s="50">
        <f t="shared" si="12"/>
        <v>4350738.2</v>
      </c>
      <c r="AP55" s="50">
        <f t="shared" si="13"/>
        <v>-0.20000000018626451</v>
      </c>
    </row>
    <row r="56" spans="2:42" s="33" customFormat="1" ht="23.25" customHeight="1">
      <c r="B56" s="41">
        <v>51</v>
      </c>
      <c r="C56" s="42" t="s">
        <v>292</v>
      </c>
      <c r="D56" s="94" t="s">
        <v>293</v>
      </c>
      <c r="E56" s="95" t="s">
        <v>74</v>
      </c>
      <c r="F56" s="96" t="s">
        <v>294</v>
      </c>
      <c r="G56" s="43" t="s">
        <v>67</v>
      </c>
      <c r="H56" s="44" t="s">
        <v>68</v>
      </c>
      <c r="I56" s="98" t="s">
        <v>18</v>
      </c>
      <c r="J56" s="99" t="str">
        <f t="shared" si="2"/>
        <v>TER A</v>
      </c>
      <c r="K56" s="45">
        <f t="shared" si="3"/>
        <v>4169500</v>
      </c>
      <c r="L56" s="45">
        <f t="shared" si="4"/>
        <v>34318.199999999997</v>
      </c>
      <c r="M56" s="45">
        <f>'[2]MAINTENANCE-2'!$AQ61</f>
        <v>163420</v>
      </c>
      <c r="N56" s="46"/>
      <c r="O56" s="46"/>
      <c r="P56" s="46"/>
      <c r="Q56" s="46"/>
      <c r="R56" s="46"/>
      <c r="S56" s="46"/>
      <c r="T56" s="46"/>
      <c r="U56" s="47"/>
      <c r="V56" s="47">
        <f>'[2]MAINTENANCE-2'!$X61</f>
        <v>69750</v>
      </c>
      <c r="W56" s="47">
        <f>'[2]MAINTENANCE-2'!$AA61</f>
        <v>0</v>
      </c>
      <c r="X56" s="47">
        <f>'[2]MAINTENANCE-2'!$AE61</f>
        <v>0</v>
      </c>
      <c r="Y56" s="47"/>
      <c r="Z56" s="47">
        <f>'[2]MAINTENANCE-2'!$AD61</f>
        <v>50500</v>
      </c>
      <c r="AA56" s="47"/>
      <c r="AB56" s="47"/>
      <c r="AC56" s="47"/>
      <c r="AD56" s="47"/>
      <c r="AE56" s="47"/>
      <c r="AF56" s="47">
        <f>'[2]MAINTENANCE-2'!$BI61</f>
        <v>0</v>
      </c>
      <c r="AG56" s="47"/>
      <c r="AH56" s="47"/>
      <c r="AI56" s="71">
        <f t="shared" si="9"/>
        <v>4487488</v>
      </c>
      <c r="AJ56" s="49">
        <f t="shared" si="10"/>
        <v>0</v>
      </c>
      <c r="AK56" s="71">
        <f t="shared" si="8"/>
        <v>0</v>
      </c>
      <c r="AL56" s="47"/>
      <c r="AM56" s="48">
        <f>'[2]MAINTENANCE-2'!$AL61</f>
        <v>4289750</v>
      </c>
      <c r="AN56" s="50">
        <f t="shared" si="11"/>
        <v>197738.2</v>
      </c>
      <c r="AO56" s="50">
        <f t="shared" si="12"/>
        <v>4487488.2</v>
      </c>
      <c r="AP56" s="50">
        <f t="shared" si="13"/>
        <v>-0.20000000018626451</v>
      </c>
    </row>
    <row r="57" spans="2:42" s="33" customFormat="1" ht="23.25" customHeight="1">
      <c r="B57" s="41">
        <v>52</v>
      </c>
      <c r="C57" s="42" t="s">
        <v>295</v>
      </c>
      <c r="D57" s="94" t="s">
        <v>296</v>
      </c>
      <c r="E57" s="95" t="s">
        <v>297</v>
      </c>
      <c r="F57" s="96" t="s">
        <v>298</v>
      </c>
      <c r="G57" s="43" t="s">
        <v>67</v>
      </c>
      <c r="H57" s="44" t="s">
        <v>91</v>
      </c>
      <c r="I57" s="98" t="s">
        <v>18</v>
      </c>
      <c r="J57" s="99" t="str">
        <f t="shared" si="2"/>
        <v>TER A</v>
      </c>
      <c r="K57" s="45">
        <f t="shared" si="3"/>
        <v>4169500</v>
      </c>
      <c r="L57" s="45">
        <f t="shared" si="4"/>
        <v>34318.199999999997</v>
      </c>
      <c r="M57" s="45">
        <f>'[2]MAINTENANCE-2'!$AQ62</f>
        <v>163420</v>
      </c>
      <c r="N57" s="46"/>
      <c r="O57" s="46"/>
      <c r="P57" s="46"/>
      <c r="Q57" s="46"/>
      <c r="R57" s="46"/>
      <c r="S57" s="46"/>
      <c r="T57" s="46"/>
      <c r="U57" s="47"/>
      <c r="V57" s="47">
        <f>'[2]MAINTENANCE-2'!$X62</f>
        <v>69750</v>
      </c>
      <c r="W57" s="47">
        <f>'[2]MAINTENANCE-2'!$AA62</f>
        <v>0</v>
      </c>
      <c r="X57" s="47">
        <f>'[2]MAINTENANCE-2'!$AE62</f>
        <v>0</v>
      </c>
      <c r="Y57" s="47"/>
      <c r="Z57" s="47">
        <f>'[2]MAINTENANCE-2'!$AD62</f>
        <v>50500</v>
      </c>
      <c r="AA57" s="47"/>
      <c r="AB57" s="47"/>
      <c r="AC57" s="47"/>
      <c r="AD57" s="47"/>
      <c r="AE57" s="47"/>
      <c r="AF57" s="47">
        <f>'[2]MAINTENANCE-2'!$BI62</f>
        <v>0</v>
      </c>
      <c r="AG57" s="47"/>
      <c r="AH57" s="47"/>
      <c r="AI57" s="71">
        <f t="shared" si="9"/>
        <v>4487488</v>
      </c>
      <c r="AJ57" s="49">
        <f t="shared" si="10"/>
        <v>0</v>
      </c>
      <c r="AK57" s="71">
        <f t="shared" si="8"/>
        <v>0</v>
      </c>
      <c r="AL57" s="47"/>
      <c r="AM57" s="48">
        <f>'[2]MAINTENANCE-2'!$AL62</f>
        <v>4289750</v>
      </c>
      <c r="AN57" s="50">
        <f t="shared" si="11"/>
        <v>197738.2</v>
      </c>
      <c r="AO57" s="50">
        <f t="shared" si="12"/>
        <v>4487488.2</v>
      </c>
      <c r="AP57" s="50">
        <f t="shared" si="13"/>
        <v>-0.20000000018626451</v>
      </c>
    </row>
    <row r="58" spans="2:42" s="33" customFormat="1" ht="23.25" customHeight="1">
      <c r="B58" s="41">
        <v>53</v>
      </c>
      <c r="C58" s="42" t="s">
        <v>299</v>
      </c>
      <c r="D58" s="94" t="s">
        <v>300</v>
      </c>
      <c r="E58" s="95" t="s">
        <v>301</v>
      </c>
      <c r="F58" s="96" t="s">
        <v>302</v>
      </c>
      <c r="G58" s="43" t="s">
        <v>67</v>
      </c>
      <c r="H58" s="44" t="s">
        <v>68</v>
      </c>
      <c r="I58" s="98" t="s">
        <v>22</v>
      </c>
      <c r="J58" s="99" t="str">
        <f t="shared" si="2"/>
        <v>TER A</v>
      </c>
      <c r="K58" s="45">
        <f t="shared" si="3"/>
        <v>4169500</v>
      </c>
      <c r="L58" s="45">
        <f t="shared" si="4"/>
        <v>34671</v>
      </c>
      <c r="M58" s="45">
        <f>'[2]MAINTENANCE-2'!$AQ63</f>
        <v>165100</v>
      </c>
      <c r="N58" s="46"/>
      <c r="O58" s="46"/>
      <c r="P58" s="46"/>
      <c r="Q58" s="46"/>
      <c r="R58" s="46"/>
      <c r="S58" s="46"/>
      <c r="T58" s="46"/>
      <c r="U58" s="47"/>
      <c r="V58" s="47">
        <f>'[2]MAINTENANCE-2'!$X63</f>
        <v>114700</v>
      </c>
      <c r="W58" s="47">
        <f>'[2]MAINTENANCE-2'!$AA63</f>
        <v>0</v>
      </c>
      <c r="X58" s="47">
        <f>'[2]MAINTENANCE-2'!$AE63</f>
        <v>0</v>
      </c>
      <c r="Y58" s="47"/>
      <c r="Z58" s="47">
        <f>'[2]MAINTENANCE-2'!$AD63</f>
        <v>92500</v>
      </c>
      <c r="AA58" s="47"/>
      <c r="AB58" s="47"/>
      <c r="AC58" s="47"/>
      <c r="AD58" s="47"/>
      <c r="AE58" s="47"/>
      <c r="AF58" s="47">
        <f>'[2]MAINTENANCE-2'!$BI63</f>
        <v>0</v>
      </c>
      <c r="AG58" s="47"/>
      <c r="AH58" s="47"/>
      <c r="AI58" s="71">
        <f t="shared" si="9"/>
        <v>4576471</v>
      </c>
      <c r="AJ58" s="49">
        <f t="shared" si="10"/>
        <v>0</v>
      </c>
      <c r="AK58" s="71">
        <f t="shared" si="8"/>
        <v>0</v>
      </c>
      <c r="AL58" s="47"/>
      <c r="AM58" s="48">
        <f>'[2]MAINTENANCE-2'!$AL63</f>
        <v>4376700</v>
      </c>
      <c r="AN58" s="50">
        <f t="shared" si="11"/>
        <v>199771</v>
      </c>
      <c r="AO58" s="50">
        <f t="shared" si="12"/>
        <v>4576471</v>
      </c>
      <c r="AP58" s="50">
        <f t="shared" si="13"/>
        <v>0</v>
      </c>
    </row>
    <row r="59" spans="2:42" s="33" customFormat="1" ht="23.25" customHeight="1">
      <c r="B59" s="41">
        <v>54</v>
      </c>
      <c r="C59" s="42" t="s">
        <v>303</v>
      </c>
      <c r="D59" s="94" t="s">
        <v>304</v>
      </c>
      <c r="E59" s="95" t="s">
        <v>305</v>
      </c>
      <c r="F59" s="96" t="s">
        <v>306</v>
      </c>
      <c r="G59" s="43" t="s">
        <v>67</v>
      </c>
      <c r="H59" s="44" t="s">
        <v>91</v>
      </c>
      <c r="I59" s="98" t="s">
        <v>18</v>
      </c>
      <c r="J59" s="99" t="str">
        <f t="shared" si="2"/>
        <v>TER A</v>
      </c>
      <c r="K59" s="45">
        <f t="shared" si="3"/>
        <v>4169500</v>
      </c>
      <c r="L59" s="45">
        <f t="shared" si="4"/>
        <v>34318.199999999997</v>
      </c>
      <c r="M59" s="45">
        <f>'[2]MAINTENANCE-2'!$AQ64</f>
        <v>163420</v>
      </c>
      <c r="N59" s="46"/>
      <c r="O59" s="46"/>
      <c r="P59" s="46"/>
      <c r="Q59" s="46"/>
      <c r="R59" s="46"/>
      <c r="S59" s="46"/>
      <c r="T59" s="46"/>
      <c r="U59" s="47"/>
      <c r="V59" s="47">
        <f>'[2]MAINTENANCE-2'!$X64</f>
        <v>67500</v>
      </c>
      <c r="W59" s="47">
        <f>'[2]MAINTENANCE-2'!$AA64</f>
        <v>0</v>
      </c>
      <c r="X59" s="47">
        <f>'[2]MAINTENANCE-2'!$AE64</f>
        <v>0</v>
      </c>
      <c r="Y59" s="47"/>
      <c r="Z59" s="47">
        <f>'[2]MAINTENANCE-2'!$AD64</f>
        <v>50500</v>
      </c>
      <c r="AA59" s="47"/>
      <c r="AB59" s="47"/>
      <c r="AC59" s="47"/>
      <c r="AD59" s="47"/>
      <c r="AE59" s="47"/>
      <c r="AF59" s="47">
        <f>'[2]MAINTENANCE-2'!$BI64</f>
        <v>-134500</v>
      </c>
      <c r="AG59" s="47"/>
      <c r="AH59" s="47"/>
      <c r="AI59" s="71">
        <f t="shared" si="9"/>
        <v>4350738</v>
      </c>
      <c r="AJ59" s="49">
        <f t="shared" si="10"/>
        <v>0</v>
      </c>
      <c r="AK59" s="71">
        <f t="shared" si="8"/>
        <v>0</v>
      </c>
      <c r="AL59" s="47"/>
      <c r="AM59" s="48">
        <f>'[2]MAINTENANCE-2'!$AL64</f>
        <v>4153000</v>
      </c>
      <c r="AN59" s="50">
        <f t="shared" si="11"/>
        <v>197738.2</v>
      </c>
      <c r="AO59" s="50">
        <f t="shared" si="12"/>
        <v>4350738.2</v>
      </c>
      <c r="AP59" s="50">
        <f t="shared" si="13"/>
        <v>-0.20000000018626451</v>
      </c>
    </row>
    <row r="60" spans="2:42" s="33" customFormat="1" ht="23.25" customHeight="1">
      <c r="B60" s="41">
        <v>55</v>
      </c>
      <c r="C60" s="42" t="s">
        <v>307</v>
      </c>
      <c r="D60" s="94" t="s">
        <v>308</v>
      </c>
      <c r="E60" s="95" t="s">
        <v>309</v>
      </c>
      <c r="F60" s="96" t="s">
        <v>310</v>
      </c>
      <c r="G60" s="43" t="s">
        <v>67</v>
      </c>
      <c r="H60" s="44" t="s">
        <v>91</v>
      </c>
      <c r="I60" s="98" t="s">
        <v>18</v>
      </c>
      <c r="J60" s="99" t="str">
        <f t="shared" si="2"/>
        <v>TER A</v>
      </c>
      <c r="K60" s="45">
        <f t="shared" si="3"/>
        <v>4169500</v>
      </c>
      <c r="L60" s="45">
        <f t="shared" si="4"/>
        <v>34641.599999999999</v>
      </c>
      <c r="M60" s="45">
        <f>'[2]MAINTENANCE-2'!$AQ65</f>
        <v>164960</v>
      </c>
      <c r="N60" s="46"/>
      <c r="O60" s="46"/>
      <c r="P60" s="46"/>
      <c r="Q60" s="46"/>
      <c r="R60" s="46"/>
      <c r="S60" s="46"/>
      <c r="T60" s="46"/>
      <c r="U60" s="47"/>
      <c r="V60" s="47">
        <f>'[2]MAINTENANCE-2'!$X65</f>
        <v>69750</v>
      </c>
      <c r="W60" s="47">
        <f>'[2]MAINTENANCE-2'!$AA65</f>
        <v>0</v>
      </c>
      <c r="X60" s="47">
        <f>'[2]MAINTENANCE-2'!$AE65</f>
        <v>0</v>
      </c>
      <c r="Y60" s="47"/>
      <c r="Z60" s="47">
        <f>'[2]MAINTENANCE-2'!$AD65</f>
        <v>89000</v>
      </c>
      <c r="AA60" s="47"/>
      <c r="AB60" s="47"/>
      <c r="AC60" s="47"/>
      <c r="AD60" s="47"/>
      <c r="AE60" s="47"/>
      <c r="AF60" s="47">
        <f>'[2]MAINTENANCE-2'!$BI65</f>
        <v>0</v>
      </c>
      <c r="AG60" s="47"/>
      <c r="AH60" s="47"/>
      <c r="AI60" s="71">
        <f t="shared" si="9"/>
        <v>4527852</v>
      </c>
      <c r="AJ60" s="49">
        <f t="shared" si="10"/>
        <v>0</v>
      </c>
      <c r="AK60" s="71">
        <f t="shared" si="8"/>
        <v>0</v>
      </c>
      <c r="AL60" s="47"/>
      <c r="AM60" s="48">
        <f>'[2]MAINTENANCE-2'!$AL65</f>
        <v>4328250</v>
      </c>
      <c r="AN60" s="50">
        <f t="shared" si="11"/>
        <v>199601.6</v>
      </c>
      <c r="AO60" s="50">
        <f t="shared" si="12"/>
        <v>4527851.5999999996</v>
      </c>
      <c r="AP60" s="50">
        <f t="shared" si="13"/>
        <v>0.40000000037252903</v>
      </c>
    </row>
    <row r="61" spans="2:42" s="33" customFormat="1" ht="23.25" customHeight="1">
      <c r="B61" s="41">
        <v>56</v>
      </c>
      <c r="C61" s="42" t="s">
        <v>311</v>
      </c>
      <c r="D61" s="94" t="s">
        <v>312</v>
      </c>
      <c r="E61" s="95" t="s">
        <v>313</v>
      </c>
      <c r="F61" s="96" t="s">
        <v>107</v>
      </c>
      <c r="G61" s="43" t="s">
        <v>67</v>
      </c>
      <c r="H61" s="44" t="s">
        <v>68</v>
      </c>
      <c r="I61" s="98" t="s">
        <v>22</v>
      </c>
      <c r="J61" s="99" t="str">
        <f t="shared" si="2"/>
        <v>TER A</v>
      </c>
      <c r="K61" s="45">
        <f t="shared" si="3"/>
        <v>4169500</v>
      </c>
      <c r="L61" s="45">
        <f t="shared" si="4"/>
        <v>34318.199999999997</v>
      </c>
      <c r="M61" s="45">
        <f>'[2]MAINTENANCE-2'!$AQ66</f>
        <v>163420</v>
      </c>
      <c r="N61" s="46"/>
      <c r="O61" s="46"/>
      <c r="P61" s="46"/>
      <c r="Q61" s="46"/>
      <c r="R61" s="46"/>
      <c r="S61" s="46"/>
      <c r="T61" s="46"/>
      <c r="U61" s="47"/>
      <c r="V61" s="47">
        <f>'[2]MAINTENANCE-2'!$X66</f>
        <v>97500</v>
      </c>
      <c r="W61" s="47">
        <f>'[2]MAINTENANCE-2'!$AA66</f>
        <v>0</v>
      </c>
      <c r="X61" s="47">
        <f>'[2]MAINTENANCE-2'!$AE66</f>
        <v>0</v>
      </c>
      <c r="Y61" s="47"/>
      <c r="Z61" s="47">
        <f>'[2]MAINTENANCE-2'!$AD66</f>
        <v>50500</v>
      </c>
      <c r="AA61" s="47"/>
      <c r="AB61" s="47"/>
      <c r="AC61" s="47"/>
      <c r="AD61" s="47"/>
      <c r="AE61" s="47"/>
      <c r="AF61" s="47">
        <f>'[2]MAINTENANCE-2'!$BI66</f>
        <v>-134500</v>
      </c>
      <c r="AG61" s="47"/>
      <c r="AH61" s="47"/>
      <c r="AI61" s="71">
        <f t="shared" si="9"/>
        <v>4380738</v>
      </c>
      <c r="AJ61" s="49">
        <f t="shared" si="10"/>
        <v>0</v>
      </c>
      <c r="AK61" s="71">
        <f t="shared" si="8"/>
        <v>0</v>
      </c>
      <c r="AL61" s="47"/>
      <c r="AM61" s="48">
        <f>'[2]MAINTENANCE-2'!$AL66</f>
        <v>4183000</v>
      </c>
      <c r="AN61" s="50">
        <f t="shared" si="11"/>
        <v>197738.2</v>
      </c>
      <c r="AO61" s="50">
        <f t="shared" si="12"/>
        <v>4380738.2</v>
      </c>
      <c r="AP61" s="50">
        <f t="shared" si="13"/>
        <v>-0.20000000018626451</v>
      </c>
    </row>
    <row r="62" spans="2:42" s="33" customFormat="1" ht="23.25" customHeight="1">
      <c r="B62" s="41">
        <v>57</v>
      </c>
      <c r="C62" s="42" t="s">
        <v>314</v>
      </c>
      <c r="D62" s="94" t="s">
        <v>315</v>
      </c>
      <c r="E62" s="95" t="s">
        <v>316</v>
      </c>
      <c r="F62" s="96" t="s">
        <v>168</v>
      </c>
      <c r="G62" s="43" t="s">
        <v>67</v>
      </c>
      <c r="H62" s="44" t="s">
        <v>68</v>
      </c>
      <c r="I62" s="98" t="s">
        <v>24</v>
      </c>
      <c r="J62" s="99" t="str">
        <f t="shared" si="2"/>
        <v>TER B</v>
      </c>
      <c r="K62" s="45">
        <f t="shared" si="3"/>
        <v>4169500</v>
      </c>
      <c r="L62" s="45">
        <f t="shared" si="4"/>
        <v>34347.599999999999</v>
      </c>
      <c r="M62" s="45">
        <f>'[2]MAINTENANCE-2'!$AQ67</f>
        <v>163560</v>
      </c>
      <c r="N62" s="46"/>
      <c r="O62" s="46"/>
      <c r="P62" s="46"/>
      <c r="Q62" s="46"/>
      <c r="R62" s="46"/>
      <c r="S62" s="46"/>
      <c r="T62" s="46"/>
      <c r="U62" s="47"/>
      <c r="V62" s="47">
        <f>'[2]MAINTENANCE-2'!$X67</f>
        <v>172050</v>
      </c>
      <c r="W62" s="47">
        <f>'[2]MAINTENANCE-2'!$AA67</f>
        <v>0</v>
      </c>
      <c r="X62" s="47">
        <f>'[2]MAINTENANCE-2'!$AE67</f>
        <v>0</v>
      </c>
      <c r="Y62" s="47"/>
      <c r="Z62" s="47">
        <f>'[2]MAINTENANCE-2'!$AD67</f>
        <v>54000</v>
      </c>
      <c r="AA62" s="47"/>
      <c r="AB62" s="47"/>
      <c r="AC62" s="47"/>
      <c r="AD62" s="47"/>
      <c r="AE62" s="47"/>
      <c r="AF62" s="47">
        <f>'[2]MAINTENANCE-2'!$BI67+(-26900)</f>
        <v>-26900</v>
      </c>
      <c r="AG62" s="47"/>
      <c r="AH62" s="47"/>
      <c r="AI62" s="71">
        <f t="shared" si="9"/>
        <v>4566558</v>
      </c>
      <c r="AJ62" s="49">
        <f t="shared" si="10"/>
        <v>0</v>
      </c>
      <c r="AK62" s="71">
        <f t="shared" si="8"/>
        <v>0</v>
      </c>
      <c r="AL62" s="47"/>
      <c r="AM62" s="48">
        <f>'[2]MAINTENANCE-2'!$AL67</f>
        <v>4368650</v>
      </c>
      <c r="AN62" s="50">
        <f t="shared" si="11"/>
        <v>197907.6</v>
      </c>
      <c r="AO62" s="50">
        <f t="shared" si="12"/>
        <v>4566557.5999999996</v>
      </c>
      <c r="AP62" s="50">
        <f t="shared" si="13"/>
        <v>0.40000000037252903</v>
      </c>
    </row>
    <row r="63" spans="2:42" s="33" customFormat="1" ht="23.25" customHeight="1">
      <c r="B63" s="41">
        <v>58</v>
      </c>
      <c r="C63" s="42" t="s">
        <v>317</v>
      </c>
      <c r="D63" s="94" t="s">
        <v>318</v>
      </c>
      <c r="E63" s="95" t="s">
        <v>319</v>
      </c>
      <c r="F63" s="96" t="s">
        <v>320</v>
      </c>
      <c r="G63" s="43" t="s">
        <v>67</v>
      </c>
      <c r="H63" s="44" t="s">
        <v>91</v>
      </c>
      <c r="I63" s="98" t="s">
        <v>18</v>
      </c>
      <c r="J63" s="99" t="str">
        <f t="shared" si="2"/>
        <v>TER A</v>
      </c>
      <c r="K63" s="45">
        <f t="shared" si="3"/>
        <v>4169500</v>
      </c>
      <c r="L63" s="45">
        <f t="shared" si="4"/>
        <v>34318.199999999997</v>
      </c>
      <c r="M63" s="45">
        <f>'[2]MAINTENANCE-2'!$AQ68</f>
        <v>163420</v>
      </c>
      <c r="N63" s="46"/>
      <c r="O63" s="46"/>
      <c r="P63" s="46"/>
      <c r="Q63" s="46"/>
      <c r="R63" s="46"/>
      <c r="S63" s="46"/>
      <c r="T63" s="46"/>
      <c r="U63" s="47"/>
      <c r="V63" s="47">
        <f>'[2]MAINTENANCE-2'!$X68</f>
        <v>67500</v>
      </c>
      <c r="W63" s="47">
        <f>'[2]MAINTENANCE-2'!$AA68</f>
        <v>0</v>
      </c>
      <c r="X63" s="47">
        <f>'[2]MAINTENANCE-2'!$AE68</f>
        <v>0</v>
      </c>
      <c r="Y63" s="47"/>
      <c r="Z63" s="47">
        <f>'[2]MAINTENANCE-2'!$AD68</f>
        <v>50500</v>
      </c>
      <c r="AA63" s="47"/>
      <c r="AB63" s="47"/>
      <c r="AC63" s="47"/>
      <c r="AD63" s="47"/>
      <c r="AE63" s="47"/>
      <c r="AF63" s="47">
        <f>'[2]MAINTENANCE-2'!$BI68</f>
        <v>-134500</v>
      </c>
      <c r="AG63" s="47"/>
      <c r="AH63" s="47"/>
      <c r="AI63" s="71">
        <f>ROUND(SUM(K63:AH63),0)</f>
        <v>4350738</v>
      </c>
      <c r="AJ63" s="49">
        <f t="shared" si="10"/>
        <v>0</v>
      </c>
      <c r="AK63" s="71">
        <f t="shared" si="8"/>
        <v>0</v>
      </c>
      <c r="AL63" s="47"/>
      <c r="AM63" s="48">
        <f>'[2]MAINTENANCE-2'!$AL68</f>
        <v>4153000</v>
      </c>
      <c r="AN63" s="50">
        <f t="shared" si="11"/>
        <v>197738.2</v>
      </c>
      <c r="AO63" s="50">
        <f t="shared" si="12"/>
        <v>4350738.2</v>
      </c>
      <c r="AP63" s="50">
        <f t="shared" si="13"/>
        <v>-0.20000000018626451</v>
      </c>
    </row>
    <row r="64" spans="2:42" s="33" customFormat="1" ht="23.25" customHeight="1">
      <c r="B64" s="41">
        <v>59</v>
      </c>
      <c r="C64" s="42" t="s">
        <v>321</v>
      </c>
      <c r="D64" s="94" t="s">
        <v>322</v>
      </c>
      <c r="E64" s="95" t="s">
        <v>323</v>
      </c>
      <c r="F64" s="96" t="s">
        <v>324</v>
      </c>
      <c r="G64" s="43" t="s">
        <v>67</v>
      </c>
      <c r="H64" s="44" t="s">
        <v>91</v>
      </c>
      <c r="I64" s="98" t="s">
        <v>18</v>
      </c>
      <c r="J64" s="99" t="str">
        <f t="shared" si="2"/>
        <v>TER A</v>
      </c>
      <c r="K64" s="45">
        <f t="shared" si="3"/>
        <v>4169500</v>
      </c>
      <c r="L64" s="45">
        <f t="shared" si="4"/>
        <v>34377</v>
      </c>
      <c r="M64" s="45">
        <f>'[2]MAINTENANCE-2'!$AQ69</f>
        <v>163700</v>
      </c>
      <c r="N64" s="46"/>
      <c r="O64" s="46"/>
      <c r="P64" s="46"/>
      <c r="Q64" s="46"/>
      <c r="R64" s="46"/>
      <c r="S64" s="46"/>
      <c r="T64" s="46"/>
      <c r="U64" s="47"/>
      <c r="V64" s="47">
        <f>'[2]MAINTENANCE-2'!$X69</f>
        <v>69750</v>
      </c>
      <c r="W64" s="47">
        <f>'[2]MAINTENANCE-2'!$AA69</f>
        <v>0</v>
      </c>
      <c r="X64" s="47">
        <f>'[2]MAINTENANCE-2'!$AE69</f>
        <v>0</v>
      </c>
      <c r="Y64" s="47"/>
      <c r="Z64" s="47">
        <f>'[2]MAINTENANCE-2'!$AD69</f>
        <v>57500</v>
      </c>
      <c r="AA64" s="47"/>
      <c r="AB64" s="47"/>
      <c r="AC64" s="47"/>
      <c r="AD64" s="47"/>
      <c r="AE64" s="47"/>
      <c r="AF64" s="47">
        <f>'[2]MAINTENANCE-2'!$BI69</f>
        <v>0</v>
      </c>
      <c r="AG64" s="47"/>
      <c r="AH64" s="47"/>
      <c r="AI64" s="71">
        <f t="shared" si="9"/>
        <v>4494827</v>
      </c>
      <c r="AJ64" s="49">
        <f t="shared" si="10"/>
        <v>0</v>
      </c>
      <c r="AK64" s="71">
        <f t="shared" si="8"/>
        <v>0</v>
      </c>
      <c r="AL64" s="47"/>
      <c r="AM64" s="48">
        <f>'[2]MAINTENANCE-2'!$AL69</f>
        <v>4296750</v>
      </c>
      <c r="AN64" s="50">
        <f t="shared" si="11"/>
        <v>198077</v>
      </c>
      <c r="AO64" s="50">
        <f t="shared" si="12"/>
        <v>4494827</v>
      </c>
      <c r="AP64" s="50">
        <f t="shared" si="13"/>
        <v>0</v>
      </c>
    </row>
    <row r="65" spans="2:42" s="33" customFormat="1" ht="23.25" customHeight="1">
      <c r="B65" s="41">
        <v>60</v>
      </c>
      <c r="C65" s="42" t="s">
        <v>325</v>
      </c>
      <c r="D65" s="94" t="s">
        <v>326</v>
      </c>
      <c r="E65" s="95" t="s">
        <v>327</v>
      </c>
      <c r="F65" s="96" t="s">
        <v>328</v>
      </c>
      <c r="G65" s="43" t="s">
        <v>67</v>
      </c>
      <c r="H65" s="44" t="s">
        <v>91</v>
      </c>
      <c r="I65" s="98" t="s">
        <v>18</v>
      </c>
      <c r="J65" s="99" t="str">
        <f t="shared" si="2"/>
        <v>TER A</v>
      </c>
      <c r="K65" s="45">
        <f t="shared" si="3"/>
        <v>4169500</v>
      </c>
      <c r="L65" s="45">
        <f t="shared" si="4"/>
        <v>34347.599999999999</v>
      </c>
      <c r="M65" s="45">
        <f>'[2]MAINTENANCE-2'!$AQ70</f>
        <v>163560</v>
      </c>
      <c r="N65" s="46"/>
      <c r="O65" s="46"/>
      <c r="P65" s="46"/>
      <c r="Q65" s="46"/>
      <c r="R65" s="46"/>
      <c r="S65" s="46"/>
      <c r="T65" s="46"/>
      <c r="U65" s="47"/>
      <c r="V65" s="47">
        <f>'[2]MAINTENANCE-2'!$X70</f>
        <v>69750</v>
      </c>
      <c r="W65" s="47">
        <f>'[2]MAINTENANCE-2'!$AA70</f>
        <v>0</v>
      </c>
      <c r="X65" s="47">
        <f>'[2]MAINTENANCE-2'!$AE70</f>
        <v>0</v>
      </c>
      <c r="Y65" s="47"/>
      <c r="Z65" s="47">
        <f>'[2]MAINTENANCE-2'!$AD70</f>
        <v>54000</v>
      </c>
      <c r="AA65" s="47"/>
      <c r="AB65" s="47"/>
      <c r="AC65" s="47"/>
      <c r="AD65" s="47"/>
      <c r="AE65" s="47"/>
      <c r="AF65" s="47">
        <f>'[2]MAINTENANCE-2'!$BI70</f>
        <v>0</v>
      </c>
      <c r="AG65" s="47"/>
      <c r="AH65" s="47"/>
      <c r="AI65" s="71">
        <f t="shared" si="9"/>
        <v>4491158</v>
      </c>
      <c r="AJ65" s="49">
        <f t="shared" si="10"/>
        <v>0</v>
      </c>
      <c r="AK65" s="71">
        <f t="shared" si="8"/>
        <v>0</v>
      </c>
      <c r="AL65" s="47"/>
      <c r="AM65" s="48">
        <f>'[2]MAINTENANCE-2'!$AL70</f>
        <v>4293250</v>
      </c>
      <c r="AN65" s="50">
        <f t="shared" si="11"/>
        <v>197907.6</v>
      </c>
      <c r="AO65" s="50">
        <f t="shared" si="12"/>
        <v>4491157.5999999996</v>
      </c>
      <c r="AP65" s="50">
        <f t="shared" si="13"/>
        <v>0.40000000037252903</v>
      </c>
    </row>
    <row r="66" spans="2:42" s="33" customFormat="1" ht="23.25" customHeight="1">
      <c r="B66" s="41">
        <v>61</v>
      </c>
      <c r="C66" s="42" t="s">
        <v>329</v>
      </c>
      <c r="D66" s="94" t="s">
        <v>330</v>
      </c>
      <c r="E66" s="95" t="s">
        <v>331</v>
      </c>
      <c r="F66" s="96" t="s">
        <v>332</v>
      </c>
      <c r="G66" s="43" t="s">
        <v>67</v>
      </c>
      <c r="H66" s="44" t="s">
        <v>91</v>
      </c>
      <c r="I66" s="98" t="s">
        <v>18</v>
      </c>
      <c r="J66" s="99" t="str">
        <f t="shared" si="2"/>
        <v>TER A</v>
      </c>
      <c r="K66" s="45">
        <f t="shared" si="3"/>
        <v>4169500</v>
      </c>
      <c r="L66" s="45">
        <f t="shared" si="4"/>
        <v>34347.599999999999</v>
      </c>
      <c r="M66" s="45">
        <f>'[2]MAINTENANCE-2'!$AQ71</f>
        <v>163560</v>
      </c>
      <c r="N66" s="46"/>
      <c r="O66" s="46"/>
      <c r="P66" s="46"/>
      <c r="Q66" s="46"/>
      <c r="R66" s="46"/>
      <c r="S66" s="46"/>
      <c r="T66" s="46"/>
      <c r="U66" s="47"/>
      <c r="V66" s="47">
        <f>'[2]MAINTENANCE-2'!$X71</f>
        <v>67500</v>
      </c>
      <c r="W66" s="47">
        <f>'[2]MAINTENANCE-2'!$AA71</f>
        <v>0</v>
      </c>
      <c r="X66" s="47">
        <f>'[2]MAINTENANCE-2'!$AE71</f>
        <v>0</v>
      </c>
      <c r="Y66" s="47"/>
      <c r="Z66" s="47">
        <f>'[2]MAINTENANCE-2'!$AD71</f>
        <v>54000</v>
      </c>
      <c r="AA66" s="47"/>
      <c r="AB66" s="47"/>
      <c r="AC66" s="47"/>
      <c r="AD66" s="47"/>
      <c r="AE66" s="47"/>
      <c r="AF66" s="47">
        <f>'[2]MAINTENANCE-2'!$BI71</f>
        <v>-134500</v>
      </c>
      <c r="AG66" s="47"/>
      <c r="AH66" s="47"/>
      <c r="AI66" s="71">
        <f t="shared" si="9"/>
        <v>4354408</v>
      </c>
      <c r="AJ66" s="49">
        <f t="shared" si="10"/>
        <v>0</v>
      </c>
      <c r="AK66" s="71">
        <f t="shared" si="8"/>
        <v>0</v>
      </c>
      <c r="AL66" s="47"/>
      <c r="AM66" s="48">
        <f>'[2]MAINTENANCE-2'!$AL71</f>
        <v>4156500</v>
      </c>
      <c r="AN66" s="50">
        <f t="shared" si="11"/>
        <v>197907.6</v>
      </c>
      <c r="AO66" s="50">
        <f t="shared" si="12"/>
        <v>4354407.5999999996</v>
      </c>
      <c r="AP66" s="50">
        <f t="shared" si="13"/>
        <v>0.40000000037252903</v>
      </c>
    </row>
    <row r="67" spans="2:42" s="33" customFormat="1" ht="23.25" customHeight="1">
      <c r="B67" s="41">
        <v>62</v>
      </c>
      <c r="C67" s="42" t="s">
        <v>333</v>
      </c>
      <c r="D67" s="94" t="s">
        <v>334</v>
      </c>
      <c r="E67" s="95" t="s">
        <v>335</v>
      </c>
      <c r="F67" s="96" t="s">
        <v>336</v>
      </c>
      <c r="G67" s="43" t="s">
        <v>67</v>
      </c>
      <c r="H67" s="44" t="s">
        <v>91</v>
      </c>
      <c r="I67" s="98" t="s">
        <v>18</v>
      </c>
      <c r="J67" s="99" t="str">
        <f t="shared" si="2"/>
        <v>TER A</v>
      </c>
      <c r="K67" s="45">
        <f t="shared" si="3"/>
        <v>4169500</v>
      </c>
      <c r="L67" s="45">
        <f t="shared" si="4"/>
        <v>34318.199999999997</v>
      </c>
      <c r="M67" s="45">
        <f>'[2]MAINTENANCE-2'!$AQ72</f>
        <v>163420</v>
      </c>
      <c r="N67" s="46"/>
      <c r="O67" s="46"/>
      <c r="P67" s="46"/>
      <c r="Q67" s="46"/>
      <c r="R67" s="46"/>
      <c r="S67" s="46"/>
      <c r="T67" s="46"/>
      <c r="U67" s="47"/>
      <c r="V67" s="47">
        <f>'[2]MAINTENANCE-2'!$X72</f>
        <v>69750</v>
      </c>
      <c r="W67" s="47">
        <f>'[2]MAINTENANCE-2'!$AA72</f>
        <v>0</v>
      </c>
      <c r="X67" s="47">
        <f>'[2]MAINTENANCE-2'!$AE72</f>
        <v>0</v>
      </c>
      <c r="Y67" s="47"/>
      <c r="Z67" s="47">
        <f>'[2]MAINTENANCE-2'!$AD72</f>
        <v>50500</v>
      </c>
      <c r="AA67" s="47"/>
      <c r="AB67" s="47"/>
      <c r="AC67" s="47"/>
      <c r="AD67" s="47"/>
      <c r="AE67" s="47"/>
      <c r="AF67" s="47">
        <f>'[2]MAINTENANCE-2'!$BI72</f>
        <v>0</v>
      </c>
      <c r="AG67" s="47"/>
      <c r="AH67" s="47"/>
      <c r="AI67" s="71">
        <f t="shared" ref="AI67:AI105" si="14">ROUND(SUM(K67:AH67),0)</f>
        <v>4487488</v>
      </c>
      <c r="AJ67" s="49">
        <f t="shared" ref="AJ67:AJ105" si="15">IF(J67="TER A",VLOOKUP(AI67,Ter_A,4,TRUE),IF(J67="TER B",VLOOKUP(AI67,Ter_B,4,TRUE),VLOOKUP(AI67,Ter_C,4,TRUE)))</f>
        <v>0</v>
      </c>
      <c r="AK67" s="71">
        <f t="shared" si="8"/>
        <v>0</v>
      </c>
      <c r="AL67" s="47"/>
      <c r="AM67" s="48">
        <f>'[2]MAINTENANCE-2'!$AL72</f>
        <v>4289750</v>
      </c>
      <c r="AN67" s="50">
        <f t="shared" si="11"/>
        <v>197738.2</v>
      </c>
      <c r="AO67" s="50">
        <f t="shared" si="12"/>
        <v>4487488.2</v>
      </c>
      <c r="AP67" s="50">
        <f t="shared" si="13"/>
        <v>-0.20000000018626451</v>
      </c>
    </row>
    <row r="68" spans="2:42" s="33" customFormat="1" ht="23.25" customHeight="1">
      <c r="B68" s="41">
        <v>63</v>
      </c>
      <c r="C68" s="42" t="s">
        <v>337</v>
      </c>
      <c r="D68" s="94" t="s">
        <v>338</v>
      </c>
      <c r="E68" s="95" t="s">
        <v>74</v>
      </c>
      <c r="F68" s="96" t="s">
        <v>339</v>
      </c>
      <c r="G68" s="43" t="s">
        <v>67</v>
      </c>
      <c r="H68" s="44" t="s">
        <v>68</v>
      </c>
      <c r="I68" s="98" t="s">
        <v>18</v>
      </c>
      <c r="J68" s="99" t="str">
        <f t="shared" si="2"/>
        <v>TER A</v>
      </c>
      <c r="K68" s="45">
        <f t="shared" si="3"/>
        <v>4169500</v>
      </c>
      <c r="L68" s="45">
        <f t="shared" si="4"/>
        <v>33999</v>
      </c>
      <c r="M68" s="45">
        <f>'[2]MAINTENANCE-2'!$AQ73</f>
        <v>161900</v>
      </c>
      <c r="N68" s="46"/>
      <c r="O68" s="46"/>
      <c r="P68" s="46"/>
      <c r="Q68" s="46"/>
      <c r="R68" s="46"/>
      <c r="S68" s="46"/>
      <c r="T68" s="46"/>
      <c r="U68" s="47"/>
      <c r="V68" s="47">
        <f>'[2]MAINTENANCE-2'!$X73</f>
        <v>67500</v>
      </c>
      <c r="W68" s="47">
        <f>'[2]MAINTENANCE-2'!$AA73</f>
        <v>0</v>
      </c>
      <c r="X68" s="47">
        <f>'[2]MAINTENANCE-2'!$AE73</f>
        <v>0</v>
      </c>
      <c r="Y68" s="47"/>
      <c r="Z68" s="47">
        <f>'[2]MAINTENANCE-2'!$AD73</f>
        <v>12500</v>
      </c>
      <c r="AA68" s="47"/>
      <c r="AB68" s="47"/>
      <c r="AC68" s="47"/>
      <c r="AD68" s="47"/>
      <c r="AE68" s="47"/>
      <c r="AF68" s="47">
        <f>'[2]MAINTENANCE-2'!$BI73</f>
        <v>-134500</v>
      </c>
      <c r="AG68" s="47"/>
      <c r="AH68" s="47"/>
      <c r="AI68" s="71">
        <f t="shared" si="14"/>
        <v>4310899</v>
      </c>
      <c r="AJ68" s="49">
        <f t="shared" si="15"/>
        <v>0</v>
      </c>
      <c r="AK68" s="71">
        <f t="shared" ref="AK68:AK105" si="16">ROUND(IF(E68=0,AI68*AJ68*120%,AI68*AJ68),0)</f>
        <v>0</v>
      </c>
      <c r="AL68" s="47"/>
      <c r="AM68" s="48">
        <f>'[2]MAINTENANCE-2'!$AL73</f>
        <v>4115000</v>
      </c>
      <c r="AN68" s="50">
        <f t="shared" ref="AN68:AN91" si="17">L68+M68</f>
        <v>195899</v>
      </c>
      <c r="AO68" s="50">
        <f t="shared" ref="AO68:AO91" si="18">AM68+AN68+AG68</f>
        <v>4310899</v>
      </c>
      <c r="AP68" s="50">
        <f t="shared" ref="AP68:AP91" si="19">AI68-AO68</f>
        <v>0</v>
      </c>
    </row>
    <row r="69" spans="2:42" s="33" customFormat="1" ht="23.25" customHeight="1">
      <c r="B69" s="41">
        <v>64</v>
      </c>
      <c r="C69" s="42" t="s">
        <v>340</v>
      </c>
      <c r="D69" s="94" t="s">
        <v>341</v>
      </c>
      <c r="E69" s="95" t="s">
        <v>342</v>
      </c>
      <c r="F69" s="96" t="s">
        <v>343</v>
      </c>
      <c r="G69" s="43" t="s">
        <v>67</v>
      </c>
      <c r="H69" s="44" t="s">
        <v>68</v>
      </c>
      <c r="I69" s="98" t="s">
        <v>23</v>
      </c>
      <c r="J69" s="99" t="str">
        <f t="shared" si="2"/>
        <v>TER B</v>
      </c>
      <c r="K69" s="45">
        <f t="shared" si="3"/>
        <v>4169500</v>
      </c>
      <c r="L69" s="45">
        <f t="shared" si="4"/>
        <v>34120.799999999996</v>
      </c>
      <c r="M69" s="45">
        <f>'[2]MAINTENANCE-2'!$AQ74</f>
        <v>162480</v>
      </c>
      <c r="N69" s="46"/>
      <c r="O69" s="46"/>
      <c r="P69" s="46"/>
      <c r="Q69" s="46"/>
      <c r="R69" s="46"/>
      <c r="S69" s="46"/>
      <c r="T69" s="46"/>
      <c r="U69" s="47"/>
      <c r="V69" s="47">
        <f>'[2]MAINTENANCE-2'!$X74</f>
        <v>144150</v>
      </c>
      <c r="W69" s="47">
        <f>'[2]MAINTENANCE-2'!$AA74</f>
        <v>0</v>
      </c>
      <c r="X69" s="47">
        <f>'[2]MAINTENANCE-2'!$AE74</f>
        <v>0</v>
      </c>
      <c r="Y69" s="47"/>
      <c r="Z69" s="47">
        <f>'[2]MAINTENANCE-2'!$AD74</f>
        <v>27000</v>
      </c>
      <c r="AA69" s="47"/>
      <c r="AB69" s="47"/>
      <c r="AC69" s="47"/>
      <c r="AD69" s="47"/>
      <c r="AE69" s="47"/>
      <c r="AF69" s="47">
        <f>'[2]MAINTENANCE-2'!$BI74+(-26900)</f>
        <v>-26900</v>
      </c>
      <c r="AG69" s="47"/>
      <c r="AH69" s="47"/>
      <c r="AI69" s="71">
        <f t="shared" si="14"/>
        <v>4510351</v>
      </c>
      <c r="AJ69" s="49">
        <f t="shared" si="15"/>
        <v>0</v>
      </c>
      <c r="AK69" s="71">
        <f t="shared" si="16"/>
        <v>0</v>
      </c>
      <c r="AL69" s="47"/>
      <c r="AM69" s="48">
        <f>'[2]MAINTENANCE-2'!$AL74</f>
        <v>4313750</v>
      </c>
      <c r="AN69" s="50">
        <f t="shared" si="17"/>
        <v>196600.8</v>
      </c>
      <c r="AO69" s="50">
        <f t="shared" si="18"/>
        <v>4510350.8</v>
      </c>
      <c r="AP69" s="50">
        <f t="shared" si="19"/>
        <v>0.20000000018626451</v>
      </c>
    </row>
    <row r="70" spans="2:42" s="33" customFormat="1" ht="23.25" customHeight="1">
      <c r="B70" s="41">
        <v>65</v>
      </c>
      <c r="C70" s="42" t="s">
        <v>344</v>
      </c>
      <c r="D70" s="94" t="s">
        <v>345</v>
      </c>
      <c r="E70" s="95" t="s">
        <v>346</v>
      </c>
      <c r="F70" s="96" t="s">
        <v>347</v>
      </c>
      <c r="G70" s="43" t="s">
        <v>67</v>
      </c>
      <c r="H70" s="44" t="s">
        <v>68</v>
      </c>
      <c r="I70" s="98" t="s">
        <v>23</v>
      </c>
      <c r="J70" s="99" t="str">
        <f t="shared" si="2"/>
        <v>TER B</v>
      </c>
      <c r="K70" s="45">
        <f t="shared" si="3"/>
        <v>4169500</v>
      </c>
      <c r="L70" s="45">
        <f t="shared" si="4"/>
        <v>34120.799999999996</v>
      </c>
      <c r="M70" s="45">
        <f>'[2]MAINTENANCE-2'!$AQ75</f>
        <v>162480</v>
      </c>
      <c r="N70" s="46"/>
      <c r="O70" s="46"/>
      <c r="P70" s="46"/>
      <c r="Q70" s="46"/>
      <c r="R70" s="46"/>
      <c r="S70" s="46"/>
      <c r="T70" s="46"/>
      <c r="U70" s="47"/>
      <c r="V70" s="47">
        <f>'[2]MAINTENANCE-2'!$X75</f>
        <v>144150</v>
      </c>
      <c r="W70" s="47">
        <f>'[2]MAINTENANCE-2'!$AA75</f>
        <v>0</v>
      </c>
      <c r="X70" s="47">
        <f>'[2]MAINTENANCE-2'!$AE75</f>
        <v>0</v>
      </c>
      <c r="Y70" s="47"/>
      <c r="Z70" s="47">
        <f>'[2]MAINTENANCE-2'!$AD75</f>
        <v>27000</v>
      </c>
      <c r="AA70" s="47"/>
      <c r="AB70" s="47"/>
      <c r="AC70" s="47"/>
      <c r="AD70" s="47"/>
      <c r="AE70" s="47"/>
      <c r="AF70" s="47">
        <f>'[2]MAINTENANCE-2'!$BI75+(-26900)</f>
        <v>-26900</v>
      </c>
      <c r="AG70" s="47"/>
      <c r="AH70" s="47"/>
      <c r="AI70" s="71">
        <f t="shared" si="14"/>
        <v>4510351</v>
      </c>
      <c r="AJ70" s="49">
        <f t="shared" si="15"/>
        <v>0</v>
      </c>
      <c r="AK70" s="71">
        <f t="shared" si="16"/>
        <v>0</v>
      </c>
      <c r="AL70" s="47"/>
      <c r="AM70" s="48">
        <f>'[2]MAINTENANCE-2'!$AL75</f>
        <v>4313750</v>
      </c>
      <c r="AN70" s="50">
        <f t="shared" si="17"/>
        <v>196600.8</v>
      </c>
      <c r="AO70" s="50">
        <f t="shared" si="18"/>
        <v>4510350.8</v>
      </c>
      <c r="AP70" s="50">
        <f t="shared" si="19"/>
        <v>0.20000000018626451</v>
      </c>
    </row>
    <row r="71" spans="2:42" s="33" customFormat="1" ht="23.25" customHeight="1">
      <c r="B71" s="41">
        <v>66</v>
      </c>
      <c r="C71" s="42" t="s">
        <v>348</v>
      </c>
      <c r="D71" s="94" t="s">
        <v>349</v>
      </c>
      <c r="E71" s="95" t="s">
        <v>74</v>
      </c>
      <c r="F71" s="96" t="s">
        <v>350</v>
      </c>
      <c r="G71" s="43" t="s">
        <v>67</v>
      </c>
      <c r="H71" s="44" t="s">
        <v>68</v>
      </c>
      <c r="I71" s="98" t="s">
        <v>24</v>
      </c>
      <c r="J71" s="99" t="str">
        <f t="shared" si="2"/>
        <v>TER B</v>
      </c>
      <c r="K71" s="45">
        <f t="shared" ref="K71:K96" si="20">31*134500</f>
        <v>4169500</v>
      </c>
      <c r="L71" s="45">
        <f t="shared" ref="L71:L105" si="21">(4035000+Z71)*0.84%</f>
        <v>33936</v>
      </c>
      <c r="M71" s="45">
        <f>'[2]MAINTENANCE-2'!$AQ76</f>
        <v>161600</v>
      </c>
      <c r="N71" s="46"/>
      <c r="O71" s="46"/>
      <c r="P71" s="46"/>
      <c r="Q71" s="46"/>
      <c r="R71" s="46"/>
      <c r="S71" s="46"/>
      <c r="T71" s="46"/>
      <c r="U71" s="47"/>
      <c r="V71" s="47">
        <f>'[2]MAINTENANCE-2'!$X76</f>
        <v>166500</v>
      </c>
      <c r="W71" s="47">
        <f>'[2]MAINTENANCE-2'!$AA76</f>
        <v>0</v>
      </c>
      <c r="X71" s="47">
        <f>'[2]MAINTENANCE-2'!$AE76</f>
        <v>0</v>
      </c>
      <c r="Y71" s="47"/>
      <c r="Z71" s="47">
        <f>'[2]MAINTENANCE-2'!$AD76</f>
        <v>5000</v>
      </c>
      <c r="AA71" s="47"/>
      <c r="AB71" s="47"/>
      <c r="AC71" s="47"/>
      <c r="AD71" s="47"/>
      <c r="AE71" s="47"/>
      <c r="AF71" s="47">
        <f>'[2]MAINTENANCE-2'!$BI76+(-26900)</f>
        <v>-161400</v>
      </c>
      <c r="AG71" s="47"/>
      <c r="AH71" s="47"/>
      <c r="AI71" s="71">
        <f t="shared" si="14"/>
        <v>4375136</v>
      </c>
      <c r="AJ71" s="49">
        <f t="shared" si="15"/>
        <v>0</v>
      </c>
      <c r="AK71" s="71">
        <f t="shared" si="16"/>
        <v>0</v>
      </c>
      <c r="AL71" s="47"/>
      <c r="AM71" s="48">
        <f>'[2]MAINTENANCE-2'!$AL76</f>
        <v>4179600</v>
      </c>
      <c r="AN71" s="50">
        <f t="shared" si="17"/>
        <v>195536</v>
      </c>
      <c r="AO71" s="50">
        <f t="shared" si="18"/>
        <v>4375136</v>
      </c>
      <c r="AP71" s="50">
        <f t="shared" si="19"/>
        <v>0</v>
      </c>
    </row>
    <row r="72" spans="2:42" s="33" customFormat="1" ht="23.25" customHeight="1">
      <c r="B72" s="41">
        <v>67</v>
      </c>
      <c r="C72" s="42" t="s">
        <v>371</v>
      </c>
      <c r="D72" s="103" t="s">
        <v>377</v>
      </c>
      <c r="E72" s="95" t="s">
        <v>378</v>
      </c>
      <c r="F72" s="96" t="s">
        <v>379</v>
      </c>
      <c r="G72" s="43" t="s">
        <v>67</v>
      </c>
      <c r="H72" s="44" t="s">
        <v>68</v>
      </c>
      <c r="I72" s="98" t="s">
        <v>23</v>
      </c>
      <c r="J72" s="99" t="str">
        <f t="shared" si="2"/>
        <v>TER B</v>
      </c>
      <c r="K72" s="45">
        <f t="shared" si="20"/>
        <v>4169500</v>
      </c>
      <c r="L72" s="45">
        <f t="shared" si="21"/>
        <v>34318.199999999997</v>
      </c>
      <c r="M72" s="45">
        <f>'[2]MAINTENANCE-2'!$AQ77</f>
        <v>163420</v>
      </c>
      <c r="N72" s="46"/>
      <c r="O72" s="46"/>
      <c r="P72" s="46"/>
      <c r="Q72" s="46"/>
      <c r="R72" s="46"/>
      <c r="S72" s="46"/>
      <c r="T72" s="46"/>
      <c r="U72" s="47"/>
      <c r="V72" s="47">
        <f>'[2]MAINTENANCE-2'!$X77</f>
        <v>144150</v>
      </c>
      <c r="W72" s="47">
        <f>'[2]MAINTENANCE-2'!$AA77</f>
        <v>0</v>
      </c>
      <c r="X72" s="47">
        <f>'[2]MAINTENANCE-2'!$AE77</f>
        <v>0</v>
      </c>
      <c r="Y72" s="47"/>
      <c r="Z72" s="47">
        <f>'[2]MAINTENANCE-2'!$AD77</f>
        <v>50500</v>
      </c>
      <c r="AA72" s="47"/>
      <c r="AB72" s="47"/>
      <c r="AC72" s="47"/>
      <c r="AD72" s="47"/>
      <c r="AE72" s="47"/>
      <c r="AF72" s="47">
        <f>'[2]MAINTENANCE-2'!$BI77</f>
        <v>0</v>
      </c>
      <c r="AG72" s="47"/>
      <c r="AH72" s="47"/>
      <c r="AI72" s="71">
        <f t="shared" si="14"/>
        <v>4561888</v>
      </c>
      <c r="AJ72" s="49">
        <f t="shared" si="15"/>
        <v>0</v>
      </c>
      <c r="AK72" s="71">
        <f t="shared" si="16"/>
        <v>0</v>
      </c>
      <c r="AL72" s="47"/>
      <c r="AM72" s="48">
        <f>'[2]MAINTENANCE-2'!$AL77</f>
        <v>4364150</v>
      </c>
      <c r="AN72" s="50">
        <f t="shared" si="17"/>
        <v>197738.2</v>
      </c>
      <c r="AO72" s="50">
        <f t="shared" si="18"/>
        <v>4561888.2</v>
      </c>
      <c r="AP72" s="50">
        <f t="shared" si="19"/>
        <v>-0.20000000018626451</v>
      </c>
    </row>
    <row r="73" spans="2:42" s="33" customFormat="1" ht="23.25" customHeight="1">
      <c r="B73" s="41">
        <v>68</v>
      </c>
      <c r="C73" s="42" t="s">
        <v>380</v>
      </c>
      <c r="D73" s="103" t="s">
        <v>387</v>
      </c>
      <c r="E73" s="95" t="s">
        <v>74</v>
      </c>
      <c r="F73" s="96" t="s">
        <v>388</v>
      </c>
      <c r="G73" s="43" t="s">
        <v>67</v>
      </c>
      <c r="H73" s="44" t="s">
        <v>91</v>
      </c>
      <c r="I73" s="98" t="s">
        <v>18</v>
      </c>
      <c r="J73" s="99" t="str">
        <f t="shared" si="2"/>
        <v>TER A</v>
      </c>
      <c r="K73" s="45">
        <f t="shared" si="20"/>
        <v>4169500</v>
      </c>
      <c r="L73" s="45">
        <f t="shared" si="21"/>
        <v>34070.400000000001</v>
      </c>
      <c r="M73" s="45">
        <f>'[2]MAINTENANCE-2'!$AQ78</f>
        <v>162240</v>
      </c>
      <c r="N73" s="46"/>
      <c r="O73" s="46"/>
      <c r="P73" s="46"/>
      <c r="Q73" s="46"/>
      <c r="R73" s="46"/>
      <c r="S73" s="46"/>
      <c r="T73" s="46"/>
      <c r="U73" s="47"/>
      <c r="V73" s="47">
        <f>'[2]MAINTENANCE-2'!$X78</f>
        <v>69750</v>
      </c>
      <c r="W73" s="47">
        <f>'[2]MAINTENANCE-2'!$AA78</f>
        <v>0</v>
      </c>
      <c r="X73" s="47">
        <f>'[2]MAINTENANCE-2'!$AE78</f>
        <v>1107875.75</v>
      </c>
      <c r="Y73" s="47"/>
      <c r="Z73" s="47">
        <f>'[2]MAINTENANCE-2'!$AD78</f>
        <v>21000</v>
      </c>
      <c r="AA73" s="47"/>
      <c r="AB73" s="47"/>
      <c r="AC73" s="47"/>
      <c r="AD73" s="47"/>
      <c r="AE73" s="47"/>
      <c r="AF73" s="47">
        <f>'[2]MAINTENANCE-2'!$BI78</f>
        <v>0</v>
      </c>
      <c r="AG73" s="47"/>
      <c r="AH73" s="47"/>
      <c r="AI73" s="71">
        <f t="shared" si="14"/>
        <v>5564436</v>
      </c>
      <c r="AJ73" s="49">
        <f t="shared" si="15"/>
        <v>2.5000000000000001E-3</v>
      </c>
      <c r="AK73" s="71">
        <f>ROUND(IF(E73=0,AI73*AJ73*120%,AI73*AJ73),0)</f>
        <v>13911</v>
      </c>
      <c r="AL73" s="47"/>
      <c r="AM73" s="48">
        <f>'[2]MAINTENANCE-2'!$AL78</f>
        <v>5368125.75</v>
      </c>
      <c r="AN73" s="50">
        <f t="shared" si="17"/>
        <v>196310.39999999999</v>
      </c>
      <c r="AO73" s="50">
        <f t="shared" si="18"/>
        <v>5564436.1500000004</v>
      </c>
      <c r="AP73" s="50">
        <f t="shared" si="19"/>
        <v>-0.15000000037252903</v>
      </c>
    </row>
    <row r="74" spans="2:42" s="33" customFormat="1" ht="23.25" customHeight="1">
      <c r="B74" s="41">
        <v>69</v>
      </c>
      <c r="C74" s="42" t="s">
        <v>394</v>
      </c>
      <c r="D74" s="103" t="s">
        <v>405</v>
      </c>
      <c r="E74" s="95" t="s">
        <v>406</v>
      </c>
      <c r="F74" s="96" t="s">
        <v>407</v>
      </c>
      <c r="G74" s="43" t="s">
        <v>67</v>
      </c>
      <c r="H74" s="44" t="s">
        <v>68</v>
      </c>
      <c r="I74" s="109" t="s">
        <v>23</v>
      </c>
      <c r="J74" s="99" t="str">
        <f t="shared" si="2"/>
        <v>TER B</v>
      </c>
      <c r="K74" s="45">
        <f t="shared" si="20"/>
        <v>4169500</v>
      </c>
      <c r="L74" s="45">
        <f t="shared" si="21"/>
        <v>34120.799999999996</v>
      </c>
      <c r="M74" s="45">
        <f>'[2]MAINTENANCE-2'!$AQ79</f>
        <v>162480</v>
      </c>
      <c r="N74" s="46"/>
      <c r="O74" s="46"/>
      <c r="P74" s="46"/>
      <c r="Q74" s="46"/>
      <c r="R74" s="46"/>
      <c r="S74" s="46"/>
      <c r="T74" s="46"/>
      <c r="U74" s="47"/>
      <c r="V74" s="47">
        <f>'[2]MAINTENANCE-2'!$X79</f>
        <v>144150</v>
      </c>
      <c r="W74" s="47">
        <f>'[2]MAINTENANCE-2'!$AA79</f>
        <v>0</v>
      </c>
      <c r="X74" s="47">
        <f>'[2]MAINTENANCE-2'!$AE79</f>
        <v>0</v>
      </c>
      <c r="Y74" s="47"/>
      <c r="Z74" s="47">
        <f>'[2]MAINTENANCE-2'!$AD79</f>
        <v>27000</v>
      </c>
      <c r="AA74" s="47"/>
      <c r="AB74" s="47"/>
      <c r="AC74" s="47"/>
      <c r="AD74" s="47"/>
      <c r="AE74" s="47"/>
      <c r="AF74" s="47">
        <f>'[2]MAINTENANCE-2'!$BI79</f>
        <v>0</v>
      </c>
      <c r="AG74" s="47"/>
      <c r="AH74" s="47"/>
      <c r="AI74" s="71">
        <f t="shared" si="14"/>
        <v>4537251</v>
      </c>
      <c r="AJ74" s="49">
        <f t="shared" si="15"/>
        <v>0</v>
      </c>
      <c r="AK74" s="71">
        <f>ROUND(IF(E74=0,AI74*AJ74*120%,AI74*AJ74),0)</f>
        <v>0</v>
      </c>
      <c r="AL74" s="47"/>
      <c r="AM74" s="48">
        <f>'[2]MAINTENANCE-2'!$AL79</f>
        <v>4340650</v>
      </c>
      <c r="AN74" s="50">
        <f t="shared" si="17"/>
        <v>196600.8</v>
      </c>
      <c r="AO74" s="50">
        <f t="shared" si="18"/>
        <v>4537250.8</v>
      </c>
      <c r="AP74" s="50">
        <f t="shared" si="19"/>
        <v>0.20000000018626451</v>
      </c>
    </row>
    <row r="75" spans="2:42" s="33" customFormat="1" ht="23.25" customHeight="1">
      <c r="B75" s="41">
        <v>70</v>
      </c>
      <c r="C75" s="42" t="s">
        <v>358</v>
      </c>
      <c r="D75" s="94" t="s">
        <v>370</v>
      </c>
      <c r="E75" s="95" t="s">
        <v>74</v>
      </c>
      <c r="F75" s="96" t="s">
        <v>302</v>
      </c>
      <c r="G75" s="43" t="s">
        <v>67</v>
      </c>
      <c r="H75" s="44" t="s">
        <v>68</v>
      </c>
      <c r="I75" s="98" t="s">
        <v>22</v>
      </c>
      <c r="J75" s="99" t="str">
        <f t="shared" si="2"/>
        <v>TER A</v>
      </c>
      <c r="K75" s="45">
        <f t="shared" si="20"/>
        <v>4169500</v>
      </c>
      <c r="L75" s="45">
        <f t="shared" si="21"/>
        <v>33894</v>
      </c>
      <c r="M75" s="45">
        <f>'[2]MAINTENANCE-2'!$AQ80</f>
        <v>161400</v>
      </c>
      <c r="N75" s="46"/>
      <c r="O75" s="46"/>
      <c r="P75" s="46"/>
      <c r="Q75" s="46"/>
      <c r="R75" s="46"/>
      <c r="S75" s="46"/>
      <c r="T75" s="46"/>
      <c r="U75" s="47"/>
      <c r="V75" s="47">
        <f>'[2]MAINTENANCE-2'!$X80</f>
        <v>114700</v>
      </c>
      <c r="W75" s="47">
        <f>'[2]MAINTENANCE-2'!$AA80</f>
        <v>0</v>
      </c>
      <c r="X75" s="47">
        <f>'[2]MAINTENANCE-2'!$AE80</f>
        <v>0</v>
      </c>
      <c r="Y75" s="47"/>
      <c r="Z75" s="47">
        <f>'[2]MAINTENANCE-2'!$AD80</f>
        <v>0</v>
      </c>
      <c r="AA75" s="47"/>
      <c r="AB75" s="47"/>
      <c r="AC75" s="47"/>
      <c r="AD75" s="47"/>
      <c r="AE75" s="47"/>
      <c r="AF75" s="47">
        <f>'[2]MAINTENANCE-2'!$BI80</f>
        <v>0</v>
      </c>
      <c r="AG75" s="47"/>
      <c r="AH75" s="47"/>
      <c r="AI75" s="71">
        <f t="shared" si="14"/>
        <v>4479494</v>
      </c>
      <c r="AJ75" s="49">
        <f t="shared" si="15"/>
        <v>0</v>
      </c>
      <c r="AK75" s="71">
        <f t="shared" si="16"/>
        <v>0</v>
      </c>
      <c r="AL75" s="47"/>
      <c r="AM75" s="48">
        <f>'[2]MAINTENANCE-2'!$AL80</f>
        <v>4284200</v>
      </c>
      <c r="AN75" s="50">
        <f t="shared" si="17"/>
        <v>195294</v>
      </c>
      <c r="AO75" s="50">
        <f t="shared" si="18"/>
        <v>4479494</v>
      </c>
      <c r="AP75" s="50">
        <f t="shared" si="19"/>
        <v>0</v>
      </c>
    </row>
    <row r="76" spans="2:42" s="33" customFormat="1" ht="23.25" customHeight="1">
      <c r="B76" s="41">
        <v>71</v>
      </c>
      <c r="C76" s="42" t="s">
        <v>359</v>
      </c>
      <c r="D76" s="103" t="s">
        <v>368</v>
      </c>
      <c r="E76" s="95" t="s">
        <v>74</v>
      </c>
      <c r="F76" s="96" t="s">
        <v>369</v>
      </c>
      <c r="G76" s="43" t="s">
        <v>67</v>
      </c>
      <c r="H76" s="44" t="s">
        <v>68</v>
      </c>
      <c r="I76" s="98" t="s">
        <v>18</v>
      </c>
      <c r="J76" s="99" t="str">
        <f t="shared" si="2"/>
        <v>TER A</v>
      </c>
      <c r="K76" s="45">
        <f t="shared" si="20"/>
        <v>4169500</v>
      </c>
      <c r="L76" s="45">
        <f t="shared" si="21"/>
        <v>33894</v>
      </c>
      <c r="M76" s="45">
        <f>'[2]MAINTENANCE-2'!$AQ81</f>
        <v>161400</v>
      </c>
      <c r="N76" s="46"/>
      <c r="O76" s="46"/>
      <c r="P76" s="46"/>
      <c r="Q76" s="46"/>
      <c r="R76" s="46"/>
      <c r="S76" s="46"/>
      <c r="T76" s="46"/>
      <c r="U76" s="47"/>
      <c r="V76" s="47">
        <f>'[2]MAINTENANCE-2'!$X81</f>
        <v>65250</v>
      </c>
      <c r="W76" s="47">
        <f>'[2]MAINTENANCE-2'!$AA81</f>
        <v>0</v>
      </c>
      <c r="X76" s="47">
        <f>'[2]MAINTENANCE-2'!$AE81</f>
        <v>0</v>
      </c>
      <c r="Y76" s="47"/>
      <c r="Z76" s="47">
        <f>'[2]MAINTENANCE-2'!$AD81</f>
        <v>0</v>
      </c>
      <c r="AA76" s="47"/>
      <c r="AB76" s="47"/>
      <c r="AC76" s="47"/>
      <c r="AD76" s="47"/>
      <c r="AE76" s="47"/>
      <c r="AF76" s="47">
        <f>'[2]MAINTENANCE-2'!$BI81</f>
        <v>-269000</v>
      </c>
      <c r="AG76" s="47"/>
      <c r="AH76" s="47"/>
      <c r="AI76" s="71">
        <f t="shared" si="14"/>
        <v>4161044</v>
      </c>
      <c r="AJ76" s="49">
        <f t="shared" si="15"/>
        <v>0</v>
      </c>
      <c r="AK76" s="71">
        <f t="shared" si="16"/>
        <v>0</v>
      </c>
      <c r="AL76" s="47"/>
      <c r="AM76" s="48">
        <f>'[2]MAINTENANCE-2'!$AL81</f>
        <v>3965750</v>
      </c>
      <c r="AN76" s="50">
        <f t="shared" si="17"/>
        <v>195294</v>
      </c>
      <c r="AO76" s="50">
        <f t="shared" si="18"/>
        <v>4161044</v>
      </c>
      <c r="AP76" s="50">
        <f t="shared" si="19"/>
        <v>0</v>
      </c>
    </row>
    <row r="77" spans="2:42" s="33" customFormat="1" ht="23.25" customHeight="1">
      <c r="B77" s="41">
        <v>72</v>
      </c>
      <c r="C77" s="42" t="s">
        <v>360</v>
      </c>
      <c r="D77" s="103" t="s">
        <v>363</v>
      </c>
      <c r="E77" s="95" t="s">
        <v>74</v>
      </c>
      <c r="F77" s="96" t="s">
        <v>364</v>
      </c>
      <c r="G77" s="43" t="s">
        <v>67</v>
      </c>
      <c r="H77" s="44" t="s">
        <v>68</v>
      </c>
      <c r="I77" s="98" t="s">
        <v>18</v>
      </c>
      <c r="J77" s="99" t="str">
        <f t="shared" si="2"/>
        <v>TER A</v>
      </c>
      <c r="K77" s="45">
        <f t="shared" si="20"/>
        <v>4169500</v>
      </c>
      <c r="L77" s="45">
        <f t="shared" si="21"/>
        <v>33894</v>
      </c>
      <c r="M77" s="45">
        <f>'[2]MAINTENANCE-2'!$AQ82</f>
        <v>161400</v>
      </c>
      <c r="N77" s="46"/>
      <c r="O77" s="46"/>
      <c r="P77" s="46"/>
      <c r="Q77" s="46"/>
      <c r="R77" s="46"/>
      <c r="S77" s="46"/>
      <c r="T77" s="46"/>
      <c r="U77" s="47"/>
      <c r="V77" s="47">
        <f>'[2]MAINTENANCE-2'!$X82</f>
        <v>69750</v>
      </c>
      <c r="W77" s="47">
        <f>'[2]MAINTENANCE-2'!$AA82</f>
        <v>0</v>
      </c>
      <c r="X77" s="47">
        <f>'[2]MAINTENANCE-2'!$AE82</f>
        <v>0</v>
      </c>
      <c r="Y77" s="47"/>
      <c r="Z77" s="47">
        <f>'[2]MAINTENANCE-2'!$AD82</f>
        <v>0</v>
      </c>
      <c r="AA77" s="47"/>
      <c r="AB77" s="47"/>
      <c r="AC77" s="47"/>
      <c r="AD77" s="47"/>
      <c r="AE77" s="47"/>
      <c r="AF77" s="47">
        <f>'[2]MAINTENANCE-2'!$BI82</f>
        <v>0</v>
      </c>
      <c r="AG77" s="47"/>
      <c r="AH77" s="47"/>
      <c r="AI77" s="71">
        <f t="shared" si="14"/>
        <v>4434544</v>
      </c>
      <c r="AJ77" s="49">
        <f t="shared" si="15"/>
        <v>0</v>
      </c>
      <c r="AK77" s="71">
        <f t="shared" si="16"/>
        <v>0</v>
      </c>
      <c r="AL77" s="47"/>
      <c r="AM77" s="48">
        <f>'[2]MAINTENANCE-2'!$AL82</f>
        <v>4239250</v>
      </c>
      <c r="AN77" s="50">
        <f t="shared" si="17"/>
        <v>195294</v>
      </c>
      <c r="AO77" s="50">
        <f t="shared" si="18"/>
        <v>4434544</v>
      </c>
      <c r="AP77" s="50">
        <f t="shared" si="19"/>
        <v>0</v>
      </c>
    </row>
    <row r="78" spans="2:42" s="33" customFormat="1" ht="23.25" customHeight="1">
      <c r="B78" s="41">
        <v>73</v>
      </c>
      <c r="C78" s="42" t="s">
        <v>361</v>
      </c>
      <c r="D78" s="103" t="s">
        <v>367</v>
      </c>
      <c r="E78" s="95" t="s">
        <v>74</v>
      </c>
      <c r="F78" s="96" t="s">
        <v>364</v>
      </c>
      <c r="G78" s="43" t="s">
        <v>67</v>
      </c>
      <c r="H78" s="44" t="s">
        <v>68</v>
      </c>
      <c r="I78" s="98" t="s">
        <v>25</v>
      </c>
      <c r="J78" s="99" t="str">
        <f t="shared" si="2"/>
        <v>TER C</v>
      </c>
      <c r="K78" s="45">
        <f t="shared" si="20"/>
        <v>4169500</v>
      </c>
      <c r="L78" s="45">
        <f t="shared" si="21"/>
        <v>33894</v>
      </c>
      <c r="M78" s="45">
        <f>'[2]MAINTENANCE-2'!$AQ83</f>
        <v>161400</v>
      </c>
      <c r="N78" s="46"/>
      <c r="O78" s="46"/>
      <c r="P78" s="46"/>
      <c r="Q78" s="46"/>
      <c r="R78" s="46"/>
      <c r="S78" s="46"/>
      <c r="T78" s="46"/>
      <c r="U78" s="47"/>
      <c r="V78" s="47">
        <f>'[2]MAINTENANCE-2'!$X83</f>
        <v>172050</v>
      </c>
      <c r="W78" s="47">
        <f>'[2]MAINTENANCE-2'!$AA83</f>
        <v>0</v>
      </c>
      <c r="X78" s="47">
        <f>'[2]MAINTENANCE-2'!$AE83</f>
        <v>0</v>
      </c>
      <c r="Y78" s="47"/>
      <c r="Z78" s="47">
        <f>'[2]MAINTENANCE-2'!$AD83</f>
        <v>0</v>
      </c>
      <c r="AA78" s="47"/>
      <c r="AB78" s="47"/>
      <c r="AC78" s="47"/>
      <c r="AD78" s="47"/>
      <c r="AE78" s="47"/>
      <c r="AF78" s="47">
        <f>'[2]MAINTENANCE-2'!$BI83</f>
        <v>0</v>
      </c>
      <c r="AG78" s="47"/>
      <c r="AH78" s="47"/>
      <c r="AI78" s="71">
        <f t="shared" si="14"/>
        <v>4536844</v>
      </c>
      <c r="AJ78" s="49">
        <f t="shared" si="15"/>
        <v>0</v>
      </c>
      <c r="AK78" s="71">
        <f t="shared" si="16"/>
        <v>0</v>
      </c>
      <c r="AL78" s="47"/>
      <c r="AM78" s="48">
        <f>'[2]MAINTENANCE-2'!$AL83</f>
        <v>4341550</v>
      </c>
      <c r="AN78" s="50">
        <f t="shared" si="17"/>
        <v>195294</v>
      </c>
      <c r="AO78" s="50">
        <f t="shared" si="18"/>
        <v>4536844</v>
      </c>
      <c r="AP78" s="50">
        <f t="shared" si="19"/>
        <v>0</v>
      </c>
    </row>
    <row r="79" spans="2:42" s="33" customFormat="1" ht="23.25" customHeight="1">
      <c r="B79" s="41">
        <v>74</v>
      </c>
      <c r="C79" s="42" t="s">
        <v>362</v>
      </c>
      <c r="D79" s="103" t="s">
        <v>365</v>
      </c>
      <c r="E79" s="95" t="s">
        <v>74</v>
      </c>
      <c r="F79" s="96" t="s">
        <v>366</v>
      </c>
      <c r="G79" s="43" t="s">
        <v>67</v>
      </c>
      <c r="H79" s="44" t="s">
        <v>68</v>
      </c>
      <c r="I79" s="98" t="s">
        <v>18</v>
      </c>
      <c r="J79" s="99" t="str">
        <f t="shared" si="2"/>
        <v>TER A</v>
      </c>
      <c r="K79" s="45">
        <f t="shared" si="20"/>
        <v>4169500</v>
      </c>
      <c r="L79" s="45">
        <f t="shared" si="21"/>
        <v>33894</v>
      </c>
      <c r="M79" s="45">
        <f>'[2]MAINTENANCE-2'!$AQ84</f>
        <v>161400</v>
      </c>
      <c r="N79" s="46"/>
      <c r="O79" s="46"/>
      <c r="P79" s="46"/>
      <c r="Q79" s="46"/>
      <c r="R79" s="46"/>
      <c r="S79" s="46"/>
      <c r="T79" s="46"/>
      <c r="U79" s="47"/>
      <c r="V79" s="47">
        <f>'[2]MAINTENANCE-2'!$X84</f>
        <v>69750</v>
      </c>
      <c r="W79" s="47">
        <f>'[2]MAINTENANCE-2'!$AA84</f>
        <v>0</v>
      </c>
      <c r="X79" s="47">
        <f>'[2]MAINTENANCE-2'!$AE84</f>
        <v>0</v>
      </c>
      <c r="Y79" s="47"/>
      <c r="Z79" s="47">
        <f>'[2]MAINTENANCE-2'!$AD84</f>
        <v>0</v>
      </c>
      <c r="AA79" s="47"/>
      <c r="AB79" s="47"/>
      <c r="AC79" s="47"/>
      <c r="AD79" s="47"/>
      <c r="AE79" s="47"/>
      <c r="AF79" s="47">
        <f>'[2]MAINTENANCE-2'!$BI84</f>
        <v>0</v>
      </c>
      <c r="AG79" s="47"/>
      <c r="AH79" s="47"/>
      <c r="AI79" s="71">
        <f t="shared" si="14"/>
        <v>4434544</v>
      </c>
      <c r="AJ79" s="49">
        <f t="shared" si="15"/>
        <v>0</v>
      </c>
      <c r="AK79" s="71">
        <f t="shared" si="16"/>
        <v>0</v>
      </c>
      <c r="AL79" s="47"/>
      <c r="AM79" s="48">
        <f>'[2]MAINTENANCE-2'!$AL84</f>
        <v>4239250</v>
      </c>
      <c r="AN79" s="50">
        <f t="shared" si="17"/>
        <v>195294</v>
      </c>
      <c r="AO79" s="50">
        <f t="shared" si="18"/>
        <v>4434544</v>
      </c>
      <c r="AP79" s="50">
        <f t="shared" si="19"/>
        <v>0</v>
      </c>
    </row>
    <row r="80" spans="2:42" s="33" customFormat="1" ht="23.25" customHeight="1">
      <c r="B80" s="41">
        <v>75</v>
      </c>
      <c r="C80" s="42" t="s">
        <v>199</v>
      </c>
      <c r="D80" s="94" t="s">
        <v>200</v>
      </c>
      <c r="E80" s="95" t="s">
        <v>201</v>
      </c>
      <c r="F80" s="96" t="s">
        <v>202</v>
      </c>
      <c r="G80" s="43" t="s">
        <v>203</v>
      </c>
      <c r="H80" s="44" t="s">
        <v>68</v>
      </c>
      <c r="I80" s="98" t="s">
        <v>24</v>
      </c>
      <c r="J80" s="99" t="str">
        <f t="shared" ref="J80:J86" si="22">IF(ISBLANK(I80),"",IF(OR(I80="TK/0",I80="TK/1",I80="K/0"),"TER A",IF(I80="K/3","TER C","TER B")))</f>
        <v>TER B</v>
      </c>
      <c r="K80" s="45">
        <f t="shared" si="20"/>
        <v>4169500</v>
      </c>
      <c r="L80" s="45">
        <f t="shared" si="21"/>
        <v>34318.199999999997</v>
      </c>
      <c r="M80" s="45">
        <f>[2]TRANSPORT!$AJ11</f>
        <v>163420</v>
      </c>
      <c r="N80" s="46">
        <f>179135+35190</f>
        <v>214325</v>
      </c>
      <c r="O80" s="46">
        <v>156000</v>
      </c>
      <c r="P80" s="46">
        <v>0</v>
      </c>
      <c r="Q80" s="46">
        <v>126840</v>
      </c>
      <c r="R80" s="46">
        <v>0</v>
      </c>
      <c r="S80" s="46"/>
      <c r="T80" s="46"/>
      <c r="U80" s="47"/>
      <c r="V80" s="47">
        <f>[2]TRANSPORT!$S11</f>
        <v>172050</v>
      </c>
      <c r="W80" s="47">
        <f>[2]TRANSPORT!$V11</f>
        <v>87500</v>
      </c>
      <c r="X80" s="47">
        <f>[2]TRANSPORT!$Z11</f>
        <v>1679306.4000000001</v>
      </c>
      <c r="Y80" s="47"/>
      <c r="Z80" s="47">
        <f>[2]TRANSPORT!$Y11</f>
        <v>50500</v>
      </c>
      <c r="AA80" s="47"/>
      <c r="AB80" s="47"/>
      <c r="AC80" s="47"/>
      <c r="AD80" s="47"/>
      <c r="AE80" s="47"/>
      <c r="AF80" s="47">
        <f>[2]TRANSPORT!$BE11</f>
        <v>0</v>
      </c>
      <c r="AG80" s="47"/>
      <c r="AH80" s="46"/>
      <c r="AI80" s="71">
        <f>ROUND(SUM(K80:AH80),0)</f>
        <v>6853760</v>
      </c>
      <c r="AJ80" s="49">
        <f t="shared" ref="AJ80:AJ89" si="23">IF(J80="TER A",VLOOKUP(AI80,Ter_A,4,TRUE),IF(J80="TER B",VLOOKUP(AI80,Ter_B,4,TRUE),VLOOKUP(AI80,Ter_C,4,TRUE)))</f>
        <v>7.4999999999999997E-3</v>
      </c>
      <c r="AK80" s="71">
        <f>ROUND(IF(E80=0,AI80*AJ80*120%,AI80*AJ80),0)</f>
        <v>51403</v>
      </c>
      <c r="AL80" s="47"/>
      <c r="AM80" s="48">
        <f>[2]TRANSPORT!$AE11</f>
        <v>6656021.4000000004</v>
      </c>
      <c r="AN80" s="50">
        <f>L80+M80</f>
        <v>197738.2</v>
      </c>
      <c r="AO80" s="50">
        <f>AM80+AN80+AG80</f>
        <v>6853759.6000000006</v>
      </c>
      <c r="AP80" s="50">
        <f>AI80-AO80</f>
        <v>0.39999999944120646</v>
      </c>
    </row>
    <row r="81" spans="2:42" s="33" customFormat="1" ht="23.25" customHeight="1">
      <c r="B81" s="41">
        <v>76</v>
      </c>
      <c r="C81" s="42" t="s">
        <v>204</v>
      </c>
      <c r="D81" s="94" t="s">
        <v>205</v>
      </c>
      <c r="E81" s="95" t="s">
        <v>74</v>
      </c>
      <c r="F81" s="96" t="s">
        <v>206</v>
      </c>
      <c r="G81" s="43" t="s">
        <v>207</v>
      </c>
      <c r="H81" s="44" t="s">
        <v>68</v>
      </c>
      <c r="I81" s="98" t="s">
        <v>18</v>
      </c>
      <c r="J81" s="99" t="str">
        <f t="shared" si="22"/>
        <v>TER A</v>
      </c>
      <c r="K81" s="45">
        <f t="shared" si="20"/>
        <v>4169500</v>
      </c>
      <c r="L81" s="45">
        <f t="shared" si="21"/>
        <v>34200.6</v>
      </c>
      <c r="M81" s="45">
        <f>[2]TRANSPORT!$AJ12</f>
        <v>162860</v>
      </c>
      <c r="N81" s="46">
        <f>179080+35305</f>
        <v>214385</v>
      </c>
      <c r="O81" s="46">
        <v>156000</v>
      </c>
      <c r="P81" s="46">
        <v>0</v>
      </c>
      <c r="Q81" s="46">
        <v>126720</v>
      </c>
      <c r="R81" s="46">
        <v>0</v>
      </c>
      <c r="S81" s="46"/>
      <c r="T81" s="46"/>
      <c r="U81" s="47"/>
      <c r="V81" s="47">
        <f>[2]TRANSPORT!$S12</f>
        <v>69750</v>
      </c>
      <c r="W81" s="47">
        <f>[2]TRANSPORT!$V12</f>
        <v>62500</v>
      </c>
      <c r="X81" s="47">
        <f>[2]TRANSPORT!$Z12</f>
        <v>1644320.85</v>
      </c>
      <c r="Y81" s="47"/>
      <c r="Z81" s="47">
        <f>[2]TRANSPORT!$Y12</f>
        <v>36500</v>
      </c>
      <c r="AA81" s="47"/>
      <c r="AB81" s="47"/>
      <c r="AC81" s="47"/>
      <c r="AD81" s="47"/>
      <c r="AE81" s="47"/>
      <c r="AF81" s="47">
        <f>[2]TRANSPORT!$BE12</f>
        <v>0</v>
      </c>
      <c r="AG81" s="47"/>
      <c r="AH81" s="46"/>
      <c r="AI81" s="71">
        <f>ROUND(SUM(K81:AH81),0)</f>
        <v>6676736</v>
      </c>
      <c r="AJ81" s="49">
        <f t="shared" si="23"/>
        <v>0.01</v>
      </c>
      <c r="AK81" s="71">
        <f>ROUND(IF(E81=0,AI81*AJ81*120%,AI81*AJ81),0)</f>
        <v>66767</v>
      </c>
      <c r="AL81" s="47"/>
      <c r="AM81" s="48">
        <f>[2]TRANSPORT!$AE12</f>
        <v>6479675.8499999996</v>
      </c>
      <c r="AN81" s="50">
        <f>L81+M81</f>
        <v>197060.6</v>
      </c>
      <c r="AO81" s="50">
        <f>AM81+AN81+AG81</f>
        <v>6676736.4499999993</v>
      </c>
      <c r="AP81" s="50">
        <f>AI81-AO81</f>
        <v>-0.44999999925494194</v>
      </c>
    </row>
    <row r="82" spans="2:42" s="33" customFormat="1" ht="23.25" customHeight="1">
      <c r="B82" s="41">
        <v>77</v>
      </c>
      <c r="C82" s="42" t="s">
        <v>229</v>
      </c>
      <c r="D82" s="94" t="s">
        <v>230</v>
      </c>
      <c r="E82" s="95" t="s">
        <v>231</v>
      </c>
      <c r="F82" s="96" t="s">
        <v>232</v>
      </c>
      <c r="G82" s="43" t="s">
        <v>203</v>
      </c>
      <c r="H82" s="44" t="s">
        <v>68</v>
      </c>
      <c r="I82" s="98" t="s">
        <v>18</v>
      </c>
      <c r="J82" s="99" t="str">
        <f t="shared" si="22"/>
        <v>TER A</v>
      </c>
      <c r="K82" s="45">
        <f t="shared" si="20"/>
        <v>4169500</v>
      </c>
      <c r="L82" s="45">
        <f t="shared" si="21"/>
        <v>34641.599999999999</v>
      </c>
      <c r="M82" s="45">
        <f>[2]TRANSPORT!$AJ13</f>
        <v>164960</v>
      </c>
      <c r="N82" s="46">
        <v>128810</v>
      </c>
      <c r="O82" s="46">
        <v>96000</v>
      </c>
      <c r="P82" s="46">
        <v>0</v>
      </c>
      <c r="Q82" s="46">
        <v>0</v>
      </c>
      <c r="R82" s="46">
        <v>0</v>
      </c>
      <c r="S82" s="46"/>
      <c r="T82" s="46"/>
      <c r="U82" s="47"/>
      <c r="V82" s="47">
        <f>[2]TRANSPORT!$S13</f>
        <v>69750</v>
      </c>
      <c r="W82" s="47">
        <f>[2]TRANSPORT!$V13</f>
        <v>77000</v>
      </c>
      <c r="X82" s="47">
        <f>[2]TRANSPORT!$Z13</f>
        <v>734696.55</v>
      </c>
      <c r="Y82" s="47"/>
      <c r="Z82" s="47">
        <f>[2]TRANSPORT!$Y13</f>
        <v>89000</v>
      </c>
      <c r="AA82" s="47"/>
      <c r="AB82" s="47"/>
      <c r="AC82" s="47"/>
      <c r="AD82" s="47"/>
      <c r="AE82" s="47"/>
      <c r="AF82" s="47">
        <f>[2]TRANSPORT!$BE13</f>
        <v>0</v>
      </c>
      <c r="AG82" s="47"/>
      <c r="AH82" s="46"/>
      <c r="AI82" s="71">
        <f t="shared" ref="AI82:AI89" si="24">ROUND(SUM(K82:AH82),0)</f>
        <v>5564358</v>
      </c>
      <c r="AJ82" s="49">
        <f t="shared" si="23"/>
        <v>2.5000000000000001E-3</v>
      </c>
      <c r="AK82" s="71">
        <f>ROUND(IF(E82=0,AI82*AJ82*120%,AI82*AJ82),0)</f>
        <v>13911</v>
      </c>
      <c r="AL82" s="47"/>
      <c r="AM82" s="48">
        <f>[2]TRANSPORT!$AE13</f>
        <v>5364756.55</v>
      </c>
      <c r="AN82" s="50">
        <f>L82+M82</f>
        <v>199601.6</v>
      </c>
      <c r="AO82" s="50">
        <f>AM82+AN82+AG82</f>
        <v>5564358.1499999994</v>
      </c>
      <c r="AP82" s="50">
        <f>AI82-AO82</f>
        <v>-0.14999999944120646</v>
      </c>
    </row>
    <row r="83" spans="2:42" s="33" customFormat="1" ht="23.25" customHeight="1">
      <c r="B83" s="41">
        <v>78</v>
      </c>
      <c r="C83" s="42" t="s">
        <v>233</v>
      </c>
      <c r="D83" s="94" t="s">
        <v>234</v>
      </c>
      <c r="E83" s="95" t="s">
        <v>235</v>
      </c>
      <c r="F83" s="96" t="s">
        <v>236</v>
      </c>
      <c r="G83" s="43" t="s">
        <v>207</v>
      </c>
      <c r="H83" s="44" t="s">
        <v>68</v>
      </c>
      <c r="I83" s="98" t="s">
        <v>24</v>
      </c>
      <c r="J83" s="99" t="str">
        <f t="shared" si="22"/>
        <v>TER B</v>
      </c>
      <c r="K83" s="45">
        <f t="shared" si="20"/>
        <v>4169500</v>
      </c>
      <c r="L83" s="45">
        <f t="shared" si="21"/>
        <v>34347.599999999999</v>
      </c>
      <c r="M83" s="45">
        <f>[2]TRANSPORT!$AJ14</f>
        <v>163560</v>
      </c>
      <c r="N83" s="46">
        <v>190795</v>
      </c>
      <c r="O83" s="46">
        <v>156000</v>
      </c>
      <c r="P83" s="46">
        <v>35500</v>
      </c>
      <c r="Q83" s="46"/>
      <c r="R83" s="46"/>
      <c r="S83" s="46"/>
      <c r="T83" s="46"/>
      <c r="U83" s="47"/>
      <c r="V83" s="47">
        <f>[2]TRANSPORT!$S14</f>
        <v>172050</v>
      </c>
      <c r="W83" s="47">
        <f>[2]TRANSPORT!$V14</f>
        <v>62500</v>
      </c>
      <c r="X83" s="47">
        <f>[2]TRANSPORT!$Z14</f>
        <v>851315.05</v>
      </c>
      <c r="Y83" s="47"/>
      <c r="Z83" s="47">
        <f>[2]TRANSPORT!$Y14</f>
        <v>54000</v>
      </c>
      <c r="AA83" s="47"/>
      <c r="AB83" s="47"/>
      <c r="AC83" s="47"/>
      <c r="AD83" s="47"/>
      <c r="AE83" s="47"/>
      <c r="AF83" s="47">
        <f>[2]TRANSPORT!$BE14</f>
        <v>0</v>
      </c>
      <c r="AG83" s="47"/>
      <c r="AH83" s="46"/>
      <c r="AI83" s="71">
        <f t="shared" si="24"/>
        <v>5889568</v>
      </c>
      <c r="AJ83" s="49">
        <f t="shared" si="23"/>
        <v>0</v>
      </c>
      <c r="AK83" s="71">
        <f t="shared" ref="AK83:AK90" si="25">ROUND(IF(E83=0,AI83*AJ83*120%,AI83*AJ83),0)</f>
        <v>0</v>
      </c>
      <c r="AL83" s="47"/>
      <c r="AM83" s="48">
        <f>[2]TRANSPORT!$AE14</f>
        <v>5691660.0499999998</v>
      </c>
      <c r="AN83" s="50">
        <f>L83+M83</f>
        <v>197907.6</v>
      </c>
      <c r="AO83" s="50">
        <f>AM83+AN83+AG83</f>
        <v>5889567.6499999994</v>
      </c>
      <c r="AP83" s="50">
        <f>AI83-AO83</f>
        <v>0.35000000055879354</v>
      </c>
    </row>
    <row r="84" spans="2:42" s="33" customFormat="1" ht="23.25" customHeight="1">
      <c r="B84" s="41">
        <v>79</v>
      </c>
      <c r="C84" s="42" t="s">
        <v>353</v>
      </c>
      <c r="D84" s="94" t="s">
        <v>354</v>
      </c>
      <c r="E84" s="95" t="s">
        <v>355</v>
      </c>
      <c r="F84" s="96" t="s">
        <v>356</v>
      </c>
      <c r="G84" s="43" t="s">
        <v>203</v>
      </c>
      <c r="H84" s="44" t="s">
        <v>68</v>
      </c>
      <c r="I84" s="98" t="s">
        <v>23</v>
      </c>
      <c r="J84" s="99" t="str">
        <f t="shared" si="22"/>
        <v>TER B</v>
      </c>
      <c r="K84" s="45">
        <f t="shared" si="20"/>
        <v>4169500</v>
      </c>
      <c r="L84" s="45">
        <f t="shared" si="21"/>
        <v>34120.799999999996</v>
      </c>
      <c r="M84" s="45">
        <f>[2]TRANSPORT!$AJ15</f>
        <v>162480</v>
      </c>
      <c r="N84" s="46">
        <v>0</v>
      </c>
      <c r="O84" s="46">
        <v>0</v>
      </c>
      <c r="P84" s="46">
        <v>0</v>
      </c>
      <c r="Q84" s="46">
        <v>0</v>
      </c>
      <c r="R84" s="46">
        <v>284284</v>
      </c>
      <c r="S84" s="46"/>
      <c r="T84" s="46"/>
      <c r="U84" s="47"/>
      <c r="V84" s="47">
        <f>[2]TRANSPORT!$S15</f>
        <v>144150</v>
      </c>
      <c r="W84" s="47">
        <f>[2]TRANSPORT!$V15</f>
        <v>87500</v>
      </c>
      <c r="X84" s="47">
        <f>[2]TRANSPORT!$Z15</f>
        <v>688049.15</v>
      </c>
      <c r="Y84" s="47"/>
      <c r="Z84" s="47">
        <f>[2]TRANSPORT!$Y15</f>
        <v>27000</v>
      </c>
      <c r="AA84" s="47"/>
      <c r="AB84" s="47"/>
      <c r="AC84" s="47"/>
      <c r="AD84" s="47"/>
      <c r="AE84" s="47"/>
      <c r="AF84" s="47">
        <f>[2]TRANSPORT!$BE15</f>
        <v>0</v>
      </c>
      <c r="AG84" s="47"/>
      <c r="AH84" s="46"/>
      <c r="AI84" s="71">
        <f t="shared" si="24"/>
        <v>5597084</v>
      </c>
      <c r="AJ84" s="49">
        <f t="shared" si="23"/>
        <v>0</v>
      </c>
      <c r="AK84" s="71">
        <f t="shared" si="25"/>
        <v>0</v>
      </c>
      <c r="AL84" s="47"/>
      <c r="AM84" s="48">
        <f>[2]TRANSPORT!$AE15</f>
        <v>5400483.1500000004</v>
      </c>
      <c r="AN84" s="50">
        <f t="shared" ref="AN84:AN88" si="26">L84+M84</f>
        <v>196600.8</v>
      </c>
      <c r="AO84" s="50">
        <f t="shared" ref="AO84:AO88" si="27">AM84+AN84+AG84</f>
        <v>5597083.9500000002</v>
      </c>
      <c r="AP84" s="50">
        <f t="shared" ref="AP84:AP89" si="28">AI84-AO84</f>
        <v>4.9999999813735485E-2</v>
      </c>
    </row>
    <row r="85" spans="2:42" s="33" customFormat="1" ht="23.25" customHeight="1">
      <c r="B85" s="41">
        <v>80</v>
      </c>
      <c r="C85" s="42" t="s">
        <v>410</v>
      </c>
      <c r="D85" s="94" t="s">
        <v>411</v>
      </c>
      <c r="E85" s="95" t="s">
        <v>74</v>
      </c>
      <c r="F85" s="96" t="s">
        <v>95</v>
      </c>
      <c r="G85" s="112" t="s">
        <v>412</v>
      </c>
      <c r="H85" s="44" t="s">
        <v>68</v>
      </c>
      <c r="I85" s="98" t="s">
        <v>24</v>
      </c>
      <c r="J85" s="99" t="str">
        <f t="shared" si="22"/>
        <v>TER B</v>
      </c>
      <c r="K85" s="45">
        <f t="shared" si="20"/>
        <v>4169500</v>
      </c>
      <c r="L85" s="45">
        <f t="shared" si="21"/>
        <v>34095.599999999999</v>
      </c>
      <c r="M85" s="45">
        <f>'[2]HARVESTING (KHT)'!$AQ11</f>
        <v>162360</v>
      </c>
      <c r="N85" s="46"/>
      <c r="O85" s="46"/>
      <c r="P85" s="46"/>
      <c r="Q85" s="46"/>
      <c r="R85" s="46"/>
      <c r="S85" s="46"/>
      <c r="T85" s="46"/>
      <c r="U85" s="47"/>
      <c r="V85" s="47">
        <f>'[2]HARVESTING (KHT)'!$X11</f>
        <v>166500</v>
      </c>
      <c r="W85" s="47">
        <f>'[2]HARVESTING (KHT)'!$AA11</f>
        <v>73500</v>
      </c>
      <c r="X85" s="47">
        <f>'[2]HARVESTING (KHT)'!$AE11</f>
        <v>0</v>
      </c>
      <c r="Y85" s="47"/>
      <c r="Z85" s="47">
        <f>'[2]HARVESTING (KHT)'!$AD11</f>
        <v>24000</v>
      </c>
      <c r="AA85" s="47"/>
      <c r="AB85" s="47"/>
      <c r="AC85" s="47"/>
      <c r="AD85" s="47"/>
      <c r="AE85" s="47"/>
      <c r="AF85" s="47">
        <f>'[2]HARVESTING (KHT)'!$BI11</f>
        <v>-134500</v>
      </c>
      <c r="AG85" s="47"/>
      <c r="AH85" s="47"/>
      <c r="AI85" s="71">
        <f t="shared" si="24"/>
        <v>4495456</v>
      </c>
      <c r="AJ85" s="49">
        <f t="shared" si="23"/>
        <v>0</v>
      </c>
      <c r="AK85" s="71">
        <f t="shared" si="25"/>
        <v>0</v>
      </c>
      <c r="AL85" s="47"/>
      <c r="AM85" s="48">
        <f>'[2]HARVESTING (KHT)'!$AL11</f>
        <v>4299000</v>
      </c>
      <c r="AN85" s="50">
        <f t="shared" si="26"/>
        <v>196455.6</v>
      </c>
      <c r="AO85" s="50">
        <f t="shared" si="27"/>
        <v>4495455.5999999996</v>
      </c>
      <c r="AP85" s="50">
        <f t="shared" si="28"/>
        <v>0.40000000037252903</v>
      </c>
    </row>
    <row r="86" spans="2:42" s="33" customFormat="1" ht="23.25" customHeight="1">
      <c r="B86" s="41">
        <v>81</v>
      </c>
      <c r="C86" s="42" t="s">
        <v>148</v>
      </c>
      <c r="D86" s="94" t="s">
        <v>149</v>
      </c>
      <c r="E86" s="95" t="s">
        <v>74</v>
      </c>
      <c r="F86" s="96" t="s">
        <v>152</v>
      </c>
      <c r="G86" s="112" t="s">
        <v>413</v>
      </c>
      <c r="H86" s="44" t="s">
        <v>68</v>
      </c>
      <c r="I86" s="98" t="s">
        <v>18</v>
      </c>
      <c r="J86" s="99" t="str">
        <f t="shared" si="22"/>
        <v>TER A</v>
      </c>
      <c r="K86" s="45">
        <f t="shared" si="20"/>
        <v>4169500</v>
      </c>
      <c r="L86" s="45">
        <f t="shared" si="21"/>
        <v>33936</v>
      </c>
      <c r="M86" s="45">
        <f>'[2]HARVESTING (KHT)'!$AQ12</f>
        <v>161600</v>
      </c>
      <c r="N86" s="46"/>
      <c r="O86" s="46"/>
      <c r="P86" s="46"/>
      <c r="Q86" s="46"/>
      <c r="R86" s="46"/>
      <c r="S86" s="46"/>
      <c r="T86" s="46"/>
      <c r="U86" s="47"/>
      <c r="V86" s="47">
        <f>'[2]HARVESTING (KHT)'!$X12</f>
        <v>65250</v>
      </c>
      <c r="W86" s="47">
        <f>'[2]HARVESTING (KHT)'!$AA12</f>
        <v>57500</v>
      </c>
      <c r="X86" s="47">
        <f>'[2]HARVESTING (KHT)'!$AE12</f>
        <v>0</v>
      </c>
      <c r="Y86" s="47"/>
      <c r="Z86" s="47">
        <f>'[2]HARVESTING (KHT)'!$AD12</f>
        <v>5000</v>
      </c>
      <c r="AA86" s="47"/>
      <c r="AB86" s="47"/>
      <c r="AC86" s="47"/>
      <c r="AD86" s="47"/>
      <c r="AE86" s="47"/>
      <c r="AF86" s="47">
        <f>'[2]HARVESTING (KHT)'!$BI12</f>
        <v>-269000</v>
      </c>
      <c r="AG86" s="47"/>
      <c r="AH86" s="46"/>
      <c r="AI86" s="71">
        <f t="shared" si="24"/>
        <v>4223786</v>
      </c>
      <c r="AJ86" s="49">
        <f t="shared" si="23"/>
        <v>0</v>
      </c>
      <c r="AK86" s="71">
        <f t="shared" si="25"/>
        <v>0</v>
      </c>
      <c r="AL86" s="47"/>
      <c r="AM86" s="48">
        <f>'[2]HARVESTING (KHT)'!$AL12</f>
        <v>4028250</v>
      </c>
      <c r="AN86" s="50">
        <f t="shared" si="26"/>
        <v>195536</v>
      </c>
      <c r="AO86" s="50">
        <f t="shared" si="27"/>
        <v>4223786</v>
      </c>
      <c r="AP86" s="50">
        <f t="shared" si="28"/>
        <v>0</v>
      </c>
    </row>
    <row r="87" spans="2:42" s="33" customFormat="1" ht="23.25" customHeight="1">
      <c r="B87" s="41">
        <v>82</v>
      </c>
      <c r="C87" s="113" t="s">
        <v>414</v>
      </c>
      <c r="D87" s="122" t="s">
        <v>456</v>
      </c>
      <c r="E87" s="53" t="s">
        <v>415</v>
      </c>
      <c r="F87" s="113" t="s">
        <v>416</v>
      </c>
      <c r="G87" s="112" t="s">
        <v>409</v>
      </c>
      <c r="H87" s="44" t="s">
        <v>68</v>
      </c>
      <c r="I87" s="98" t="s">
        <v>22</v>
      </c>
      <c r="J87" s="99" t="str">
        <f t="shared" ref="J87:J88" si="29">IF(ISBLANK(I87),"",IF(OR(I87="TK/0",I87="TK/1",I87="K/0"),"TER A",IF(I87="K/3","TER C","TER B")))</f>
        <v>TER A</v>
      </c>
      <c r="K87" s="45">
        <f t="shared" si="20"/>
        <v>4169500</v>
      </c>
      <c r="L87" s="45">
        <f t="shared" si="21"/>
        <v>34347.599999999999</v>
      </c>
      <c r="M87" s="45">
        <f>'[2]HARVESTING (KHT)'!$AQ13</f>
        <v>163560</v>
      </c>
      <c r="N87" s="46"/>
      <c r="O87" s="46"/>
      <c r="P87" s="46"/>
      <c r="Q87" s="46"/>
      <c r="R87" s="46"/>
      <c r="S87" s="46">
        <v>320892</v>
      </c>
      <c r="T87" s="46">
        <v>175000</v>
      </c>
      <c r="U87" s="47"/>
      <c r="V87" s="47">
        <f>'[2]HARVESTING (KHT)'!$X13</f>
        <v>94250</v>
      </c>
      <c r="W87" s="47">
        <f>'[2]HARVESTING (KHT)'!$AA13</f>
        <v>0</v>
      </c>
      <c r="X87" s="47">
        <f>'[2]HARVESTING (KHT)'!$AE13</f>
        <v>0</v>
      </c>
      <c r="Y87" s="47"/>
      <c r="Z87" s="47">
        <f>'[2]HARVESTING (KHT)'!$AD13</f>
        <v>54000</v>
      </c>
      <c r="AA87" s="47"/>
      <c r="AB87" s="47"/>
      <c r="AC87" s="47"/>
      <c r="AD87" s="47"/>
      <c r="AE87" s="47"/>
      <c r="AF87" s="47">
        <f>'[2]HARVESTING (KHT)'!$BI13</f>
        <v>-269000</v>
      </c>
      <c r="AG87" s="47"/>
      <c r="AH87" s="47"/>
      <c r="AI87" s="71">
        <f t="shared" si="24"/>
        <v>4742550</v>
      </c>
      <c r="AJ87" s="49">
        <f t="shared" si="23"/>
        <v>0</v>
      </c>
      <c r="AK87" s="71">
        <f t="shared" si="25"/>
        <v>0</v>
      </c>
      <c r="AL87" s="47"/>
      <c r="AM87" s="48">
        <f>'[2]HARVESTING (KHT)'!$AL13</f>
        <v>4544642</v>
      </c>
      <c r="AN87" s="50">
        <f t="shared" si="26"/>
        <v>197907.6</v>
      </c>
      <c r="AO87" s="50">
        <f t="shared" si="27"/>
        <v>4742549.5999999996</v>
      </c>
      <c r="AP87" s="50">
        <f t="shared" si="28"/>
        <v>0.40000000037252903</v>
      </c>
    </row>
    <row r="88" spans="2:42" s="33" customFormat="1" ht="23.25" customHeight="1">
      <c r="B88" s="41">
        <v>83</v>
      </c>
      <c r="C88" s="42" t="s">
        <v>417</v>
      </c>
      <c r="D88" s="94" t="s">
        <v>418</v>
      </c>
      <c r="E88" s="95" t="s">
        <v>74</v>
      </c>
      <c r="F88" s="96" t="s">
        <v>419</v>
      </c>
      <c r="G88" s="43" t="s">
        <v>409</v>
      </c>
      <c r="H88" s="44" t="s">
        <v>68</v>
      </c>
      <c r="I88" s="98" t="s">
        <v>24</v>
      </c>
      <c r="J88" s="99" t="str">
        <f t="shared" si="29"/>
        <v>TER B</v>
      </c>
      <c r="K88" s="45">
        <f t="shared" si="20"/>
        <v>4169500</v>
      </c>
      <c r="L88" s="45">
        <f t="shared" si="21"/>
        <v>33978</v>
      </c>
      <c r="M88" s="45">
        <f>'[2]HARVESTING (KHT)'!$AQ14</f>
        <v>161800</v>
      </c>
      <c r="N88" s="46"/>
      <c r="O88" s="46"/>
      <c r="P88" s="46"/>
      <c r="Q88" s="46"/>
      <c r="R88" s="46"/>
      <c r="S88" s="46">
        <v>254592</v>
      </c>
      <c r="T88" s="46">
        <v>185500</v>
      </c>
      <c r="U88" s="47"/>
      <c r="V88" s="47">
        <f>'[2]HARVESTING (KHT)'!$X14</f>
        <v>160950</v>
      </c>
      <c r="W88" s="47">
        <f>'[2]HARVESTING (KHT)'!$AA14</f>
        <v>0</v>
      </c>
      <c r="X88" s="47">
        <f>'[2]HARVESTING (KHT)'!$AE14</f>
        <v>0</v>
      </c>
      <c r="Y88" s="47"/>
      <c r="Z88" s="47">
        <f>'[2]HARVESTING (KHT)'!$AD14</f>
        <v>10000</v>
      </c>
      <c r="AA88" s="47"/>
      <c r="AB88" s="47"/>
      <c r="AC88" s="47"/>
      <c r="AD88" s="47"/>
      <c r="AE88" s="47"/>
      <c r="AF88" s="47">
        <f>'[2]HARVESTING (KHT)'!$BI14</f>
        <v>-269000</v>
      </c>
      <c r="AG88" s="47"/>
      <c r="AH88" s="47"/>
      <c r="AI88" s="71">
        <f t="shared" si="24"/>
        <v>4707320</v>
      </c>
      <c r="AJ88" s="49">
        <f t="shared" si="23"/>
        <v>0</v>
      </c>
      <c r="AK88" s="71">
        <f t="shared" si="25"/>
        <v>0</v>
      </c>
      <c r="AL88" s="47"/>
      <c r="AM88" s="48">
        <f>'[2]HARVESTING (KHT)'!$AL14</f>
        <v>4511542</v>
      </c>
      <c r="AN88" s="50">
        <f t="shared" si="26"/>
        <v>195778</v>
      </c>
      <c r="AO88" s="50">
        <f t="shared" si="27"/>
        <v>4707320</v>
      </c>
      <c r="AP88" s="50">
        <f t="shared" si="28"/>
        <v>0</v>
      </c>
    </row>
    <row r="89" spans="2:42" s="33" customFormat="1" ht="23.25" customHeight="1">
      <c r="B89" s="41">
        <v>84</v>
      </c>
      <c r="C89" s="42" t="s">
        <v>372</v>
      </c>
      <c r="D89" s="103" t="s">
        <v>373</v>
      </c>
      <c r="E89" s="95" t="s">
        <v>74</v>
      </c>
      <c r="F89" s="96" t="s">
        <v>374</v>
      </c>
      <c r="G89" s="43" t="s">
        <v>409</v>
      </c>
      <c r="H89" s="44" t="s">
        <v>68</v>
      </c>
      <c r="I89" s="104" t="s">
        <v>23</v>
      </c>
      <c r="J89" s="99" t="str">
        <f t="shared" si="2"/>
        <v>TER B</v>
      </c>
      <c r="K89" s="45">
        <f t="shared" si="20"/>
        <v>4169500</v>
      </c>
      <c r="L89" s="45">
        <f t="shared" si="21"/>
        <v>33894</v>
      </c>
      <c r="M89" s="45">
        <f>'[2]HARVESTING (KHT)'!$AQ15</f>
        <v>161400</v>
      </c>
      <c r="N89" s="46"/>
      <c r="O89" s="46"/>
      <c r="P89" s="46"/>
      <c r="Q89" s="46"/>
      <c r="R89" s="46"/>
      <c r="S89" s="46">
        <v>319124</v>
      </c>
      <c r="T89" s="46">
        <v>175000</v>
      </c>
      <c r="U89" s="47"/>
      <c r="V89" s="47">
        <f>'[2]HARVESTING (KHT)'!$X15</f>
        <v>144150</v>
      </c>
      <c r="W89" s="47">
        <f>'[2]HARVESTING (KHT)'!$AA15</f>
        <v>0</v>
      </c>
      <c r="X89" s="47">
        <f>'[2]HARVESTING (KHT)'!$AE15</f>
        <v>0</v>
      </c>
      <c r="Y89" s="47"/>
      <c r="Z89" s="47">
        <f>'[2]HARVESTING (KHT)'!$AD15</f>
        <v>0</v>
      </c>
      <c r="AA89" s="47"/>
      <c r="AB89" s="47"/>
      <c r="AC89" s="47"/>
      <c r="AD89" s="47"/>
      <c r="AE89" s="47"/>
      <c r="AF89" s="47">
        <f>'[2]HARVESTING (KHT)'!$BI15</f>
        <v>0</v>
      </c>
      <c r="AG89" s="47"/>
      <c r="AH89" s="47"/>
      <c r="AI89" s="71">
        <f t="shared" si="24"/>
        <v>5003068</v>
      </c>
      <c r="AJ89" s="49">
        <f t="shared" si="23"/>
        <v>0</v>
      </c>
      <c r="AK89" s="71">
        <f t="shared" si="25"/>
        <v>0</v>
      </c>
      <c r="AL89" s="47"/>
      <c r="AM89" s="48">
        <f>'[2]HARVESTING (KHT)'!$AL15</f>
        <v>4807774</v>
      </c>
      <c r="AN89" s="50">
        <f t="shared" si="17"/>
        <v>195294</v>
      </c>
      <c r="AO89" s="50">
        <f t="shared" si="18"/>
        <v>5003068</v>
      </c>
      <c r="AP89" s="50">
        <f t="shared" si="28"/>
        <v>0</v>
      </c>
    </row>
    <row r="90" spans="2:42" s="33" customFormat="1" ht="23.25" customHeight="1">
      <c r="B90" s="41">
        <v>85</v>
      </c>
      <c r="C90" s="42" t="s">
        <v>381</v>
      </c>
      <c r="D90" s="103" t="s">
        <v>383</v>
      </c>
      <c r="E90" s="95" t="s">
        <v>74</v>
      </c>
      <c r="F90" s="96" t="s">
        <v>386</v>
      </c>
      <c r="G90" s="43" t="s">
        <v>431</v>
      </c>
      <c r="H90" s="44" t="s">
        <v>68</v>
      </c>
      <c r="I90" s="104" t="s">
        <v>18</v>
      </c>
      <c r="J90" s="99" t="str">
        <f t="shared" si="2"/>
        <v>TER A</v>
      </c>
      <c r="K90" s="45">
        <f t="shared" si="20"/>
        <v>4169500</v>
      </c>
      <c r="L90" s="45">
        <f t="shared" si="21"/>
        <v>33894</v>
      </c>
      <c r="M90" s="45">
        <f>'[2]HARVESTING(BHL)'!$AQ11</f>
        <v>161400</v>
      </c>
      <c r="N90" s="46"/>
      <c r="O90" s="46"/>
      <c r="P90" s="46"/>
      <c r="Q90" s="46"/>
      <c r="R90" s="46"/>
      <c r="S90" s="46">
        <v>229840</v>
      </c>
      <c r="T90" s="46">
        <v>147000</v>
      </c>
      <c r="U90" s="47"/>
      <c r="V90" s="47">
        <f>'[2]HARVESTING(BHL)'!$X11</f>
        <v>0</v>
      </c>
      <c r="W90" s="47">
        <f>'[2]HARVESTING(BHL)'!$AA11</f>
        <v>0</v>
      </c>
      <c r="X90" s="47">
        <f>'[2]HARVESTING(BHL)'!$AE11</f>
        <v>0</v>
      </c>
      <c r="Y90" s="47"/>
      <c r="Z90" s="47">
        <f>'[2]HARVESTING(BHL)'!$AD11</f>
        <v>0</v>
      </c>
      <c r="AA90" s="47"/>
      <c r="AB90" s="47"/>
      <c r="AC90" s="47"/>
      <c r="AD90" s="47"/>
      <c r="AE90" s="47"/>
      <c r="AF90" s="47">
        <f>'[2]HARVESTING(BHL)'!$BI11</f>
        <v>0</v>
      </c>
      <c r="AG90" s="47"/>
      <c r="AH90" s="47"/>
      <c r="AI90" s="71">
        <f t="shared" si="14"/>
        <v>4741634</v>
      </c>
      <c r="AJ90" s="49">
        <f t="shared" si="15"/>
        <v>0</v>
      </c>
      <c r="AK90" s="71">
        <f t="shared" si="25"/>
        <v>0</v>
      </c>
      <c r="AL90" s="47"/>
      <c r="AM90" s="48">
        <f>'[2]HARVESTING(BHL)'!$AL11</f>
        <v>4546340</v>
      </c>
      <c r="AN90" s="50">
        <f t="shared" si="17"/>
        <v>195294</v>
      </c>
      <c r="AO90" s="50">
        <f t="shared" si="18"/>
        <v>4741634</v>
      </c>
      <c r="AP90" s="50">
        <f t="shared" si="19"/>
        <v>0</v>
      </c>
    </row>
    <row r="91" spans="2:42" s="33" customFormat="1" ht="23.25" customHeight="1">
      <c r="B91" s="41">
        <v>86</v>
      </c>
      <c r="C91" s="42" t="s">
        <v>382</v>
      </c>
      <c r="D91" s="103" t="s">
        <v>384</v>
      </c>
      <c r="E91" s="95" t="s">
        <v>74</v>
      </c>
      <c r="F91" s="96" t="s">
        <v>385</v>
      </c>
      <c r="G91" s="43" t="s">
        <v>431</v>
      </c>
      <c r="H91" s="44" t="s">
        <v>68</v>
      </c>
      <c r="I91" s="104" t="s">
        <v>23</v>
      </c>
      <c r="J91" s="99" t="str">
        <f t="shared" si="2"/>
        <v>TER B</v>
      </c>
      <c r="K91" s="45">
        <f t="shared" si="20"/>
        <v>4169500</v>
      </c>
      <c r="L91" s="45">
        <f t="shared" si="21"/>
        <v>33894</v>
      </c>
      <c r="M91" s="45">
        <f>'[2]HARVESTING(BHL)'!$AQ12</f>
        <v>161400</v>
      </c>
      <c r="N91" s="46"/>
      <c r="O91" s="46"/>
      <c r="P91" s="46"/>
      <c r="Q91" s="46"/>
      <c r="R91" s="46"/>
      <c r="S91" s="46">
        <v>210392</v>
      </c>
      <c r="T91" s="46">
        <v>171500</v>
      </c>
      <c r="U91" s="47"/>
      <c r="V91" s="47">
        <f>'[2]HARVESTING(BHL)'!$X12</f>
        <v>0</v>
      </c>
      <c r="W91" s="47">
        <f>'[2]HARVESTING(BHL)'!$AA12</f>
        <v>0</v>
      </c>
      <c r="X91" s="47">
        <f>'[2]HARVESTING(BHL)'!$AE12</f>
        <v>0</v>
      </c>
      <c r="Y91" s="47"/>
      <c r="Z91" s="47">
        <f>'[2]HARVESTING(BHL)'!$AD12</f>
        <v>0</v>
      </c>
      <c r="AA91" s="47"/>
      <c r="AB91" s="47"/>
      <c r="AC91" s="47"/>
      <c r="AD91" s="47"/>
      <c r="AE91" s="47"/>
      <c r="AF91" s="47">
        <f>'[2]HARVESTING(BHL)'!$BI12</f>
        <v>0</v>
      </c>
      <c r="AG91" s="47"/>
      <c r="AH91" s="47"/>
      <c r="AI91" s="71">
        <f t="shared" si="14"/>
        <v>4746686</v>
      </c>
      <c r="AJ91" s="49">
        <f t="shared" si="15"/>
        <v>0</v>
      </c>
      <c r="AK91" s="71">
        <f t="shared" si="16"/>
        <v>0</v>
      </c>
      <c r="AL91" s="47"/>
      <c r="AM91" s="48">
        <f>'[2]HARVESTING(BHL)'!$AL12</f>
        <v>4551392</v>
      </c>
      <c r="AN91" s="50">
        <f t="shared" si="17"/>
        <v>195294</v>
      </c>
      <c r="AO91" s="50">
        <f t="shared" si="18"/>
        <v>4746686</v>
      </c>
      <c r="AP91" s="50">
        <f t="shared" si="19"/>
        <v>0</v>
      </c>
    </row>
    <row r="92" spans="2:42" s="33" customFormat="1" ht="23.25" customHeight="1">
      <c r="B92" s="41">
        <v>87</v>
      </c>
      <c r="C92" s="42" t="s">
        <v>389</v>
      </c>
      <c r="D92" s="103" t="s">
        <v>395</v>
      </c>
      <c r="E92" s="95" t="s">
        <v>74</v>
      </c>
      <c r="F92" s="96" t="s">
        <v>396</v>
      </c>
      <c r="G92" s="43" t="s">
        <v>431</v>
      </c>
      <c r="H92" s="44" t="s">
        <v>68</v>
      </c>
      <c r="I92" s="104" t="s">
        <v>18</v>
      </c>
      <c r="J92" s="99" t="str">
        <f t="shared" si="2"/>
        <v>TER A</v>
      </c>
      <c r="K92" s="45">
        <f t="shared" si="20"/>
        <v>4169500</v>
      </c>
      <c r="L92" s="45">
        <f t="shared" si="21"/>
        <v>33894</v>
      </c>
      <c r="M92" s="45">
        <f>'[2]HARVESTING(BHL)'!$AQ13</f>
        <v>161400</v>
      </c>
      <c r="N92" s="46"/>
      <c r="O92" s="46"/>
      <c r="P92" s="46"/>
      <c r="Q92" s="46"/>
      <c r="R92" s="46"/>
      <c r="S92" s="46">
        <v>259896</v>
      </c>
      <c r="T92" s="46">
        <v>178500</v>
      </c>
      <c r="U92" s="47"/>
      <c r="V92" s="47">
        <f>'[2]HARVESTING(BHL)'!$X13</f>
        <v>0</v>
      </c>
      <c r="W92" s="47">
        <f>'[2]HARVESTING(BHL)'!$AA13</f>
        <v>0</v>
      </c>
      <c r="X92" s="47">
        <f>'[2]HARVESTING(BHL)'!$AE13</f>
        <v>0</v>
      </c>
      <c r="Y92" s="47"/>
      <c r="Z92" s="47">
        <f>'[2]HARVESTING(BHL)'!$AD13</f>
        <v>0</v>
      </c>
      <c r="AA92" s="47"/>
      <c r="AB92" s="47"/>
      <c r="AC92" s="47"/>
      <c r="AD92" s="47"/>
      <c r="AE92" s="47"/>
      <c r="AF92" s="47">
        <f>'[2]HARVESTING(BHL)'!$BI13</f>
        <v>0</v>
      </c>
      <c r="AG92" s="47"/>
      <c r="AH92" s="47"/>
      <c r="AI92" s="71">
        <f t="shared" si="14"/>
        <v>4803190</v>
      </c>
      <c r="AJ92" s="49">
        <f t="shared" si="15"/>
        <v>0</v>
      </c>
      <c r="AK92" s="71">
        <f t="shared" si="16"/>
        <v>0</v>
      </c>
      <c r="AL92" s="47"/>
      <c r="AM92" s="48">
        <f>'[2]HARVESTING(BHL)'!$AL13</f>
        <v>4607896</v>
      </c>
      <c r="AN92" s="50">
        <f t="shared" ref="AN92:AN105" si="30">L92+M92</f>
        <v>195294</v>
      </c>
      <c r="AO92" s="50">
        <f t="shared" ref="AO92:AO105" si="31">AM92+AN92+AG92</f>
        <v>4803190</v>
      </c>
      <c r="AP92" s="50">
        <f t="shared" ref="AP92:AP105" si="32">AI92-AO92</f>
        <v>0</v>
      </c>
    </row>
    <row r="93" spans="2:42" s="33" customFormat="1" ht="23.25" customHeight="1">
      <c r="B93" s="41">
        <v>88</v>
      </c>
      <c r="C93" s="42" t="s">
        <v>390</v>
      </c>
      <c r="D93" s="103" t="s">
        <v>397</v>
      </c>
      <c r="E93" s="95" t="s">
        <v>74</v>
      </c>
      <c r="F93" s="96" t="s">
        <v>398</v>
      </c>
      <c r="G93" s="43" t="s">
        <v>431</v>
      </c>
      <c r="H93" s="44" t="s">
        <v>68</v>
      </c>
      <c r="I93" s="104" t="s">
        <v>18</v>
      </c>
      <c r="J93" s="99" t="str">
        <f t="shared" si="2"/>
        <v>TER A</v>
      </c>
      <c r="K93" s="45">
        <f t="shared" si="20"/>
        <v>4169500</v>
      </c>
      <c r="L93" s="45">
        <f t="shared" si="21"/>
        <v>33894</v>
      </c>
      <c r="M93" s="45">
        <f>'[2]HARVESTING(BHL)'!$AQ14</f>
        <v>161400</v>
      </c>
      <c r="N93" s="46"/>
      <c r="O93" s="46"/>
      <c r="P93" s="46"/>
      <c r="Q93" s="46"/>
      <c r="R93" s="46"/>
      <c r="S93" s="46">
        <v>517140</v>
      </c>
      <c r="T93" s="46">
        <v>269500</v>
      </c>
      <c r="U93" s="47"/>
      <c r="V93" s="47">
        <f>'[2]HARVESTING(BHL)'!$X14</f>
        <v>0</v>
      </c>
      <c r="W93" s="47">
        <f>'[2]HARVESTING(BHL)'!$AA14</f>
        <v>0</v>
      </c>
      <c r="X93" s="47">
        <f>'[2]HARVESTING(BHL)'!$AE14</f>
        <v>0</v>
      </c>
      <c r="Y93" s="47"/>
      <c r="Z93" s="47">
        <f>'[2]HARVESTING(BHL)'!$AD14</f>
        <v>0</v>
      </c>
      <c r="AA93" s="47"/>
      <c r="AB93" s="47"/>
      <c r="AC93" s="47"/>
      <c r="AD93" s="47"/>
      <c r="AE93" s="47"/>
      <c r="AF93" s="47">
        <f>'[2]HARVESTING(BHL)'!$BI14</f>
        <v>-134500</v>
      </c>
      <c r="AG93" s="47"/>
      <c r="AH93" s="47"/>
      <c r="AI93" s="71">
        <f t="shared" si="14"/>
        <v>5016934</v>
      </c>
      <c r="AJ93" s="49">
        <f t="shared" si="15"/>
        <v>0</v>
      </c>
      <c r="AK93" s="71">
        <f t="shared" si="16"/>
        <v>0</v>
      </c>
      <c r="AL93" s="47"/>
      <c r="AM93" s="48">
        <f>'[2]HARVESTING(BHL)'!$AL14</f>
        <v>4821640</v>
      </c>
      <c r="AN93" s="50">
        <f t="shared" si="30"/>
        <v>195294</v>
      </c>
      <c r="AO93" s="50">
        <f t="shared" si="31"/>
        <v>5016934</v>
      </c>
      <c r="AP93" s="50">
        <f t="shared" si="32"/>
        <v>0</v>
      </c>
    </row>
    <row r="94" spans="2:42" s="33" customFormat="1" ht="23.25" customHeight="1">
      <c r="B94" s="41">
        <v>89</v>
      </c>
      <c r="C94" s="42" t="s">
        <v>391</v>
      </c>
      <c r="D94" s="103" t="s">
        <v>399</v>
      </c>
      <c r="E94" s="95" t="s">
        <v>74</v>
      </c>
      <c r="F94" s="96" t="s">
        <v>400</v>
      </c>
      <c r="G94" s="43" t="s">
        <v>431</v>
      </c>
      <c r="H94" s="44" t="s">
        <v>68</v>
      </c>
      <c r="I94" s="104" t="s">
        <v>18</v>
      </c>
      <c r="J94" s="99" t="str">
        <f t="shared" si="2"/>
        <v>TER A</v>
      </c>
      <c r="K94" s="45">
        <f t="shared" si="20"/>
        <v>4169500</v>
      </c>
      <c r="L94" s="45">
        <f t="shared" si="21"/>
        <v>33894</v>
      </c>
      <c r="M94" s="45">
        <f>'[2]HARVESTING(BHL)'!$AQ15</f>
        <v>161400</v>
      </c>
      <c r="N94" s="46"/>
      <c r="O94" s="46"/>
      <c r="P94" s="46"/>
      <c r="Q94" s="46"/>
      <c r="R94" s="46"/>
      <c r="S94" s="46">
        <v>263432</v>
      </c>
      <c r="T94" s="46">
        <v>173250</v>
      </c>
      <c r="U94" s="47"/>
      <c r="V94" s="47">
        <f>'[2]HARVESTING(BHL)'!$X15</f>
        <v>0</v>
      </c>
      <c r="W94" s="47">
        <f>'[2]HARVESTING(BHL)'!$AA15</f>
        <v>0</v>
      </c>
      <c r="X94" s="47">
        <f>'[2]HARVESTING(BHL)'!$AE15</f>
        <v>0</v>
      </c>
      <c r="Y94" s="47"/>
      <c r="Z94" s="47">
        <f>'[2]HARVESTING(BHL)'!$AD15</f>
        <v>0</v>
      </c>
      <c r="AA94" s="47"/>
      <c r="AB94" s="47"/>
      <c r="AC94" s="47"/>
      <c r="AD94" s="47"/>
      <c r="AE94" s="47"/>
      <c r="AF94" s="47">
        <f>'[2]HARVESTING(BHL)'!$BI15</f>
        <v>0</v>
      </c>
      <c r="AG94" s="47"/>
      <c r="AH94" s="47"/>
      <c r="AI94" s="71">
        <f t="shared" si="14"/>
        <v>4801476</v>
      </c>
      <c r="AJ94" s="49">
        <f t="shared" si="15"/>
        <v>0</v>
      </c>
      <c r="AK94" s="71">
        <f t="shared" si="16"/>
        <v>0</v>
      </c>
      <c r="AL94" s="47"/>
      <c r="AM94" s="48">
        <f>'[2]HARVESTING(BHL)'!$AL15</f>
        <v>4606182</v>
      </c>
      <c r="AN94" s="50">
        <f t="shared" si="30"/>
        <v>195294</v>
      </c>
      <c r="AO94" s="50">
        <f t="shared" si="31"/>
        <v>4801476</v>
      </c>
      <c r="AP94" s="50">
        <f t="shared" si="32"/>
        <v>0</v>
      </c>
    </row>
    <row r="95" spans="2:42" s="33" customFormat="1" ht="23.25" customHeight="1">
      <c r="B95" s="41">
        <v>90</v>
      </c>
      <c r="C95" s="42" t="s">
        <v>392</v>
      </c>
      <c r="D95" s="103" t="s">
        <v>401</v>
      </c>
      <c r="E95" s="95" t="s">
        <v>74</v>
      </c>
      <c r="F95" s="96" t="s">
        <v>402</v>
      </c>
      <c r="G95" s="43" t="s">
        <v>431</v>
      </c>
      <c r="H95" s="44" t="s">
        <v>68</v>
      </c>
      <c r="I95" s="104" t="s">
        <v>18</v>
      </c>
      <c r="J95" s="99" t="str">
        <f t="shared" si="2"/>
        <v>TER A</v>
      </c>
      <c r="K95" s="45">
        <f t="shared" si="20"/>
        <v>4169500</v>
      </c>
      <c r="L95" s="45">
        <f t="shared" si="21"/>
        <v>33894</v>
      </c>
      <c r="M95" s="45">
        <f>'[2]HARVESTING(BHL)'!$AQ16</f>
        <v>161400</v>
      </c>
      <c r="N95" s="46"/>
      <c r="O95" s="46"/>
      <c r="P95" s="46"/>
      <c r="Q95" s="46"/>
      <c r="R95" s="46"/>
      <c r="S95" s="46">
        <v>289952</v>
      </c>
      <c r="T95" s="46">
        <v>185500</v>
      </c>
      <c r="U95" s="47"/>
      <c r="V95" s="47">
        <f>'[2]HARVESTING(BHL)'!$X16</f>
        <v>0</v>
      </c>
      <c r="W95" s="47">
        <f>'[2]HARVESTING(BHL)'!$AA16</f>
        <v>0</v>
      </c>
      <c r="X95" s="47">
        <f>'[2]HARVESTING(BHL)'!$AE16</f>
        <v>0</v>
      </c>
      <c r="Y95" s="47"/>
      <c r="Z95" s="47">
        <f>'[2]HARVESTING(BHL)'!$AD16</f>
        <v>0</v>
      </c>
      <c r="AA95" s="47"/>
      <c r="AB95" s="47"/>
      <c r="AC95" s="47"/>
      <c r="AD95" s="47"/>
      <c r="AE95" s="47"/>
      <c r="AF95" s="47">
        <f>'[2]HARVESTING(BHL)'!$BI16</f>
        <v>0</v>
      </c>
      <c r="AG95" s="47"/>
      <c r="AH95" s="47"/>
      <c r="AI95" s="71">
        <f t="shared" si="14"/>
        <v>4840246</v>
      </c>
      <c r="AJ95" s="49">
        <f t="shared" si="15"/>
        <v>0</v>
      </c>
      <c r="AK95" s="71">
        <f t="shared" si="16"/>
        <v>0</v>
      </c>
      <c r="AL95" s="47"/>
      <c r="AM95" s="48">
        <f>'[2]HARVESTING(BHL)'!$AL16</f>
        <v>4644952</v>
      </c>
      <c r="AN95" s="50">
        <f t="shared" si="30"/>
        <v>195294</v>
      </c>
      <c r="AO95" s="50">
        <f t="shared" si="31"/>
        <v>4840246</v>
      </c>
      <c r="AP95" s="50">
        <f t="shared" si="32"/>
        <v>0</v>
      </c>
    </row>
    <row r="96" spans="2:42" s="33" customFormat="1" ht="23.25" customHeight="1">
      <c r="B96" s="41">
        <v>91</v>
      </c>
      <c r="C96" s="42" t="s">
        <v>393</v>
      </c>
      <c r="D96" s="103" t="s">
        <v>403</v>
      </c>
      <c r="E96" s="95" t="s">
        <v>74</v>
      </c>
      <c r="F96" s="96" t="s">
        <v>404</v>
      </c>
      <c r="G96" s="43" t="s">
        <v>431</v>
      </c>
      <c r="H96" s="44" t="s">
        <v>68</v>
      </c>
      <c r="I96" s="104" t="s">
        <v>18</v>
      </c>
      <c r="J96" s="99" t="str">
        <f t="shared" si="2"/>
        <v>TER A</v>
      </c>
      <c r="K96" s="45">
        <f t="shared" si="20"/>
        <v>4169500</v>
      </c>
      <c r="L96" s="45">
        <f t="shared" si="21"/>
        <v>33894</v>
      </c>
      <c r="M96" s="45">
        <f>'[2]HARVESTING(BHL)'!$AQ17</f>
        <v>161400</v>
      </c>
      <c r="N96" s="46"/>
      <c r="O96" s="46"/>
      <c r="P96" s="46"/>
      <c r="Q96" s="46"/>
      <c r="R96" s="46"/>
      <c r="S96" s="46">
        <v>250172</v>
      </c>
      <c r="T96" s="46">
        <v>178500</v>
      </c>
      <c r="U96" s="47"/>
      <c r="V96" s="47">
        <f>'[2]HARVESTING(BHL)'!$X17</f>
        <v>0</v>
      </c>
      <c r="W96" s="47">
        <f>'[2]HARVESTING(BHL)'!$AA17</f>
        <v>0</v>
      </c>
      <c r="X96" s="47">
        <f>'[2]HARVESTING(BHL)'!$AE17</f>
        <v>0</v>
      </c>
      <c r="Y96" s="47"/>
      <c r="Z96" s="47">
        <f>'[2]HARVESTING(BHL)'!$AD17</f>
        <v>0</v>
      </c>
      <c r="AA96" s="47"/>
      <c r="AB96" s="47"/>
      <c r="AC96" s="47"/>
      <c r="AD96" s="47"/>
      <c r="AE96" s="47"/>
      <c r="AF96" s="47">
        <f>'[2]HARVESTING(BHL)'!$BI17</f>
        <v>0</v>
      </c>
      <c r="AG96" s="47"/>
      <c r="AH96" s="47"/>
      <c r="AI96" s="71">
        <f t="shared" si="14"/>
        <v>4793466</v>
      </c>
      <c r="AJ96" s="49">
        <f t="shared" si="15"/>
        <v>0</v>
      </c>
      <c r="AK96" s="71">
        <f t="shared" si="16"/>
        <v>0</v>
      </c>
      <c r="AL96" s="47"/>
      <c r="AM96" s="48">
        <f>'[2]HARVESTING(BHL)'!$AL17</f>
        <v>4598172</v>
      </c>
      <c r="AN96" s="50">
        <f t="shared" si="30"/>
        <v>195294</v>
      </c>
      <c r="AO96" s="50">
        <f t="shared" si="31"/>
        <v>4793466</v>
      </c>
      <c r="AP96" s="50">
        <f t="shared" si="32"/>
        <v>0</v>
      </c>
    </row>
    <row r="97" spans="2:43" s="33" customFormat="1" ht="23.25" customHeight="1">
      <c r="B97" s="41">
        <v>92</v>
      </c>
      <c r="C97" s="42" t="s">
        <v>420</v>
      </c>
      <c r="D97" s="94" t="s">
        <v>429</v>
      </c>
      <c r="E97" s="95" t="s">
        <v>74</v>
      </c>
      <c r="F97" s="96" t="s">
        <v>430</v>
      </c>
      <c r="G97" s="43" t="s">
        <v>431</v>
      </c>
      <c r="H97" s="44" t="s">
        <v>68</v>
      </c>
      <c r="I97" s="98" t="s">
        <v>18</v>
      </c>
      <c r="J97" s="99" t="str">
        <f>IF(ISBLANK(I97),"",IF(OR(I97="TK/0",I97="TK/1",I97="K/0"),"TER A",IF(I97="K/3","TER C","TER B")))</f>
        <v>TER A</v>
      </c>
      <c r="K97" s="45">
        <f>31*134500</f>
        <v>4169500</v>
      </c>
      <c r="L97" s="45">
        <f t="shared" si="21"/>
        <v>33894</v>
      </c>
      <c r="M97" s="45">
        <f>'[2]HARVESTING(BHL)'!$AQ18</f>
        <v>161400</v>
      </c>
      <c r="N97" s="46"/>
      <c r="O97" s="46"/>
      <c r="P97" s="46"/>
      <c r="Q97" s="46"/>
      <c r="R97" s="46"/>
      <c r="S97" s="46">
        <v>335920</v>
      </c>
      <c r="T97" s="46">
        <v>206500</v>
      </c>
      <c r="U97" s="47"/>
      <c r="V97" s="47">
        <f>'[2]HARVESTING(BHL)'!$X18</f>
        <v>0</v>
      </c>
      <c r="W97" s="47">
        <f>'[2]HARVESTING(BHL)'!$AA18</f>
        <v>0</v>
      </c>
      <c r="X97" s="47">
        <f>'[2]HARVESTING(BHL)'!$AE18</f>
        <v>0</v>
      </c>
      <c r="Y97" s="47"/>
      <c r="Z97" s="47">
        <f>'[2]HARVESTING(BHL)'!$AD18</f>
        <v>0</v>
      </c>
      <c r="AA97" s="47"/>
      <c r="AB97" s="47"/>
      <c r="AC97" s="47"/>
      <c r="AD97" s="47"/>
      <c r="AE97" s="47"/>
      <c r="AF97" s="47">
        <f>'[2]HARVESTING(BHL)'!$BI18</f>
        <v>0</v>
      </c>
      <c r="AG97" s="47"/>
      <c r="AH97" s="46"/>
      <c r="AI97" s="71">
        <f t="shared" si="14"/>
        <v>4907214</v>
      </c>
      <c r="AJ97" s="49">
        <f t="shared" si="15"/>
        <v>0</v>
      </c>
      <c r="AK97" s="71">
        <f t="shared" si="16"/>
        <v>0</v>
      </c>
      <c r="AL97" s="47"/>
      <c r="AM97" s="48">
        <f>'[2]HARVESTING(BHL)'!$AL18</f>
        <v>4711920</v>
      </c>
      <c r="AN97" s="50">
        <f t="shared" si="30"/>
        <v>195294</v>
      </c>
      <c r="AO97" s="50">
        <f t="shared" si="31"/>
        <v>4907214</v>
      </c>
      <c r="AP97" s="50">
        <f t="shared" si="32"/>
        <v>0</v>
      </c>
    </row>
    <row r="98" spans="2:43" s="33" customFormat="1" ht="23.25" customHeight="1">
      <c r="B98" s="41">
        <v>93</v>
      </c>
      <c r="C98" s="42" t="s">
        <v>421</v>
      </c>
      <c r="D98" s="103" t="s">
        <v>432</v>
      </c>
      <c r="E98" s="95" t="s">
        <v>74</v>
      </c>
      <c r="F98" s="96" t="s">
        <v>440</v>
      </c>
      <c r="G98" s="43" t="s">
        <v>431</v>
      </c>
      <c r="H98" s="44" t="s">
        <v>68</v>
      </c>
      <c r="I98" s="104" t="s">
        <v>18</v>
      </c>
      <c r="J98" s="99" t="str">
        <f>IF(ISBLANK(I98),"",IF(OR(I98="TK/0",I98="TK/1",I98="K/0"),"TER A",IF(I98="K/3","TER C","TER B")))</f>
        <v>TER A</v>
      </c>
      <c r="K98" s="45">
        <f>30*134500</f>
        <v>4035000</v>
      </c>
      <c r="L98" s="45">
        <f t="shared" si="21"/>
        <v>33894</v>
      </c>
      <c r="M98" s="45">
        <f>'[2]HARVESTING(BHL)'!$AQ19</f>
        <v>161400</v>
      </c>
      <c r="N98" s="46"/>
      <c r="O98" s="46"/>
      <c r="P98" s="46"/>
      <c r="Q98" s="46"/>
      <c r="R98" s="46"/>
      <c r="S98" s="46">
        <v>184756</v>
      </c>
      <c r="T98" s="46">
        <v>159250</v>
      </c>
      <c r="U98" s="47"/>
      <c r="V98" s="47">
        <f>'[2]HARVESTING(BHL)'!$X19</f>
        <v>0</v>
      </c>
      <c r="W98" s="47">
        <f>'[2]HARVESTING(BHL)'!$AA19</f>
        <v>0</v>
      </c>
      <c r="X98" s="47">
        <f>'[2]HARVESTING(BHL)'!$AE19</f>
        <v>0</v>
      </c>
      <c r="Y98" s="47"/>
      <c r="Z98" s="47">
        <f>'[2]HARVESTING(BHL)'!$AD19</f>
        <v>0</v>
      </c>
      <c r="AA98" s="47"/>
      <c r="AB98" s="47"/>
      <c r="AC98" s="47"/>
      <c r="AD98" s="47"/>
      <c r="AE98" s="47"/>
      <c r="AF98" s="47">
        <f>'[2]HARVESTING(BHL)'!$BI19</f>
        <v>0</v>
      </c>
      <c r="AG98" s="47"/>
      <c r="AH98" s="46"/>
      <c r="AI98" s="71">
        <f t="shared" si="14"/>
        <v>4574300</v>
      </c>
      <c r="AJ98" s="49">
        <f t="shared" si="15"/>
        <v>0</v>
      </c>
      <c r="AK98" s="71">
        <f t="shared" si="16"/>
        <v>0</v>
      </c>
      <c r="AL98" s="47"/>
      <c r="AM98" s="48">
        <f>'[2]HARVESTING(BHL)'!$AL19</f>
        <v>4379006</v>
      </c>
      <c r="AN98" s="50">
        <f t="shared" si="30"/>
        <v>195294</v>
      </c>
      <c r="AO98" s="50">
        <f t="shared" si="31"/>
        <v>4574300</v>
      </c>
      <c r="AP98" s="50">
        <f t="shared" si="32"/>
        <v>0</v>
      </c>
    </row>
    <row r="99" spans="2:43" s="33" customFormat="1" ht="23.25" customHeight="1">
      <c r="B99" s="41">
        <v>94</v>
      </c>
      <c r="C99" s="42" t="s">
        <v>422</v>
      </c>
      <c r="D99" s="103" t="s">
        <v>433</v>
      </c>
      <c r="E99" s="95" t="s">
        <v>74</v>
      </c>
      <c r="F99" s="96" t="s">
        <v>441</v>
      </c>
      <c r="G99" s="43" t="s">
        <v>431</v>
      </c>
      <c r="H99" s="44" t="s">
        <v>68</v>
      </c>
      <c r="I99" s="98" t="s">
        <v>22</v>
      </c>
      <c r="J99" s="99" t="str">
        <f>IF(ISBLANK(I99),"",IF(OR(I99="TK/0",I99="TK/1",I99="K/0"),"TER A",IF(I99="K/3","TER C","TER B")))</f>
        <v>TER A</v>
      </c>
      <c r="K99" s="45">
        <f t="shared" ref="K99:K105" si="33">30*134500</f>
        <v>4035000</v>
      </c>
      <c r="L99" s="45">
        <f t="shared" si="21"/>
        <v>33894</v>
      </c>
      <c r="M99" s="45">
        <f>'[2]HARVESTING(BHL)'!$AQ20</f>
        <v>161400</v>
      </c>
      <c r="N99" s="46"/>
      <c r="O99" s="46"/>
      <c r="P99" s="46"/>
      <c r="Q99" s="46"/>
      <c r="R99" s="46"/>
      <c r="S99" s="46">
        <v>195364</v>
      </c>
      <c r="T99" s="46">
        <v>155750</v>
      </c>
      <c r="U99" s="47"/>
      <c r="V99" s="47">
        <f>'[2]HARVESTING(BHL)'!$X20</f>
        <v>0</v>
      </c>
      <c r="W99" s="47">
        <f>'[2]HARVESTING(BHL)'!$AA20</f>
        <v>0</v>
      </c>
      <c r="X99" s="47">
        <f>'[2]HARVESTING(BHL)'!$AE20</f>
        <v>0</v>
      </c>
      <c r="Y99" s="47"/>
      <c r="Z99" s="47">
        <f>'[2]HARVESTING(BHL)'!$AD20</f>
        <v>0</v>
      </c>
      <c r="AA99" s="47"/>
      <c r="AB99" s="47"/>
      <c r="AC99" s="47"/>
      <c r="AD99" s="47"/>
      <c r="AE99" s="47"/>
      <c r="AF99" s="47">
        <f>'[2]HARVESTING(BHL)'!$BI20</f>
        <v>0</v>
      </c>
      <c r="AG99" s="47"/>
      <c r="AH99" s="47"/>
      <c r="AI99" s="71">
        <f t="shared" si="14"/>
        <v>4581408</v>
      </c>
      <c r="AJ99" s="49">
        <f t="shared" si="15"/>
        <v>0</v>
      </c>
      <c r="AK99" s="71">
        <f t="shared" si="16"/>
        <v>0</v>
      </c>
      <c r="AL99" s="47"/>
      <c r="AM99" s="48">
        <f>'[2]HARVESTING(BHL)'!$AL20</f>
        <v>4386114</v>
      </c>
      <c r="AN99" s="50">
        <f t="shared" si="30"/>
        <v>195294</v>
      </c>
      <c r="AO99" s="50">
        <f t="shared" si="31"/>
        <v>4581408</v>
      </c>
      <c r="AP99" s="50">
        <f t="shared" si="32"/>
        <v>0</v>
      </c>
    </row>
    <row r="100" spans="2:43" s="33" customFormat="1" ht="23.25" customHeight="1">
      <c r="B100" s="41">
        <v>95</v>
      </c>
      <c r="C100" s="42" t="s">
        <v>423</v>
      </c>
      <c r="D100" s="103" t="s">
        <v>434</v>
      </c>
      <c r="E100" s="95" t="s">
        <v>74</v>
      </c>
      <c r="F100" s="96" t="s">
        <v>398</v>
      </c>
      <c r="G100" s="43" t="s">
        <v>445</v>
      </c>
      <c r="H100" s="44" t="s">
        <v>68</v>
      </c>
      <c r="I100" s="104" t="s">
        <v>23</v>
      </c>
      <c r="J100" s="99" t="str">
        <f>IF(ISBLANK(I100),"",IF(OR(I100="TK/0",I100="TK/1",I100="K/0"),"TER A",IF(I100="K/3","TER C","TER B")))</f>
        <v>TER B</v>
      </c>
      <c r="K100" s="45">
        <f t="shared" si="33"/>
        <v>4035000</v>
      </c>
      <c r="L100" s="45">
        <f t="shared" si="21"/>
        <v>33894</v>
      </c>
      <c r="M100" s="45">
        <f>[2]BHL!$AQ11</f>
        <v>161400</v>
      </c>
      <c r="N100" s="46"/>
      <c r="O100" s="46"/>
      <c r="P100" s="46"/>
      <c r="Q100" s="46"/>
      <c r="R100" s="46"/>
      <c r="S100" s="46">
        <v>79560</v>
      </c>
      <c r="T100" s="46">
        <v>12250</v>
      </c>
      <c r="U100" s="47"/>
      <c r="V100" s="47">
        <f>[2]BHL!$X11</f>
        <v>0</v>
      </c>
      <c r="W100" s="47">
        <f>[2]BHL!$AA11</f>
        <v>0</v>
      </c>
      <c r="X100" s="47">
        <f>[2]BHL!$AE11</f>
        <v>0</v>
      </c>
      <c r="Y100" s="47"/>
      <c r="Z100" s="47">
        <f>[2]BHL!$AD11</f>
        <v>0</v>
      </c>
      <c r="AA100" s="47"/>
      <c r="AB100" s="47"/>
      <c r="AC100" s="47"/>
      <c r="AD100" s="47"/>
      <c r="AE100" s="47"/>
      <c r="AF100" s="47">
        <f>[2]BHL!$BI11</f>
        <v>0</v>
      </c>
      <c r="AG100" s="47"/>
      <c r="AH100" s="47"/>
      <c r="AI100" s="71">
        <f t="shared" si="14"/>
        <v>4322104</v>
      </c>
      <c r="AJ100" s="49">
        <f t="shared" si="15"/>
        <v>0</v>
      </c>
      <c r="AK100" s="71">
        <f t="shared" si="16"/>
        <v>0</v>
      </c>
      <c r="AL100" s="47"/>
      <c r="AM100" s="48">
        <f>[2]BHL!$AL11</f>
        <v>4126810</v>
      </c>
      <c r="AN100" s="50">
        <f t="shared" si="30"/>
        <v>195294</v>
      </c>
      <c r="AO100" s="50">
        <f t="shared" si="31"/>
        <v>4322104</v>
      </c>
      <c r="AP100" s="50">
        <f t="shared" si="32"/>
        <v>0</v>
      </c>
    </row>
    <row r="101" spans="2:43" s="33" customFormat="1" ht="23.25" customHeight="1">
      <c r="B101" s="41">
        <v>96</v>
      </c>
      <c r="C101" s="42" t="s">
        <v>424</v>
      </c>
      <c r="D101" s="103" t="s">
        <v>435</v>
      </c>
      <c r="E101" s="95" t="s">
        <v>74</v>
      </c>
      <c r="F101" s="96" t="s">
        <v>400</v>
      </c>
      <c r="G101" s="43" t="s">
        <v>445</v>
      </c>
      <c r="H101" s="44" t="s">
        <v>68</v>
      </c>
      <c r="I101" s="104" t="s">
        <v>18</v>
      </c>
      <c r="J101" s="99" t="str">
        <f t="shared" ref="J101:J104" si="34">IF(ISBLANK(I101),"",IF(OR(I101="TK/0",I101="TK/1",I101="K/0"),"TER A",IF(I101="K/3","TER C","TER B")))</f>
        <v>TER A</v>
      </c>
      <c r="K101" s="45">
        <f t="shared" si="33"/>
        <v>4035000</v>
      </c>
      <c r="L101" s="45">
        <f t="shared" si="21"/>
        <v>33894</v>
      </c>
      <c r="M101" s="45">
        <f>[2]BHL!$AQ12</f>
        <v>161400</v>
      </c>
      <c r="N101" s="46"/>
      <c r="O101" s="46"/>
      <c r="P101" s="46"/>
      <c r="Q101" s="46"/>
      <c r="R101" s="46"/>
      <c r="S101" s="46">
        <v>44200</v>
      </c>
      <c r="T101" s="46">
        <v>5250</v>
      </c>
      <c r="U101" s="47"/>
      <c r="V101" s="47">
        <f>[2]BHL!$X12</f>
        <v>0</v>
      </c>
      <c r="W101" s="47">
        <f>[2]BHL!$AA12</f>
        <v>0</v>
      </c>
      <c r="X101" s="47">
        <f>[2]BHL!$AE12</f>
        <v>0</v>
      </c>
      <c r="Y101" s="47"/>
      <c r="Z101" s="47">
        <f>[2]BHL!$AD12</f>
        <v>0</v>
      </c>
      <c r="AA101" s="47"/>
      <c r="AB101" s="47"/>
      <c r="AC101" s="47"/>
      <c r="AD101" s="47"/>
      <c r="AE101" s="47"/>
      <c r="AF101" s="47">
        <f>[2]BHL!$BI12</f>
        <v>0</v>
      </c>
      <c r="AG101" s="47"/>
      <c r="AH101" s="47"/>
      <c r="AI101" s="71">
        <f t="shared" si="14"/>
        <v>4279744</v>
      </c>
      <c r="AJ101" s="49">
        <f t="shared" si="15"/>
        <v>0</v>
      </c>
      <c r="AK101" s="71">
        <f t="shared" si="16"/>
        <v>0</v>
      </c>
      <c r="AL101" s="47"/>
      <c r="AM101" s="48">
        <f>[2]BHL!$AL12</f>
        <v>4084450</v>
      </c>
      <c r="AN101" s="50">
        <f t="shared" si="30"/>
        <v>195294</v>
      </c>
      <c r="AO101" s="50">
        <f t="shared" si="31"/>
        <v>4279744</v>
      </c>
      <c r="AP101" s="50">
        <f t="shared" si="32"/>
        <v>0</v>
      </c>
    </row>
    <row r="102" spans="2:43" s="33" customFormat="1" ht="23.25" customHeight="1">
      <c r="B102" s="41">
        <v>97</v>
      </c>
      <c r="C102" s="42" t="s">
        <v>425</v>
      </c>
      <c r="D102" s="103" t="s">
        <v>436</v>
      </c>
      <c r="E102" s="95" t="s">
        <v>74</v>
      </c>
      <c r="F102" s="96" t="s">
        <v>402</v>
      </c>
      <c r="G102" s="43" t="s">
        <v>445</v>
      </c>
      <c r="H102" s="44" t="s">
        <v>68</v>
      </c>
      <c r="I102" s="104" t="s">
        <v>18</v>
      </c>
      <c r="J102" s="99" t="str">
        <f t="shared" si="34"/>
        <v>TER A</v>
      </c>
      <c r="K102" s="45">
        <f t="shared" si="33"/>
        <v>4035000</v>
      </c>
      <c r="L102" s="45">
        <f t="shared" si="21"/>
        <v>33894</v>
      </c>
      <c r="M102" s="45">
        <f>[2]BHL!$AQ13</f>
        <v>161400</v>
      </c>
      <c r="N102" s="46"/>
      <c r="O102" s="46"/>
      <c r="P102" s="46"/>
      <c r="Q102" s="46"/>
      <c r="R102" s="46"/>
      <c r="S102" s="46">
        <v>49504</v>
      </c>
      <c r="T102" s="46">
        <v>5250</v>
      </c>
      <c r="U102" s="47"/>
      <c r="V102" s="47">
        <f>[2]BHL!$X13</f>
        <v>0</v>
      </c>
      <c r="W102" s="47">
        <f>[2]BHL!$AA13</f>
        <v>0</v>
      </c>
      <c r="X102" s="47">
        <f>[2]BHL!$AE13</f>
        <v>0</v>
      </c>
      <c r="Y102" s="47"/>
      <c r="Z102" s="47">
        <f>[2]BHL!$AD13</f>
        <v>0</v>
      </c>
      <c r="AA102" s="47"/>
      <c r="AB102" s="47"/>
      <c r="AC102" s="47"/>
      <c r="AD102" s="47"/>
      <c r="AE102" s="47"/>
      <c r="AF102" s="47">
        <f>[2]BHL!$BI13</f>
        <v>0</v>
      </c>
      <c r="AG102" s="47"/>
      <c r="AH102" s="47"/>
      <c r="AI102" s="71">
        <f t="shared" si="14"/>
        <v>4285048</v>
      </c>
      <c r="AJ102" s="49">
        <f t="shared" si="15"/>
        <v>0</v>
      </c>
      <c r="AK102" s="71">
        <f t="shared" si="16"/>
        <v>0</v>
      </c>
      <c r="AL102" s="47"/>
      <c r="AM102" s="48">
        <f>[2]BHL!$AL13</f>
        <v>4089754</v>
      </c>
      <c r="AN102" s="50">
        <f t="shared" si="30"/>
        <v>195294</v>
      </c>
      <c r="AO102" s="50">
        <f t="shared" si="31"/>
        <v>4285048</v>
      </c>
      <c r="AP102" s="50">
        <f t="shared" si="32"/>
        <v>0</v>
      </c>
    </row>
    <row r="103" spans="2:43" s="33" customFormat="1" ht="23.25" customHeight="1">
      <c r="B103" s="41">
        <v>98</v>
      </c>
      <c r="C103" s="42" t="s">
        <v>426</v>
      </c>
      <c r="D103" s="103" t="s">
        <v>437</v>
      </c>
      <c r="E103" s="95" t="s">
        <v>74</v>
      </c>
      <c r="F103" s="96" t="s">
        <v>442</v>
      </c>
      <c r="G103" s="43" t="s">
        <v>445</v>
      </c>
      <c r="H103" s="44" t="s">
        <v>68</v>
      </c>
      <c r="I103" s="104" t="s">
        <v>18</v>
      </c>
      <c r="J103" s="99" t="str">
        <f t="shared" si="34"/>
        <v>TER A</v>
      </c>
      <c r="K103" s="45">
        <f t="shared" si="33"/>
        <v>4035000</v>
      </c>
      <c r="L103" s="45">
        <f t="shared" si="21"/>
        <v>33894</v>
      </c>
      <c r="M103" s="45">
        <f>[2]BHL!$AQ14</f>
        <v>161400</v>
      </c>
      <c r="N103" s="46"/>
      <c r="O103" s="46"/>
      <c r="P103" s="46"/>
      <c r="Q103" s="46"/>
      <c r="R103" s="46"/>
      <c r="S103" s="46">
        <v>70720</v>
      </c>
      <c r="T103" s="46">
        <v>8750</v>
      </c>
      <c r="U103" s="47"/>
      <c r="V103" s="47">
        <f>[2]BHL!$X14</f>
        <v>0</v>
      </c>
      <c r="W103" s="47">
        <f>[2]BHL!$AA14</f>
        <v>0</v>
      </c>
      <c r="X103" s="47">
        <f>[2]BHL!$AE14</f>
        <v>0</v>
      </c>
      <c r="Y103" s="47"/>
      <c r="Z103" s="47">
        <f>[2]BHL!$AD14</f>
        <v>0</v>
      </c>
      <c r="AA103" s="47"/>
      <c r="AB103" s="47"/>
      <c r="AC103" s="47"/>
      <c r="AD103" s="47"/>
      <c r="AE103" s="47"/>
      <c r="AF103" s="47">
        <f>[2]BHL!$BI14</f>
        <v>-134500</v>
      </c>
      <c r="AG103" s="47"/>
      <c r="AH103" s="47"/>
      <c r="AI103" s="71">
        <f t="shared" si="14"/>
        <v>4175264</v>
      </c>
      <c r="AJ103" s="49">
        <f t="shared" si="15"/>
        <v>0</v>
      </c>
      <c r="AK103" s="71">
        <f t="shared" si="16"/>
        <v>0</v>
      </c>
      <c r="AL103" s="47"/>
      <c r="AM103" s="48">
        <f>[2]BHL!$AL14</f>
        <v>3979970</v>
      </c>
      <c r="AN103" s="50">
        <f t="shared" si="30"/>
        <v>195294</v>
      </c>
      <c r="AO103" s="50">
        <f t="shared" si="31"/>
        <v>4175264</v>
      </c>
      <c r="AP103" s="50">
        <f t="shared" si="32"/>
        <v>0</v>
      </c>
    </row>
    <row r="104" spans="2:43" s="33" customFormat="1" ht="23.25" customHeight="1">
      <c r="B104" s="41">
        <v>99</v>
      </c>
      <c r="C104" s="42" t="s">
        <v>427</v>
      </c>
      <c r="D104" s="103" t="s">
        <v>438</v>
      </c>
      <c r="E104" s="95" t="s">
        <v>74</v>
      </c>
      <c r="F104" s="96" t="s">
        <v>443</v>
      </c>
      <c r="G104" s="43" t="s">
        <v>445</v>
      </c>
      <c r="H104" s="44" t="s">
        <v>68</v>
      </c>
      <c r="I104" s="104" t="s">
        <v>18</v>
      </c>
      <c r="J104" s="99" t="str">
        <f t="shared" si="34"/>
        <v>TER A</v>
      </c>
      <c r="K104" s="45">
        <f t="shared" si="33"/>
        <v>4035000</v>
      </c>
      <c r="L104" s="45">
        <f t="shared" si="21"/>
        <v>33894</v>
      </c>
      <c r="M104" s="45">
        <f>[2]BHL!$AQ15</f>
        <v>161400</v>
      </c>
      <c r="N104" s="46"/>
      <c r="O104" s="46"/>
      <c r="P104" s="46"/>
      <c r="Q104" s="46"/>
      <c r="R104" s="46"/>
      <c r="S104" s="46">
        <v>44200</v>
      </c>
      <c r="T104" s="46">
        <v>3500</v>
      </c>
      <c r="U104" s="47"/>
      <c r="V104" s="47">
        <f>[2]BHL!$X15</f>
        <v>0</v>
      </c>
      <c r="W104" s="47">
        <f>[2]BHL!$AA15</f>
        <v>0</v>
      </c>
      <c r="X104" s="47">
        <f>[2]BHL!$AE15</f>
        <v>0</v>
      </c>
      <c r="Y104" s="47"/>
      <c r="Z104" s="47">
        <f>[2]BHL!$AD15</f>
        <v>0</v>
      </c>
      <c r="AA104" s="47"/>
      <c r="AB104" s="47"/>
      <c r="AC104" s="47"/>
      <c r="AD104" s="47"/>
      <c r="AE104" s="47"/>
      <c r="AF104" s="47">
        <f>[2]BHL!$BI15</f>
        <v>-134500</v>
      </c>
      <c r="AG104" s="47"/>
      <c r="AH104" s="47"/>
      <c r="AI104" s="71">
        <f t="shared" si="14"/>
        <v>4143494</v>
      </c>
      <c r="AJ104" s="49">
        <f t="shared" si="15"/>
        <v>0</v>
      </c>
      <c r="AK104" s="71">
        <f t="shared" si="16"/>
        <v>0</v>
      </c>
      <c r="AL104" s="47"/>
      <c r="AM104" s="48">
        <f>[2]BHL!$AL15</f>
        <v>3948200</v>
      </c>
      <c r="AN104" s="50">
        <f t="shared" si="30"/>
        <v>195294</v>
      </c>
      <c r="AO104" s="50">
        <f>AM104+AN104+AG104</f>
        <v>4143494</v>
      </c>
      <c r="AP104" s="50">
        <f t="shared" si="32"/>
        <v>0</v>
      </c>
    </row>
    <row r="105" spans="2:43" s="33" customFormat="1" ht="23.25" customHeight="1" thickBot="1">
      <c r="B105" s="41">
        <v>100</v>
      </c>
      <c r="C105" s="42" t="s">
        <v>428</v>
      </c>
      <c r="D105" s="103" t="s">
        <v>439</v>
      </c>
      <c r="E105" s="95" t="s">
        <v>74</v>
      </c>
      <c r="F105" s="96" t="s">
        <v>444</v>
      </c>
      <c r="G105" s="43" t="s">
        <v>445</v>
      </c>
      <c r="H105" s="44" t="s">
        <v>68</v>
      </c>
      <c r="I105" s="104" t="s">
        <v>23</v>
      </c>
      <c r="J105" s="99" t="str">
        <f>IF(ISBLANK(I105),"",IF(OR(I105="TK/0",I105="TK/1",I105="K/0"),"TER A",IF(I105="K/3","TER C","TER B")))</f>
        <v>TER B</v>
      </c>
      <c r="K105" s="45">
        <f t="shared" si="33"/>
        <v>4035000</v>
      </c>
      <c r="L105" s="45">
        <f t="shared" si="21"/>
        <v>33894</v>
      </c>
      <c r="M105" s="45">
        <f>[2]BHL!$AQ16</f>
        <v>161400</v>
      </c>
      <c r="N105" s="46"/>
      <c r="O105" s="46"/>
      <c r="P105" s="46"/>
      <c r="Q105" s="46"/>
      <c r="R105" s="46"/>
      <c r="S105" s="46">
        <v>71604</v>
      </c>
      <c r="T105" s="46">
        <v>10500</v>
      </c>
      <c r="U105" s="47"/>
      <c r="V105" s="47">
        <f>[2]BHL!$X16</f>
        <v>0</v>
      </c>
      <c r="W105" s="47">
        <f>[2]BHL!$AA16</f>
        <v>0</v>
      </c>
      <c r="X105" s="47">
        <f>[2]BHL!$AE16</f>
        <v>0</v>
      </c>
      <c r="Y105" s="47"/>
      <c r="Z105" s="47">
        <f>[2]BHL!$AD16</f>
        <v>0</v>
      </c>
      <c r="AA105" s="47"/>
      <c r="AB105" s="47"/>
      <c r="AC105" s="47"/>
      <c r="AD105" s="47"/>
      <c r="AE105" s="47"/>
      <c r="AF105" s="47">
        <f>[2]BHL!$BI16</f>
        <v>0</v>
      </c>
      <c r="AG105" s="47"/>
      <c r="AH105" s="47"/>
      <c r="AI105" s="71">
        <f t="shared" si="14"/>
        <v>4312398</v>
      </c>
      <c r="AJ105" s="49">
        <f t="shared" si="15"/>
        <v>0</v>
      </c>
      <c r="AK105" s="71">
        <f t="shared" si="16"/>
        <v>0</v>
      </c>
      <c r="AL105" s="47"/>
      <c r="AM105" s="48">
        <f>[2]BHL!$AL16</f>
        <v>4117104</v>
      </c>
      <c r="AN105" s="50">
        <f t="shared" si="30"/>
        <v>195294</v>
      </c>
      <c r="AO105" s="50">
        <f t="shared" si="31"/>
        <v>4312398</v>
      </c>
      <c r="AP105" s="50">
        <f t="shared" si="32"/>
        <v>0</v>
      </c>
    </row>
    <row r="106" spans="2:43" s="60" customFormat="1" ht="35.25" customHeight="1" thickBot="1">
      <c r="B106" s="56"/>
      <c r="C106" s="57"/>
      <c r="D106" s="57"/>
      <c r="E106" s="57"/>
      <c r="F106" s="57"/>
      <c r="G106" s="57"/>
      <c r="H106" s="57"/>
      <c r="I106" s="57"/>
      <c r="J106" s="57"/>
      <c r="K106" s="58">
        <f t="shared" ref="K106:X106" si="35">SUM(K6:K105)</f>
        <v>415874000</v>
      </c>
      <c r="L106" s="58">
        <f t="shared" si="35"/>
        <v>3416678.9999999995</v>
      </c>
      <c r="M106" s="58">
        <f t="shared" si="35"/>
        <v>16269900</v>
      </c>
      <c r="N106" s="58">
        <f t="shared" si="35"/>
        <v>748315</v>
      </c>
      <c r="O106" s="58">
        <f t="shared" si="35"/>
        <v>564000</v>
      </c>
      <c r="P106" s="58">
        <f t="shared" si="35"/>
        <v>35500</v>
      </c>
      <c r="Q106" s="58">
        <f t="shared" si="35"/>
        <v>253560</v>
      </c>
      <c r="R106" s="58">
        <f t="shared" si="35"/>
        <v>284284</v>
      </c>
      <c r="S106" s="58">
        <f t="shared" si="35"/>
        <v>3991260</v>
      </c>
      <c r="T106" s="58">
        <f t="shared" si="35"/>
        <v>2406250</v>
      </c>
      <c r="U106" s="58">
        <f t="shared" si="35"/>
        <v>0</v>
      </c>
      <c r="V106" s="58">
        <f t="shared" si="35"/>
        <v>8450950</v>
      </c>
      <c r="W106" s="58">
        <f t="shared" si="35"/>
        <v>639000</v>
      </c>
      <c r="X106" s="58">
        <f t="shared" si="35"/>
        <v>9830939.5500000007</v>
      </c>
      <c r="Y106" s="58">
        <f t="shared" ref="Y106:AH106" si="36">SUM(Y6:Y105)</f>
        <v>0</v>
      </c>
      <c r="Z106" s="58">
        <f>SUM(Z6:Z105)</f>
        <v>3247500</v>
      </c>
      <c r="AA106" s="58">
        <f t="shared" si="36"/>
        <v>0</v>
      </c>
      <c r="AB106" s="58">
        <f t="shared" si="36"/>
        <v>0</v>
      </c>
      <c r="AC106" s="58">
        <f t="shared" si="36"/>
        <v>0</v>
      </c>
      <c r="AD106" s="58">
        <f t="shared" si="36"/>
        <v>0</v>
      </c>
      <c r="AE106" s="58">
        <f t="shared" si="36"/>
        <v>0</v>
      </c>
      <c r="AF106" s="58">
        <f>SUM(AF6:AF105)</f>
        <v>-8877000</v>
      </c>
      <c r="AG106" s="58">
        <f>SUM(AG6:AG105)</f>
        <v>0</v>
      </c>
      <c r="AH106" s="58">
        <f t="shared" si="36"/>
        <v>0</v>
      </c>
      <c r="AI106" s="58">
        <f>SUM(AI6:AI105)</f>
        <v>457135139</v>
      </c>
      <c r="AJ106" s="58">
        <f>SUM(AJ6:AJ105)</f>
        <v>3.5000000000000003E-2</v>
      </c>
      <c r="AK106" s="58">
        <f>SUM(AK6:AK105)</f>
        <v>238611</v>
      </c>
      <c r="AL106" s="86"/>
      <c r="AM106" s="69">
        <f>SUM(AM6:AM105)</f>
        <v>437448558.55000001</v>
      </c>
      <c r="AN106" s="69">
        <f t="shared" ref="AN106:AP106" si="37">SUM(AN6:AN105)</f>
        <v>19686578.999999993</v>
      </c>
      <c r="AO106" s="69">
        <f>SUM(AO6:AO105)</f>
        <v>457135137.54999983</v>
      </c>
      <c r="AP106" s="69">
        <f t="shared" si="37"/>
        <v>1.4500000020489097</v>
      </c>
      <c r="AQ106" s="69">
        <f>SUM(AQ6:AQ96)</f>
        <v>0</v>
      </c>
    </row>
    <row r="107" spans="2:43" ht="15">
      <c r="D107" s="108"/>
      <c r="E107" s="63"/>
      <c r="AA107" s="108"/>
      <c r="AB107" s="63"/>
      <c r="AC107" s="64"/>
      <c r="AD107" s="64"/>
      <c r="AE107" s="64"/>
      <c r="AF107" s="64"/>
      <c r="AG107" s="64"/>
      <c r="AH107" s="64"/>
      <c r="AI107" s="64"/>
      <c r="AN107" s="65"/>
      <c r="AO107" s="65"/>
      <c r="AP107" s="65"/>
    </row>
    <row r="108" spans="2:43" s="93" customFormat="1" ht="15" customHeight="1">
      <c r="B108" s="105" t="s">
        <v>376</v>
      </c>
      <c r="C108" s="97" t="s">
        <v>375</v>
      </c>
      <c r="D108" s="89"/>
      <c r="E108" s="90"/>
      <c r="F108" s="88"/>
      <c r="G108" s="91"/>
      <c r="H108" s="92"/>
      <c r="I108" s="92"/>
      <c r="J108" s="92"/>
      <c r="K108" s="97"/>
      <c r="L108" s="97"/>
      <c r="M108" s="88">
        <f>[2]TRANSPORT!$AJ16+'[2]MAINTENANCE-2'!$AQ85+'[2]HARVESTING (KHT)'!$AQ16+'[2]HARVESTING(BHL)'!$AQ21+[2]BHL!$AQ17</f>
        <v>16269900</v>
      </c>
      <c r="N108" s="88"/>
      <c r="O108" s="88"/>
      <c r="P108" s="88"/>
      <c r="Q108" s="88"/>
      <c r="R108" s="88"/>
      <c r="S108" s="88">
        <f>'[2]HARVESTING (KHT)'!$AF16+'[2]HARVESTING(BHL)'!$AF21+[2]BHL!$AF17</f>
        <v>3991260</v>
      </c>
      <c r="T108" s="88">
        <f>'[2]HARVESTING (KHT)'!$AG16+'[2]HARVESTING(BHL)'!$AG21+[2]BHL!$AG17</f>
        <v>2406250</v>
      </c>
      <c r="U108" s="88"/>
      <c r="V108" s="88">
        <f>[2]TRANSPORT!$S16+'[2]MAINTENANCE-2'!$X85+'[2]HARVESTING (KHT)'!$X16</f>
        <v>8450950</v>
      </c>
      <c r="W108" s="88">
        <f>[2]TRANSPORT!$V16+'[2]MAINTENANCE-2'!$AA85+'[2]HARVESTING (KHT)'!$AA16</f>
        <v>639000</v>
      </c>
      <c r="X108" s="88">
        <f>[2]TRANSPORT!$Z16+'[2]MAINTENANCE-2'!$AE85+'[2]HARVESTING (KHT)'!$AE16</f>
        <v>9830939.5500000007</v>
      </c>
      <c r="Y108" s="88"/>
      <c r="Z108" s="88">
        <f>[2]TRANSPORT!$Y16+'[2]MAINTENANCE-2'!$AD85+'[2]HARVESTING (KHT)'!$AD16</f>
        <v>3247500</v>
      </c>
      <c r="AA108" s="88"/>
      <c r="AB108" s="88"/>
      <c r="AC108" s="88"/>
      <c r="AD108" s="88"/>
      <c r="AE108" s="88"/>
      <c r="AF108" s="88">
        <f>[2]TRANSPORT!$BE16+'[2]MAINTENANCE-2'!$BI85+'[2]HARVESTING (KHT)'!$BI16+'[2]HARVESTING(BHL)'!$BI21+[2]BHL!$BI17+(-134500)</f>
        <v>-8877000</v>
      </c>
      <c r="AG108" s="88"/>
      <c r="AH108" s="88"/>
      <c r="AI108" s="88"/>
      <c r="AK108" s="88">
        <f>[2]TRANSPORT!$AQ16+'[2]MAINTENANCE-2'!$AW85+'[2]HARVESTING (KHT)'!$AW16</f>
        <v>238611</v>
      </c>
      <c r="AL108" s="88"/>
      <c r="AM108" s="102">
        <f>[2]TRANSPORT!$AE16+'[2]MAINTENANCE-2'!$AL85+'[2]HARVESTING (KHT)'!$AL16+'[2]HARVESTING(BHL)'!$AL21+[2]BHL!$AL17</f>
        <v>437448558.55000001</v>
      </c>
      <c r="AN108" s="87"/>
      <c r="AO108" s="87"/>
      <c r="AP108" s="87"/>
    </row>
    <row r="109" spans="2:43" ht="15" hidden="1" customHeight="1">
      <c r="B109" s="59" t="s">
        <v>208</v>
      </c>
      <c r="N109" s="61"/>
      <c r="O109" s="61"/>
      <c r="P109" s="61"/>
      <c r="Q109" s="82"/>
      <c r="R109" s="82"/>
      <c r="S109" s="61"/>
      <c r="T109" s="61"/>
      <c r="U109" s="61"/>
      <c r="V109" s="83"/>
      <c r="W109" s="83"/>
      <c r="X109" s="83"/>
      <c r="AM109" s="51">
        <f>AM106-AM108</f>
        <v>0</v>
      </c>
    </row>
    <row r="110" spans="2:43" ht="15" hidden="1" customHeight="1">
      <c r="B110" s="33" t="s">
        <v>209</v>
      </c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</row>
    <row r="111" spans="2:43" ht="15" hidden="1" customHeight="1">
      <c r="B111" s="33" t="s">
        <v>210</v>
      </c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</row>
    <row r="112" spans="2:43" ht="15" hidden="1" customHeight="1">
      <c r="B112" s="33" t="s">
        <v>211</v>
      </c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</row>
    <row r="113" spans="2:51" s="62" customFormat="1" ht="15" hidden="1" customHeight="1">
      <c r="B113" s="33" t="s">
        <v>212</v>
      </c>
      <c r="C113" s="97"/>
      <c r="D113" s="34"/>
      <c r="E113" s="35"/>
      <c r="F113" s="97"/>
      <c r="G113" s="36"/>
      <c r="H113" s="37"/>
      <c r="I113" s="37"/>
      <c r="J113" s="37"/>
      <c r="K113" s="97"/>
      <c r="L113" s="97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38"/>
      <c r="AK113" s="97"/>
      <c r="AL113" s="97"/>
      <c r="AM113" s="33"/>
      <c r="AN113" s="33"/>
      <c r="AO113" s="33"/>
      <c r="AP113" s="33"/>
      <c r="AQ113" s="39"/>
      <c r="AR113" s="39"/>
      <c r="AS113" s="39"/>
      <c r="AT113" s="39"/>
      <c r="AU113" s="39"/>
      <c r="AV113" s="39"/>
      <c r="AW113" s="39"/>
      <c r="AX113" s="39"/>
      <c r="AY113" s="39"/>
    </row>
    <row r="114" spans="2:51" s="62" customFormat="1" ht="15" hidden="1" customHeight="1">
      <c r="B114" s="33" t="s">
        <v>213</v>
      </c>
      <c r="C114" s="97"/>
      <c r="D114" s="34"/>
      <c r="E114" s="35"/>
      <c r="F114" s="97"/>
      <c r="G114" s="36"/>
      <c r="H114" s="37"/>
      <c r="I114" s="37"/>
      <c r="J114" s="37"/>
      <c r="K114" s="97"/>
      <c r="L114" s="97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38"/>
      <c r="AK114" s="97"/>
      <c r="AL114" s="97"/>
      <c r="AM114" s="33"/>
      <c r="AN114" s="33"/>
      <c r="AO114" s="33"/>
      <c r="AP114" s="33"/>
      <c r="AQ114" s="39"/>
      <c r="AR114" s="39"/>
      <c r="AS114" s="39"/>
      <c r="AT114" s="39"/>
      <c r="AU114" s="39"/>
      <c r="AV114" s="39"/>
      <c r="AW114" s="39"/>
      <c r="AX114" s="39"/>
      <c r="AY114" s="39"/>
    </row>
    <row r="115" spans="2:51" s="62" customFormat="1" ht="15" hidden="1" customHeight="1">
      <c r="B115" s="33" t="s">
        <v>214</v>
      </c>
      <c r="C115" s="97"/>
      <c r="D115" s="34"/>
      <c r="E115" s="35"/>
      <c r="F115" s="97"/>
      <c r="G115" s="36"/>
      <c r="H115" s="37"/>
      <c r="I115" s="37"/>
      <c r="J115" s="37"/>
      <c r="K115" s="97"/>
      <c r="L115" s="97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38"/>
      <c r="AK115" s="97"/>
      <c r="AL115" s="97"/>
      <c r="AM115" s="33"/>
      <c r="AN115" s="33"/>
      <c r="AO115" s="33"/>
      <c r="AP115" s="33"/>
      <c r="AQ115" s="39"/>
      <c r="AR115" s="39"/>
      <c r="AS115" s="39"/>
      <c r="AT115" s="39"/>
      <c r="AU115" s="39"/>
      <c r="AV115" s="39"/>
      <c r="AW115" s="39"/>
      <c r="AX115" s="39"/>
      <c r="AY115" s="39"/>
    </row>
    <row r="116" spans="2:51" s="62" customFormat="1" ht="15" hidden="1" customHeight="1">
      <c r="B116" s="33" t="s">
        <v>215</v>
      </c>
      <c r="C116" s="97"/>
      <c r="D116" s="34"/>
      <c r="E116" s="35"/>
      <c r="F116" s="97"/>
      <c r="G116" s="36"/>
      <c r="H116" s="37"/>
      <c r="I116" s="37"/>
      <c r="J116" s="37"/>
      <c r="K116" s="97"/>
      <c r="L116" s="97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38"/>
      <c r="AK116" s="97"/>
      <c r="AL116" s="97"/>
      <c r="AM116" s="33"/>
      <c r="AN116" s="33"/>
      <c r="AO116" s="33"/>
      <c r="AP116" s="33"/>
      <c r="AQ116" s="39"/>
      <c r="AR116" s="39"/>
      <c r="AS116" s="39"/>
      <c r="AT116" s="39"/>
      <c r="AU116" s="39"/>
      <c r="AV116" s="39"/>
      <c r="AW116" s="39"/>
      <c r="AX116" s="39"/>
      <c r="AY116" s="39"/>
    </row>
    <row r="117" spans="2:51" s="62" customFormat="1" ht="15" hidden="1" customHeight="1">
      <c r="B117" s="33" t="s">
        <v>216</v>
      </c>
      <c r="C117" s="97"/>
      <c r="D117" s="34"/>
      <c r="E117" s="35"/>
      <c r="F117" s="97"/>
      <c r="G117" s="36"/>
      <c r="H117" s="37"/>
      <c r="I117" s="37"/>
      <c r="J117" s="37"/>
      <c r="K117" s="97"/>
      <c r="L117" s="97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38"/>
      <c r="AK117" s="97"/>
      <c r="AL117" s="97"/>
      <c r="AM117" s="33"/>
      <c r="AN117" s="33"/>
      <c r="AO117" s="33"/>
      <c r="AP117" s="33"/>
      <c r="AQ117" s="39"/>
      <c r="AR117" s="39"/>
      <c r="AS117" s="39"/>
      <c r="AT117" s="39"/>
      <c r="AU117" s="39"/>
      <c r="AV117" s="39"/>
      <c r="AW117" s="39"/>
      <c r="AX117" s="39"/>
      <c r="AY117" s="39"/>
    </row>
    <row r="118" spans="2:51" s="62" customFormat="1" ht="15" hidden="1" customHeight="1">
      <c r="B118" s="33" t="s">
        <v>217</v>
      </c>
      <c r="C118" s="97"/>
      <c r="D118" s="34"/>
      <c r="E118" s="35"/>
      <c r="F118" s="97"/>
      <c r="G118" s="36"/>
      <c r="H118" s="37"/>
      <c r="I118" s="37"/>
      <c r="J118" s="37"/>
      <c r="K118" s="97"/>
      <c r="L118" s="97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38"/>
      <c r="AK118" s="97"/>
      <c r="AL118" s="97"/>
      <c r="AM118" s="33"/>
      <c r="AN118" s="33"/>
      <c r="AO118" s="33"/>
      <c r="AP118" s="33"/>
      <c r="AQ118" s="39"/>
      <c r="AR118" s="39"/>
      <c r="AS118" s="39"/>
      <c r="AT118" s="39"/>
      <c r="AU118" s="39"/>
      <c r="AV118" s="39"/>
      <c r="AW118" s="39"/>
      <c r="AX118" s="39"/>
      <c r="AY118" s="39"/>
    </row>
    <row r="119" spans="2:51" s="62" customFormat="1" ht="15" hidden="1" customHeight="1">
      <c r="B119" s="33" t="s">
        <v>218</v>
      </c>
      <c r="C119" s="97"/>
      <c r="D119" s="34"/>
      <c r="E119" s="35"/>
      <c r="F119" s="97"/>
      <c r="G119" s="36"/>
      <c r="H119" s="37"/>
      <c r="I119" s="37"/>
      <c r="J119" s="37"/>
      <c r="K119" s="97"/>
      <c r="L119" s="97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38"/>
      <c r="AK119" s="97"/>
      <c r="AL119" s="97"/>
      <c r="AM119" s="33"/>
      <c r="AN119" s="33"/>
      <c r="AO119" s="33"/>
      <c r="AP119" s="33"/>
      <c r="AQ119" s="39"/>
      <c r="AR119" s="39"/>
      <c r="AS119" s="39"/>
      <c r="AT119" s="39"/>
      <c r="AU119" s="39"/>
      <c r="AV119" s="39"/>
      <c r="AW119" s="39"/>
      <c r="AX119" s="39"/>
      <c r="AY119" s="39"/>
    </row>
    <row r="120" spans="2:51" s="62" customFormat="1" ht="15" hidden="1" customHeight="1">
      <c r="B120" s="33"/>
      <c r="C120" s="97"/>
      <c r="D120" s="34"/>
      <c r="E120" s="35"/>
      <c r="F120" s="97"/>
      <c r="G120" s="36"/>
      <c r="H120" s="37"/>
      <c r="I120" s="37"/>
      <c r="J120" s="37"/>
      <c r="K120" s="97"/>
      <c r="L120" s="97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38"/>
      <c r="AK120" s="97"/>
      <c r="AL120" s="97"/>
      <c r="AM120" s="33"/>
      <c r="AN120" s="33"/>
      <c r="AO120" s="33"/>
      <c r="AP120" s="33"/>
      <c r="AQ120" s="39"/>
      <c r="AR120" s="39"/>
      <c r="AS120" s="39"/>
      <c r="AT120" s="39"/>
      <c r="AU120" s="39"/>
      <c r="AV120" s="39"/>
      <c r="AW120" s="39"/>
      <c r="AX120" s="39"/>
      <c r="AY120" s="39"/>
    </row>
    <row r="121" spans="2:51" s="62" customFormat="1" ht="15" customHeight="1">
      <c r="B121" s="33"/>
      <c r="C121" s="97" t="s">
        <v>446</v>
      </c>
      <c r="D121" s="34"/>
      <c r="E121" s="35"/>
      <c r="F121" s="97"/>
      <c r="G121" s="36"/>
      <c r="H121" s="37"/>
      <c r="I121" s="37"/>
      <c r="J121" s="37"/>
      <c r="K121" s="97"/>
      <c r="L121" s="97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38"/>
      <c r="AK121" s="97"/>
      <c r="AL121" s="97"/>
      <c r="AM121" s="33"/>
      <c r="AN121" s="33"/>
      <c r="AO121" s="33"/>
      <c r="AP121" s="33"/>
      <c r="AQ121" s="39"/>
      <c r="AR121" s="39"/>
      <c r="AS121" s="39"/>
      <c r="AT121" s="39"/>
      <c r="AU121" s="39"/>
      <c r="AV121" s="39"/>
      <c r="AW121" s="39"/>
      <c r="AX121" s="39"/>
      <c r="AY121" s="39"/>
    </row>
    <row r="122" spans="2:51" s="62" customFormat="1" ht="15" customHeight="1">
      <c r="B122" s="33"/>
      <c r="C122" s="97" t="s">
        <v>447</v>
      </c>
      <c r="F122" s="110" t="s">
        <v>219</v>
      </c>
      <c r="G122" s="64"/>
      <c r="H122" s="37"/>
      <c r="I122" s="37"/>
      <c r="J122" s="117" t="s">
        <v>220</v>
      </c>
      <c r="K122" s="117"/>
      <c r="L122" s="117"/>
      <c r="M122" s="64"/>
      <c r="N122" s="64"/>
      <c r="O122" s="64"/>
      <c r="P122" s="64"/>
      <c r="Q122" s="64"/>
      <c r="R122" s="64"/>
      <c r="S122" s="64"/>
      <c r="T122" s="61"/>
      <c r="U122" s="61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I122" s="118" t="s">
        <v>226</v>
      </c>
      <c r="AJ122" s="118"/>
      <c r="AK122" s="118"/>
      <c r="AL122" s="97"/>
      <c r="AM122" s="33"/>
      <c r="AN122" s="33"/>
      <c r="AO122" s="33"/>
      <c r="AP122" s="33"/>
      <c r="AQ122" s="39"/>
      <c r="AR122" s="39"/>
      <c r="AS122" s="39"/>
      <c r="AT122" s="39"/>
      <c r="AU122" s="39"/>
      <c r="AV122" s="39"/>
      <c r="AW122" s="39"/>
      <c r="AX122" s="39"/>
      <c r="AY122" s="39"/>
    </row>
    <row r="123" spans="2:51" ht="15">
      <c r="C123" s="97" t="s">
        <v>448</v>
      </c>
      <c r="F123" s="108"/>
      <c r="G123" s="63"/>
      <c r="AA123" s="108"/>
      <c r="AB123" s="63"/>
      <c r="AC123" s="64"/>
      <c r="AD123" s="64"/>
      <c r="AE123" s="64"/>
      <c r="AF123" s="64"/>
      <c r="AG123" s="64"/>
      <c r="AH123" s="64"/>
    </row>
    <row r="124" spans="2:51" ht="15">
      <c r="C124" s="97" t="s">
        <v>449</v>
      </c>
      <c r="F124" s="108"/>
      <c r="G124" s="63"/>
      <c r="AA124" s="108"/>
      <c r="AB124" s="63"/>
      <c r="AC124" s="64"/>
      <c r="AD124" s="64"/>
      <c r="AE124" s="64"/>
      <c r="AF124" s="64"/>
      <c r="AG124" s="64"/>
      <c r="AH124" s="64"/>
    </row>
    <row r="125" spans="2:51" ht="15">
      <c r="C125" s="97" t="s">
        <v>450</v>
      </c>
      <c r="F125" s="108"/>
      <c r="G125" s="63"/>
      <c r="AA125" s="108"/>
      <c r="AB125" s="63"/>
      <c r="AC125" s="64"/>
      <c r="AD125" s="64"/>
      <c r="AE125" s="64"/>
      <c r="AF125" s="64"/>
      <c r="AG125" s="64"/>
      <c r="AH125" s="64"/>
      <c r="AI125" s="64"/>
    </row>
    <row r="126" spans="2:51" ht="15">
      <c r="C126" s="97" t="s">
        <v>451</v>
      </c>
      <c r="F126" s="108"/>
      <c r="G126" s="63"/>
      <c r="AA126" s="108"/>
      <c r="AB126" s="63"/>
      <c r="AC126" s="64"/>
      <c r="AD126" s="64"/>
      <c r="AE126" s="64"/>
      <c r="AF126" s="64"/>
      <c r="AG126" s="64"/>
      <c r="AH126" s="64"/>
      <c r="AI126" s="64"/>
    </row>
    <row r="127" spans="2:51" ht="15">
      <c r="C127" s="97" t="s">
        <v>452</v>
      </c>
      <c r="F127" s="108"/>
      <c r="G127" s="63"/>
      <c r="AA127" s="108"/>
      <c r="AB127" s="63"/>
      <c r="AC127" s="64"/>
      <c r="AD127" s="64"/>
      <c r="AE127" s="64"/>
      <c r="AF127" s="64"/>
      <c r="AG127" s="64"/>
      <c r="AH127" s="64"/>
      <c r="AI127" s="64"/>
      <c r="AN127" s="65"/>
      <c r="AO127" s="65"/>
      <c r="AP127" s="65"/>
    </row>
    <row r="128" spans="2:51" ht="15">
      <c r="C128" s="97" t="s">
        <v>453</v>
      </c>
      <c r="F128" s="108"/>
      <c r="G128" s="63"/>
      <c r="AA128" s="108"/>
      <c r="AB128" s="63"/>
      <c r="AC128" s="64"/>
      <c r="AD128" s="64"/>
      <c r="AE128" s="64"/>
      <c r="AF128" s="64"/>
      <c r="AG128" s="64"/>
      <c r="AH128" s="64"/>
      <c r="AI128" s="64"/>
      <c r="AN128" s="65"/>
      <c r="AO128" s="65"/>
      <c r="AP128" s="65"/>
    </row>
    <row r="129" spans="1:51" ht="17.25">
      <c r="C129" s="106"/>
      <c r="F129" s="111" t="s">
        <v>237</v>
      </c>
      <c r="G129" s="84"/>
      <c r="J129" s="119" t="s">
        <v>454</v>
      </c>
      <c r="K129" s="119"/>
      <c r="L129" s="119"/>
      <c r="M129" s="84"/>
      <c r="N129" s="84"/>
      <c r="O129" s="84"/>
      <c r="P129" s="84"/>
      <c r="Q129" s="84"/>
      <c r="R129" s="84"/>
      <c r="S129" s="84"/>
      <c r="AI129" s="120" t="s">
        <v>227</v>
      </c>
      <c r="AJ129" s="120"/>
      <c r="AK129" s="120"/>
      <c r="AN129" s="65"/>
      <c r="AO129" s="65"/>
      <c r="AP129" s="65"/>
    </row>
    <row r="130" spans="1:51" ht="15">
      <c r="C130" s="39"/>
      <c r="F130" s="110" t="s">
        <v>221</v>
      </c>
      <c r="G130" s="64"/>
      <c r="J130" s="117" t="s">
        <v>455</v>
      </c>
      <c r="K130" s="117"/>
      <c r="L130" s="117"/>
      <c r="M130" s="64"/>
      <c r="N130" s="64"/>
      <c r="O130" s="64"/>
      <c r="P130" s="64"/>
      <c r="Q130" s="64"/>
      <c r="R130" s="64"/>
      <c r="S130" s="64"/>
      <c r="AI130" s="117" t="s">
        <v>228</v>
      </c>
      <c r="AJ130" s="117"/>
      <c r="AK130" s="117"/>
      <c r="AN130" s="65"/>
      <c r="AO130" s="65"/>
      <c r="AP130" s="65"/>
    </row>
    <row r="131" spans="1:51">
      <c r="C131" s="39"/>
      <c r="AN131" s="65"/>
      <c r="AO131" s="65"/>
      <c r="AP131" s="65"/>
    </row>
    <row r="132" spans="1:51">
      <c r="AM132" s="66"/>
      <c r="AN132" s="67"/>
      <c r="AO132" s="67"/>
      <c r="AP132" s="67"/>
    </row>
    <row r="133" spans="1:51" s="33" customFormat="1">
      <c r="A133" s="39"/>
      <c r="C133" s="97"/>
      <c r="D133" s="34"/>
      <c r="E133" s="35"/>
      <c r="F133" s="97"/>
      <c r="G133" s="36"/>
      <c r="H133" s="37"/>
      <c r="I133" s="37"/>
      <c r="J133" s="37"/>
      <c r="K133" s="97"/>
      <c r="L133" s="97"/>
      <c r="M133" s="97"/>
      <c r="N133" s="97"/>
      <c r="O133" s="97"/>
      <c r="P133" s="101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38"/>
      <c r="AK133" s="97"/>
      <c r="AL133" s="97"/>
      <c r="AN133" s="65"/>
      <c r="AO133" s="65"/>
      <c r="AP133" s="65"/>
      <c r="AQ133" s="39"/>
      <c r="AR133" s="39"/>
      <c r="AS133" s="39"/>
      <c r="AT133" s="39"/>
      <c r="AU133" s="39"/>
      <c r="AV133" s="39"/>
      <c r="AW133" s="39"/>
      <c r="AX133" s="39"/>
      <c r="AY133" s="39"/>
    </row>
    <row r="134" spans="1:51" s="33" customFormat="1">
      <c r="A134" s="39"/>
      <c r="C134" s="97"/>
      <c r="D134" s="34"/>
      <c r="E134" s="35"/>
      <c r="F134" s="97"/>
      <c r="G134" s="36"/>
      <c r="H134" s="37"/>
      <c r="I134" s="37"/>
      <c r="J134" s="3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38"/>
      <c r="AK134" s="97"/>
      <c r="AL134" s="97"/>
      <c r="AM134" s="68"/>
      <c r="AN134" s="68"/>
      <c r="AO134" s="68"/>
      <c r="AP134" s="68"/>
      <c r="AQ134" s="39"/>
      <c r="AR134" s="39"/>
      <c r="AS134" s="39"/>
      <c r="AT134" s="39"/>
      <c r="AU134" s="39"/>
      <c r="AV134" s="39"/>
      <c r="AW134" s="39"/>
      <c r="AX134" s="39"/>
      <c r="AY134" s="39"/>
    </row>
  </sheetData>
  <mergeCells count="6">
    <mergeCell ref="J130:L130"/>
    <mergeCell ref="AI130:AK130"/>
    <mergeCell ref="J122:L122"/>
    <mergeCell ref="AI122:AK122"/>
    <mergeCell ref="J129:L129"/>
    <mergeCell ref="AI129:AK129"/>
  </mergeCells>
  <dataValidations count="2">
    <dataValidation type="list" allowBlank="1" showInputMessage="1" showErrorMessage="1" sqref="H6:H105">
      <formula1>"L,P"</formula1>
    </dataValidation>
    <dataValidation type="list" allowBlank="1" showInputMessage="1" showErrorMessage="1" sqref="I6:I105">
      <formula1>"TK/0,TK/1,TK/2,TK/3,K/0,K/1,K/2,K/3"</formula1>
    </dataValidation>
  </dataValidations>
  <printOptions horizontalCentered="1"/>
  <pageMargins left="0" right="0" top="0.31496062992126" bottom="0.15748031496063" header="0.31496062992126" footer="0.31496062992126"/>
  <pageSetup paperSize="10000" scale="40" orientation="landscape" horizontalDpi="0" verticalDpi="0" r:id="rId1"/>
  <colBreaks count="1" manualBreakCount="1">
    <brk id="37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TARIF</vt:lpstr>
      <vt:lpstr>JAN'26</vt:lpstr>
      <vt:lpstr>'JAN''26'!Print_Area</vt:lpstr>
      <vt:lpstr>'JAN''26'!Print_Titles</vt:lpstr>
      <vt:lpstr>Ter_A</vt:lpstr>
      <vt:lpstr>Ter_B</vt:lpstr>
      <vt:lpstr>Ter_C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2026-02-10T04:33:16Z</dcterms:modified>
</cp:coreProperties>
</file>