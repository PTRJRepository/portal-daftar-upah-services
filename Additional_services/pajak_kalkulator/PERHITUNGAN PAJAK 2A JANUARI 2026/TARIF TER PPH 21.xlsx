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420" windowWidth="19440" windowHeight="10800" tabRatio="499"/>
  </bookViews>
  <sheets>
    <sheet name="TARIF" sheetId="1" r:id="rId1"/>
  </sheets>
  <definedNames>
    <definedName name="PH">TARIF!#REF!</definedName>
    <definedName name="_xlnm.Print_Area" localSheetId="0">TARIF!$A$1:$V$46</definedName>
    <definedName name="PTKP">TARIF!#REF!</definedName>
    <definedName name="Ter_A">TARIF!$B$3:$E$46</definedName>
    <definedName name="Ter_B">TARIF!$H$3:$K$42</definedName>
    <definedName name="Ter_C">TARIF!$N$3:$Q$43</definedName>
  </definedNames>
  <calcPr calcId="144525"/>
</workbook>
</file>

<file path=xl/calcChain.xml><?xml version="1.0" encoding="utf-8"?>
<calcChain xmlns="http://schemas.openxmlformats.org/spreadsheetml/2006/main">
  <c r="B46" i="1" l="1"/>
  <c r="A46" i="1"/>
  <c r="B45" i="1"/>
  <c r="A45" i="1"/>
  <c r="B44" i="1"/>
  <c r="A44" i="1"/>
  <c r="N43" i="1"/>
  <c r="M43" i="1"/>
  <c r="B43" i="1"/>
  <c r="A43" i="1"/>
  <c r="N42" i="1"/>
  <c r="M42" i="1"/>
  <c r="H42" i="1"/>
  <c r="G42" i="1"/>
  <c r="B42" i="1"/>
  <c r="A42" i="1"/>
  <c r="N41" i="1"/>
  <c r="M41" i="1"/>
  <c r="H41" i="1"/>
  <c r="G41" i="1"/>
  <c r="B41" i="1"/>
  <c r="A41" i="1"/>
  <c r="N40" i="1"/>
  <c r="M40" i="1"/>
  <c r="H40" i="1"/>
  <c r="G40" i="1"/>
  <c r="B40" i="1"/>
  <c r="A40" i="1"/>
  <c r="N39" i="1"/>
  <c r="M39" i="1"/>
  <c r="H39" i="1"/>
  <c r="G39" i="1"/>
  <c r="B39" i="1"/>
  <c r="A39" i="1"/>
  <c r="N38" i="1"/>
  <c r="M38" i="1"/>
  <c r="H38" i="1"/>
  <c r="G38" i="1"/>
  <c r="B38" i="1"/>
  <c r="A38" i="1"/>
  <c r="N37" i="1"/>
  <c r="M37" i="1"/>
  <c r="H37" i="1"/>
  <c r="G37" i="1"/>
  <c r="B37" i="1"/>
  <c r="A37" i="1"/>
  <c r="N36" i="1"/>
  <c r="M36" i="1"/>
  <c r="H36" i="1"/>
  <c r="G36" i="1"/>
  <c r="B36" i="1"/>
  <c r="A36" i="1"/>
  <c r="N35" i="1"/>
  <c r="M35" i="1"/>
  <c r="H35" i="1"/>
  <c r="G35" i="1"/>
  <c r="B35" i="1"/>
  <c r="A35" i="1"/>
  <c r="N34" i="1"/>
  <c r="M34" i="1"/>
  <c r="H34" i="1"/>
  <c r="G34" i="1"/>
  <c r="B34" i="1"/>
  <c r="A34" i="1"/>
  <c r="N33" i="1"/>
  <c r="M33" i="1"/>
  <c r="H33" i="1"/>
  <c r="G33" i="1"/>
  <c r="B33" i="1"/>
  <c r="A33" i="1"/>
  <c r="N32" i="1"/>
  <c r="M32" i="1"/>
  <c r="H32" i="1"/>
  <c r="G32" i="1"/>
  <c r="B32" i="1"/>
  <c r="A32" i="1"/>
  <c r="N31" i="1"/>
  <c r="M31" i="1"/>
  <c r="H31" i="1"/>
  <c r="G31" i="1"/>
  <c r="B31" i="1"/>
  <c r="A31" i="1"/>
  <c r="N30" i="1"/>
  <c r="M30" i="1"/>
  <c r="H30" i="1"/>
  <c r="G30" i="1"/>
  <c r="B30" i="1"/>
  <c r="A30" i="1"/>
  <c r="N29" i="1"/>
  <c r="M29" i="1"/>
  <c r="H29" i="1"/>
  <c r="G29" i="1"/>
  <c r="B29" i="1"/>
  <c r="A29" i="1"/>
  <c r="N28" i="1"/>
  <c r="M28" i="1"/>
  <c r="H28" i="1"/>
  <c r="G28" i="1"/>
  <c r="B28" i="1"/>
  <c r="A28" i="1"/>
  <c r="N27" i="1"/>
  <c r="M27" i="1"/>
  <c r="H27" i="1"/>
  <c r="G27" i="1"/>
  <c r="B27" i="1"/>
  <c r="A27" i="1"/>
  <c r="N26" i="1"/>
  <c r="M26" i="1"/>
  <c r="H26" i="1"/>
  <c r="G26" i="1"/>
  <c r="B26" i="1"/>
  <c r="A26" i="1"/>
  <c r="N25" i="1"/>
  <c r="M25" i="1"/>
  <c r="H25" i="1"/>
  <c r="G25" i="1"/>
  <c r="B25" i="1"/>
  <c r="A25" i="1"/>
  <c r="N24" i="1"/>
  <c r="M24" i="1"/>
  <c r="H24" i="1"/>
  <c r="G24" i="1"/>
  <c r="B24" i="1"/>
  <c r="A24" i="1"/>
  <c r="N23" i="1"/>
  <c r="M23" i="1"/>
  <c r="H23" i="1"/>
  <c r="G23" i="1"/>
  <c r="B23" i="1"/>
  <c r="A23" i="1"/>
  <c r="N22" i="1"/>
  <c r="M22" i="1"/>
  <c r="H22" i="1"/>
  <c r="G22" i="1"/>
  <c r="B22" i="1"/>
  <c r="A22" i="1"/>
  <c r="N21" i="1"/>
  <c r="M21" i="1"/>
  <c r="H21" i="1"/>
  <c r="G21" i="1"/>
  <c r="B21" i="1"/>
  <c r="A21" i="1"/>
  <c r="N20" i="1"/>
  <c r="M20" i="1"/>
  <c r="H20" i="1"/>
  <c r="G20" i="1"/>
  <c r="B20" i="1"/>
  <c r="A20" i="1"/>
  <c r="N19" i="1"/>
  <c r="M19" i="1"/>
  <c r="H19" i="1"/>
  <c r="G19" i="1"/>
  <c r="B19" i="1"/>
  <c r="A19" i="1"/>
  <c r="N18" i="1"/>
  <c r="M18" i="1"/>
  <c r="H18" i="1"/>
  <c r="G18" i="1"/>
  <c r="B18" i="1"/>
  <c r="A18" i="1"/>
  <c r="N17" i="1"/>
  <c r="M17" i="1"/>
  <c r="H17" i="1"/>
  <c r="G17" i="1"/>
  <c r="B17" i="1"/>
  <c r="A17" i="1"/>
  <c r="N16" i="1"/>
  <c r="M16" i="1"/>
  <c r="H16" i="1"/>
  <c r="G16" i="1"/>
  <c r="B16" i="1"/>
  <c r="A16" i="1"/>
  <c r="N15" i="1"/>
  <c r="M15" i="1"/>
  <c r="H15" i="1"/>
  <c r="G15" i="1"/>
  <c r="B15" i="1"/>
  <c r="A15" i="1"/>
  <c r="N14" i="1"/>
  <c r="M14" i="1"/>
  <c r="H14" i="1"/>
  <c r="G14" i="1"/>
  <c r="B14" i="1"/>
  <c r="A14" i="1"/>
  <c r="S13" i="1"/>
  <c r="N13" i="1"/>
  <c r="M13" i="1"/>
  <c r="H13" i="1"/>
  <c r="G13" i="1"/>
  <c r="B13" i="1"/>
  <c r="A13" i="1"/>
  <c r="S12" i="1"/>
  <c r="N12" i="1"/>
  <c r="M12" i="1"/>
  <c r="H12" i="1"/>
  <c r="G12" i="1"/>
  <c r="B12" i="1"/>
  <c r="A12" i="1"/>
  <c r="S11" i="1"/>
  <c r="N11" i="1"/>
  <c r="M11" i="1"/>
  <c r="H11" i="1"/>
  <c r="G11" i="1"/>
  <c r="B11" i="1"/>
  <c r="A11" i="1"/>
  <c r="S10" i="1"/>
  <c r="N10" i="1"/>
  <c r="M10" i="1"/>
  <c r="H10" i="1"/>
  <c r="G10" i="1"/>
  <c r="B10" i="1"/>
  <c r="A10" i="1"/>
  <c r="N9" i="1"/>
  <c r="M9" i="1"/>
  <c r="H9" i="1"/>
  <c r="G9" i="1"/>
  <c r="B9" i="1"/>
  <c r="A9" i="1"/>
  <c r="N8" i="1"/>
  <c r="M8" i="1"/>
  <c r="H8" i="1"/>
  <c r="G8" i="1"/>
  <c r="B8" i="1"/>
  <c r="A8" i="1"/>
  <c r="N7" i="1"/>
  <c r="M7" i="1"/>
  <c r="H7" i="1"/>
  <c r="G7" i="1"/>
  <c r="B7" i="1"/>
  <c r="A7" i="1"/>
  <c r="N6" i="1"/>
  <c r="M6" i="1"/>
  <c r="H6" i="1"/>
  <c r="G6" i="1"/>
  <c r="B6" i="1"/>
  <c r="A6" i="1"/>
  <c r="N5" i="1"/>
  <c r="M5" i="1"/>
  <c r="H5" i="1"/>
  <c r="G5" i="1"/>
  <c r="B5" i="1"/>
  <c r="A5" i="1"/>
  <c r="N4" i="1"/>
  <c r="M4" i="1"/>
  <c r="H4" i="1"/>
  <c r="G4" i="1"/>
  <c r="B4" i="1"/>
  <c r="A4" i="1"/>
  <c r="J57" i="1" l="1"/>
  <c r="J61" i="1"/>
  <c r="J56" i="1"/>
</calcChain>
</file>

<file path=xl/sharedStrings.xml><?xml version="1.0" encoding="utf-8"?>
<sst xmlns="http://schemas.openxmlformats.org/spreadsheetml/2006/main" count="165" uniqueCount="26">
  <si>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</si>
  <si>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</si>
  <si>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</si>
  <si>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</si>
  <si>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</si>
  <si>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</si>
  <si>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</si>
  <si>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</si>
  <si>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</si>
  <si>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</si>
  <si>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</si>
  <si>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</si>
  <si>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</si>
  <si>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</si>
  <si>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</si>
  <si>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</si>
  <si>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</si>
  <si>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</si>
  <si>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</si>
  <si>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</si>
  <si>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</si>
  <si>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</si>
  <si>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</si>
  <si>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PTKP (TK/0, TK/1, K/0)</t>
  </si>
  <si>
    <t>PTKP (TK/2, TK/3, K/1, K/2)</t>
  </si>
  <si>
    <t>PTKP (K/3)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</si>
</sst>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164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3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2"/>
    <cellStyle name="Normal" xfId="0" builtinId="0"/>
    <cellStyle name="Normal 2" xfId="4"/>
    <cellStyle name="Normal 3" xfId="5"/>
    <cellStyle name="Normal 4" xfId="11"/>
    <cellStyle name="Normal 6 2" xfId="10"/>
    <cellStyle name="Percent" xfId="2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61"/>
  <sheetViews>
    <sheetView tabSelected="1" view="pageBreakPreview" zoomScale="60" zoomScaleNormal="100" workbookViewId="0">
      <selection activeCell="AG26" sqref="AG26"/>
    </sheetView>
  </sheetViews>
  <sheetFormatPr defaultColWidth="8.7109375" defaultRowHeight="15" customHeight="1"/>
  <cols>
    <col min="1" max="1" width="4.7109375" style="30" customWidth="1"/>
    <col min="2" max="2" width="13.7109375" style="9" customWidth="1"/>
    <col min="3" max="3" width="4.7109375" style="30" customWidth="1"/>
    <col min="4" max="4" width="14.7109375" style="9" customWidth="1"/>
    <col min="5" max="5" width="8.7109375" style="16" customWidth="1"/>
    <col min="6" max="7" width="4.7109375" style="30" customWidth="1"/>
    <col min="8" max="8" width="13.7109375" style="30" customWidth="1"/>
    <col min="9" max="9" width="4.7109375" style="30" customWidth="1"/>
    <col min="10" max="10" width="14.7109375" style="30" customWidth="1"/>
    <col min="11" max="11" width="8.7109375" style="14" customWidth="1"/>
    <col min="12" max="13" width="4.7109375" style="30" customWidth="1"/>
    <col min="14" max="14" width="13.7109375" style="30" customWidth="1"/>
    <col min="15" max="15" width="4.7109375" style="30" customWidth="1"/>
    <col min="16" max="16" width="14.7109375" style="30" customWidth="1"/>
    <col min="17" max="17" width="8.7109375" style="14" customWidth="1"/>
    <col min="18" max="18" width="4.7109375" style="30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30"/>
  </cols>
  <sheetData>
    <row r="1" spans="1:25" s="11" customFormat="1" ht="20.100000000000001" customHeight="1">
      <c r="A1" s="2" t="s">
        <v>23</v>
      </c>
      <c r="E1" s="15"/>
      <c r="F1" s="1"/>
      <c r="G1" s="2" t="s">
        <v>24</v>
      </c>
      <c r="H1" s="1"/>
      <c r="I1" s="1"/>
      <c r="J1" s="1"/>
      <c r="K1" s="12"/>
      <c r="M1" s="2" t="s">
        <v>25</v>
      </c>
      <c r="Q1" s="12"/>
      <c r="S1" s="2" t="s">
        <v>20</v>
      </c>
      <c r="T1" s="6"/>
      <c r="U1" s="6"/>
      <c r="V1" s="6"/>
      <c r="W1" s="21"/>
      <c r="X1" s="25"/>
      <c r="Y1" s="6"/>
    </row>
    <row r="2" spans="1:25" ht="20.100000000000001" customHeight="1">
      <c r="A2" s="31" t="s">
        <v>0</v>
      </c>
      <c r="B2" s="34" t="s">
        <v>3</v>
      </c>
      <c r="C2" s="34"/>
      <c r="D2" s="34"/>
      <c r="E2" s="5" t="s">
        <v>1</v>
      </c>
      <c r="G2" s="31" t="s">
        <v>0</v>
      </c>
      <c r="H2" s="34" t="s">
        <v>3</v>
      </c>
      <c r="I2" s="34"/>
      <c r="J2" s="34"/>
      <c r="K2" s="5" t="s">
        <v>4</v>
      </c>
      <c r="M2" s="31" t="s">
        <v>0</v>
      </c>
      <c r="N2" s="34" t="s">
        <v>3</v>
      </c>
      <c r="O2" s="34"/>
      <c r="P2" s="34"/>
      <c r="Q2" s="5" t="s">
        <v>5</v>
      </c>
      <c r="S2" s="34" t="s">
        <v>14</v>
      </c>
      <c r="T2" s="34"/>
      <c r="U2" s="34"/>
      <c r="V2" s="31" t="s">
        <v>13</v>
      </c>
      <c r="X2" s="26"/>
    </row>
    <row r="3" spans="1:25" ht="15" customHeight="1">
      <c r="A3" s="32">
        <v>1</v>
      </c>
      <c r="B3" s="19">
        <v>0</v>
      </c>
      <c r="C3" s="32" t="s">
        <v>2</v>
      </c>
      <c r="D3" s="7">
        <v>5400000</v>
      </c>
      <c r="E3" s="13">
        <v>0</v>
      </c>
      <c r="G3" s="32">
        <v>1</v>
      </c>
      <c r="H3" s="19">
        <v>0</v>
      </c>
      <c r="I3" s="32" t="s">
        <v>2</v>
      </c>
      <c r="J3" s="7">
        <v>6200000</v>
      </c>
      <c r="K3" s="13">
        <v>0</v>
      </c>
      <c r="M3" s="32">
        <v>1</v>
      </c>
      <c r="N3" s="19">
        <v>0</v>
      </c>
      <c r="O3" s="32" t="s">
        <v>2</v>
      </c>
      <c r="P3" s="7">
        <v>6600000</v>
      </c>
      <c r="Q3" s="13">
        <v>0</v>
      </c>
      <c r="S3" s="19">
        <v>0</v>
      </c>
      <c r="T3" s="32" t="s">
        <v>2</v>
      </c>
      <c r="U3" s="4">
        <v>450000</v>
      </c>
      <c r="V3" s="17">
        <v>0</v>
      </c>
      <c r="X3" s="26"/>
    </row>
    <row r="4" spans="1:25" ht="15" customHeight="1">
      <c r="A4" s="32">
        <f>A3+1</f>
        <v>2</v>
      </c>
      <c r="B4" s="7">
        <f>D3+1</f>
        <v>5400001</v>
      </c>
      <c r="C4" s="32" t="s">
        <v>2</v>
      </c>
      <c r="D4" s="7">
        <v>5650000</v>
      </c>
      <c r="E4" s="13">
        <v>2.5000000000000001E-3</v>
      </c>
      <c r="G4" s="32">
        <f>G3+1</f>
        <v>2</v>
      </c>
      <c r="H4" s="7">
        <f>J3+1</f>
        <v>6200001</v>
      </c>
      <c r="I4" s="32" t="s">
        <v>2</v>
      </c>
      <c r="J4" s="7">
        <v>6500000</v>
      </c>
      <c r="K4" s="13">
        <v>2.5000000000000001E-3</v>
      </c>
      <c r="M4" s="32">
        <f>M3+1</f>
        <v>2</v>
      </c>
      <c r="N4" s="7">
        <f>P3+1</f>
        <v>6600001</v>
      </c>
      <c r="O4" s="32" t="s">
        <v>2</v>
      </c>
      <c r="P4" s="7">
        <v>6950000</v>
      </c>
      <c r="Q4" s="13">
        <v>2.5000000000000001E-3</v>
      </c>
      <c r="S4" s="4">
        <v>450001</v>
      </c>
      <c r="T4" s="32" t="s">
        <v>2</v>
      </c>
      <c r="U4" s="4">
        <v>2500000</v>
      </c>
      <c r="V4" s="18">
        <v>5.0000000000000001E-3</v>
      </c>
      <c r="X4" s="26"/>
    </row>
    <row r="5" spans="1:25" ht="15" customHeight="1">
      <c r="A5" s="32">
        <f t="shared" ref="A5:A46" si="0">A4+1</f>
        <v>3</v>
      </c>
      <c r="B5" s="7">
        <f t="shared" ref="B5:B46" si="1">D4+1</f>
        <v>5650001</v>
      </c>
      <c r="C5" s="32" t="s">
        <v>2</v>
      </c>
      <c r="D5" s="7">
        <v>5950000</v>
      </c>
      <c r="E5" s="13">
        <v>5.0000000000000001E-3</v>
      </c>
      <c r="G5" s="32">
        <f t="shared" ref="G5:G42" si="2">G4+1</f>
        <v>3</v>
      </c>
      <c r="H5" s="7">
        <f t="shared" ref="H5:H42" si="3">J4+1</f>
        <v>6500001</v>
      </c>
      <c r="I5" s="32" t="s">
        <v>2</v>
      </c>
      <c r="J5" s="7">
        <v>6850000</v>
      </c>
      <c r="K5" s="13">
        <v>5.0000000000000001E-3</v>
      </c>
      <c r="M5" s="32">
        <f t="shared" ref="M5:M42" si="4">M4+1</f>
        <v>3</v>
      </c>
      <c r="N5" s="7">
        <f t="shared" ref="N5:N43" si="5">P4+1</f>
        <v>6950001</v>
      </c>
      <c r="O5" s="32" t="s">
        <v>2</v>
      </c>
      <c r="P5" s="7">
        <v>7350000</v>
      </c>
      <c r="Q5" s="13">
        <v>5.0000000000000001E-3</v>
      </c>
    </row>
    <row r="6" spans="1:25" ht="15" customHeight="1">
      <c r="A6" s="32">
        <f t="shared" si="0"/>
        <v>4</v>
      </c>
      <c r="B6" s="7">
        <f t="shared" si="1"/>
        <v>5950001</v>
      </c>
      <c r="C6" s="32" t="s">
        <v>2</v>
      </c>
      <c r="D6" s="7">
        <v>6300000</v>
      </c>
      <c r="E6" s="13">
        <v>7.4999999999999997E-3</v>
      </c>
      <c r="G6" s="32">
        <f t="shared" si="2"/>
        <v>4</v>
      </c>
      <c r="H6" s="7">
        <f t="shared" si="3"/>
        <v>6850001</v>
      </c>
      <c r="I6" s="32" t="s">
        <v>2</v>
      </c>
      <c r="J6" s="7">
        <v>7300000</v>
      </c>
      <c r="K6" s="13">
        <v>7.4999999999999997E-3</v>
      </c>
      <c r="M6" s="32">
        <f t="shared" si="4"/>
        <v>4</v>
      </c>
      <c r="N6" s="7">
        <f t="shared" si="5"/>
        <v>7350001</v>
      </c>
      <c r="O6" s="32" t="s">
        <v>2</v>
      </c>
      <c r="P6" s="7">
        <v>7800000</v>
      </c>
      <c r="Q6" s="13">
        <v>7.4999999999999997E-3</v>
      </c>
    </row>
    <row r="7" spans="1:25" ht="15" customHeight="1">
      <c r="A7" s="32">
        <f t="shared" si="0"/>
        <v>5</v>
      </c>
      <c r="B7" s="7">
        <f t="shared" si="1"/>
        <v>6300001</v>
      </c>
      <c r="C7" s="32" t="s">
        <v>2</v>
      </c>
      <c r="D7" s="7">
        <v>6750000</v>
      </c>
      <c r="E7" s="13">
        <v>0.01</v>
      </c>
      <c r="G7" s="32">
        <f t="shared" si="2"/>
        <v>5</v>
      </c>
      <c r="H7" s="7">
        <f t="shared" si="3"/>
        <v>7300001</v>
      </c>
      <c r="I7" s="32" t="s">
        <v>2</v>
      </c>
      <c r="J7" s="7">
        <v>9200000</v>
      </c>
      <c r="K7" s="13">
        <v>0.01</v>
      </c>
      <c r="M7" s="32">
        <f t="shared" si="4"/>
        <v>5</v>
      </c>
      <c r="N7" s="7">
        <f t="shared" si="5"/>
        <v>7800001</v>
      </c>
      <c r="O7" s="32" t="s">
        <v>2</v>
      </c>
      <c r="P7" s="7">
        <v>8850000</v>
      </c>
      <c r="Q7" s="13">
        <v>0.01</v>
      </c>
      <c r="S7" s="2" t="s">
        <v>22</v>
      </c>
      <c r="T7" s="6"/>
      <c r="U7" s="6"/>
      <c r="V7" s="6"/>
    </row>
    <row r="8" spans="1:25" ht="15" customHeight="1">
      <c r="A8" s="32">
        <f t="shared" si="0"/>
        <v>6</v>
      </c>
      <c r="B8" s="7">
        <f t="shared" si="1"/>
        <v>6750001</v>
      </c>
      <c r="C8" s="32" t="s">
        <v>2</v>
      </c>
      <c r="D8" s="7">
        <v>7500000</v>
      </c>
      <c r="E8" s="13">
        <v>1.2500000000000001E-2</v>
      </c>
      <c r="G8" s="32">
        <f t="shared" si="2"/>
        <v>6</v>
      </c>
      <c r="H8" s="7">
        <f t="shared" si="3"/>
        <v>9200001</v>
      </c>
      <c r="I8" s="32" t="s">
        <v>2</v>
      </c>
      <c r="J8" s="7">
        <v>10750000</v>
      </c>
      <c r="K8" s="13">
        <v>1.4999999999999999E-2</v>
      </c>
      <c r="M8" s="32">
        <f t="shared" si="4"/>
        <v>6</v>
      </c>
      <c r="N8" s="7">
        <f t="shared" si="5"/>
        <v>8850001</v>
      </c>
      <c r="O8" s="32" t="s">
        <v>2</v>
      </c>
      <c r="P8" s="7">
        <v>9800000</v>
      </c>
      <c r="Q8" s="13">
        <v>1.2500000000000001E-2</v>
      </c>
      <c r="S8" s="34" t="s">
        <v>21</v>
      </c>
      <c r="T8" s="34"/>
      <c r="U8" s="34"/>
      <c r="V8" s="31" t="s">
        <v>13</v>
      </c>
    </row>
    <row r="9" spans="1:25" ht="15" customHeight="1">
      <c r="A9" s="32">
        <f t="shared" si="0"/>
        <v>7</v>
      </c>
      <c r="B9" s="7">
        <f t="shared" si="1"/>
        <v>7500001</v>
      </c>
      <c r="C9" s="32" t="s">
        <v>2</v>
      </c>
      <c r="D9" s="7">
        <v>8550000</v>
      </c>
      <c r="E9" s="13">
        <v>1.5000000000000001E-2</v>
      </c>
      <c r="G9" s="32">
        <f t="shared" si="2"/>
        <v>7</v>
      </c>
      <c r="H9" s="7">
        <f t="shared" si="3"/>
        <v>10750001</v>
      </c>
      <c r="I9" s="32" t="s">
        <v>2</v>
      </c>
      <c r="J9" s="7">
        <v>11250000</v>
      </c>
      <c r="K9" s="13">
        <v>0.02</v>
      </c>
      <c r="M9" s="32">
        <f t="shared" si="4"/>
        <v>7</v>
      </c>
      <c r="N9" s="7">
        <f t="shared" si="5"/>
        <v>9800001</v>
      </c>
      <c r="O9" s="32" t="s">
        <v>2</v>
      </c>
      <c r="P9" s="7">
        <v>10950000</v>
      </c>
      <c r="Q9" s="13">
        <v>1.5000000000000001E-2</v>
      </c>
      <c r="S9" s="19">
        <v>0</v>
      </c>
      <c r="T9" s="32" t="s">
        <v>2</v>
      </c>
      <c r="U9" s="4">
        <v>60000000</v>
      </c>
      <c r="V9" s="17">
        <v>0.05</v>
      </c>
    </row>
    <row r="10" spans="1:25" ht="15" customHeight="1">
      <c r="A10" s="32">
        <f t="shared" si="0"/>
        <v>8</v>
      </c>
      <c r="B10" s="7">
        <f t="shared" si="1"/>
        <v>8550001</v>
      </c>
      <c r="C10" s="32" t="s">
        <v>2</v>
      </c>
      <c r="D10" s="7">
        <v>9650000</v>
      </c>
      <c r="E10" s="13">
        <v>1.7500000000000002E-2</v>
      </c>
      <c r="G10" s="32">
        <f t="shared" si="2"/>
        <v>8</v>
      </c>
      <c r="H10" s="7">
        <f t="shared" si="3"/>
        <v>11250001</v>
      </c>
      <c r="I10" s="32" t="s">
        <v>2</v>
      </c>
      <c r="J10" s="7">
        <v>11600000</v>
      </c>
      <c r="K10" s="13">
        <v>2.5000000000000001E-2</v>
      </c>
      <c r="M10" s="32">
        <f t="shared" si="4"/>
        <v>8</v>
      </c>
      <c r="N10" s="7">
        <f t="shared" si="5"/>
        <v>10950001</v>
      </c>
      <c r="O10" s="32" t="s">
        <v>2</v>
      </c>
      <c r="P10" s="7">
        <v>11200000</v>
      </c>
      <c r="Q10" s="13">
        <v>1.7500000000000002E-2</v>
      </c>
      <c r="S10" s="4">
        <f>U9+1</f>
        <v>60000001</v>
      </c>
      <c r="T10" s="32" t="s">
        <v>2</v>
      </c>
      <c r="U10" s="4">
        <v>250000000</v>
      </c>
      <c r="V10" s="17">
        <v>0.15</v>
      </c>
    </row>
    <row r="11" spans="1:25" ht="15" customHeight="1">
      <c r="A11" s="32">
        <f t="shared" si="0"/>
        <v>9</v>
      </c>
      <c r="B11" s="7">
        <f t="shared" si="1"/>
        <v>9650001</v>
      </c>
      <c r="C11" s="32" t="s">
        <v>2</v>
      </c>
      <c r="D11" s="7">
        <v>10050000</v>
      </c>
      <c r="E11" s="13">
        <v>0.02</v>
      </c>
      <c r="G11" s="32">
        <f t="shared" si="2"/>
        <v>9</v>
      </c>
      <c r="H11" s="7">
        <f t="shared" si="3"/>
        <v>11600001</v>
      </c>
      <c r="I11" s="32" t="s">
        <v>2</v>
      </c>
      <c r="J11" s="7">
        <v>12600000</v>
      </c>
      <c r="K11" s="13">
        <v>3.0000000000000002E-2</v>
      </c>
      <c r="M11" s="32">
        <f t="shared" si="4"/>
        <v>9</v>
      </c>
      <c r="N11" s="7">
        <f t="shared" si="5"/>
        <v>11200001</v>
      </c>
      <c r="O11" s="32" t="s">
        <v>2</v>
      </c>
      <c r="P11" s="7">
        <v>12050000</v>
      </c>
      <c r="Q11" s="13">
        <v>0.02</v>
      </c>
      <c r="S11" s="4">
        <f>U10+1</f>
        <v>250000001</v>
      </c>
      <c r="T11" s="32" t="s">
        <v>2</v>
      </c>
      <c r="U11" s="4">
        <v>500000000</v>
      </c>
      <c r="V11" s="17">
        <v>0.25</v>
      </c>
    </row>
    <row r="12" spans="1:25" ht="15" customHeight="1">
      <c r="A12" s="32">
        <f t="shared" si="0"/>
        <v>10</v>
      </c>
      <c r="B12" s="7">
        <f t="shared" si="1"/>
        <v>10050001</v>
      </c>
      <c r="C12" s="32" t="s">
        <v>2</v>
      </c>
      <c r="D12" s="7">
        <v>10350000</v>
      </c>
      <c r="E12" s="13">
        <v>2.2499999999999999E-2</v>
      </c>
      <c r="G12" s="32">
        <f t="shared" si="2"/>
        <v>10</v>
      </c>
      <c r="H12" s="7">
        <f t="shared" si="3"/>
        <v>12600001</v>
      </c>
      <c r="I12" s="32" t="s">
        <v>2</v>
      </c>
      <c r="J12" s="7">
        <v>13600000</v>
      </c>
      <c r="K12" s="13">
        <v>0.04</v>
      </c>
      <c r="M12" s="32">
        <f t="shared" si="4"/>
        <v>10</v>
      </c>
      <c r="N12" s="7">
        <f t="shared" si="5"/>
        <v>12050001</v>
      </c>
      <c r="O12" s="32" t="s">
        <v>2</v>
      </c>
      <c r="P12" s="7">
        <v>12950000</v>
      </c>
      <c r="Q12" s="13">
        <v>0.03</v>
      </c>
      <c r="S12" s="4">
        <f>U11+1</f>
        <v>500000001</v>
      </c>
      <c r="T12" s="32" t="s">
        <v>2</v>
      </c>
      <c r="U12" s="4">
        <v>5000000000</v>
      </c>
      <c r="V12" s="17">
        <v>0.3</v>
      </c>
    </row>
    <row r="13" spans="1:25" ht="15" customHeight="1">
      <c r="A13" s="32">
        <f t="shared" si="0"/>
        <v>11</v>
      </c>
      <c r="B13" s="7">
        <f t="shared" si="1"/>
        <v>10350001</v>
      </c>
      <c r="C13" s="32" t="s">
        <v>2</v>
      </c>
      <c r="D13" s="7">
        <v>10700000</v>
      </c>
      <c r="E13" s="13">
        <v>2.4999999999999998E-2</v>
      </c>
      <c r="G13" s="32">
        <f t="shared" si="2"/>
        <v>11</v>
      </c>
      <c r="H13" s="7">
        <f t="shared" si="3"/>
        <v>13600001</v>
      </c>
      <c r="I13" s="32" t="s">
        <v>2</v>
      </c>
      <c r="J13" s="7">
        <v>14950000</v>
      </c>
      <c r="K13" s="13">
        <v>0.05</v>
      </c>
      <c r="M13" s="32">
        <f t="shared" si="4"/>
        <v>11</v>
      </c>
      <c r="N13" s="7">
        <f t="shared" si="5"/>
        <v>12950001</v>
      </c>
      <c r="O13" s="32" t="s">
        <v>2</v>
      </c>
      <c r="P13" s="7">
        <v>14150000</v>
      </c>
      <c r="Q13" s="13">
        <v>0.04</v>
      </c>
      <c r="S13" s="4">
        <f>U12+1</f>
        <v>5000000001</v>
      </c>
      <c r="T13" s="32" t="s">
        <v>2</v>
      </c>
      <c r="U13" s="7" t="s">
        <v>17</v>
      </c>
      <c r="V13" s="17">
        <v>0.35</v>
      </c>
    </row>
    <row r="14" spans="1:25" ht="15" customHeight="1">
      <c r="A14" s="32">
        <f t="shared" si="0"/>
        <v>12</v>
      </c>
      <c r="B14" s="7">
        <f t="shared" si="1"/>
        <v>10700001</v>
      </c>
      <c r="C14" s="32" t="s">
        <v>2</v>
      </c>
      <c r="D14" s="7">
        <v>11050000</v>
      </c>
      <c r="E14" s="13">
        <v>0.03</v>
      </c>
      <c r="G14" s="32">
        <f t="shared" si="2"/>
        <v>12</v>
      </c>
      <c r="H14" s="7">
        <f t="shared" si="3"/>
        <v>14950001</v>
      </c>
      <c r="I14" s="32" t="s">
        <v>2</v>
      </c>
      <c r="J14" s="7">
        <v>16400000</v>
      </c>
      <c r="K14" s="13">
        <v>6.0000000000000005E-2</v>
      </c>
      <c r="M14" s="32">
        <f t="shared" si="4"/>
        <v>12</v>
      </c>
      <c r="N14" s="7">
        <f t="shared" si="5"/>
        <v>14150001</v>
      </c>
      <c r="O14" s="32" t="s">
        <v>2</v>
      </c>
      <c r="P14" s="7">
        <v>15500000</v>
      </c>
      <c r="Q14" s="13">
        <v>0.05</v>
      </c>
      <c r="T14" s="33"/>
      <c r="U14" s="33"/>
    </row>
    <row r="15" spans="1:25" ht="15" customHeight="1">
      <c r="A15" s="32">
        <f t="shared" si="0"/>
        <v>13</v>
      </c>
      <c r="B15" s="7">
        <f t="shared" si="1"/>
        <v>11050001</v>
      </c>
      <c r="C15" s="32" t="s">
        <v>2</v>
      </c>
      <c r="D15" s="7">
        <v>11600000</v>
      </c>
      <c r="E15" s="13">
        <v>3.5000000000000003E-2</v>
      </c>
      <c r="G15" s="32">
        <f t="shared" si="2"/>
        <v>13</v>
      </c>
      <c r="H15" s="7">
        <f t="shared" si="3"/>
        <v>16400001</v>
      </c>
      <c r="I15" s="32" t="s">
        <v>2</v>
      </c>
      <c r="J15" s="7">
        <v>18450000</v>
      </c>
      <c r="K15" s="13">
        <v>7.0000000000000007E-2</v>
      </c>
      <c r="M15" s="32">
        <f t="shared" si="4"/>
        <v>13</v>
      </c>
      <c r="N15" s="7">
        <f t="shared" si="5"/>
        <v>15500001</v>
      </c>
      <c r="O15" s="32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32">
        <f t="shared" si="0"/>
        <v>14</v>
      </c>
      <c r="B16" s="7">
        <f t="shared" si="1"/>
        <v>11600001</v>
      </c>
      <c r="C16" s="32" t="s">
        <v>2</v>
      </c>
      <c r="D16" s="7">
        <v>12500000</v>
      </c>
      <c r="E16" s="13">
        <v>0.04</v>
      </c>
      <c r="G16" s="32">
        <f t="shared" si="2"/>
        <v>14</v>
      </c>
      <c r="H16" s="7">
        <f t="shared" si="3"/>
        <v>18450001</v>
      </c>
      <c r="I16" s="32" t="s">
        <v>2</v>
      </c>
      <c r="J16" s="7">
        <v>21850000</v>
      </c>
      <c r="K16" s="13">
        <v>0.08</v>
      </c>
      <c r="M16" s="32">
        <f t="shared" si="4"/>
        <v>14</v>
      </c>
      <c r="N16" s="7">
        <f t="shared" si="5"/>
        <v>17050001</v>
      </c>
      <c r="O16" s="32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32">
        <f t="shared" si="0"/>
        <v>15</v>
      </c>
      <c r="B17" s="7">
        <f t="shared" si="1"/>
        <v>12500001</v>
      </c>
      <c r="C17" s="32" t="s">
        <v>2</v>
      </c>
      <c r="D17" s="7">
        <v>13750000</v>
      </c>
      <c r="E17" s="13">
        <v>0.05</v>
      </c>
      <c r="G17" s="32">
        <f t="shared" si="2"/>
        <v>15</v>
      </c>
      <c r="H17" s="7">
        <f t="shared" si="3"/>
        <v>21850001</v>
      </c>
      <c r="I17" s="32" t="s">
        <v>2</v>
      </c>
      <c r="J17" s="7">
        <v>26000000</v>
      </c>
      <c r="K17" s="13">
        <v>0.09</v>
      </c>
      <c r="M17" s="32">
        <f t="shared" si="4"/>
        <v>15</v>
      </c>
      <c r="N17" s="7">
        <f t="shared" si="5"/>
        <v>19500001</v>
      </c>
      <c r="O17" s="32" t="s">
        <v>2</v>
      </c>
      <c r="P17" s="7">
        <v>22700000</v>
      </c>
      <c r="Q17" s="13">
        <v>0.08</v>
      </c>
      <c r="S17" s="34" t="s">
        <v>18</v>
      </c>
      <c r="T17" s="34"/>
      <c r="U17" s="24" t="s">
        <v>19</v>
      </c>
      <c r="V17" s="30"/>
      <c r="W17" s="30"/>
      <c r="X17" s="30"/>
      <c r="Y17" s="30"/>
    </row>
    <row r="18" spans="1:25" ht="15" customHeight="1">
      <c r="A18" s="32">
        <f t="shared" si="0"/>
        <v>16</v>
      </c>
      <c r="B18" s="7">
        <f t="shared" si="1"/>
        <v>13750001</v>
      </c>
      <c r="C18" s="32" t="s">
        <v>2</v>
      </c>
      <c r="D18" s="7">
        <v>15100000</v>
      </c>
      <c r="E18" s="13">
        <v>6.0000000000000005E-2</v>
      </c>
      <c r="G18" s="32">
        <f t="shared" si="2"/>
        <v>16</v>
      </c>
      <c r="H18" s="7">
        <f t="shared" si="3"/>
        <v>26000001</v>
      </c>
      <c r="I18" s="32" t="s">
        <v>2</v>
      </c>
      <c r="J18" s="7">
        <v>27700000</v>
      </c>
      <c r="K18" s="13">
        <v>9.9999999999999992E-2</v>
      </c>
      <c r="M18" s="32">
        <f t="shared" si="4"/>
        <v>16</v>
      </c>
      <c r="N18" s="7">
        <f t="shared" si="5"/>
        <v>22700001</v>
      </c>
      <c r="O18" s="32" t="s">
        <v>2</v>
      </c>
      <c r="P18" s="7">
        <v>26600000</v>
      </c>
      <c r="Q18" s="13">
        <v>0.09</v>
      </c>
      <c r="S18" s="35" t="s">
        <v>7</v>
      </c>
      <c r="T18" s="35"/>
      <c r="U18" s="23">
        <v>54000000</v>
      </c>
      <c r="V18" s="30"/>
      <c r="W18" s="30"/>
      <c r="X18" s="30"/>
      <c r="Y18" s="30"/>
    </row>
    <row r="19" spans="1:25" ht="15" customHeight="1">
      <c r="A19" s="32">
        <f t="shared" si="0"/>
        <v>17</v>
      </c>
      <c r="B19" s="7">
        <f t="shared" si="1"/>
        <v>15100001</v>
      </c>
      <c r="C19" s="32" t="s">
        <v>2</v>
      </c>
      <c r="D19" s="7">
        <v>16950000</v>
      </c>
      <c r="E19" s="13">
        <v>7.0000000000000007E-2</v>
      </c>
      <c r="G19" s="32">
        <f t="shared" si="2"/>
        <v>17</v>
      </c>
      <c r="H19" s="7">
        <f t="shared" si="3"/>
        <v>27700001</v>
      </c>
      <c r="I19" s="32" t="s">
        <v>2</v>
      </c>
      <c r="J19" s="7">
        <v>29350000</v>
      </c>
      <c r="K19" s="13">
        <v>0.10999999999999999</v>
      </c>
      <c r="M19" s="32">
        <f t="shared" si="4"/>
        <v>17</v>
      </c>
      <c r="N19" s="7">
        <f t="shared" si="5"/>
        <v>26600001</v>
      </c>
      <c r="O19" s="32" t="s">
        <v>2</v>
      </c>
      <c r="P19" s="7">
        <v>28100000</v>
      </c>
      <c r="Q19" s="13">
        <v>9.9999999999999992E-2</v>
      </c>
      <c r="S19" s="35" t="s">
        <v>15</v>
      </c>
      <c r="T19" s="35"/>
      <c r="U19" s="23">
        <v>58500000</v>
      </c>
      <c r="V19" s="30"/>
      <c r="W19" s="30"/>
      <c r="X19" s="30"/>
      <c r="Y19" s="30"/>
    </row>
    <row r="20" spans="1:25" ht="15" customHeight="1">
      <c r="A20" s="32">
        <f t="shared" si="0"/>
        <v>18</v>
      </c>
      <c r="B20" s="7">
        <f t="shared" si="1"/>
        <v>16950001</v>
      </c>
      <c r="C20" s="32" t="s">
        <v>2</v>
      </c>
      <c r="D20" s="7">
        <v>19750000</v>
      </c>
      <c r="E20" s="13">
        <v>0.08</v>
      </c>
      <c r="G20" s="32">
        <f t="shared" si="2"/>
        <v>18</v>
      </c>
      <c r="H20" s="7">
        <f t="shared" si="3"/>
        <v>29350001</v>
      </c>
      <c r="I20" s="32" t="s">
        <v>2</v>
      </c>
      <c r="J20" s="7">
        <v>31450000</v>
      </c>
      <c r="K20" s="13">
        <v>0.11999999999999998</v>
      </c>
      <c r="M20" s="32">
        <f t="shared" si="4"/>
        <v>18</v>
      </c>
      <c r="N20" s="7">
        <f t="shared" si="5"/>
        <v>28100001</v>
      </c>
      <c r="O20" s="32" t="s">
        <v>2</v>
      </c>
      <c r="P20" s="7">
        <v>30100000</v>
      </c>
      <c r="Q20" s="13">
        <v>0.10999999999999999</v>
      </c>
      <c r="S20" s="35" t="s">
        <v>8</v>
      </c>
      <c r="T20" s="35"/>
      <c r="U20" s="23">
        <v>63000000</v>
      </c>
      <c r="V20" s="30"/>
      <c r="W20" s="30"/>
      <c r="X20" s="30"/>
      <c r="Y20" s="30"/>
    </row>
    <row r="21" spans="1:25" ht="15" customHeight="1">
      <c r="A21" s="32">
        <f t="shared" si="0"/>
        <v>19</v>
      </c>
      <c r="B21" s="7">
        <f t="shared" si="1"/>
        <v>19750001</v>
      </c>
      <c r="C21" s="32" t="s">
        <v>2</v>
      </c>
      <c r="D21" s="7">
        <v>24150000</v>
      </c>
      <c r="E21" s="13">
        <v>0.09</v>
      </c>
      <c r="G21" s="32">
        <f t="shared" si="2"/>
        <v>19</v>
      </c>
      <c r="H21" s="7">
        <f t="shared" si="3"/>
        <v>31450001</v>
      </c>
      <c r="I21" s="32" t="s">
        <v>2</v>
      </c>
      <c r="J21" s="7">
        <v>33950000</v>
      </c>
      <c r="K21" s="13">
        <v>0.12999999999999998</v>
      </c>
      <c r="M21" s="32">
        <f t="shared" si="4"/>
        <v>19</v>
      </c>
      <c r="N21" s="7">
        <f t="shared" si="5"/>
        <v>30100001</v>
      </c>
      <c r="O21" s="32" t="s">
        <v>2</v>
      </c>
      <c r="P21" s="7">
        <v>32600000</v>
      </c>
      <c r="Q21" s="13">
        <v>0.11999999999999998</v>
      </c>
      <c r="S21" s="35" t="s">
        <v>10</v>
      </c>
      <c r="T21" s="35"/>
      <c r="U21" s="23">
        <v>67500000</v>
      </c>
      <c r="V21" s="30"/>
      <c r="W21" s="30"/>
      <c r="X21" s="30"/>
      <c r="Y21" s="30"/>
    </row>
    <row r="22" spans="1:25" ht="15" customHeight="1">
      <c r="A22" s="32">
        <f t="shared" si="0"/>
        <v>20</v>
      </c>
      <c r="B22" s="7">
        <f t="shared" si="1"/>
        <v>24150001</v>
      </c>
      <c r="C22" s="32" t="s">
        <v>2</v>
      </c>
      <c r="D22" s="7">
        <v>26450000</v>
      </c>
      <c r="E22" s="13">
        <v>9.9999999999999992E-2</v>
      </c>
      <c r="G22" s="32">
        <f t="shared" si="2"/>
        <v>20</v>
      </c>
      <c r="H22" s="7">
        <f t="shared" si="3"/>
        <v>33950001</v>
      </c>
      <c r="I22" s="32" t="s">
        <v>2</v>
      </c>
      <c r="J22" s="7">
        <v>37100000</v>
      </c>
      <c r="K22" s="13">
        <v>0.13999999999999999</v>
      </c>
      <c r="M22" s="32">
        <f t="shared" si="4"/>
        <v>20</v>
      </c>
      <c r="N22" s="7">
        <f t="shared" si="5"/>
        <v>32600001</v>
      </c>
      <c r="O22" s="32" t="s">
        <v>2</v>
      </c>
      <c r="P22" s="7">
        <v>35400000</v>
      </c>
      <c r="Q22" s="13">
        <v>0.12999999999999998</v>
      </c>
      <c r="S22" s="35" t="s">
        <v>16</v>
      </c>
      <c r="T22" s="35"/>
      <c r="U22" s="23">
        <v>58500000</v>
      </c>
      <c r="V22" s="30"/>
      <c r="W22" s="30"/>
      <c r="X22" s="30"/>
      <c r="Y22" s="30"/>
    </row>
    <row r="23" spans="1:25" ht="15" customHeight="1">
      <c r="A23" s="32">
        <f t="shared" si="0"/>
        <v>21</v>
      </c>
      <c r="B23" s="7">
        <f t="shared" si="1"/>
        <v>26450001</v>
      </c>
      <c r="C23" s="32" t="s">
        <v>2</v>
      </c>
      <c r="D23" s="7">
        <v>28000000</v>
      </c>
      <c r="E23" s="13">
        <v>0.10999999999999999</v>
      </c>
      <c r="G23" s="32">
        <f t="shared" si="2"/>
        <v>21</v>
      </c>
      <c r="H23" s="7">
        <f t="shared" si="3"/>
        <v>37100001</v>
      </c>
      <c r="I23" s="32" t="s">
        <v>2</v>
      </c>
      <c r="J23" s="7">
        <v>41100000</v>
      </c>
      <c r="K23" s="13">
        <v>0.15</v>
      </c>
      <c r="M23" s="32">
        <f t="shared" si="4"/>
        <v>21</v>
      </c>
      <c r="N23" s="7">
        <f t="shared" si="5"/>
        <v>35400001</v>
      </c>
      <c r="O23" s="32" t="s">
        <v>2</v>
      </c>
      <c r="P23" s="7">
        <v>38900000</v>
      </c>
      <c r="Q23" s="13">
        <v>0.13999999999999999</v>
      </c>
      <c r="S23" s="35" t="s">
        <v>9</v>
      </c>
      <c r="T23" s="35"/>
      <c r="U23" s="23">
        <v>63000000</v>
      </c>
      <c r="V23" s="30"/>
      <c r="W23" s="30"/>
      <c r="X23" s="30"/>
      <c r="Y23" s="30"/>
    </row>
    <row r="24" spans="1:25" ht="15" customHeight="1">
      <c r="A24" s="32">
        <f t="shared" si="0"/>
        <v>22</v>
      </c>
      <c r="B24" s="7">
        <f t="shared" si="1"/>
        <v>28000001</v>
      </c>
      <c r="C24" s="32" t="s">
        <v>2</v>
      </c>
      <c r="D24" s="7">
        <v>30050000</v>
      </c>
      <c r="E24" s="13">
        <v>0.11999999999999998</v>
      </c>
      <c r="G24" s="32">
        <f t="shared" si="2"/>
        <v>22</v>
      </c>
      <c r="H24" s="7">
        <f t="shared" si="3"/>
        <v>41100001</v>
      </c>
      <c r="I24" s="32" t="s">
        <v>2</v>
      </c>
      <c r="J24" s="7">
        <v>45800000</v>
      </c>
      <c r="K24" s="13">
        <v>0.16</v>
      </c>
      <c r="M24" s="32">
        <f t="shared" si="4"/>
        <v>22</v>
      </c>
      <c r="N24" s="7">
        <f t="shared" si="5"/>
        <v>38900001</v>
      </c>
      <c r="O24" s="32" t="s">
        <v>2</v>
      </c>
      <c r="P24" s="7">
        <v>43000000</v>
      </c>
      <c r="Q24" s="13">
        <v>0.15</v>
      </c>
      <c r="S24" s="35" t="s">
        <v>11</v>
      </c>
      <c r="T24" s="35"/>
      <c r="U24" s="23">
        <v>67500000</v>
      </c>
      <c r="V24" s="30"/>
      <c r="W24" s="30"/>
      <c r="X24" s="30"/>
      <c r="Y24" s="30"/>
    </row>
    <row r="25" spans="1:25" ht="15" customHeight="1">
      <c r="A25" s="32">
        <f t="shared" si="0"/>
        <v>23</v>
      </c>
      <c r="B25" s="7">
        <f t="shared" si="1"/>
        <v>30050001</v>
      </c>
      <c r="C25" s="32" t="s">
        <v>2</v>
      </c>
      <c r="D25" s="7">
        <v>32400000</v>
      </c>
      <c r="E25" s="13">
        <v>0.12999999999999998</v>
      </c>
      <c r="G25" s="32">
        <f t="shared" si="2"/>
        <v>23</v>
      </c>
      <c r="H25" s="7">
        <f t="shared" si="3"/>
        <v>45800001</v>
      </c>
      <c r="I25" s="32" t="s">
        <v>2</v>
      </c>
      <c r="J25" s="7">
        <v>49500000</v>
      </c>
      <c r="K25" s="13">
        <v>0.17</v>
      </c>
      <c r="M25" s="32">
        <f t="shared" si="4"/>
        <v>23</v>
      </c>
      <c r="N25" s="7">
        <f t="shared" si="5"/>
        <v>43000001</v>
      </c>
      <c r="O25" s="32" t="s">
        <v>2</v>
      </c>
      <c r="P25" s="7">
        <v>47400000</v>
      </c>
      <c r="Q25" s="13">
        <v>0.16</v>
      </c>
      <c r="S25" s="35" t="s">
        <v>12</v>
      </c>
      <c r="T25" s="35"/>
      <c r="U25" s="23">
        <v>72000000</v>
      </c>
      <c r="V25" s="30"/>
      <c r="W25" s="30"/>
      <c r="X25" s="30"/>
      <c r="Y25" s="30"/>
    </row>
    <row r="26" spans="1:25" ht="15" customHeight="1">
      <c r="A26" s="32">
        <f t="shared" si="0"/>
        <v>24</v>
      </c>
      <c r="B26" s="7">
        <f t="shared" si="1"/>
        <v>32400001</v>
      </c>
      <c r="C26" s="32" t="s">
        <v>2</v>
      </c>
      <c r="D26" s="7">
        <v>35400000</v>
      </c>
      <c r="E26" s="13">
        <v>0.13999999999999999</v>
      </c>
      <c r="G26" s="32">
        <f t="shared" si="2"/>
        <v>24</v>
      </c>
      <c r="H26" s="7">
        <f t="shared" si="3"/>
        <v>49500001</v>
      </c>
      <c r="I26" s="32" t="s">
        <v>2</v>
      </c>
      <c r="J26" s="7">
        <v>53800000</v>
      </c>
      <c r="K26" s="13">
        <v>0.18000000000000002</v>
      </c>
      <c r="M26" s="32">
        <f t="shared" si="4"/>
        <v>24</v>
      </c>
      <c r="N26" s="7">
        <f t="shared" si="5"/>
        <v>47400001</v>
      </c>
      <c r="O26" s="32" t="s">
        <v>2</v>
      </c>
      <c r="P26" s="7">
        <v>51200000</v>
      </c>
      <c r="Q26" s="13">
        <v>0.17</v>
      </c>
      <c r="V26" s="30"/>
      <c r="W26" s="30"/>
      <c r="X26" s="30"/>
      <c r="Y26" s="30"/>
    </row>
    <row r="27" spans="1:25" ht="15" customHeight="1">
      <c r="A27" s="32">
        <f t="shared" si="0"/>
        <v>25</v>
      </c>
      <c r="B27" s="7">
        <f t="shared" si="1"/>
        <v>35400001</v>
      </c>
      <c r="C27" s="32" t="s">
        <v>2</v>
      </c>
      <c r="D27" s="7">
        <v>39100000</v>
      </c>
      <c r="E27" s="13">
        <v>0.15</v>
      </c>
      <c r="G27" s="32">
        <f t="shared" si="2"/>
        <v>25</v>
      </c>
      <c r="H27" s="7">
        <f t="shared" si="3"/>
        <v>53800001</v>
      </c>
      <c r="I27" s="32" t="s">
        <v>2</v>
      </c>
      <c r="J27" s="7">
        <v>58500000</v>
      </c>
      <c r="K27" s="13">
        <v>0.19000000000000003</v>
      </c>
      <c r="M27" s="32">
        <f t="shared" si="4"/>
        <v>25</v>
      </c>
      <c r="N27" s="7">
        <f t="shared" si="5"/>
        <v>51200001</v>
      </c>
      <c r="O27" s="32" t="s">
        <v>2</v>
      </c>
      <c r="P27" s="7">
        <v>55800000</v>
      </c>
      <c r="Q27" s="13">
        <v>0.18000000000000002</v>
      </c>
      <c r="V27" s="30"/>
      <c r="W27" s="30"/>
      <c r="X27" s="30"/>
      <c r="Y27" s="30"/>
    </row>
    <row r="28" spans="1:25" ht="15" customHeight="1">
      <c r="A28" s="32">
        <f t="shared" si="0"/>
        <v>26</v>
      </c>
      <c r="B28" s="7">
        <f t="shared" si="1"/>
        <v>39100001</v>
      </c>
      <c r="C28" s="32" t="s">
        <v>2</v>
      </c>
      <c r="D28" s="7">
        <v>43850000</v>
      </c>
      <c r="E28" s="13">
        <v>0.16</v>
      </c>
      <c r="G28" s="32">
        <f t="shared" si="2"/>
        <v>26</v>
      </c>
      <c r="H28" s="7">
        <f t="shared" si="3"/>
        <v>58500001</v>
      </c>
      <c r="I28" s="32" t="s">
        <v>2</v>
      </c>
      <c r="J28" s="7">
        <v>64000000</v>
      </c>
      <c r="K28" s="13">
        <v>0.20000000000000004</v>
      </c>
      <c r="M28" s="32">
        <f t="shared" si="4"/>
        <v>26</v>
      </c>
      <c r="N28" s="7">
        <f t="shared" si="5"/>
        <v>55800001</v>
      </c>
      <c r="O28" s="32" t="s">
        <v>2</v>
      </c>
      <c r="P28" s="7">
        <v>60400000</v>
      </c>
      <c r="Q28" s="13">
        <v>0.19000000000000003</v>
      </c>
      <c r="V28" s="30"/>
      <c r="W28" s="30"/>
      <c r="X28" s="30"/>
      <c r="Y28" s="30"/>
    </row>
    <row r="29" spans="1:25" ht="15" customHeight="1">
      <c r="A29" s="32">
        <f t="shared" si="0"/>
        <v>27</v>
      </c>
      <c r="B29" s="7">
        <f t="shared" si="1"/>
        <v>43850001</v>
      </c>
      <c r="C29" s="32" t="s">
        <v>2</v>
      </c>
      <c r="D29" s="7">
        <v>47800000</v>
      </c>
      <c r="E29" s="13">
        <v>0.17</v>
      </c>
      <c r="G29" s="32">
        <f t="shared" si="2"/>
        <v>27</v>
      </c>
      <c r="H29" s="7">
        <f t="shared" si="3"/>
        <v>64000001</v>
      </c>
      <c r="I29" s="32" t="s">
        <v>2</v>
      </c>
      <c r="J29" s="7">
        <v>71000000</v>
      </c>
      <c r="K29" s="13">
        <v>0.21000000000000005</v>
      </c>
      <c r="M29" s="32">
        <f t="shared" si="4"/>
        <v>27</v>
      </c>
      <c r="N29" s="7">
        <f t="shared" si="5"/>
        <v>60400001</v>
      </c>
      <c r="O29" s="32" t="s">
        <v>2</v>
      </c>
      <c r="P29" s="7">
        <v>66700000</v>
      </c>
      <c r="Q29" s="13">
        <v>0.20000000000000004</v>
      </c>
      <c r="V29" s="30"/>
      <c r="W29" s="30"/>
      <c r="X29" s="30"/>
      <c r="Y29" s="30"/>
    </row>
    <row r="30" spans="1:25" ht="15" customHeight="1">
      <c r="A30" s="32">
        <f t="shared" si="0"/>
        <v>28</v>
      </c>
      <c r="B30" s="7">
        <f t="shared" si="1"/>
        <v>47800001</v>
      </c>
      <c r="C30" s="32" t="s">
        <v>2</v>
      </c>
      <c r="D30" s="7">
        <v>51400000</v>
      </c>
      <c r="E30" s="13">
        <v>0.18000000000000002</v>
      </c>
      <c r="G30" s="32">
        <f t="shared" si="2"/>
        <v>28</v>
      </c>
      <c r="H30" s="7">
        <f t="shared" si="3"/>
        <v>71000001</v>
      </c>
      <c r="I30" s="32" t="s">
        <v>2</v>
      </c>
      <c r="J30" s="7">
        <v>80000000</v>
      </c>
      <c r="K30" s="13">
        <v>0.22000000000000006</v>
      </c>
      <c r="M30" s="32">
        <f t="shared" si="4"/>
        <v>28</v>
      </c>
      <c r="N30" s="7">
        <f t="shared" si="5"/>
        <v>66700001</v>
      </c>
      <c r="O30" s="32" t="s">
        <v>2</v>
      </c>
      <c r="P30" s="7">
        <v>74500000</v>
      </c>
      <c r="Q30" s="13">
        <v>0.21000000000000005</v>
      </c>
      <c r="V30" s="30"/>
      <c r="W30" s="30"/>
      <c r="X30" s="30"/>
      <c r="Y30" s="30"/>
    </row>
    <row r="31" spans="1:25" ht="15" customHeight="1">
      <c r="A31" s="32">
        <f t="shared" si="0"/>
        <v>29</v>
      </c>
      <c r="B31" s="7">
        <f t="shared" si="1"/>
        <v>51400001</v>
      </c>
      <c r="C31" s="32" t="s">
        <v>2</v>
      </c>
      <c r="D31" s="7">
        <v>56300000</v>
      </c>
      <c r="E31" s="13">
        <v>0.19000000000000003</v>
      </c>
      <c r="G31" s="32">
        <f t="shared" si="2"/>
        <v>29</v>
      </c>
      <c r="H31" s="7">
        <f t="shared" si="3"/>
        <v>80000001</v>
      </c>
      <c r="I31" s="32" t="s">
        <v>2</v>
      </c>
      <c r="J31" s="7">
        <v>93000000</v>
      </c>
      <c r="K31" s="13">
        <v>0.23000000000000007</v>
      </c>
      <c r="M31" s="32">
        <f t="shared" si="4"/>
        <v>29</v>
      </c>
      <c r="N31" s="7">
        <f t="shared" si="5"/>
        <v>74500001</v>
      </c>
      <c r="O31" s="32" t="s">
        <v>2</v>
      </c>
      <c r="P31" s="7">
        <v>83200000</v>
      </c>
      <c r="Q31" s="13">
        <v>0.22000000000000006</v>
      </c>
      <c r="S31" s="27"/>
      <c r="U31" s="28"/>
      <c r="V31" s="30"/>
      <c r="W31" s="30"/>
      <c r="X31" s="30"/>
      <c r="Y31" s="30"/>
    </row>
    <row r="32" spans="1:25" ht="15" customHeight="1">
      <c r="A32" s="32">
        <f t="shared" si="0"/>
        <v>30</v>
      </c>
      <c r="B32" s="7">
        <f t="shared" si="1"/>
        <v>56300001</v>
      </c>
      <c r="C32" s="32" t="s">
        <v>2</v>
      </c>
      <c r="D32" s="7">
        <v>62200000</v>
      </c>
      <c r="E32" s="13">
        <v>0.20000000000000004</v>
      </c>
      <c r="G32" s="32">
        <f t="shared" si="2"/>
        <v>30</v>
      </c>
      <c r="H32" s="7">
        <f t="shared" si="3"/>
        <v>93000001</v>
      </c>
      <c r="I32" s="32" t="s">
        <v>2</v>
      </c>
      <c r="J32" s="7">
        <v>109000000</v>
      </c>
      <c r="K32" s="13">
        <v>0.24000000000000007</v>
      </c>
      <c r="M32" s="32">
        <f t="shared" si="4"/>
        <v>30</v>
      </c>
      <c r="N32" s="7">
        <f t="shared" si="5"/>
        <v>83200001</v>
      </c>
      <c r="O32" s="32" t="s">
        <v>2</v>
      </c>
      <c r="P32" s="7">
        <v>95600000</v>
      </c>
      <c r="Q32" s="13">
        <v>0.23000000000000007</v>
      </c>
      <c r="V32" s="30"/>
      <c r="W32" s="30"/>
      <c r="X32" s="30"/>
      <c r="Y32" s="30"/>
    </row>
    <row r="33" spans="1:25" ht="15" customHeight="1">
      <c r="A33" s="32">
        <f t="shared" si="0"/>
        <v>31</v>
      </c>
      <c r="B33" s="7">
        <f t="shared" si="1"/>
        <v>62200001</v>
      </c>
      <c r="C33" s="32" t="s">
        <v>2</v>
      </c>
      <c r="D33" s="7">
        <v>68600000</v>
      </c>
      <c r="E33" s="13">
        <v>0.21000000000000005</v>
      </c>
      <c r="G33" s="32">
        <f t="shared" si="2"/>
        <v>31</v>
      </c>
      <c r="H33" s="7">
        <f t="shared" si="3"/>
        <v>109000001</v>
      </c>
      <c r="I33" s="32" t="s">
        <v>2</v>
      </c>
      <c r="J33" s="7">
        <v>129000000</v>
      </c>
      <c r="K33" s="13">
        <v>0.25000000000000006</v>
      </c>
      <c r="M33" s="32">
        <f t="shared" si="4"/>
        <v>31</v>
      </c>
      <c r="N33" s="7">
        <f t="shared" si="5"/>
        <v>95600001</v>
      </c>
      <c r="O33" s="32" t="s">
        <v>2</v>
      </c>
      <c r="P33" s="7">
        <v>110000000</v>
      </c>
      <c r="Q33" s="13">
        <v>0.24000000000000007</v>
      </c>
      <c r="S33" s="29"/>
      <c r="T33" s="30"/>
      <c r="U33" s="30"/>
      <c r="V33" s="30"/>
      <c r="W33" s="30"/>
      <c r="X33" s="30"/>
      <c r="Y33" s="30"/>
    </row>
    <row r="34" spans="1:25" ht="15" customHeight="1">
      <c r="A34" s="32">
        <f t="shared" si="0"/>
        <v>32</v>
      </c>
      <c r="B34" s="7">
        <f t="shared" si="1"/>
        <v>68600001</v>
      </c>
      <c r="C34" s="32" t="s">
        <v>2</v>
      </c>
      <c r="D34" s="7">
        <v>77500000</v>
      </c>
      <c r="E34" s="13">
        <v>0.22000000000000006</v>
      </c>
      <c r="G34" s="32">
        <f t="shared" si="2"/>
        <v>32</v>
      </c>
      <c r="H34" s="7">
        <f t="shared" si="3"/>
        <v>129000001</v>
      </c>
      <c r="I34" s="32" t="s">
        <v>2</v>
      </c>
      <c r="J34" s="7">
        <v>163000000</v>
      </c>
      <c r="K34" s="13">
        <v>0.26000000000000006</v>
      </c>
      <c r="M34" s="32">
        <f t="shared" si="4"/>
        <v>32</v>
      </c>
      <c r="N34" s="7">
        <f t="shared" si="5"/>
        <v>110000001</v>
      </c>
      <c r="O34" s="32" t="s">
        <v>2</v>
      </c>
      <c r="P34" s="7">
        <v>134000000</v>
      </c>
      <c r="Q34" s="13">
        <v>0.25000000000000006</v>
      </c>
      <c r="T34" s="30"/>
      <c r="U34" s="30"/>
      <c r="V34" s="30"/>
      <c r="W34" s="30"/>
      <c r="X34" s="30"/>
      <c r="Y34" s="30"/>
    </row>
    <row r="35" spans="1:25" ht="15" customHeight="1">
      <c r="A35" s="32">
        <f t="shared" si="0"/>
        <v>33</v>
      </c>
      <c r="B35" s="7">
        <f t="shared" si="1"/>
        <v>77500001</v>
      </c>
      <c r="C35" s="32" t="s">
        <v>2</v>
      </c>
      <c r="D35" s="7">
        <v>89000000</v>
      </c>
      <c r="E35" s="13">
        <v>0.23000000000000007</v>
      </c>
      <c r="G35" s="32">
        <f t="shared" si="2"/>
        <v>33</v>
      </c>
      <c r="H35" s="7">
        <f t="shared" si="3"/>
        <v>163000001</v>
      </c>
      <c r="I35" s="32" t="s">
        <v>2</v>
      </c>
      <c r="J35" s="7">
        <v>211000000</v>
      </c>
      <c r="K35" s="13">
        <v>0.27000000000000007</v>
      </c>
      <c r="M35" s="32">
        <f t="shared" si="4"/>
        <v>33</v>
      </c>
      <c r="N35" s="7">
        <f t="shared" si="5"/>
        <v>134000001</v>
      </c>
      <c r="O35" s="32" t="s">
        <v>2</v>
      </c>
      <c r="P35" s="7">
        <v>169000000</v>
      </c>
      <c r="Q35" s="13">
        <v>0.26000000000000006</v>
      </c>
      <c r="T35" s="30"/>
      <c r="U35" s="30"/>
      <c r="V35" s="30"/>
      <c r="W35" s="30"/>
      <c r="X35" s="30"/>
      <c r="Y35" s="30"/>
    </row>
    <row r="36" spans="1:25" ht="15" customHeight="1">
      <c r="A36" s="32">
        <f t="shared" si="0"/>
        <v>34</v>
      </c>
      <c r="B36" s="7">
        <f t="shared" si="1"/>
        <v>89000001</v>
      </c>
      <c r="C36" s="32" t="s">
        <v>2</v>
      </c>
      <c r="D36" s="7">
        <v>103000000</v>
      </c>
      <c r="E36" s="13">
        <v>0.24000000000000007</v>
      </c>
      <c r="G36" s="32">
        <f t="shared" si="2"/>
        <v>34</v>
      </c>
      <c r="H36" s="7">
        <f t="shared" si="3"/>
        <v>211000001</v>
      </c>
      <c r="I36" s="32" t="s">
        <v>2</v>
      </c>
      <c r="J36" s="7">
        <v>374000000</v>
      </c>
      <c r="K36" s="13">
        <v>0.28000000000000008</v>
      </c>
      <c r="M36" s="32">
        <f t="shared" si="4"/>
        <v>34</v>
      </c>
      <c r="N36" s="7">
        <f t="shared" si="5"/>
        <v>169000001</v>
      </c>
      <c r="O36" s="32" t="s">
        <v>2</v>
      </c>
      <c r="P36" s="7">
        <v>221000000</v>
      </c>
      <c r="Q36" s="13">
        <v>0.27000000000000007</v>
      </c>
      <c r="T36" s="30"/>
      <c r="U36" s="30"/>
      <c r="V36" s="30"/>
      <c r="W36" s="30"/>
      <c r="X36" s="30"/>
      <c r="Y36" s="30"/>
    </row>
    <row r="37" spans="1:25" ht="15" customHeight="1">
      <c r="A37" s="32">
        <f t="shared" si="0"/>
        <v>35</v>
      </c>
      <c r="B37" s="7">
        <f t="shared" si="1"/>
        <v>103000001</v>
      </c>
      <c r="C37" s="32" t="s">
        <v>2</v>
      </c>
      <c r="D37" s="7">
        <v>125000000</v>
      </c>
      <c r="E37" s="13">
        <v>0.25000000000000006</v>
      </c>
      <c r="G37" s="32">
        <f t="shared" si="2"/>
        <v>35</v>
      </c>
      <c r="H37" s="7">
        <f t="shared" si="3"/>
        <v>374000001</v>
      </c>
      <c r="I37" s="32" t="s">
        <v>2</v>
      </c>
      <c r="J37" s="7">
        <v>459000000</v>
      </c>
      <c r="K37" s="13">
        <v>0.29000000000000009</v>
      </c>
      <c r="M37" s="32">
        <f t="shared" si="4"/>
        <v>35</v>
      </c>
      <c r="N37" s="7">
        <f t="shared" si="5"/>
        <v>221000001</v>
      </c>
      <c r="O37" s="32" t="s">
        <v>2</v>
      </c>
      <c r="P37" s="7">
        <v>390000000</v>
      </c>
      <c r="Q37" s="13">
        <v>0.28000000000000008</v>
      </c>
      <c r="T37" s="30"/>
      <c r="U37" s="30"/>
      <c r="V37" s="30"/>
      <c r="W37" s="30"/>
      <c r="X37" s="30"/>
      <c r="Y37" s="30"/>
    </row>
    <row r="38" spans="1:25" ht="15" customHeight="1">
      <c r="A38" s="32">
        <f t="shared" si="0"/>
        <v>36</v>
      </c>
      <c r="B38" s="7">
        <f t="shared" si="1"/>
        <v>125000001</v>
      </c>
      <c r="C38" s="32" t="s">
        <v>2</v>
      </c>
      <c r="D38" s="7">
        <v>157000000</v>
      </c>
      <c r="E38" s="13">
        <v>0.26000000000000006</v>
      </c>
      <c r="G38" s="32">
        <f t="shared" si="2"/>
        <v>36</v>
      </c>
      <c r="H38" s="7">
        <f t="shared" si="3"/>
        <v>459000001</v>
      </c>
      <c r="I38" s="32" t="s">
        <v>2</v>
      </c>
      <c r="J38" s="7">
        <v>555000000</v>
      </c>
      <c r="K38" s="13">
        <v>0.3000000000000001</v>
      </c>
      <c r="M38" s="32">
        <f t="shared" si="4"/>
        <v>36</v>
      </c>
      <c r="N38" s="7">
        <f t="shared" si="5"/>
        <v>390000001</v>
      </c>
      <c r="O38" s="32" t="s">
        <v>2</v>
      </c>
      <c r="P38" s="7">
        <v>463000000</v>
      </c>
      <c r="Q38" s="13">
        <v>0.29000000000000009</v>
      </c>
      <c r="T38" s="30"/>
      <c r="U38" s="30"/>
      <c r="V38" s="30"/>
      <c r="W38" s="30"/>
      <c r="X38" s="30"/>
      <c r="Y38" s="30"/>
    </row>
    <row r="39" spans="1:25" ht="15" customHeight="1">
      <c r="A39" s="32">
        <f t="shared" si="0"/>
        <v>37</v>
      </c>
      <c r="B39" s="7">
        <f t="shared" si="1"/>
        <v>157000001</v>
      </c>
      <c r="C39" s="32" t="s">
        <v>2</v>
      </c>
      <c r="D39" s="7">
        <v>206000000</v>
      </c>
      <c r="E39" s="13">
        <v>0.27000000000000007</v>
      </c>
      <c r="G39" s="32">
        <f t="shared" si="2"/>
        <v>37</v>
      </c>
      <c r="H39" s="7">
        <f t="shared" si="3"/>
        <v>555000001</v>
      </c>
      <c r="I39" s="32" t="s">
        <v>2</v>
      </c>
      <c r="J39" s="7">
        <v>704000000</v>
      </c>
      <c r="K39" s="13">
        <v>0.31000000000000011</v>
      </c>
      <c r="M39" s="32">
        <f t="shared" si="4"/>
        <v>37</v>
      </c>
      <c r="N39" s="7">
        <f t="shared" si="5"/>
        <v>463000001</v>
      </c>
      <c r="O39" s="32" t="s">
        <v>2</v>
      </c>
      <c r="P39" s="7">
        <v>561000000</v>
      </c>
      <c r="Q39" s="13">
        <v>0.3000000000000001</v>
      </c>
      <c r="T39" s="30"/>
      <c r="U39" s="30"/>
      <c r="V39" s="30"/>
      <c r="W39" s="30"/>
      <c r="X39" s="30"/>
      <c r="Y39" s="30"/>
    </row>
    <row r="40" spans="1:25" ht="15" customHeight="1">
      <c r="A40" s="32">
        <f t="shared" si="0"/>
        <v>38</v>
      </c>
      <c r="B40" s="7">
        <f t="shared" si="1"/>
        <v>206000001</v>
      </c>
      <c r="C40" s="32" t="s">
        <v>2</v>
      </c>
      <c r="D40" s="7">
        <v>337000000</v>
      </c>
      <c r="E40" s="13">
        <v>0.28000000000000008</v>
      </c>
      <c r="G40" s="32">
        <f t="shared" si="2"/>
        <v>38</v>
      </c>
      <c r="H40" s="7">
        <f t="shared" si="3"/>
        <v>704000001</v>
      </c>
      <c r="I40" s="32" t="s">
        <v>2</v>
      </c>
      <c r="J40" s="7">
        <v>957000000</v>
      </c>
      <c r="K40" s="13">
        <v>0.32000000000000012</v>
      </c>
      <c r="M40" s="32">
        <f t="shared" si="4"/>
        <v>38</v>
      </c>
      <c r="N40" s="7">
        <f t="shared" si="5"/>
        <v>561000001</v>
      </c>
      <c r="O40" s="32" t="s">
        <v>2</v>
      </c>
      <c r="P40" s="7">
        <v>709000000</v>
      </c>
      <c r="Q40" s="13">
        <v>0.31000000000000011</v>
      </c>
      <c r="T40" s="30"/>
      <c r="U40" s="30"/>
      <c r="V40" s="30"/>
      <c r="W40" s="30"/>
      <c r="X40" s="30"/>
      <c r="Y40" s="30"/>
    </row>
    <row r="41" spans="1:25" ht="15" customHeight="1">
      <c r="A41" s="32">
        <f t="shared" si="0"/>
        <v>39</v>
      </c>
      <c r="B41" s="7">
        <f t="shared" si="1"/>
        <v>337000001</v>
      </c>
      <c r="C41" s="32" t="s">
        <v>2</v>
      </c>
      <c r="D41" s="7">
        <v>454000000</v>
      </c>
      <c r="E41" s="13">
        <v>0.29000000000000009</v>
      </c>
      <c r="G41" s="32">
        <f t="shared" si="2"/>
        <v>39</v>
      </c>
      <c r="H41" s="7">
        <f t="shared" si="3"/>
        <v>957000001</v>
      </c>
      <c r="I41" s="32" t="s">
        <v>2</v>
      </c>
      <c r="J41" s="7">
        <v>1405000000</v>
      </c>
      <c r="K41" s="13">
        <v>0.33000000000000013</v>
      </c>
      <c r="M41" s="32">
        <f t="shared" si="4"/>
        <v>39</v>
      </c>
      <c r="N41" s="7">
        <f t="shared" si="5"/>
        <v>709000001</v>
      </c>
      <c r="O41" s="32" t="s">
        <v>2</v>
      </c>
      <c r="P41" s="7">
        <v>965000000</v>
      </c>
      <c r="Q41" s="13">
        <v>0.32000000000000012</v>
      </c>
      <c r="T41" s="30"/>
      <c r="U41" s="30"/>
      <c r="V41" s="30"/>
      <c r="W41" s="30"/>
      <c r="X41" s="30"/>
      <c r="Y41" s="30"/>
    </row>
    <row r="42" spans="1:25" ht="15" customHeight="1">
      <c r="A42" s="32">
        <f t="shared" si="0"/>
        <v>40</v>
      </c>
      <c r="B42" s="7">
        <f t="shared" si="1"/>
        <v>454000001</v>
      </c>
      <c r="C42" s="32" t="s">
        <v>2</v>
      </c>
      <c r="D42" s="7">
        <v>550000000</v>
      </c>
      <c r="E42" s="13">
        <v>0.3000000000000001</v>
      </c>
      <c r="G42" s="32">
        <f t="shared" si="2"/>
        <v>40</v>
      </c>
      <c r="H42" s="7">
        <f t="shared" si="3"/>
        <v>1405000001</v>
      </c>
      <c r="I42" s="32" t="s">
        <v>2</v>
      </c>
      <c r="J42" s="7" t="s">
        <v>17</v>
      </c>
      <c r="K42" s="13">
        <v>0.34000000000000014</v>
      </c>
      <c r="M42" s="32">
        <f t="shared" si="4"/>
        <v>40</v>
      </c>
      <c r="N42" s="7">
        <f t="shared" si="5"/>
        <v>965000001</v>
      </c>
      <c r="O42" s="32" t="s">
        <v>2</v>
      </c>
      <c r="P42" s="7">
        <v>1419000000</v>
      </c>
      <c r="Q42" s="13">
        <v>0.33000000000000013</v>
      </c>
      <c r="T42" s="30"/>
      <c r="U42" s="30"/>
      <c r="V42" s="30"/>
      <c r="W42" s="30"/>
      <c r="X42" s="30"/>
      <c r="Y42" s="30"/>
    </row>
    <row r="43" spans="1:25" ht="15" customHeight="1">
      <c r="A43" s="32">
        <f t="shared" si="0"/>
        <v>41</v>
      </c>
      <c r="B43" s="7">
        <f t="shared" si="1"/>
        <v>550000001</v>
      </c>
      <c r="C43" s="32" t="s">
        <v>2</v>
      </c>
      <c r="D43" s="7">
        <v>695000000</v>
      </c>
      <c r="E43" s="13">
        <v>0.31000000000000011</v>
      </c>
      <c r="M43" s="32">
        <f>M42+1</f>
        <v>41</v>
      </c>
      <c r="N43" s="7">
        <f t="shared" si="5"/>
        <v>1419000001</v>
      </c>
      <c r="O43" s="32" t="s">
        <v>2</v>
      </c>
      <c r="P43" s="7" t="s">
        <v>17</v>
      </c>
      <c r="Q43" s="13">
        <v>0.34000000000000014</v>
      </c>
      <c r="T43" s="30"/>
      <c r="U43" s="30"/>
      <c r="V43" s="30"/>
      <c r="W43" s="30"/>
      <c r="X43" s="30"/>
      <c r="Y43" s="30"/>
    </row>
    <row r="44" spans="1:25" ht="15" customHeight="1">
      <c r="A44" s="32">
        <f t="shared" si="0"/>
        <v>42</v>
      </c>
      <c r="B44" s="7">
        <f t="shared" si="1"/>
        <v>695000001</v>
      </c>
      <c r="C44" s="32" t="s">
        <v>2</v>
      </c>
      <c r="D44" s="7">
        <v>910000000</v>
      </c>
      <c r="E44" s="13">
        <v>0.32000000000000012</v>
      </c>
      <c r="T44" s="30"/>
      <c r="U44" s="30"/>
      <c r="V44" s="30"/>
      <c r="W44" s="30"/>
      <c r="X44" s="30"/>
      <c r="Y44" s="30"/>
    </row>
    <row r="45" spans="1:25" ht="15" customHeight="1">
      <c r="A45" s="32">
        <f t="shared" si="0"/>
        <v>43</v>
      </c>
      <c r="B45" s="7">
        <f t="shared" si="1"/>
        <v>910000001</v>
      </c>
      <c r="C45" s="32" t="s">
        <v>2</v>
      </c>
      <c r="D45" s="7">
        <v>1400000000</v>
      </c>
      <c r="E45" s="13">
        <v>0.33000000000000013</v>
      </c>
      <c r="T45" s="30"/>
      <c r="U45" s="30"/>
      <c r="V45" s="30"/>
      <c r="W45" s="30"/>
      <c r="X45" s="30"/>
      <c r="Y45" s="30"/>
    </row>
    <row r="46" spans="1:25" ht="15" customHeight="1">
      <c r="A46" s="32">
        <f t="shared" si="0"/>
        <v>44</v>
      </c>
      <c r="B46" s="7">
        <f t="shared" si="1"/>
        <v>1400000001</v>
      </c>
      <c r="C46" s="32" t="s">
        <v>2</v>
      </c>
      <c r="D46" s="7" t="s">
        <v>17</v>
      </c>
      <c r="E46" s="13">
        <v>0.34000000000000014</v>
      </c>
      <c r="J46" s="8"/>
      <c r="T46" s="30"/>
      <c r="U46" s="30"/>
      <c r="V46" s="30"/>
      <c r="W46" s="30"/>
      <c r="X46" s="30"/>
      <c r="Y46" s="30"/>
    </row>
    <row r="47" spans="1:25" ht="15" customHeight="1">
      <c r="J47" s="10"/>
      <c r="T47" s="30"/>
      <c r="U47" s="30"/>
      <c r="V47" s="30"/>
      <c r="W47" s="30"/>
      <c r="X47" s="30"/>
      <c r="Y47" s="30"/>
    </row>
    <row r="48" spans="1:25" ht="15" customHeight="1">
      <c r="J48" s="10"/>
      <c r="T48" s="30"/>
      <c r="U48" s="30"/>
      <c r="V48" s="30"/>
      <c r="W48" s="30"/>
      <c r="X48" s="30"/>
      <c r="Y48" s="30"/>
    </row>
    <row r="54" spans="2:25" ht="15" customHeight="1">
      <c r="B54" s="30"/>
      <c r="D54" s="30"/>
      <c r="E54" s="30"/>
      <c r="J54" s="22"/>
      <c r="K54" s="30"/>
      <c r="Q54" s="30"/>
      <c r="S54" s="30"/>
      <c r="T54" s="30"/>
      <c r="U54" s="30"/>
      <c r="V54" s="30"/>
      <c r="W54" s="30"/>
      <c r="X54" s="30"/>
      <c r="Y54" s="30"/>
    </row>
    <row r="55" spans="2:25" ht="15" customHeight="1">
      <c r="B55" s="30"/>
      <c r="D55" s="30"/>
      <c r="E55" s="30"/>
      <c r="J55" s="22">
        <v>20000000</v>
      </c>
      <c r="K55" s="30"/>
      <c r="Q55" s="30"/>
      <c r="S55" s="30"/>
      <c r="T55" s="30"/>
      <c r="U55" s="30"/>
      <c r="V55" s="30"/>
      <c r="W55" s="30"/>
      <c r="X55" s="30"/>
      <c r="Y55" s="30"/>
    </row>
    <row r="56" spans="2:25" ht="15" customHeight="1">
      <c r="B56" s="30"/>
      <c r="D56" s="30"/>
      <c r="E56" s="30"/>
      <c r="J56" s="22">
        <f ca="1">J61</f>
        <v>1739130.4347826089</v>
      </c>
      <c r="K56" s="30"/>
      <c r="Q56" s="30"/>
      <c r="S56" s="30"/>
      <c r="T56" s="30"/>
      <c r="U56" s="30"/>
      <c r="V56" s="30"/>
      <c r="W56" s="30"/>
      <c r="X56" s="30"/>
      <c r="Y56" s="30"/>
    </row>
    <row r="57" spans="2:25" ht="15" customHeight="1">
      <c r="B57" s="30"/>
      <c r="D57" s="30"/>
      <c r="E57" s="30"/>
      <c r="J57" s="22">
        <f ca="1">SUM(J55:J56)</f>
        <v>21739130.434782609</v>
      </c>
      <c r="K57" s="30"/>
      <c r="Q57" s="30"/>
      <c r="S57" s="30"/>
      <c r="T57" s="30"/>
      <c r="U57" s="30"/>
      <c r="V57" s="30"/>
      <c r="W57" s="30"/>
      <c r="X57" s="30"/>
      <c r="Y57" s="30"/>
    </row>
    <row r="59" spans="2:25" ht="15" customHeight="1">
      <c r="B59" s="30"/>
      <c r="D59" s="30"/>
      <c r="E59" s="30"/>
      <c r="J59" s="22"/>
      <c r="K59" s="30"/>
      <c r="Q59" s="30"/>
      <c r="S59" s="30"/>
      <c r="T59" s="30"/>
      <c r="U59" s="30"/>
      <c r="V59" s="30"/>
      <c r="W59" s="30"/>
      <c r="X59" s="30"/>
      <c r="Y59" s="30"/>
    </row>
    <row r="60" spans="2:25" ht="15" customHeight="1">
      <c r="B60" s="30"/>
      <c r="D60" s="30"/>
      <c r="E60" s="30"/>
      <c r="J60" s="22"/>
      <c r="K60" s="30"/>
      <c r="Q60" s="30"/>
      <c r="S60" s="30"/>
      <c r="T60" s="30"/>
      <c r="U60" s="30"/>
      <c r="V60" s="30"/>
      <c r="W60" s="30"/>
      <c r="X60" s="30"/>
      <c r="Y60" s="30"/>
    </row>
    <row r="61" spans="2:25" ht="15" customHeight="1">
      <c r="B61" s="30"/>
      <c r="D61" s="30"/>
      <c r="E61" s="30"/>
      <c r="J61" s="22">
        <f ca="1">J57*8%</f>
        <v>1739130.4347826089</v>
      </c>
      <c r="K61" s="30"/>
      <c r="Q61" s="30"/>
      <c r="S61" s="30"/>
      <c r="T61" s="30"/>
      <c r="U61" s="30"/>
      <c r="V61" s="30"/>
      <c r="W61" s="30"/>
      <c r="X61" s="30"/>
      <c r="Y61" s="30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TARIF</vt:lpstr>
      <vt:lpstr>TARIF!Print_Area</vt:lpstr>
      <vt:lpstr>Ter_A</vt:lpstr>
      <vt:lpstr>Ter_B</vt:lpstr>
      <vt:lpstr>Ter_C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account</cp:lastModifiedBy>
  <cp:lastPrinted>2026-02-02T01:03:30Z</cp:lastPrinted>
  <dcterms:created xsi:type="dcterms:W3CDTF">2023-11-09T03:35:36Z</dcterms:created>
  <dcterms:modified xsi:type="dcterms:W3CDTF">2026-02-02T01:30:38Z</dcterms:modified>
</cp:coreProperties>
</file>