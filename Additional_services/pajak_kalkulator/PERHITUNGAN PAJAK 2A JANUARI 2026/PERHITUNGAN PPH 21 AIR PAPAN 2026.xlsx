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60" windowWidth="20730" windowHeight="11250"/>
  </bookViews>
  <sheets>
    <sheet name="JANUARI" sheetId="17" r:id="rId1"/>
  </sheets>
  <externalReferences>
    <externalReference r:id="rId2"/>
    <externalReference r:id="rId3"/>
  </externalReferences>
  <definedNames>
    <definedName name="_xlnm.Print_Area" localSheetId="0">JANUARI!$A$1:$AI$87</definedName>
    <definedName name="Ter_A">[1]TARIF!$B$3:$E$46</definedName>
    <definedName name="Ter_B">[1]TARIF!$H$3:$K$42</definedName>
    <definedName name="Ter_C">[1]TARIF!$N$3:$Q$43</definedName>
  </definedNames>
  <calcPr calcId="144525"/>
</workbook>
</file>

<file path=xl/calcChain.xml><?xml version="1.0" encoding="utf-8"?>
<calcChain xmlns="http://schemas.openxmlformats.org/spreadsheetml/2006/main">
  <c r="R40" i="17" l="1"/>
  <c r="R39" i="17"/>
  <c r="AJ40" i="17" l="1"/>
  <c r="AJ41" i="17"/>
  <c r="AJ42" i="17"/>
  <c r="AJ43" i="17"/>
  <c r="AJ44" i="17"/>
  <c r="AJ45" i="17"/>
  <c r="AJ46" i="17"/>
  <c r="AJ47" i="17"/>
  <c r="AJ48" i="17"/>
  <c r="AJ49" i="17"/>
  <c r="AJ50" i="17"/>
  <c r="AJ51" i="17"/>
  <c r="AJ52" i="17"/>
  <c r="AJ53" i="17"/>
  <c r="AJ54" i="17"/>
  <c r="AJ55" i="17"/>
  <c r="AJ56" i="17"/>
  <c r="AJ57" i="17"/>
  <c r="AJ58" i="17"/>
  <c r="AJ59" i="17"/>
  <c r="AJ60" i="17"/>
  <c r="AJ61" i="17"/>
  <c r="AJ62" i="17"/>
  <c r="AJ63" i="17"/>
  <c r="AJ64" i="17"/>
  <c r="AJ65" i="17"/>
  <c r="AJ66" i="17"/>
  <c r="AJ67" i="17"/>
  <c r="AJ68" i="17"/>
  <c r="AJ69" i="17"/>
  <c r="AJ39" i="17"/>
  <c r="AJ7" i="17"/>
  <c r="AJ8" i="17"/>
  <c r="AJ9" i="17"/>
  <c r="AJ10" i="17"/>
  <c r="AJ11" i="17"/>
  <c r="AJ12" i="17"/>
  <c r="AJ13" i="17"/>
  <c r="AJ14" i="17"/>
  <c r="AJ15" i="17"/>
  <c r="AJ16" i="17"/>
  <c r="AJ17" i="17"/>
  <c r="AJ18" i="17"/>
  <c r="AJ19" i="17"/>
  <c r="AJ20" i="17"/>
  <c r="AJ21" i="17"/>
  <c r="AJ22" i="17"/>
  <c r="AJ23" i="17"/>
  <c r="AJ24" i="17"/>
  <c r="AJ25" i="17"/>
  <c r="AJ26" i="17"/>
  <c r="AJ27" i="17"/>
  <c r="AJ28" i="17"/>
  <c r="AJ29" i="17"/>
  <c r="AJ30" i="17"/>
  <c r="AJ31" i="17"/>
  <c r="AJ32" i="17"/>
  <c r="AJ6" i="17"/>
  <c r="AF40" i="17"/>
  <c r="AF41" i="17"/>
  <c r="AF42" i="17"/>
  <c r="AF43" i="17"/>
  <c r="AF44" i="17"/>
  <c r="AF45" i="17"/>
  <c r="AF46" i="17"/>
  <c r="AF47" i="17"/>
  <c r="AF48" i="17"/>
  <c r="AF49" i="17"/>
  <c r="AF50" i="17"/>
  <c r="AF51" i="17"/>
  <c r="AF52" i="17"/>
  <c r="AF53" i="17"/>
  <c r="AF54" i="17"/>
  <c r="AF55" i="17"/>
  <c r="AF56" i="17"/>
  <c r="AF57" i="17"/>
  <c r="AF58" i="17"/>
  <c r="AF59" i="17"/>
  <c r="AF60" i="17"/>
  <c r="AF61" i="17"/>
  <c r="AF62" i="17"/>
  <c r="AF63" i="17"/>
  <c r="AF64" i="17"/>
  <c r="AF65" i="17"/>
  <c r="AF66" i="17"/>
  <c r="AF67" i="17"/>
  <c r="AF68" i="17"/>
  <c r="AF69" i="17"/>
  <c r="AF39" i="17"/>
  <c r="AF34" i="17"/>
  <c r="AF35" i="17"/>
  <c r="AF36" i="17"/>
  <c r="AF37" i="17"/>
  <c r="AF38" i="17"/>
  <c r="AF7" i="17"/>
  <c r="AF8" i="17"/>
  <c r="AF9" i="17"/>
  <c r="AF10" i="17"/>
  <c r="AF11" i="17"/>
  <c r="AF12" i="17"/>
  <c r="AF13" i="17"/>
  <c r="AF14" i="17"/>
  <c r="AF15" i="17"/>
  <c r="AF16" i="17"/>
  <c r="AF17" i="17"/>
  <c r="AF18" i="17"/>
  <c r="AF19" i="17"/>
  <c r="AF20" i="17"/>
  <c r="AF21" i="17"/>
  <c r="AF22" i="17"/>
  <c r="AF23" i="17"/>
  <c r="AF24" i="17"/>
  <c r="AF25" i="17"/>
  <c r="AF26" i="17"/>
  <c r="AF27" i="17"/>
  <c r="AF28" i="17"/>
  <c r="AF29" i="17"/>
  <c r="AF30" i="17"/>
  <c r="AF31" i="17"/>
  <c r="AF32" i="17"/>
  <c r="AF6" i="17"/>
  <c r="AE71" i="17"/>
  <c r="AE42" i="17"/>
  <c r="AE43" i="17"/>
  <c r="AE44" i="17"/>
  <c r="AE45" i="17"/>
  <c r="AE46" i="17"/>
  <c r="AE47" i="17"/>
  <c r="AE48" i="17"/>
  <c r="AE49" i="17"/>
  <c r="AE50" i="17"/>
  <c r="AE51" i="17"/>
  <c r="AE52" i="17"/>
  <c r="AE53" i="17"/>
  <c r="AE54" i="17"/>
  <c r="AE55" i="17"/>
  <c r="AE56" i="17"/>
  <c r="AE57" i="17"/>
  <c r="AE58" i="17"/>
  <c r="AE59" i="17"/>
  <c r="AE60" i="17"/>
  <c r="AE61" i="17"/>
  <c r="AE62" i="17"/>
  <c r="AE63" i="17"/>
  <c r="AE64" i="17"/>
  <c r="AE65" i="17"/>
  <c r="AE66" i="17"/>
  <c r="AE67" i="17"/>
  <c r="AE68" i="17"/>
  <c r="AE69" i="17"/>
  <c r="AE41" i="17"/>
  <c r="Y34" i="17"/>
  <c r="Y35" i="17"/>
  <c r="Y36" i="17"/>
  <c r="Y37" i="17"/>
  <c r="Y38" i="17"/>
  <c r="Y33" i="17"/>
  <c r="W7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41" i="17"/>
  <c r="V7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41" i="17"/>
  <c r="U71" i="17" l="1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41" i="17"/>
  <c r="T71" i="17"/>
  <c r="S7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T41" i="17"/>
  <c r="S41" i="17"/>
  <c r="R71" i="17"/>
  <c r="Q71" i="17"/>
  <c r="Q40" i="17"/>
  <c r="L40" i="17" s="1"/>
  <c r="Q41" i="17"/>
  <c r="L41" i="17" s="1"/>
  <c r="Q42" i="17"/>
  <c r="L42" i="17" s="1"/>
  <c r="Q43" i="17"/>
  <c r="L43" i="17" s="1"/>
  <c r="Q44" i="17"/>
  <c r="Q45" i="17"/>
  <c r="L45" i="17" s="1"/>
  <c r="Q46" i="17"/>
  <c r="Q47" i="17"/>
  <c r="L47" i="17" s="1"/>
  <c r="Q48" i="17"/>
  <c r="L48" i="17" s="1"/>
  <c r="Q49" i="17"/>
  <c r="L49" i="17" s="1"/>
  <c r="Q50" i="17"/>
  <c r="L50" i="17" s="1"/>
  <c r="Q51" i="17"/>
  <c r="L51" i="17" s="1"/>
  <c r="Q52" i="17"/>
  <c r="Q53" i="17"/>
  <c r="L53" i="17" s="1"/>
  <c r="Q54" i="17"/>
  <c r="L54" i="17" s="1"/>
  <c r="Q55" i="17"/>
  <c r="L55" i="17" s="1"/>
  <c r="Q56" i="17"/>
  <c r="L56" i="17" s="1"/>
  <c r="Q57" i="17"/>
  <c r="L57" i="17" s="1"/>
  <c r="Q58" i="17"/>
  <c r="L58" i="17" s="1"/>
  <c r="Q59" i="17"/>
  <c r="L59" i="17" s="1"/>
  <c r="Q60" i="17"/>
  <c r="Q61" i="17"/>
  <c r="L61" i="17" s="1"/>
  <c r="Q62" i="17"/>
  <c r="L62" i="17" s="1"/>
  <c r="Q63" i="17"/>
  <c r="L63" i="17" s="1"/>
  <c r="Q64" i="17"/>
  <c r="L64" i="17" s="1"/>
  <c r="Q65" i="17"/>
  <c r="L65" i="17" s="1"/>
  <c r="Q66" i="17"/>
  <c r="Q67" i="17"/>
  <c r="L67" i="17" s="1"/>
  <c r="Q68" i="17"/>
  <c r="Q69" i="17"/>
  <c r="Q39" i="17"/>
  <c r="L39" i="17" s="1"/>
  <c r="Q34" i="17"/>
  <c r="L34" i="17" s="1"/>
  <c r="Q35" i="17"/>
  <c r="L35" i="17" s="1"/>
  <c r="Q36" i="17"/>
  <c r="L36" i="17" s="1"/>
  <c r="Q37" i="17"/>
  <c r="Q38" i="17"/>
  <c r="Q33" i="17"/>
  <c r="Q7" i="17"/>
  <c r="Q8" i="17"/>
  <c r="L8" i="17" s="1"/>
  <c r="Q9" i="17"/>
  <c r="L9" i="17" s="1"/>
  <c r="Q10" i="17"/>
  <c r="L10" i="17" s="1"/>
  <c r="Q11" i="17"/>
  <c r="L11" i="17" s="1"/>
  <c r="Q12" i="17"/>
  <c r="L12" i="17" s="1"/>
  <c r="Q13" i="17"/>
  <c r="L13" i="17" s="1"/>
  <c r="Q14" i="17"/>
  <c r="Q15" i="17"/>
  <c r="L15" i="17" s="1"/>
  <c r="Q16" i="17"/>
  <c r="L16" i="17" s="1"/>
  <c r="Q17" i="17"/>
  <c r="Q18" i="17"/>
  <c r="L18" i="17" s="1"/>
  <c r="Q19" i="17"/>
  <c r="L19" i="17" s="1"/>
  <c r="Q20" i="17"/>
  <c r="Q21" i="17"/>
  <c r="Q22" i="17"/>
  <c r="Q23" i="17"/>
  <c r="L23" i="17" s="1"/>
  <c r="Q24" i="17"/>
  <c r="L24" i="17" s="1"/>
  <c r="Q25" i="17"/>
  <c r="L25" i="17" s="1"/>
  <c r="Q26" i="17"/>
  <c r="L26" i="17" s="1"/>
  <c r="Q27" i="17"/>
  <c r="L27" i="17" s="1"/>
  <c r="Q28" i="17"/>
  <c r="L28" i="17" s="1"/>
  <c r="Q29" i="17"/>
  <c r="L29" i="17" s="1"/>
  <c r="Q30" i="17"/>
  <c r="Q31" i="17"/>
  <c r="L31" i="17" s="1"/>
  <c r="Q32" i="17"/>
  <c r="L32" i="17" s="1"/>
  <c r="Q6" i="17"/>
  <c r="P71" i="17"/>
  <c r="P40" i="17"/>
  <c r="P39" i="17"/>
  <c r="P34" i="17"/>
  <c r="P35" i="17"/>
  <c r="P36" i="17"/>
  <c r="P37" i="17"/>
  <c r="P38" i="17"/>
  <c r="P33" i="17"/>
  <c r="P6" i="17"/>
  <c r="O40" i="17"/>
  <c r="O39" i="17"/>
  <c r="O34" i="17"/>
  <c r="O35" i="17"/>
  <c r="O36" i="17"/>
  <c r="O37" i="17"/>
  <c r="O38" i="17"/>
  <c r="O6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39" i="17"/>
  <c r="N34" i="17"/>
  <c r="N35" i="17"/>
  <c r="N36" i="17"/>
  <c r="N37" i="17"/>
  <c r="N38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6" i="17"/>
  <c r="M71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39" i="17"/>
  <c r="M34" i="17"/>
  <c r="M35" i="17"/>
  <c r="M36" i="17"/>
  <c r="M37" i="17"/>
  <c r="M38" i="17"/>
  <c r="M33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6" i="17"/>
  <c r="L14" i="17"/>
  <c r="AK14" i="17" s="1"/>
  <c r="L17" i="17"/>
  <c r="AK17" i="17" s="1"/>
  <c r="L20" i="17"/>
  <c r="AK20" i="17" s="1"/>
  <c r="L21" i="17"/>
  <c r="AK21" i="17" s="1"/>
  <c r="L22" i="17"/>
  <c r="AK22" i="17" s="1"/>
  <c r="L30" i="17"/>
  <c r="AK30" i="17" s="1"/>
  <c r="L33" i="17"/>
  <c r="AK33" i="17" s="1"/>
  <c r="L37" i="17"/>
  <c r="L38" i="17"/>
  <c r="L44" i="17"/>
  <c r="AK44" i="17" s="1"/>
  <c r="L46" i="17"/>
  <c r="AK46" i="17" s="1"/>
  <c r="L52" i="17"/>
  <c r="AK52" i="17" s="1"/>
  <c r="L60" i="17"/>
  <c r="AK60" i="17" s="1"/>
  <c r="L66" i="17"/>
  <c r="L68" i="17"/>
  <c r="AK68" i="17" s="1"/>
  <c r="L69" i="17"/>
  <c r="AK69" i="17" s="1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AK31" i="17" l="1"/>
  <c r="AK27" i="17"/>
  <c r="AK25" i="17"/>
  <c r="AK23" i="17"/>
  <c r="AK19" i="17"/>
  <c r="AK15" i="17"/>
  <c r="AK11" i="17"/>
  <c r="AK9" i="17"/>
  <c r="AK36" i="17"/>
  <c r="AK34" i="17"/>
  <c r="AK65" i="17"/>
  <c r="AK63" i="17"/>
  <c r="AK61" i="17"/>
  <c r="AK57" i="17"/>
  <c r="AK55" i="17"/>
  <c r="AK53" i="17"/>
  <c r="AK49" i="17"/>
  <c r="AK47" i="17"/>
  <c r="AK45" i="17"/>
  <c r="AK41" i="17"/>
  <c r="AK32" i="17"/>
  <c r="AK26" i="17"/>
  <c r="AK24" i="17"/>
  <c r="AK18" i="17"/>
  <c r="AK16" i="17"/>
  <c r="AK10" i="17"/>
  <c r="AK8" i="17"/>
  <c r="AK35" i="17"/>
  <c r="AK39" i="17"/>
  <c r="AK64" i="17"/>
  <c r="AK62" i="17"/>
  <c r="AK56" i="17"/>
  <c r="AK54" i="17"/>
  <c r="AK48" i="17"/>
  <c r="AK40" i="17"/>
  <c r="AK38" i="17"/>
  <c r="AK37" i="17"/>
  <c r="AK66" i="17"/>
  <c r="AK29" i="17"/>
  <c r="AK13" i="17"/>
  <c r="AK67" i="17"/>
  <c r="AK59" i="17"/>
  <c r="AK51" i="17"/>
  <c r="AK43" i="17"/>
  <c r="AK28" i="17"/>
  <c r="AK12" i="17"/>
  <c r="AK58" i="17"/>
  <c r="AK50" i="17"/>
  <c r="AK42" i="17"/>
  <c r="L7" i="17"/>
  <c r="AK7" i="17" s="1"/>
  <c r="L6" i="17"/>
  <c r="K7" i="17"/>
  <c r="K6" i="17"/>
  <c r="J32" i="17" l="1"/>
  <c r="AD70" i="17"/>
  <c r="AC70" i="17"/>
  <c r="AB70" i="17"/>
  <c r="AA70" i="17"/>
  <c r="Z70" i="17"/>
  <c r="X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AL39" i="17" l="1"/>
  <c r="Q70" i="17"/>
  <c r="U70" i="17"/>
  <c r="R70" i="17"/>
  <c r="W70" i="17"/>
  <c r="AK6" i="17"/>
  <c r="AK70" i="17" s="1"/>
  <c r="K70" i="17"/>
  <c r="M70" i="17"/>
  <c r="Y70" i="17"/>
  <c r="AL40" i="17"/>
  <c r="L70" i="17" l="1"/>
  <c r="M81" i="17" s="1"/>
  <c r="P70" i="17" l="1"/>
  <c r="V70" i="17" l="1"/>
  <c r="S70" i="17" l="1"/>
  <c r="AG40" i="17" l="1"/>
  <c r="AH40" i="17" l="1"/>
  <c r="AI40" i="17" s="1"/>
  <c r="AM40" i="17"/>
  <c r="AG39" i="17"/>
  <c r="AM39" i="17" l="1"/>
  <c r="AH39" i="17"/>
  <c r="AI39" i="17" s="1"/>
  <c r="AG32" i="17" l="1"/>
  <c r="AL32" i="17" l="1"/>
  <c r="AM32" i="17" s="1"/>
  <c r="AH32" i="17"/>
  <c r="AI32" i="17" s="1"/>
  <c r="AE70" i="17" l="1"/>
  <c r="AG38" i="17" l="1"/>
  <c r="AG37" i="17"/>
  <c r="AG36" i="17"/>
  <c r="AG35" i="17"/>
  <c r="AG34" i="17"/>
  <c r="AG31" i="17"/>
  <c r="AG30" i="17"/>
  <c r="AG29" i="17"/>
  <c r="AG26" i="17"/>
  <c r="AG25" i="17"/>
  <c r="AG24" i="17"/>
  <c r="AG22" i="17"/>
  <c r="AG21" i="17"/>
  <c r="AG20" i="17"/>
  <c r="AG19" i="17"/>
  <c r="AG18" i="17"/>
  <c r="AG6" i="17"/>
  <c r="AG27" i="17"/>
  <c r="AG28" i="17"/>
  <c r="AG23" i="17"/>
  <c r="AG17" i="17"/>
  <c r="AG16" i="17"/>
  <c r="AG15" i="17"/>
  <c r="AG14" i="17"/>
  <c r="AG13" i="17"/>
  <c r="AG12" i="17"/>
  <c r="AG11" i="17"/>
  <c r="AG10" i="17"/>
  <c r="AG9" i="17"/>
  <c r="AG8" i="17"/>
  <c r="AM23" i="17" l="1"/>
  <c r="AI10" i="17"/>
  <c r="AI12" i="17"/>
  <c r="AH38" i="17"/>
  <c r="AI38" i="17" s="1"/>
  <c r="AH37" i="17"/>
  <c r="AI37" i="17" s="1"/>
  <c r="AH36" i="17"/>
  <c r="AI36" i="17" s="1"/>
  <c r="AH35" i="17"/>
  <c r="AI35" i="17" s="1"/>
  <c r="AH34" i="17"/>
  <c r="AI34" i="17" s="1"/>
  <c r="AL31" i="17"/>
  <c r="AM31" i="17" s="1"/>
  <c r="AH31" i="17"/>
  <c r="AI31" i="17" s="1"/>
  <c r="AL30" i="17"/>
  <c r="AM30" i="17" s="1"/>
  <c r="AH30" i="17"/>
  <c r="AI30" i="17" s="1"/>
  <c r="AL29" i="17"/>
  <c r="AM29" i="17" s="1"/>
  <c r="AH29" i="17"/>
  <c r="AI29" i="17" s="1"/>
  <c r="AL26" i="17"/>
  <c r="AM26" i="17" s="1"/>
  <c r="AH26" i="17"/>
  <c r="AI26" i="17" s="1"/>
  <c r="AL25" i="17"/>
  <c r="AM25" i="17" s="1"/>
  <c r="AH25" i="17"/>
  <c r="AI25" i="17" s="1"/>
  <c r="AH24" i="17"/>
  <c r="AI24" i="17" s="1"/>
  <c r="AL22" i="17"/>
  <c r="AM22" i="17" s="1"/>
  <c r="AH22" i="17"/>
  <c r="AI22" i="17" s="1"/>
  <c r="AL21" i="17"/>
  <c r="AM21" i="17" s="1"/>
  <c r="AH21" i="17"/>
  <c r="AI21" i="17" s="1"/>
  <c r="AL20" i="17"/>
  <c r="AM20" i="17" s="1"/>
  <c r="AH20" i="17"/>
  <c r="AI20" i="17" s="1"/>
  <c r="AH19" i="17"/>
  <c r="AI19" i="17" s="1"/>
  <c r="AL18" i="17"/>
  <c r="AM18" i="17" s="1"/>
  <c r="AH18" i="17"/>
  <c r="AI18" i="17" s="1"/>
  <c r="AL6" i="17"/>
  <c r="AH6" i="17"/>
  <c r="AI6" i="17" s="1"/>
  <c r="AH27" i="17"/>
  <c r="AI27" i="17" s="1"/>
  <c r="AL28" i="17"/>
  <c r="AM28" i="17" s="1"/>
  <c r="AH28" i="17"/>
  <c r="AI28" i="17" s="1"/>
  <c r="AL23" i="17"/>
  <c r="AH23" i="17"/>
  <c r="AI23" i="17" s="1"/>
  <c r="AL17" i="17"/>
  <c r="AM17" i="17" s="1"/>
  <c r="AH17" i="17"/>
  <c r="AI17" i="17" s="1"/>
  <c r="AL16" i="17"/>
  <c r="AM16" i="17" s="1"/>
  <c r="AH16" i="17"/>
  <c r="AI16" i="17" s="1"/>
  <c r="AL15" i="17"/>
  <c r="AM15" i="17" s="1"/>
  <c r="AH15" i="17"/>
  <c r="AI15" i="17" s="1"/>
  <c r="AL14" i="17"/>
  <c r="AM14" i="17" s="1"/>
  <c r="AH14" i="17"/>
  <c r="AI14" i="17" s="1"/>
  <c r="AL13" i="17"/>
  <c r="AM13" i="17" s="1"/>
  <c r="AH13" i="17"/>
  <c r="AI13" i="17" s="1"/>
  <c r="AH12" i="17"/>
  <c r="AL11" i="17"/>
  <c r="AM11" i="17" s="1"/>
  <c r="AH11" i="17"/>
  <c r="AI11" i="17" s="1"/>
  <c r="AL10" i="17"/>
  <c r="AM10" i="17" s="1"/>
  <c r="AH10" i="17"/>
  <c r="AH9" i="17"/>
  <c r="AI9" i="17" s="1"/>
  <c r="AL8" i="17"/>
  <c r="AM8" i="17" s="1"/>
  <c r="AH8" i="17"/>
  <c r="AI8" i="17" s="1"/>
  <c r="AM6" i="17" l="1"/>
  <c r="AL24" i="17"/>
  <c r="AM24" i="17" s="1"/>
  <c r="AL19" i="17"/>
  <c r="AM19" i="17" s="1"/>
  <c r="AL27" i="17"/>
  <c r="AM27" i="17" s="1"/>
  <c r="AL12" i="17"/>
  <c r="AM12" i="17" s="1"/>
  <c r="AL9" i="17"/>
  <c r="AM9" i="17" s="1"/>
  <c r="AG7" i="17" l="1"/>
  <c r="AH7" i="17" l="1"/>
  <c r="AL7" i="17"/>
  <c r="AI7" i="17" l="1"/>
  <c r="AM7" i="17"/>
  <c r="AG44" i="17" l="1"/>
  <c r="AG42" i="17"/>
  <c r="AG41" i="17"/>
  <c r="AG46" i="17"/>
  <c r="AG52" i="17"/>
  <c r="AG47" i="17"/>
  <c r="AG45" i="17"/>
  <c r="AG43" i="17"/>
  <c r="AG69" i="17"/>
  <c r="AG63" i="17"/>
  <c r="AI44" i="17" l="1"/>
  <c r="AG61" i="17"/>
  <c r="AG66" i="17"/>
  <c r="AG57" i="17"/>
  <c r="AG58" i="17"/>
  <c r="AG64" i="17"/>
  <c r="AG59" i="17"/>
  <c r="AG60" i="17"/>
  <c r="AG67" i="17"/>
  <c r="AH44" i="17"/>
  <c r="AH42" i="17"/>
  <c r="AI42" i="17" s="1"/>
  <c r="AG68" i="17"/>
  <c r="AH41" i="17"/>
  <c r="AI41" i="17" s="1"/>
  <c r="AG56" i="17"/>
  <c r="AG65" i="17"/>
  <c r="AG50" i="17"/>
  <c r="AG49" i="17"/>
  <c r="AH46" i="17"/>
  <c r="AI46" i="17" s="1"/>
  <c r="AG53" i="17"/>
  <c r="AH52" i="17"/>
  <c r="AI52" i="17" s="1"/>
  <c r="AH47" i="17"/>
  <c r="AI47" i="17" s="1"/>
  <c r="AH45" i="17"/>
  <c r="AI45" i="17" s="1"/>
  <c r="AG55" i="17"/>
  <c r="AH43" i="17"/>
  <c r="AI43" i="17" s="1"/>
  <c r="AG54" i="17"/>
  <c r="AG51" i="17"/>
  <c r="AH69" i="17"/>
  <c r="AI69" i="17" s="1"/>
  <c r="AL69" i="17"/>
  <c r="AM69" i="17" s="1"/>
  <c r="AL66" i="17"/>
  <c r="AH64" i="17"/>
  <c r="AL64" i="17"/>
  <c r="AL63" i="17"/>
  <c r="AM63" i="17" s="1"/>
  <c r="AH63" i="17"/>
  <c r="AI63" i="17" s="1"/>
  <c r="AL61" i="17"/>
  <c r="AL60" i="17"/>
  <c r="AL59" i="17"/>
  <c r="AL58" i="17"/>
  <c r="AL57" i="17"/>
  <c r="AG48" i="17"/>
  <c r="AH61" i="17" l="1"/>
  <c r="AM61" i="17"/>
  <c r="AI61" i="17"/>
  <c r="AH58" i="17"/>
  <c r="AM58" i="17"/>
  <c r="AI58" i="17"/>
  <c r="AH51" i="17"/>
  <c r="AI51" i="17"/>
  <c r="AH60" i="17"/>
  <c r="AM60" i="17"/>
  <c r="AI60" i="17"/>
  <c r="AM66" i="17"/>
  <c r="AH55" i="17"/>
  <c r="AI55" i="17"/>
  <c r="AH59" i="17"/>
  <c r="AI59" i="17" s="1"/>
  <c r="AM59" i="17"/>
  <c r="AH57" i="17"/>
  <c r="AM57" i="17"/>
  <c r="AI57" i="17"/>
  <c r="AH66" i="17"/>
  <c r="AI66" i="17" s="1"/>
  <c r="AH56" i="17"/>
  <c r="AI56" i="17" s="1"/>
  <c r="AM64" i="17"/>
  <c r="AI64" i="17"/>
  <c r="AH67" i="17"/>
  <c r="AI67" i="17" s="1"/>
  <c r="AL44" i="17"/>
  <c r="AM44" i="17" s="1"/>
  <c r="AL42" i="17"/>
  <c r="AM42" i="17" s="1"/>
  <c r="AH68" i="17"/>
  <c r="AI68" i="17" s="1"/>
  <c r="AL68" i="17"/>
  <c r="AM68" i="17" s="1"/>
  <c r="AL41" i="17"/>
  <c r="AL56" i="17"/>
  <c r="AM56" i="17" s="1"/>
  <c r="AH65" i="17"/>
  <c r="AI65" i="17" s="1"/>
  <c r="AL65" i="17"/>
  <c r="AM65" i="17" s="1"/>
  <c r="AH50" i="17"/>
  <c r="AI50" i="17" s="1"/>
  <c r="AL50" i="17"/>
  <c r="AM50" i="17" s="1"/>
  <c r="AH49" i="17"/>
  <c r="AI49" i="17" s="1"/>
  <c r="AL49" i="17"/>
  <c r="AM49" i="17" s="1"/>
  <c r="AL46" i="17"/>
  <c r="AM46" i="17" s="1"/>
  <c r="AH53" i="17"/>
  <c r="AI53" i="17" s="1"/>
  <c r="AL53" i="17"/>
  <c r="AM53" i="17" s="1"/>
  <c r="AL52" i="17"/>
  <c r="AM52" i="17" s="1"/>
  <c r="AL47" i="17"/>
  <c r="AM47" i="17" s="1"/>
  <c r="AL45" i="17"/>
  <c r="AM45" i="17" s="1"/>
  <c r="AL55" i="17"/>
  <c r="AM55" i="17" s="1"/>
  <c r="AL43" i="17"/>
  <c r="AM43" i="17" s="1"/>
  <c r="AH54" i="17"/>
  <c r="AI54" i="17" s="1"/>
  <c r="AL54" i="17"/>
  <c r="AM54" i="17" s="1"/>
  <c r="AL51" i="17"/>
  <c r="AM51" i="17" s="1"/>
  <c r="AH48" i="17"/>
  <c r="AI48" i="17" s="1"/>
  <c r="AL48" i="17"/>
  <c r="AM48" i="17" s="1"/>
  <c r="AM41" i="17" l="1"/>
  <c r="AL67" i="17"/>
  <c r="AM67" i="17" s="1"/>
  <c r="T70" i="17"/>
  <c r="AG62" i="17" l="1"/>
  <c r="AL62" i="17"/>
  <c r="AH62" i="17" l="1"/>
  <c r="AM62" i="17"/>
  <c r="AI62" i="17" l="1"/>
  <c r="AI71" i="17" l="1"/>
  <c r="Y71" i="17" l="1"/>
  <c r="AF33" i="17" l="1"/>
  <c r="AF70" i="17" s="1"/>
  <c r="O33" i="17"/>
  <c r="O70" i="17" s="1"/>
  <c r="O71" i="17" l="1"/>
  <c r="AF71" i="17"/>
  <c r="AJ33" i="17" l="1"/>
  <c r="N33" i="17"/>
  <c r="AJ38" i="17" l="1"/>
  <c r="AL38" i="17" s="1"/>
  <c r="AM38" i="17" s="1"/>
  <c r="AJ37" i="17"/>
  <c r="AL37" i="17" s="1"/>
  <c r="AM37" i="17" s="1"/>
  <c r="AJ36" i="17"/>
  <c r="AL36" i="17" s="1"/>
  <c r="AM36" i="17" s="1"/>
  <c r="AJ35" i="17"/>
  <c r="AL35" i="17" s="1"/>
  <c r="AM35" i="17" s="1"/>
  <c r="AG33" i="17"/>
  <c r="N70" i="17"/>
  <c r="AL33" i="17"/>
  <c r="N71" i="17"/>
  <c r="AJ34" i="17"/>
  <c r="AL34" i="17" s="1"/>
  <c r="AM34" i="17" s="1"/>
  <c r="AJ70" i="17" l="1"/>
  <c r="AM33" i="17"/>
  <c r="AM70" i="17" s="1"/>
  <c r="AL70" i="17"/>
  <c r="AH33" i="17"/>
  <c r="AG70" i="17"/>
  <c r="AJ71" i="17"/>
  <c r="AI33" i="17" l="1"/>
  <c r="AH70" i="17"/>
  <c r="AI70" i="17" l="1"/>
</calcChain>
</file>

<file path=xl/sharedStrings.xml><?xml version="1.0" encoding="utf-8"?>
<sst xmlns="http://schemas.openxmlformats.org/spreadsheetml/2006/main" count="507" uniqueCount="295">
  <si>
    <t>PT. REBINMAS JAYA</t>
  </si>
  <si>
    <t>T.Beras</t>
  </si>
  <si>
    <t>T.Jabatan</t>
  </si>
  <si>
    <t>Lembur</t>
  </si>
  <si>
    <t>NO.</t>
  </si>
  <si>
    <t>NAMA KARYAWAN</t>
  </si>
  <si>
    <t>N I K / 
PASPOR</t>
  </si>
  <si>
    <t>N P W P</t>
  </si>
  <si>
    <t>A L A M A T</t>
  </si>
  <si>
    <t>JABATAN</t>
  </si>
  <si>
    <t>L/P</t>
  </si>
  <si>
    <t>PTKP</t>
  </si>
  <si>
    <t>TER</t>
  </si>
  <si>
    <t>Gaji Pokok</t>
  </si>
  <si>
    <t>Astek Ins (0,84%)</t>
  </si>
  <si>
    <t>BPJS KESEHATAN (4%)</t>
  </si>
  <si>
    <t>Rice  Allow</t>
  </si>
  <si>
    <t>Structural  Allow</t>
  </si>
  <si>
    <t>Service Time Allow</t>
  </si>
  <si>
    <t>Masa Kerja</t>
  </si>
  <si>
    <t>Premi Tandan</t>
  </si>
  <si>
    <t>Premi Brondol</t>
  </si>
  <si>
    <t>Premi Prunning</t>
  </si>
  <si>
    <t>THR</t>
  </si>
  <si>
    <t>Bonus</t>
  </si>
  <si>
    <t>Premi Kontanan</t>
  </si>
  <si>
    <t>POT. ALPA &amp; POT. CTH ( CUTI TANPA HK )</t>
  </si>
  <si>
    <t>Penghasilan
Bruto</t>
  </si>
  <si>
    <t>Tarif
TER</t>
  </si>
  <si>
    <t>SAHARIL</t>
  </si>
  <si>
    <t>1902042307820002</t>
  </si>
  <si>
    <t>66.907.960.0-305.000</t>
  </si>
  <si>
    <t>JL BARU RT. 014 RW. 006 DESA KECIPUT KEC. SIJUK</t>
  </si>
  <si>
    <t>MANDOR</t>
  </si>
  <si>
    <t>L</t>
  </si>
  <si>
    <t>K/2</t>
  </si>
  <si>
    <t>ANITA.B</t>
  </si>
  <si>
    <t>1906045711860003</t>
  </si>
  <si>
    <t>97.228.558.9-305.000</t>
  </si>
  <si>
    <t>DSN CENDIL RT. 005 RW. 002 DS CENDIL KEC KELAPA KAMPIT</t>
  </si>
  <si>
    <t>KARYAWAN PERAWATAN</t>
  </si>
  <si>
    <t>P</t>
  </si>
  <si>
    <t>TK/0</t>
  </si>
  <si>
    <t>SUZANA</t>
  </si>
  <si>
    <t>1906045708760004</t>
  </si>
  <si>
    <t>97.228.569.6-305.000</t>
  </si>
  <si>
    <t>DSN CENDIL RT. 006 RW. 002 DESA CENDIL KEC. KELAPA KAMPIT</t>
  </si>
  <si>
    <t>ROMI YULIANTI</t>
  </si>
  <si>
    <t>1906045307800002</t>
  </si>
  <si>
    <t>97.228.553.0-305.000</t>
  </si>
  <si>
    <t>DSN CENDIL RT. 002 RW. 001 DESA CENDIL KEC. KELAPA KAMPIT</t>
  </si>
  <si>
    <t>YENI</t>
  </si>
  <si>
    <t>1906044401890001</t>
  </si>
  <si>
    <t>97.228.582.9-305.000</t>
  </si>
  <si>
    <t>DSN CENDIL RT. 006 RW. 002 DS CENDIL KEC KELAPA KAMPIT</t>
  </si>
  <si>
    <t>RIZA UMAMI</t>
  </si>
  <si>
    <t>1902045009840002</t>
  </si>
  <si>
    <t>97.387.439.9-305.000</t>
  </si>
  <si>
    <t>DSN AIR KALA RT. 023 RW. 012 DESA SIJUK KEC. SIJUK</t>
  </si>
  <si>
    <t>ANITA.A</t>
  </si>
  <si>
    <t>1906044803840004</t>
  </si>
  <si>
    <t>97.228.530.8-305.000</t>
  </si>
  <si>
    <t>DSN CENDIL RT. 005 RW. 002 DESA CENDIL KEC. KELAPA KAMPIT</t>
  </si>
  <si>
    <t>AINI</t>
  </si>
  <si>
    <t>1902045308840002</t>
  </si>
  <si>
    <t>97.228.535.7-305.000</t>
  </si>
  <si>
    <t>AIK KALAK RT. 006 RW. 003 DESA PELEPAK PUTE KEC. SIJUK</t>
  </si>
  <si>
    <t>RICA</t>
  </si>
  <si>
    <t>1902054403890001</t>
  </si>
  <si>
    <t>97.387.442.3-305.000</t>
  </si>
  <si>
    <t>DSN PARIT GUNUNG RT. 006 RW. 003 DS AIR BATU BUDING KEC. BADAU</t>
  </si>
  <si>
    <t>ARLITA</t>
  </si>
  <si>
    <t>1906044511820001</t>
  </si>
  <si>
    <t>97.228.439.2-305.000</t>
  </si>
  <si>
    <t>DSN PESARAKAN RT. 007 RW. 003 DESA CENDIL KEC. KELAPA KAMPIT</t>
  </si>
  <si>
    <t>DENI</t>
  </si>
  <si>
    <t>1902044807840003</t>
  </si>
  <si>
    <t>97.387.450.6-305.000</t>
  </si>
  <si>
    <t>DSN AIR KALA RT. 006 RW 003 DESA PELEPAK PUTE KEC. SIJUK</t>
  </si>
  <si>
    <t>MARYUNA</t>
  </si>
  <si>
    <t>1902046107720004</t>
  </si>
  <si>
    <t>97.228.591.0-305.000</t>
  </si>
  <si>
    <t>JL BUDING RT. 001 RW. 001 DESA PELEPAK PUTE KEC. SIJUK</t>
  </si>
  <si>
    <t>MULYADI</t>
  </si>
  <si>
    <t>1902042910720002</t>
  </si>
  <si>
    <t>66.907.957.6-305.000</t>
  </si>
  <si>
    <t>JL SIJUK RT. 015 RW. 005 DESA KECIPUT KEC. SIJUK</t>
  </si>
  <si>
    <t>K/1</t>
  </si>
  <si>
    <t>HUSIN</t>
  </si>
  <si>
    <t>1902050212770001</t>
  </si>
  <si>
    <t>97.228.365.9-305.000</t>
  </si>
  <si>
    <t>JL MANGGAR RT. 009 RW. 003 DESA KACANG BUTOR KEC. BADAU</t>
  </si>
  <si>
    <t>1906041504840002</t>
  </si>
  <si>
    <t>97.228.405.3-305.000</t>
  </si>
  <si>
    <t>PENDI</t>
  </si>
  <si>
    <t>1902053011830002</t>
  </si>
  <si>
    <t>-</t>
  </si>
  <si>
    <t>JL. MANGGAR DSN AIR BEGANTUNG RT. 009 RW. 003 DESA KACANG BUTOR</t>
  </si>
  <si>
    <t>RIAN PRATAMA</t>
  </si>
  <si>
    <t>1902042006930005</t>
  </si>
  <si>
    <t>JL SUNGAI PADANG RT. 006 RW. 002 DESA SUNGAI PADANG KEC. SIJUK</t>
  </si>
  <si>
    <t>SUHARDI</t>
  </si>
  <si>
    <t>1902052507780001</t>
  </si>
  <si>
    <t>K/3</t>
  </si>
  <si>
    <t>1906042701940002</t>
  </si>
  <si>
    <t>DSN PESARAKAN RT. 008 RW. 003 DESA CENDIL KEC. KELAPA KAMPIT</t>
  </si>
  <si>
    <t>ANDI SUSIANTO</t>
  </si>
  <si>
    <t>1902042703720001</t>
  </si>
  <si>
    <t>75.755.674.1.305.000</t>
  </si>
  <si>
    <t>SIMPANG EMPAT RT. 013 RW. 007 DESA SIJUK KEC. SIJUK</t>
  </si>
  <si>
    <t>K/0</t>
  </si>
  <si>
    <t>MASTOK</t>
  </si>
  <si>
    <t>1902041104760001</t>
  </si>
  <si>
    <t>82.119.274.7-305.000</t>
  </si>
  <si>
    <t xml:space="preserve">SUNGAI PADANG RT. 005 RW. 003 DESA SUNGAI PADANG KEC. SIJUK </t>
  </si>
  <si>
    <t>SUDIRMAN</t>
  </si>
  <si>
    <t>1902041301770002</t>
  </si>
  <si>
    <t>97.387.448.0-305.000</t>
  </si>
  <si>
    <t>JL TANJUNG KELAYANG  RT. 025 RW. 009 DESA TANJUNG BINGA KEC. SIJUK</t>
  </si>
  <si>
    <t>JUHAIRI</t>
  </si>
  <si>
    <t>1906042104780002</t>
  </si>
  <si>
    <t>97.228.574.6.305-000</t>
  </si>
  <si>
    <t>DSN PESARAKAN RT. 007 RW. 002 DESA CENDIL KEC. KELAPA KAMPIT</t>
  </si>
  <si>
    <t>YUSMAN</t>
  </si>
  <si>
    <t>1902041603750002</t>
  </si>
  <si>
    <t>97.228.513.4-305.000</t>
  </si>
  <si>
    <t>JL SIJUK RT. 005 RW. 003 DESA AIR SELUMAR KEC. SIJUK</t>
  </si>
  <si>
    <t>SAGIMAN</t>
  </si>
  <si>
    <t>1902041406810001</t>
  </si>
  <si>
    <t>SUNGAI PADANG RT. 007 RW. 008 DESA SUNGAI PADANG KEC. SIJUK</t>
  </si>
  <si>
    <t>PAIMIN</t>
  </si>
  <si>
    <t>97.228.337.8-305-000</t>
  </si>
  <si>
    <t>OPERATOR</t>
  </si>
  <si>
    <t>JOEHELMI</t>
  </si>
  <si>
    <t>1902040802900001</t>
  </si>
  <si>
    <t>56.166.347.9-305.000</t>
  </si>
  <si>
    <t>DSN SIMPANG EMPAT RT.011 RW.006 DESA SIJUK KEC.SIJUK</t>
  </si>
  <si>
    <t>HELPER</t>
  </si>
  <si>
    <t>YUNI K</t>
  </si>
  <si>
    <t>1902050312730001</t>
  </si>
  <si>
    <t>97.228.340.2.305.000</t>
  </si>
  <si>
    <t>JL MANGGAR DSN PARIT GUNUNG RT. 006 RW. 003 DESA AIR BATU BUDING BADAU</t>
  </si>
  <si>
    <t>IMAM</t>
  </si>
  <si>
    <t>1902052703940001</t>
  </si>
  <si>
    <t>83.277.269.3-305.000</t>
  </si>
  <si>
    <t>JLN. MANGGAR RT. 007 RW. 002 DESA KACANG BUTOR KEC. BADAU</t>
  </si>
  <si>
    <t>HARTONO</t>
  </si>
  <si>
    <t>1902051806770002</t>
  </si>
  <si>
    <t>97.237.551.3-305.000</t>
  </si>
  <si>
    <t>JL MANGGAR RT. 008 RW. 003 DESA KACANG BUTOR KEC. BADAU</t>
  </si>
  <si>
    <t>SYAHRIAN</t>
  </si>
  <si>
    <t>1902011203850002</t>
  </si>
  <si>
    <t>97.237.556.2-305.000</t>
  </si>
  <si>
    <t>JL TAREDA RT. 015 RW. 005 KEL. PARIT KEC. TANJUNGPANDAN KAB. BELITUNG</t>
  </si>
  <si>
    <t>SARWONO</t>
  </si>
  <si>
    <t>1906042709740001</t>
  </si>
  <si>
    <t>97.387.449.8-305.000</t>
  </si>
  <si>
    <t>DSN JAWA RT. 004 RW. 002  DESA SENYUBUK KEC. KELAPA KAMPIT</t>
  </si>
  <si>
    <t>MANDOR PANEN</t>
  </si>
  <si>
    <t>SUPARDI.A</t>
  </si>
  <si>
    <t>1902042412770002</t>
  </si>
  <si>
    <t>53.507.267.2-305.000</t>
  </si>
  <si>
    <t>PELEPAK PUTE RT. 002 RW. 001 DESA PELEPAK PUTE KEC. SIJUK</t>
  </si>
  <si>
    <t>KARYAWAN PANEN</t>
  </si>
  <si>
    <t>YANDI</t>
  </si>
  <si>
    <t>1902040610980002</t>
  </si>
  <si>
    <t>IWAN</t>
  </si>
  <si>
    <t>1902041408970001</t>
  </si>
  <si>
    <t>SUNGAI PADANG RT. 005 RW. 003 DESA SUNGAI PADANG KEC. SIJUK</t>
  </si>
  <si>
    <t>SAHIRI</t>
  </si>
  <si>
    <t>1902010206890006</t>
  </si>
  <si>
    <t>SUNGAI PADANG RT. 004 RW. 002 DESA SUNGAI PADANG KEC. SIJUK</t>
  </si>
  <si>
    <t>MARDI</t>
  </si>
  <si>
    <t>1902040610890002</t>
  </si>
  <si>
    <t>JL RASYID DERAMAD RT. 005 RW. 001 DESA TANJUNG TINGGI KEC. SIJUK</t>
  </si>
  <si>
    <t>RIDWAN</t>
  </si>
  <si>
    <t>5203012708750002</t>
  </si>
  <si>
    <t>62.871.856.1-915.000</t>
  </si>
  <si>
    <t>BUHLAWANG TIMUR DESA KERUAK KEC. KERUAK KAB. LOMBOK TIMUR</t>
  </si>
  <si>
    <t>MUH.RAPII</t>
  </si>
  <si>
    <t>5203093112960205</t>
  </si>
  <si>
    <t>DSN. MONTOR LEKONG DS. TOYA KEC. AIKMEL KAB. LOMBOK TIMUR</t>
  </si>
  <si>
    <t>IRPAN</t>
  </si>
  <si>
    <t>1902042701980002</t>
  </si>
  <si>
    <t>JL.SUNGAI PADANG RT.003 RW.002 DESA SUNGAI PADANG KEC.SJUJ</t>
  </si>
  <si>
    <t>RIZAL</t>
  </si>
  <si>
    <t>5203141112020003</t>
  </si>
  <si>
    <t>DUSUN EROT MAKMUR DESA WANASABA DAYA KEC.WANASABA KAB.LOMBOK TIMUR</t>
  </si>
  <si>
    <t>ROBIANSYAH</t>
  </si>
  <si>
    <t>1902041304770003</t>
  </si>
  <si>
    <t>PIAK AIR RT. 009 RW. 005 DESA SIJUK KEC. SIJUK</t>
  </si>
  <si>
    <t>FERI</t>
  </si>
  <si>
    <t>1906040509040001</t>
  </si>
  <si>
    <t>MUSTAH ZAINUL.W</t>
  </si>
  <si>
    <t>5203020107950844</t>
  </si>
  <si>
    <t>MONTONG BAGEK SAKRA SELATAN LOMBOK TIMUR</t>
  </si>
  <si>
    <t>RIANAH</t>
  </si>
  <si>
    <t>5203090107850697</t>
  </si>
  <si>
    <t>KUANG GORONG TOYA KEC.AIKMEL LOMBOK TIMUR</t>
  </si>
  <si>
    <t>HARDI</t>
  </si>
  <si>
    <t>2. dalam hal terdapat tunjangan PPh, maka ceklis "enable iterative calculation" pada menu (option =&gt; formula =&gt; pada bagian kanan atas)</t>
  </si>
  <si>
    <t>3. kolom pengurang JHT/JP tetap wajib diisi, sebagai pengurang pada masa pajak desember</t>
  </si>
  <si>
    <t>4. komponen penghasilan bruto dapat disesuaikan/ditambahkan kolom, sesuai dengan kebutuhan masing2 perusahaan</t>
  </si>
  <si>
    <t>5. perubahan status PTKP ditentukan keadaan awal tahun, misal nikah/punya anak ditanggal 2 januari 2024, maka berubah status PTKP nya tahun 2025</t>
  </si>
  <si>
    <t>6. PPh 21 terutang tersebut sudah memperhitungkan bagi yang tidak memiliki NPWP dengan jumlah PPh Terutang 20% lebih besar.</t>
  </si>
  <si>
    <t>7. untuk yang tidak mempunyai NPWP dapat diisi dengan angka Nol</t>
  </si>
  <si>
    <t>8. untuk perhitungan pph 21 (THR, Bonus, Tantiem) rumus penghasilan brutonya dapat disesuaikan dengan masa pajak THR tersebut diberikan</t>
  </si>
  <si>
    <t>9. khusus untuk perhitungan pph 21 masa pajak desember, dapat di cek kembali rumus total per komponen penghasilan brutonya (jika ada penambahan/pengurangan kolom)</t>
  </si>
  <si>
    <t>10. untuk jan s.d nop dapat diduplicate sheetnya</t>
  </si>
  <si>
    <t>DIBUAT OLEH</t>
  </si>
  <si>
    <t>DISETUJUI OLEH</t>
  </si>
  <si>
    <t>ESTATE MANAGER</t>
  </si>
  <si>
    <t>GOHI MARULI L. TORUAN , SP</t>
  </si>
  <si>
    <t>DIVISI : AIR PAPAN</t>
  </si>
  <si>
    <t>RUSLAN HADI</t>
  </si>
  <si>
    <t>5203170107870723</t>
  </si>
  <si>
    <t>PUNIK LD BAGIK,LENDANG NANGKA,MASBAGIK LOMBOK TIMUR</t>
  </si>
  <si>
    <t>VIKI ARIANTO</t>
  </si>
  <si>
    <t>KERANI PANEN</t>
  </si>
  <si>
    <t>LENA</t>
  </si>
  <si>
    <t>KERANI DIVISI</t>
  </si>
  <si>
    <t>CHANDRA DINATA PRIBADI</t>
  </si>
  <si>
    <t>SENIOR MANAGER</t>
  </si>
  <si>
    <t>RIO PARTAWIJAYA</t>
  </si>
  <si>
    <t>1906040707950005</t>
  </si>
  <si>
    <t>DSN BUDING RT. 002 RW. 001 DESA BUDING KEC. KELAPA KAMPIT</t>
  </si>
  <si>
    <t>JUNAIDI SOLEH</t>
  </si>
  <si>
    <t>SUHADI</t>
  </si>
  <si>
    <t>HENDRI PRATIKTO</t>
  </si>
  <si>
    <t>MUH. HABIBI</t>
  </si>
  <si>
    <t>1902040308890003</t>
  </si>
  <si>
    <t>1906040809920003</t>
  </si>
  <si>
    <t>1902050109780001</t>
  </si>
  <si>
    <t>75.753.840.0-305.000</t>
  </si>
  <si>
    <t>97.228.401.2-305.000</t>
  </si>
  <si>
    <t>JL.RAYA PELEPAK PUTE RT. 005 RW. 003 DESA PELEPAK PUTE KEC. SIJUK</t>
  </si>
  <si>
    <t>DSN SELINDANG RT. 006 RW. 003 DESA SENYUBUK KEC. KELAPA KAMPIT</t>
  </si>
  <si>
    <t>JL. MANGGAR RT. 006 RW. 002DESA KACANG BUTOR KEC. BADAU</t>
  </si>
  <si>
    <t>5203193112980109</t>
  </si>
  <si>
    <t>PERAKO DESA BOYEMARE KEC. SAKRA BARAT LOMBOK TIMUR</t>
  </si>
  <si>
    <t xml:space="preserve">JL. MANGGAR BUKIT INDAH DESA KACANG BUTOR KEC. BADAU </t>
  </si>
  <si>
    <t>1902013107940012</t>
  </si>
  <si>
    <t>DISAHKAN OLEH,</t>
  </si>
  <si>
    <t>Insentif Panen</t>
  </si>
  <si>
    <t>KOREKSI</t>
  </si>
  <si>
    <t>Premi Operator</t>
  </si>
  <si>
    <t>Insentif Piket Lebaran</t>
  </si>
  <si>
    <t>Premi TBS</t>
  </si>
  <si>
    <t>DSN PESARAKAN RT007/003 CENDIl</t>
  </si>
  <si>
    <t>HAINI</t>
  </si>
  <si>
    <t>1902041106830003</t>
  </si>
  <si>
    <t>JLN. TARUNA RT.011 RW.006 DESA SIJUK KEC. SIJUK</t>
  </si>
  <si>
    <t>upah kotor</t>
  </si>
  <si>
    <t>Pegembalian Uang Tiket</t>
  </si>
  <si>
    <t>Tunjangan Kinerja</t>
  </si>
  <si>
    <t>MUSNI</t>
  </si>
  <si>
    <t>ARPANDI</t>
  </si>
  <si>
    <t>MASRI</t>
  </si>
  <si>
    <t>HARDIANSYAH</t>
  </si>
  <si>
    <t>SALEH</t>
  </si>
  <si>
    <t>1902040101760004</t>
  </si>
  <si>
    <t>1902040507770005</t>
  </si>
  <si>
    <t>1902040403870002</t>
  </si>
  <si>
    <t>1902041306840001</t>
  </si>
  <si>
    <t>5203191211880001</t>
  </si>
  <si>
    <t>DSN.AIR KALA RT.023 RW.012 DESA SIJUK KEC. SIJUK</t>
  </si>
  <si>
    <t>SUNGAI PADANG RT.007 RW.004 DESA SUNGAI PADANG KEC. SIJUK</t>
  </si>
  <si>
    <t>JL. BUDING RT. 024 RW.012 DESA SIJUK KEC. SIJUK</t>
  </si>
  <si>
    <t>PELEPAK PUTE RT.001 RW.001 DESA PELEPAK PUTE KEC. SIJUK</t>
  </si>
  <si>
    <t>LINGKOK RAMBEN DESA KETANGGA JERAENG KEC. KERUAK LOMBOK TIMUR</t>
  </si>
  <si>
    <t>HERY</t>
  </si>
  <si>
    <t>RINDI PRIANTO</t>
  </si>
  <si>
    <t>PUTRA ROMADHAN</t>
  </si>
  <si>
    <t>YULIANDA PRATAMA</t>
  </si>
  <si>
    <t>1902012207930005</t>
  </si>
  <si>
    <t>JL. SIJUK RT.016 RW.006 DESA AIR SERUK KEC. SIJUK</t>
  </si>
  <si>
    <t>1902042512880001</t>
  </si>
  <si>
    <t>1906013001960004</t>
  </si>
  <si>
    <t>1902040207940001</t>
  </si>
  <si>
    <t>DSN DAMAI BARU RT 022 RW 011 DESA MENGKUBANG KEC. DAMAR</t>
  </si>
  <si>
    <t>MARSEZBELKAN</t>
  </si>
  <si>
    <t>1902050405890002</t>
  </si>
  <si>
    <t>JL.MANGGAR DSN BUKIT INDAH RT.001 RW.004 DESA KACANG BUTOR KEC.BADAU</t>
  </si>
  <si>
    <t>1906042505060001</t>
  </si>
  <si>
    <t xml:space="preserve">JL. MERDEKA RT.014 RW 007 DESA SIJUK KEC. SIJUK </t>
  </si>
  <si>
    <t>SUNGAI PADANG RT. 004 RW 002 DESA SUNGAI PADANG KEC. SIJUK</t>
  </si>
  <si>
    <t>DSN. LIMAU MANIS RT 013 RW 005 DESA BUDING KEC. KELAPA KAMPIT</t>
  </si>
  <si>
    <t>Premi  Raking</t>
  </si>
  <si>
    <t>HELDIUS PRAWIRO</t>
  </si>
  <si>
    <t>1906042804890002</t>
  </si>
  <si>
    <t>97.228.463.2-305.000</t>
  </si>
  <si>
    <t>DSN CENDILRT.002 RW.001 DESA CENDIL KEC.KELAPA KAMPIT</t>
  </si>
  <si>
    <t>ARWANSAH</t>
  </si>
  <si>
    <t>INCOME TAX ARTICLE 21 FOR JANUARY 2026</t>
  </si>
  <si>
    <t>PPH 21 Januari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</si>
</sst>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000000000000000"/>
    <numFmt numFmtId="165" formatCode="0_)"/>
    <numFmt numFmtId="166" formatCode="_(* #,##0_);_(* \(#,##0\);_(* &quot;-&quot;??_);_(@_)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0"/>
      <name val="Arial"/>
      <family val="2"/>
    </font>
    <font>
      <sz val="9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u val="singleAccounting"/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105">
    <xf numFmtId="0" fontId="0" fillId="0" borderId="0" xfId="0"/>
    <xf numFmtId="0" fontId="3" fillId="0" borderId="0" xfId="2" applyFont="1" applyAlignment="1">
      <alignment vertical="center"/>
    </xf>
    <xf numFmtId="41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3" fillId="0" borderId="0" xfId="2" applyFont="1"/>
    <xf numFmtId="41" fontId="4" fillId="0" borderId="0" xfId="3" applyFont="1" applyFill="1" applyAlignment="1">
      <alignment vertical="center"/>
    </xf>
    <xf numFmtId="41" fontId="5" fillId="0" borderId="0" xfId="3" applyFont="1" applyFill="1" applyAlignment="1">
      <alignment vertical="center"/>
    </xf>
    <xf numFmtId="41" fontId="4" fillId="2" borderId="1" xfId="3" applyFont="1" applyFill="1" applyBorder="1" applyAlignment="1">
      <alignment horizontal="center" vertical="center"/>
    </xf>
    <xf numFmtId="41" fontId="4" fillId="2" borderId="1" xfId="3" applyFont="1" applyFill="1" applyBorder="1" applyAlignment="1">
      <alignment horizontal="center" vertical="center" wrapText="1"/>
    </xf>
    <xf numFmtId="0" fontId="4" fillId="2" borderId="1" xfId="3" applyNumberFormat="1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41" fontId="4" fillId="2" borderId="5" xfId="3" applyFont="1" applyFill="1" applyBorder="1" applyAlignment="1">
      <alignment horizontal="center" vertical="center"/>
    </xf>
    <xf numFmtId="0" fontId="4" fillId="2" borderId="4" xfId="3" applyNumberFormat="1" applyFont="1" applyFill="1" applyBorder="1" applyAlignment="1">
      <alignment horizontal="center" vertical="center" wrapText="1"/>
    </xf>
    <xf numFmtId="165" fontId="7" fillId="0" borderId="6" xfId="2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4" borderId="6" xfId="4" applyFont="1" applyFill="1" applyBorder="1" applyAlignment="1">
      <alignment horizontal="center" vertical="center"/>
    </xf>
    <xf numFmtId="41" fontId="8" fillId="0" borderId="6" xfId="3" applyFont="1" applyFill="1" applyBorder="1" applyAlignment="1" applyProtection="1">
      <alignment horizontal="left" vertical="center"/>
    </xf>
    <xf numFmtId="41" fontId="8" fillId="4" borderId="6" xfId="3" applyFont="1" applyFill="1" applyBorder="1" applyAlignment="1" applyProtection="1">
      <alignment horizontal="left" vertical="center"/>
    </xf>
    <xf numFmtId="3" fontId="3" fillId="0" borderId="0" xfId="2" applyNumberFormat="1" applyFont="1" applyAlignment="1">
      <alignment vertical="center"/>
    </xf>
    <xf numFmtId="41" fontId="3" fillId="0" borderId="0" xfId="2" applyNumberFormat="1" applyFont="1" applyAlignment="1">
      <alignment vertical="center"/>
    </xf>
    <xf numFmtId="0" fontId="3" fillId="0" borderId="7" xfId="0" applyFont="1" applyBorder="1" applyAlignment="1">
      <alignment vertical="center"/>
    </xf>
    <xf numFmtId="165" fontId="7" fillId="0" borderId="7" xfId="2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7" xfId="4" applyFont="1" applyFill="1" applyBorder="1" applyAlignment="1">
      <alignment horizontal="center" vertical="center"/>
    </xf>
    <xf numFmtId="41" fontId="8" fillId="0" borderId="7" xfId="3" applyFont="1" applyFill="1" applyBorder="1" applyAlignment="1" applyProtection="1">
      <alignment horizontal="left" vertical="center"/>
    </xf>
    <xf numFmtId="3" fontId="3" fillId="0" borderId="7" xfId="0" applyNumberFormat="1" applyFont="1" applyBorder="1" applyAlignment="1">
      <alignment horizontal="left" vertical="center"/>
    </xf>
    <xf numFmtId="3" fontId="3" fillId="0" borderId="7" xfId="1" applyNumberFormat="1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8" fillId="0" borderId="7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165" fontId="7" fillId="0" borderId="8" xfId="2" applyNumberFormat="1" applyFont="1" applyBorder="1" applyAlignment="1">
      <alignment horizontal="center" vertical="center"/>
    </xf>
    <xf numFmtId="0" fontId="4" fillId="0" borderId="0" xfId="2" applyFont="1"/>
    <xf numFmtId="41" fontId="4" fillId="0" borderId="0" xfId="2" applyNumberFormat="1" applyFont="1"/>
    <xf numFmtId="166" fontId="3" fillId="0" borderId="0" xfId="2" applyNumberFormat="1" applyFont="1"/>
    <xf numFmtId="0" fontId="5" fillId="0" borderId="0" xfId="5" applyFont="1"/>
    <xf numFmtId="10" fontId="5" fillId="0" borderId="0" xfId="3" applyNumberFormat="1" applyFont="1" applyFill="1" applyAlignment="1">
      <alignment horizontal="center" vertical="center"/>
    </xf>
    <xf numFmtId="9" fontId="3" fillId="0" borderId="0" xfId="6" applyFont="1" applyFill="1" applyAlignment="1">
      <alignment vertical="center"/>
    </xf>
    <xf numFmtId="166" fontId="3" fillId="0" borderId="0" xfId="5" applyNumberFormat="1" applyFont="1"/>
    <xf numFmtId="0" fontId="3" fillId="0" borderId="0" xfId="5" applyFont="1"/>
    <xf numFmtId="41" fontId="3" fillId="0" borderId="0" xfId="5" applyNumberFormat="1" applyFont="1"/>
    <xf numFmtId="3" fontId="3" fillId="0" borderId="0" xfId="5" applyNumberFormat="1" applyFont="1"/>
    <xf numFmtId="41" fontId="3" fillId="0" borderId="0" xfId="2" applyNumberFormat="1" applyFont="1"/>
    <xf numFmtId="0" fontId="8" fillId="0" borderId="10" xfId="4" applyFont="1" applyBorder="1" applyAlignment="1">
      <alignment horizontal="center" vertical="center"/>
    </xf>
    <xf numFmtId="41" fontId="3" fillId="0" borderId="6" xfId="1" applyNumberFormat="1" applyFont="1" applyFill="1" applyBorder="1" applyAlignment="1">
      <alignment horizontal="center" vertical="center" wrapText="1"/>
    </xf>
    <xf numFmtId="41" fontId="8" fillId="0" borderId="7" xfId="3" applyFont="1" applyFill="1" applyBorder="1" applyAlignment="1" applyProtection="1">
      <alignment horizontal="center" vertical="center"/>
    </xf>
    <xf numFmtId="41" fontId="8" fillId="0" borderId="8" xfId="3" applyFont="1" applyFill="1" applyBorder="1" applyAlignment="1" applyProtection="1">
      <alignment horizontal="center" vertical="center"/>
    </xf>
    <xf numFmtId="41" fontId="8" fillId="0" borderId="9" xfId="3" applyFont="1" applyFill="1" applyBorder="1" applyAlignment="1" applyProtection="1">
      <alignment horizontal="center" vertical="center"/>
    </xf>
    <xf numFmtId="166" fontId="4" fillId="0" borderId="0" xfId="1" applyNumberFormat="1" applyFont="1" applyFill="1" applyBorder="1" applyAlignment="1">
      <alignment vertical="center"/>
    </xf>
    <xf numFmtId="0" fontId="3" fillId="0" borderId="7" xfId="2" quotePrefix="1" applyFont="1" applyBorder="1" applyAlignment="1">
      <alignment horizontal="center" vertical="center"/>
    </xf>
    <xf numFmtId="165" fontId="8" fillId="0" borderId="7" xfId="2" applyNumberFormat="1" applyFont="1" applyBorder="1" applyAlignment="1">
      <alignment horizontal="left" vertical="center"/>
    </xf>
    <xf numFmtId="3" fontId="3" fillId="0" borderId="10" xfId="1" applyNumberFormat="1" applyFont="1" applyFill="1" applyBorder="1" applyAlignment="1">
      <alignment horizontal="left" vertical="center"/>
    </xf>
    <xf numFmtId="0" fontId="11" fillId="2" borderId="4" xfId="3" applyNumberFormat="1" applyFont="1" applyFill="1" applyBorder="1" applyAlignment="1">
      <alignment horizontal="center" vertical="center" wrapText="1"/>
    </xf>
    <xf numFmtId="0" fontId="3" fillId="0" borderId="6" xfId="2" quotePrefix="1" applyFont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41" fontId="8" fillId="4" borderId="13" xfId="3" applyFont="1" applyFill="1" applyBorder="1" applyAlignment="1" applyProtection="1">
      <alignment horizontal="left" vertical="center"/>
    </xf>
    <xf numFmtId="41" fontId="3" fillId="0" borderId="0" xfId="3" applyFont="1" applyFill="1" applyBorder="1" applyAlignment="1" applyProtection="1">
      <alignment horizontal="left" vertical="center"/>
    </xf>
    <xf numFmtId="41" fontId="8" fillId="0" borderId="6" xfId="3" applyFont="1" applyFill="1" applyBorder="1" applyAlignment="1" applyProtection="1">
      <alignment horizontal="center" vertical="center"/>
    </xf>
    <xf numFmtId="166" fontId="3" fillId="0" borderId="0" xfId="2" applyNumberFormat="1" applyFont="1" applyAlignment="1">
      <alignment vertical="center"/>
    </xf>
    <xf numFmtId="166" fontId="5" fillId="0" borderId="0" xfId="5" applyNumberFormat="1" applyFont="1"/>
    <xf numFmtId="41" fontId="6" fillId="0" borderId="0" xfId="3" applyFont="1" applyFill="1" applyAlignment="1">
      <alignment vertical="center"/>
    </xf>
    <xf numFmtId="0" fontId="4" fillId="2" borderId="14" xfId="3" applyNumberFormat="1" applyFont="1" applyFill="1" applyBorder="1" applyAlignment="1">
      <alignment horizontal="center" vertical="center" wrapText="1"/>
    </xf>
    <xf numFmtId="10" fontId="4" fillId="2" borderId="3" xfId="3" applyNumberFormat="1" applyFont="1" applyFill="1" applyBorder="1" applyAlignment="1">
      <alignment horizontal="center" vertical="center" wrapText="1"/>
    </xf>
    <xf numFmtId="10" fontId="8" fillId="4" borderId="12" xfId="3" applyNumberFormat="1" applyFont="1" applyFill="1" applyBorder="1" applyAlignment="1" applyProtection="1">
      <alignment horizontal="center" vertical="center"/>
    </xf>
    <xf numFmtId="0" fontId="5" fillId="0" borderId="0" xfId="2" applyFont="1" applyAlignment="1">
      <alignment horizontal="center" vertical="center"/>
    </xf>
    <xf numFmtId="166" fontId="13" fillId="2" borderId="4" xfId="1" applyNumberFormat="1" applyFont="1" applyFill="1" applyBorder="1" applyAlignment="1">
      <alignment vertical="center"/>
    </xf>
    <xf numFmtId="41" fontId="12" fillId="0" borderId="0" xfId="3" applyFont="1" applyFill="1" applyAlignment="1">
      <alignment vertical="center"/>
    </xf>
    <xf numFmtId="3" fontId="2" fillId="0" borderId="6" xfId="0" quotePrefix="1" applyNumberFormat="1" applyFont="1" applyBorder="1" applyAlignment="1">
      <alignment horizontal="center" vertical="center"/>
    </xf>
    <xf numFmtId="164" fontId="9" fillId="0" borderId="6" xfId="3" quotePrefix="1" applyNumberFormat="1" applyFont="1" applyFill="1" applyBorder="1" applyAlignment="1" applyProtection="1">
      <alignment horizontal="center" vertical="center"/>
    </xf>
    <xf numFmtId="0" fontId="14" fillId="0" borderId="6" xfId="0" applyFont="1" applyBorder="1" applyAlignment="1">
      <alignment horizontal="left" vertical="center"/>
    </xf>
    <xf numFmtId="3" fontId="2" fillId="0" borderId="7" xfId="0" quotePrefix="1" applyNumberFormat="1" applyFont="1" applyBorder="1" applyAlignment="1">
      <alignment horizontal="center" vertical="center"/>
    </xf>
    <xf numFmtId="164" fontId="9" fillId="0" borderId="7" xfId="3" quotePrefix="1" applyNumberFormat="1" applyFont="1" applyFill="1" applyBorder="1" applyAlignment="1" applyProtection="1">
      <alignment horizontal="center" vertical="center"/>
    </xf>
    <xf numFmtId="0" fontId="14" fillId="0" borderId="7" xfId="0" applyFont="1" applyBorder="1" applyAlignment="1">
      <alignment horizontal="left" vertical="center"/>
    </xf>
    <xf numFmtId="3" fontId="2" fillId="0" borderId="7" xfId="1" applyNumberFormat="1" applyFont="1" applyFill="1" applyBorder="1" applyAlignment="1">
      <alignment horizontal="center" vertical="center"/>
    </xf>
    <xf numFmtId="3" fontId="2" fillId="0" borderId="7" xfId="1" quotePrefix="1" applyNumberFormat="1" applyFont="1" applyFill="1" applyBorder="1" applyAlignment="1">
      <alignment horizontal="center" vertical="center"/>
    </xf>
    <xf numFmtId="3" fontId="9" fillId="0" borderId="7" xfId="2" quotePrefix="1" applyNumberFormat="1" applyFont="1" applyBorder="1" applyAlignment="1">
      <alignment horizontal="center" vertical="center"/>
    </xf>
    <xf numFmtId="0" fontId="9" fillId="0" borderId="7" xfId="3" quotePrefix="1" applyNumberFormat="1" applyFont="1" applyFill="1" applyBorder="1" applyAlignment="1" applyProtection="1">
      <alignment horizontal="center" vertical="center"/>
    </xf>
    <xf numFmtId="0" fontId="9" fillId="0" borderId="7" xfId="2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3" fontId="2" fillId="5" borderId="7" xfId="1" quotePrefix="1" applyNumberFormat="1" applyFont="1" applyFill="1" applyBorder="1" applyAlignment="1">
      <alignment horizontal="center" vertical="center"/>
    </xf>
    <xf numFmtId="3" fontId="2" fillId="5" borderId="10" xfId="1" quotePrefix="1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3" fillId="0" borderId="10" xfId="4" applyFont="1" applyBorder="1" applyAlignment="1">
      <alignment horizontal="center" vertical="center"/>
    </xf>
    <xf numFmtId="0" fontId="3" fillId="4" borderId="10" xfId="4" applyFont="1" applyFill="1" applyBorder="1" applyAlignment="1">
      <alignment horizontal="center" vertical="center"/>
    </xf>
    <xf numFmtId="41" fontId="8" fillId="0" borderId="10" xfId="3" applyFont="1" applyFill="1" applyBorder="1" applyAlignment="1" applyProtection="1">
      <alignment horizontal="center" vertical="center"/>
    </xf>
    <xf numFmtId="164" fontId="9" fillId="0" borderId="10" xfId="3" quotePrefix="1" applyNumberFormat="1" applyFont="1" applyFill="1" applyBorder="1" applyAlignment="1" applyProtection="1">
      <alignment horizontal="center" vertical="center"/>
    </xf>
    <xf numFmtId="41" fontId="3" fillId="0" borderId="0" xfId="3" applyFont="1" applyFill="1" applyAlignment="1">
      <alignment horizontal="center" vertical="center"/>
    </xf>
    <xf numFmtId="41" fontId="12" fillId="0" borderId="0" xfId="3" applyFont="1" applyFill="1" applyAlignment="1">
      <alignment horizontal="center" vertical="center"/>
    </xf>
    <xf numFmtId="10" fontId="3" fillId="0" borderId="0" xfId="3" applyNumberFormat="1" applyFont="1" applyFill="1" applyAlignment="1">
      <alignment horizontal="center" vertical="center"/>
    </xf>
    <xf numFmtId="0" fontId="3" fillId="7" borderId="7" xfId="0" applyFont="1" applyFill="1" applyBorder="1" applyAlignment="1">
      <alignment vertical="center"/>
    </xf>
    <xf numFmtId="0" fontId="3" fillId="8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3" borderId="7" xfId="4" applyFont="1" applyFill="1" applyBorder="1" applyAlignment="1">
      <alignment horizontal="center" vertical="center"/>
    </xf>
    <xf numFmtId="41" fontId="3" fillId="0" borderId="0" xfId="3" applyFont="1" applyFill="1" applyAlignment="1">
      <alignment horizontal="center" vertical="center"/>
    </xf>
    <xf numFmtId="10" fontId="3" fillId="0" borderId="0" xfId="3" applyNumberFormat="1" applyFont="1" applyFill="1" applyAlignment="1">
      <alignment horizontal="center" vertical="center"/>
    </xf>
    <xf numFmtId="0" fontId="4" fillId="2" borderId="3" xfId="2" quotePrefix="1" applyFont="1" applyFill="1" applyBorder="1" applyAlignment="1">
      <alignment horizontal="center" vertical="center"/>
    </xf>
    <xf numFmtId="0" fontId="4" fillId="2" borderId="11" xfId="2" quotePrefix="1" applyFont="1" applyFill="1" applyBorder="1" applyAlignment="1">
      <alignment horizontal="center" vertical="center"/>
    </xf>
    <xf numFmtId="0" fontId="4" fillId="2" borderId="5" xfId="2" quotePrefix="1" applyFont="1" applyFill="1" applyBorder="1" applyAlignment="1">
      <alignment horizontal="center" vertical="center"/>
    </xf>
    <xf numFmtId="41" fontId="12" fillId="0" borderId="0" xfId="3" applyFont="1" applyFill="1" applyAlignment="1">
      <alignment horizontal="center" vertical="center"/>
    </xf>
  </cellXfs>
  <cellStyles count="8">
    <cellStyle name="Comma" xfId="1" builtinId="3"/>
    <cellStyle name="Comma [0] 4" xfId="3"/>
    <cellStyle name="Normal" xfId="0" builtinId="0"/>
    <cellStyle name="Normal 23" xfId="7"/>
    <cellStyle name="Normal 3" xfId="2"/>
    <cellStyle name="Normal 6 2" xfId="5"/>
    <cellStyle name="Normal_Tetap" xfId="4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4/PERHITUNGAN%20PPH%2021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FTAR%20GAJI%20JANUARI%20AIR%20PAPAN1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Des"/>
      <sheetName val="PEB'24"/>
      <sheetName val="THR"/>
      <sheetName val="Maret'24"/>
      <sheetName val="April'24"/>
      <sheetName val="EXGRATIA"/>
      <sheetName val="Mei'24"/>
      <sheetName val="Juni'24"/>
      <sheetName val="Juli'24"/>
      <sheetName val="Agust'24"/>
      <sheetName val="Sept'24"/>
      <sheetName val="Okt'24"/>
      <sheetName val="Nop'24"/>
      <sheetName val="DES'24"/>
      <sheetName val="Sheet2"/>
    </sheetNames>
    <sheetDataSet>
      <sheetData sheetId="0" refreshError="1">
        <row r="3">
          <cell r="B3">
            <v>0</v>
          </cell>
          <cell r="C3" t="str">
            <v>s.d</v>
          </cell>
          <cell r="D3">
            <v>5400000</v>
          </cell>
          <cell r="E3">
            <v>0</v>
          </cell>
          <cell r="H3">
            <v>0</v>
          </cell>
          <cell r="I3" t="str">
            <v>s.d</v>
          </cell>
          <cell r="J3">
            <v>6200000</v>
          </cell>
          <cell r="K3">
            <v>0</v>
          </cell>
          <cell r="N3">
            <v>0</v>
          </cell>
          <cell r="O3" t="str">
            <v>s.d</v>
          </cell>
          <cell r="P3">
            <v>6600000</v>
          </cell>
          <cell r="Q3">
            <v>0</v>
          </cell>
        </row>
        <row r="4">
          <cell r="B4">
            <v>5400001</v>
          </cell>
          <cell r="C4" t="str">
            <v>s.d</v>
          </cell>
          <cell r="D4">
            <v>5650000</v>
          </cell>
          <cell r="E4">
            <v>2.5000000000000001E-3</v>
          </cell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  <cell r="N4">
            <v>6600001</v>
          </cell>
          <cell r="O4" t="str">
            <v>s.d</v>
          </cell>
          <cell r="P4">
            <v>6950000</v>
          </cell>
          <cell r="Q4">
            <v>2.5000000000000001E-3</v>
          </cell>
        </row>
        <row r="5">
          <cell r="B5">
            <v>5650001</v>
          </cell>
          <cell r="C5" t="str">
            <v>s.d</v>
          </cell>
          <cell r="D5">
            <v>5950000</v>
          </cell>
          <cell r="E5">
            <v>5.0000000000000001E-3</v>
          </cell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  <cell r="N5">
            <v>6950001</v>
          </cell>
          <cell r="O5" t="str">
            <v>s.d</v>
          </cell>
          <cell r="P5">
            <v>7350000</v>
          </cell>
          <cell r="Q5">
            <v>5.0000000000000001E-3</v>
          </cell>
        </row>
        <row r="6">
          <cell r="B6">
            <v>5950001</v>
          </cell>
          <cell r="C6" t="str">
            <v>s.d</v>
          </cell>
          <cell r="D6">
            <v>6300000</v>
          </cell>
          <cell r="E6">
            <v>7.4999999999999997E-3</v>
          </cell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  <cell r="N6">
            <v>7350001</v>
          </cell>
          <cell r="O6" t="str">
            <v>s.d</v>
          </cell>
          <cell r="P6">
            <v>7800000</v>
          </cell>
          <cell r="Q6">
            <v>7.4999999999999997E-3</v>
          </cell>
        </row>
        <row r="7">
          <cell r="B7">
            <v>6300001</v>
          </cell>
          <cell r="C7" t="str">
            <v>s.d</v>
          </cell>
          <cell r="D7">
            <v>6750000</v>
          </cell>
          <cell r="E7">
            <v>0.01</v>
          </cell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  <cell r="N7">
            <v>7800001</v>
          </cell>
          <cell r="O7" t="str">
            <v>s.d</v>
          </cell>
          <cell r="P7">
            <v>8850000</v>
          </cell>
          <cell r="Q7">
            <v>0.01</v>
          </cell>
        </row>
        <row r="8">
          <cell r="B8">
            <v>6750001</v>
          </cell>
          <cell r="C8" t="str">
            <v>s.d</v>
          </cell>
          <cell r="D8">
            <v>7500000</v>
          </cell>
          <cell r="E8">
            <v>1.2500000000000001E-2</v>
          </cell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  <cell r="N8">
            <v>8850001</v>
          </cell>
          <cell r="O8" t="str">
            <v>s.d</v>
          </cell>
          <cell r="P8">
            <v>9800000</v>
          </cell>
          <cell r="Q8">
            <v>1.2500000000000001E-2</v>
          </cell>
        </row>
        <row r="9">
          <cell r="B9">
            <v>7500001</v>
          </cell>
          <cell r="C9" t="str">
            <v>s.d</v>
          </cell>
          <cell r="D9">
            <v>8550000</v>
          </cell>
          <cell r="E9">
            <v>1.5000000000000001E-2</v>
          </cell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  <cell r="N9">
            <v>9800001</v>
          </cell>
          <cell r="O9" t="str">
            <v>s.d</v>
          </cell>
          <cell r="P9">
            <v>10950000</v>
          </cell>
          <cell r="Q9">
            <v>1.5000000000000001E-2</v>
          </cell>
        </row>
        <row r="10">
          <cell r="B10">
            <v>8550001</v>
          </cell>
          <cell r="C10" t="str">
            <v>s.d</v>
          </cell>
          <cell r="D10">
            <v>9650000</v>
          </cell>
          <cell r="E10">
            <v>1.7500000000000002E-2</v>
          </cell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  <cell r="N10">
            <v>10950001</v>
          </cell>
          <cell r="O10" t="str">
            <v>s.d</v>
          </cell>
          <cell r="P10">
            <v>11200000</v>
          </cell>
          <cell r="Q10">
            <v>1.7500000000000002E-2</v>
          </cell>
        </row>
        <row r="11">
          <cell r="B11">
            <v>9650001</v>
          </cell>
          <cell r="C11" t="str">
            <v>s.d</v>
          </cell>
          <cell r="D11">
            <v>10050000</v>
          </cell>
          <cell r="E11">
            <v>0.02</v>
          </cell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  <cell r="N11">
            <v>11200001</v>
          </cell>
          <cell r="O11" t="str">
            <v>s.d</v>
          </cell>
          <cell r="P11">
            <v>12050000</v>
          </cell>
          <cell r="Q11">
            <v>0.02</v>
          </cell>
        </row>
        <row r="12">
          <cell r="B12">
            <v>10050001</v>
          </cell>
          <cell r="C12" t="str">
            <v>s.d</v>
          </cell>
          <cell r="D12">
            <v>10350000</v>
          </cell>
          <cell r="E12">
            <v>2.2499999999999999E-2</v>
          </cell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  <cell r="N12">
            <v>12050001</v>
          </cell>
          <cell r="O12" t="str">
            <v>s.d</v>
          </cell>
          <cell r="P12">
            <v>12950000</v>
          </cell>
          <cell r="Q12">
            <v>0.03</v>
          </cell>
        </row>
        <row r="13">
          <cell r="B13">
            <v>10350001</v>
          </cell>
          <cell r="C13" t="str">
            <v>s.d</v>
          </cell>
          <cell r="D13">
            <v>10700000</v>
          </cell>
          <cell r="E13">
            <v>2.4999999999999998E-2</v>
          </cell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  <cell r="N13">
            <v>12950001</v>
          </cell>
          <cell r="O13" t="str">
            <v>s.d</v>
          </cell>
          <cell r="P13">
            <v>14150000</v>
          </cell>
          <cell r="Q13">
            <v>0.04</v>
          </cell>
        </row>
        <row r="14">
          <cell r="B14">
            <v>10700001</v>
          </cell>
          <cell r="C14" t="str">
            <v>s.d</v>
          </cell>
          <cell r="D14">
            <v>11050000</v>
          </cell>
          <cell r="E14">
            <v>0.03</v>
          </cell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  <cell r="N14">
            <v>14150001</v>
          </cell>
          <cell r="O14" t="str">
            <v>s.d</v>
          </cell>
          <cell r="P14">
            <v>1550000</v>
          </cell>
          <cell r="Q14">
            <v>0.05</v>
          </cell>
        </row>
        <row r="15">
          <cell r="B15">
            <v>11050001</v>
          </cell>
          <cell r="C15" t="str">
            <v>s.d</v>
          </cell>
          <cell r="D15">
            <v>11600000</v>
          </cell>
          <cell r="E15">
            <v>3.5000000000000003E-2</v>
          </cell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  <cell r="N15">
            <v>1550001</v>
          </cell>
          <cell r="O15" t="str">
            <v>s.d</v>
          </cell>
          <cell r="P15">
            <v>17050000</v>
          </cell>
          <cell r="Q15">
            <v>6.0000000000000005E-2</v>
          </cell>
        </row>
        <row r="16">
          <cell r="B16">
            <v>11600001</v>
          </cell>
          <cell r="C16" t="str">
            <v>s.d</v>
          </cell>
          <cell r="D16">
            <v>12500000</v>
          </cell>
          <cell r="E16">
            <v>0.04</v>
          </cell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  <cell r="N16">
            <v>17050001</v>
          </cell>
          <cell r="O16" t="str">
            <v>s.d</v>
          </cell>
          <cell r="P16">
            <v>19500000</v>
          </cell>
          <cell r="Q16">
            <v>7.0000000000000007E-2</v>
          </cell>
        </row>
        <row r="17">
          <cell r="B17">
            <v>12500001</v>
          </cell>
          <cell r="C17" t="str">
            <v>s.d</v>
          </cell>
          <cell r="D17">
            <v>13750000</v>
          </cell>
          <cell r="E17">
            <v>0.05</v>
          </cell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  <cell r="N17">
            <v>19500001</v>
          </cell>
          <cell r="O17" t="str">
            <v>s.d</v>
          </cell>
          <cell r="P17">
            <v>22700000</v>
          </cell>
          <cell r="Q17">
            <v>0.08</v>
          </cell>
        </row>
        <row r="18">
          <cell r="B18">
            <v>13750001</v>
          </cell>
          <cell r="C18" t="str">
            <v>s.d</v>
          </cell>
          <cell r="D18">
            <v>15100000</v>
          </cell>
          <cell r="E18">
            <v>6.0000000000000005E-2</v>
          </cell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  <cell r="N18">
            <v>22700001</v>
          </cell>
          <cell r="O18" t="str">
            <v>s.d</v>
          </cell>
          <cell r="P18">
            <v>26600000</v>
          </cell>
          <cell r="Q18">
            <v>0.09</v>
          </cell>
        </row>
        <row r="19">
          <cell r="B19">
            <v>15100001</v>
          </cell>
          <cell r="C19" t="str">
            <v>s.d</v>
          </cell>
          <cell r="D19">
            <v>16950000</v>
          </cell>
          <cell r="E19">
            <v>7.0000000000000007E-2</v>
          </cell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  <cell r="N19">
            <v>26600001</v>
          </cell>
          <cell r="O19" t="str">
            <v>s.d</v>
          </cell>
          <cell r="P19">
            <v>28100000</v>
          </cell>
          <cell r="Q19">
            <v>9.9999999999999992E-2</v>
          </cell>
        </row>
        <row r="20">
          <cell r="B20">
            <v>16950001</v>
          </cell>
          <cell r="C20" t="str">
            <v>s.d</v>
          </cell>
          <cell r="D20">
            <v>19750000</v>
          </cell>
          <cell r="E20">
            <v>0.08</v>
          </cell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  <cell r="N20">
            <v>28100001</v>
          </cell>
          <cell r="O20" t="str">
            <v>s.d</v>
          </cell>
          <cell r="P20">
            <v>30100000</v>
          </cell>
          <cell r="Q20">
            <v>0.10999999999999999</v>
          </cell>
        </row>
        <row r="21">
          <cell r="B21">
            <v>19750001</v>
          </cell>
          <cell r="C21" t="str">
            <v>s.d</v>
          </cell>
          <cell r="D21">
            <v>24150000</v>
          </cell>
          <cell r="E21">
            <v>0.09</v>
          </cell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  <cell r="N21">
            <v>30100001</v>
          </cell>
          <cell r="O21" t="str">
            <v>s.d</v>
          </cell>
          <cell r="P21">
            <v>32600000</v>
          </cell>
          <cell r="Q21">
            <v>0.11999999999999998</v>
          </cell>
        </row>
        <row r="22">
          <cell r="B22">
            <v>24150001</v>
          </cell>
          <cell r="C22" t="str">
            <v>s.d</v>
          </cell>
          <cell r="D22">
            <v>26450000</v>
          </cell>
          <cell r="E22">
            <v>9.9999999999999992E-2</v>
          </cell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  <cell r="N22">
            <v>32600001</v>
          </cell>
          <cell r="O22" t="str">
            <v>s.d</v>
          </cell>
          <cell r="P22">
            <v>35400000</v>
          </cell>
          <cell r="Q22">
            <v>0.12999999999999998</v>
          </cell>
        </row>
        <row r="23">
          <cell r="B23">
            <v>26450001</v>
          </cell>
          <cell r="C23" t="str">
            <v>s.d</v>
          </cell>
          <cell r="D23">
            <v>28000000</v>
          </cell>
          <cell r="E23">
            <v>0.10999999999999999</v>
          </cell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  <cell r="N23">
            <v>35400001</v>
          </cell>
          <cell r="O23" t="str">
            <v>s.d</v>
          </cell>
          <cell r="P23">
            <v>38900000</v>
          </cell>
          <cell r="Q23">
            <v>0.13999999999999999</v>
          </cell>
        </row>
        <row r="24">
          <cell r="B24">
            <v>28000001</v>
          </cell>
          <cell r="C24" t="str">
            <v>s.d</v>
          </cell>
          <cell r="D24">
            <v>30050000</v>
          </cell>
          <cell r="E24">
            <v>0.11999999999999998</v>
          </cell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  <cell r="N24">
            <v>38900001</v>
          </cell>
          <cell r="O24" t="str">
            <v>s.d</v>
          </cell>
          <cell r="P24">
            <v>43000000</v>
          </cell>
          <cell r="Q24">
            <v>0.15</v>
          </cell>
        </row>
        <row r="25">
          <cell r="B25">
            <v>30050001</v>
          </cell>
          <cell r="C25" t="str">
            <v>s.d</v>
          </cell>
          <cell r="D25">
            <v>32400000</v>
          </cell>
          <cell r="E25">
            <v>0.12999999999999998</v>
          </cell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  <cell r="N25">
            <v>43000001</v>
          </cell>
          <cell r="O25" t="str">
            <v>s.d</v>
          </cell>
          <cell r="P25">
            <v>47400000</v>
          </cell>
          <cell r="Q25">
            <v>0.16</v>
          </cell>
        </row>
        <row r="26">
          <cell r="B26">
            <v>32400001</v>
          </cell>
          <cell r="C26" t="str">
            <v>s.d</v>
          </cell>
          <cell r="D26">
            <v>35400000</v>
          </cell>
          <cell r="E26">
            <v>0.13999999999999999</v>
          </cell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  <cell r="N26">
            <v>47400001</v>
          </cell>
          <cell r="O26" t="str">
            <v>s.d</v>
          </cell>
          <cell r="P26">
            <v>51200000</v>
          </cell>
          <cell r="Q26">
            <v>0.17</v>
          </cell>
        </row>
        <row r="27">
          <cell r="B27">
            <v>35400001</v>
          </cell>
          <cell r="C27" t="str">
            <v>s.d</v>
          </cell>
          <cell r="D27">
            <v>39100000</v>
          </cell>
          <cell r="E27">
            <v>0.15</v>
          </cell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  <cell r="N27">
            <v>51200001</v>
          </cell>
          <cell r="O27" t="str">
            <v>s.d</v>
          </cell>
          <cell r="P27">
            <v>55800000</v>
          </cell>
          <cell r="Q27">
            <v>0.18000000000000002</v>
          </cell>
        </row>
        <row r="28">
          <cell r="B28">
            <v>39100001</v>
          </cell>
          <cell r="C28" t="str">
            <v>s.d</v>
          </cell>
          <cell r="D28">
            <v>43850000</v>
          </cell>
          <cell r="E28">
            <v>0.16</v>
          </cell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  <cell r="N28">
            <v>55800001</v>
          </cell>
          <cell r="O28" t="str">
            <v>s.d</v>
          </cell>
          <cell r="P28">
            <v>60400000</v>
          </cell>
          <cell r="Q28">
            <v>0.19000000000000003</v>
          </cell>
        </row>
        <row r="29">
          <cell r="B29">
            <v>43850001</v>
          </cell>
          <cell r="C29" t="str">
            <v>s.d</v>
          </cell>
          <cell r="D29">
            <v>47800000</v>
          </cell>
          <cell r="E29">
            <v>0.17</v>
          </cell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  <cell r="N29">
            <v>60400001</v>
          </cell>
          <cell r="O29" t="str">
            <v>s.d</v>
          </cell>
          <cell r="P29">
            <v>66700000</v>
          </cell>
          <cell r="Q29">
            <v>0.20000000000000004</v>
          </cell>
        </row>
        <row r="30">
          <cell r="B30">
            <v>47800001</v>
          </cell>
          <cell r="C30" t="str">
            <v>s.d</v>
          </cell>
          <cell r="D30">
            <v>51400000</v>
          </cell>
          <cell r="E30">
            <v>0.18000000000000002</v>
          </cell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  <cell r="N30">
            <v>66700001</v>
          </cell>
          <cell r="O30" t="str">
            <v>s.d</v>
          </cell>
          <cell r="P30">
            <v>74500000</v>
          </cell>
          <cell r="Q30">
            <v>0.21000000000000005</v>
          </cell>
        </row>
        <row r="31">
          <cell r="B31">
            <v>51400001</v>
          </cell>
          <cell r="C31" t="str">
            <v>s.d</v>
          </cell>
          <cell r="D31">
            <v>56300000</v>
          </cell>
          <cell r="E31">
            <v>0.19000000000000003</v>
          </cell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  <cell r="N31">
            <v>74500001</v>
          </cell>
          <cell r="O31" t="str">
            <v>s.d</v>
          </cell>
          <cell r="P31">
            <v>83200000</v>
          </cell>
          <cell r="Q31">
            <v>0.22000000000000006</v>
          </cell>
        </row>
        <row r="32">
          <cell r="B32">
            <v>56300001</v>
          </cell>
          <cell r="C32" t="str">
            <v>s.d</v>
          </cell>
          <cell r="D32">
            <v>62200000</v>
          </cell>
          <cell r="E32">
            <v>0.20000000000000004</v>
          </cell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  <cell r="N32">
            <v>83200001</v>
          </cell>
          <cell r="O32" t="str">
            <v>s.d</v>
          </cell>
          <cell r="P32">
            <v>95600000</v>
          </cell>
          <cell r="Q32">
            <v>0.23000000000000007</v>
          </cell>
        </row>
        <row r="33">
          <cell r="B33">
            <v>62200001</v>
          </cell>
          <cell r="C33" t="str">
            <v>s.d</v>
          </cell>
          <cell r="D33">
            <v>68600000</v>
          </cell>
          <cell r="E33">
            <v>0.21000000000000005</v>
          </cell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  <cell r="N33">
            <v>95600001</v>
          </cell>
          <cell r="O33" t="str">
            <v>s.d</v>
          </cell>
          <cell r="P33">
            <v>110000000</v>
          </cell>
          <cell r="Q33">
            <v>0.24000000000000007</v>
          </cell>
        </row>
        <row r="34">
          <cell r="B34">
            <v>68600001</v>
          </cell>
          <cell r="C34" t="str">
            <v>s.d</v>
          </cell>
          <cell r="D34">
            <v>77500000</v>
          </cell>
          <cell r="E34">
            <v>0.22000000000000006</v>
          </cell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  <cell r="N34">
            <v>110000001</v>
          </cell>
          <cell r="O34" t="str">
            <v>s.d</v>
          </cell>
          <cell r="P34">
            <v>134000000</v>
          </cell>
          <cell r="Q34">
            <v>0.25000000000000006</v>
          </cell>
        </row>
        <row r="35">
          <cell r="B35">
            <v>77500001</v>
          </cell>
          <cell r="C35" t="str">
            <v>s.d</v>
          </cell>
          <cell r="D35">
            <v>89000000</v>
          </cell>
          <cell r="E35">
            <v>0.23000000000000007</v>
          </cell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  <cell r="N35">
            <v>134000001</v>
          </cell>
          <cell r="O35" t="str">
            <v>s.d</v>
          </cell>
          <cell r="P35">
            <v>169000000</v>
          </cell>
          <cell r="Q35">
            <v>0.26000000000000006</v>
          </cell>
        </row>
        <row r="36">
          <cell r="B36">
            <v>89000001</v>
          </cell>
          <cell r="C36" t="str">
            <v>s.d</v>
          </cell>
          <cell r="D36">
            <v>103000000</v>
          </cell>
          <cell r="E36">
            <v>0.24000000000000007</v>
          </cell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  <cell r="N36">
            <v>169000001</v>
          </cell>
          <cell r="O36" t="str">
            <v>s.d</v>
          </cell>
          <cell r="P36">
            <v>221000000</v>
          </cell>
          <cell r="Q36">
            <v>0.27000000000000007</v>
          </cell>
        </row>
        <row r="37">
          <cell r="B37">
            <v>103000001</v>
          </cell>
          <cell r="C37" t="str">
            <v>s.d</v>
          </cell>
          <cell r="D37">
            <v>125000000</v>
          </cell>
          <cell r="E37">
            <v>0.25000000000000006</v>
          </cell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  <cell r="N37">
            <v>221000001</v>
          </cell>
          <cell r="O37" t="str">
            <v>s.d</v>
          </cell>
          <cell r="P37">
            <v>390000000</v>
          </cell>
          <cell r="Q37">
            <v>0.28000000000000008</v>
          </cell>
        </row>
        <row r="38">
          <cell r="B38">
            <v>125000001</v>
          </cell>
          <cell r="C38" t="str">
            <v>s.d</v>
          </cell>
          <cell r="D38">
            <v>157000000</v>
          </cell>
          <cell r="E38">
            <v>0.26000000000000006</v>
          </cell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  <cell r="N38">
            <v>390000001</v>
          </cell>
          <cell r="O38" t="str">
            <v>s.d</v>
          </cell>
          <cell r="P38">
            <v>463000000</v>
          </cell>
          <cell r="Q38">
            <v>0.29000000000000009</v>
          </cell>
        </row>
        <row r="39">
          <cell r="B39">
            <v>157000001</v>
          </cell>
          <cell r="C39" t="str">
            <v>s.d</v>
          </cell>
          <cell r="D39">
            <v>206000000</v>
          </cell>
          <cell r="E39">
            <v>0.27000000000000007</v>
          </cell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  <cell r="N39">
            <v>463000001</v>
          </cell>
          <cell r="O39" t="str">
            <v>s.d</v>
          </cell>
          <cell r="P39">
            <v>561000000</v>
          </cell>
          <cell r="Q39">
            <v>0.3000000000000001</v>
          </cell>
        </row>
        <row r="40">
          <cell r="B40">
            <v>206000001</v>
          </cell>
          <cell r="C40" t="str">
            <v>s.d</v>
          </cell>
          <cell r="D40">
            <v>337000000</v>
          </cell>
          <cell r="E40">
            <v>0.28000000000000008</v>
          </cell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  <cell r="N40">
            <v>561000001</v>
          </cell>
          <cell r="O40" t="str">
            <v>s.d</v>
          </cell>
          <cell r="P40">
            <v>709000000</v>
          </cell>
          <cell r="Q40">
            <v>0.31000000000000011</v>
          </cell>
        </row>
        <row r="41">
          <cell r="B41">
            <v>337000001</v>
          </cell>
          <cell r="C41" t="str">
            <v>s.d</v>
          </cell>
          <cell r="D41">
            <v>454000000</v>
          </cell>
          <cell r="E41">
            <v>0.29000000000000009</v>
          </cell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  <cell r="N41">
            <v>709000001</v>
          </cell>
          <cell r="O41" t="str">
            <v>s.d</v>
          </cell>
          <cell r="P41">
            <v>965000000</v>
          </cell>
          <cell r="Q41">
            <v>0.32000000000000012</v>
          </cell>
        </row>
        <row r="42">
          <cell r="B42">
            <v>454000001</v>
          </cell>
          <cell r="C42" t="str">
            <v>s.d</v>
          </cell>
          <cell r="D42">
            <v>550000000</v>
          </cell>
          <cell r="E42">
            <v>0.3000000000000001</v>
          </cell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  <cell r="N42">
            <v>965000001</v>
          </cell>
          <cell r="O42" t="str">
            <v>s.d</v>
          </cell>
          <cell r="P42">
            <v>1419000000</v>
          </cell>
          <cell r="Q42">
            <v>0.33000000000000013</v>
          </cell>
        </row>
        <row r="43">
          <cell r="B43">
            <v>550000001</v>
          </cell>
          <cell r="C43" t="str">
            <v>s.d</v>
          </cell>
          <cell r="D43">
            <v>695000000</v>
          </cell>
          <cell r="E43">
            <v>0.31000000000000011</v>
          </cell>
          <cell r="N43">
            <v>1419000001</v>
          </cell>
          <cell r="O43" t="str">
            <v>s.d</v>
          </cell>
          <cell r="P43" t="str">
            <v>~~</v>
          </cell>
          <cell r="Q43">
            <v>0.34000000000000014</v>
          </cell>
        </row>
        <row r="44">
          <cell r="B44">
            <v>695000001</v>
          </cell>
          <cell r="C44" t="str">
            <v>s.d</v>
          </cell>
          <cell r="D44">
            <v>910000000</v>
          </cell>
          <cell r="E44">
            <v>0.32000000000000012</v>
          </cell>
        </row>
        <row r="45">
          <cell r="B45">
            <v>910000001</v>
          </cell>
          <cell r="C45" t="str">
            <v>s.d</v>
          </cell>
          <cell r="D45">
            <v>1400000000</v>
          </cell>
          <cell r="E45">
            <v>0.33000000000000013</v>
          </cell>
        </row>
        <row r="46">
          <cell r="B46">
            <v>1400000001</v>
          </cell>
          <cell r="C46" t="str">
            <v>s.d</v>
          </cell>
          <cell r="D46" t="str">
            <v>~~</v>
          </cell>
          <cell r="E46">
            <v>0.34000000000000014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KROL PANEN"/>
      <sheetName val="OUTPUT-HK"/>
      <sheetName val="SUMMARY PANEN"/>
      <sheetName val="INSENTIF"/>
      <sheetName val="OVT PANEN"/>
      <sheetName val="CKROL PERAWATAN"/>
      <sheetName val="OVT PERAWATAN"/>
      <sheetName val="CKROL OPERATOR"/>
      <sheetName val="HARVESTING"/>
      <sheetName val="BHL"/>
      <sheetName val="MAINTENANCE"/>
      <sheetName val="OPERATOR"/>
      <sheetName val="BRI"/>
      <sheetName val="REKONSILIASI GAJI"/>
      <sheetName val="REK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T10">
            <v>114700</v>
          </cell>
          <cell r="W10">
            <v>87500</v>
          </cell>
          <cell r="Z10">
            <v>50500</v>
          </cell>
          <cell r="AA10">
            <v>1650000</v>
          </cell>
          <cell r="AK10">
            <v>6072200</v>
          </cell>
          <cell r="AP10">
            <v>163420</v>
          </cell>
          <cell r="BE10">
            <v>0</v>
          </cell>
        </row>
        <row r="11">
          <cell r="T11">
            <v>144150</v>
          </cell>
          <cell r="W11">
            <v>60000</v>
          </cell>
          <cell r="Z11">
            <v>10000</v>
          </cell>
          <cell r="AA11">
            <v>1849200</v>
          </cell>
          <cell r="AK11">
            <v>6232850</v>
          </cell>
          <cell r="AP11">
            <v>161800</v>
          </cell>
          <cell r="BE11">
            <v>0</v>
          </cell>
        </row>
        <row r="12">
          <cell r="T12">
            <v>172050</v>
          </cell>
          <cell r="Z12">
            <v>27000</v>
          </cell>
          <cell r="AB12">
            <v>150763</v>
          </cell>
          <cell r="AC12">
            <v>498750</v>
          </cell>
          <cell r="AD12">
            <v>332150</v>
          </cell>
          <cell r="AG12">
            <v>0</v>
          </cell>
          <cell r="AH12">
            <v>0</v>
          </cell>
          <cell r="AK12">
            <v>5350213</v>
          </cell>
          <cell r="AP12">
            <v>162480</v>
          </cell>
          <cell r="BE12">
            <v>0</v>
          </cell>
        </row>
        <row r="13">
          <cell r="T13">
            <v>144150</v>
          </cell>
          <cell r="Z13">
            <v>12500</v>
          </cell>
          <cell r="AB13">
            <v>194442</v>
          </cell>
          <cell r="AC13">
            <v>458500</v>
          </cell>
          <cell r="AD13">
            <v>340600</v>
          </cell>
          <cell r="AG13">
            <v>0</v>
          </cell>
          <cell r="AH13">
            <v>0</v>
          </cell>
          <cell r="AK13">
            <v>5319692</v>
          </cell>
          <cell r="AP13">
            <v>161900</v>
          </cell>
          <cell r="BE13">
            <v>0</v>
          </cell>
        </row>
        <row r="14">
          <cell r="T14">
            <v>166500</v>
          </cell>
          <cell r="Z14">
            <v>12500</v>
          </cell>
          <cell r="AB14">
            <v>74677</v>
          </cell>
          <cell r="AC14">
            <v>432250</v>
          </cell>
          <cell r="AD14">
            <v>338000</v>
          </cell>
          <cell r="AG14">
            <v>0</v>
          </cell>
          <cell r="AH14">
            <v>52305.555555555562</v>
          </cell>
          <cell r="AK14">
            <v>5006621.444444444</v>
          </cell>
          <cell r="AP14">
            <v>161900</v>
          </cell>
          <cell r="BE14">
            <v>134500</v>
          </cell>
        </row>
        <row r="15">
          <cell r="T15">
            <v>114700</v>
          </cell>
          <cell r="Z15">
            <v>12500</v>
          </cell>
          <cell r="AB15">
            <v>233894</v>
          </cell>
          <cell r="AC15">
            <v>439250</v>
          </cell>
          <cell r="AD15">
            <v>339950</v>
          </cell>
          <cell r="AG15">
            <v>0</v>
          </cell>
          <cell r="AH15">
            <v>100127.77777777778</v>
          </cell>
          <cell r="AK15">
            <v>5209666.222222222</v>
          </cell>
          <cell r="AP15">
            <v>161900</v>
          </cell>
          <cell r="BE15">
            <v>0</v>
          </cell>
        </row>
        <row r="16">
          <cell r="T16">
            <v>144150</v>
          </cell>
          <cell r="Z16">
            <v>12500</v>
          </cell>
          <cell r="AB16">
            <v>70450</v>
          </cell>
          <cell r="AC16">
            <v>367500</v>
          </cell>
          <cell r="AD16">
            <v>340600</v>
          </cell>
          <cell r="AG16">
            <v>0</v>
          </cell>
          <cell r="AH16">
            <v>150938.88888888888</v>
          </cell>
          <cell r="AK16">
            <v>4953761.111111111</v>
          </cell>
          <cell r="AP16">
            <v>161900</v>
          </cell>
          <cell r="BE16">
            <v>0</v>
          </cell>
        </row>
        <row r="17">
          <cell r="T17">
            <v>144150</v>
          </cell>
          <cell r="Z17">
            <v>12500</v>
          </cell>
          <cell r="AB17">
            <v>197260</v>
          </cell>
          <cell r="AC17">
            <v>500500</v>
          </cell>
          <cell r="AD17">
            <v>338000</v>
          </cell>
          <cell r="AG17">
            <v>0</v>
          </cell>
          <cell r="AH17">
            <v>0</v>
          </cell>
          <cell r="AK17">
            <v>5361910</v>
          </cell>
          <cell r="AP17">
            <v>161900</v>
          </cell>
          <cell r="BE17">
            <v>0</v>
          </cell>
        </row>
        <row r="18">
          <cell r="T18">
            <v>144150</v>
          </cell>
          <cell r="Z18">
            <v>7500</v>
          </cell>
          <cell r="AB18">
            <v>135264</v>
          </cell>
          <cell r="AC18">
            <v>546000</v>
          </cell>
          <cell r="AD18">
            <v>338000</v>
          </cell>
          <cell r="AG18">
            <v>0</v>
          </cell>
          <cell r="AH18">
            <v>44833.333333333343</v>
          </cell>
          <cell r="AK18">
            <v>5295580.666666667</v>
          </cell>
          <cell r="AP18">
            <v>161700</v>
          </cell>
          <cell r="BE18">
            <v>0</v>
          </cell>
        </row>
        <row r="19">
          <cell r="T19">
            <v>125550</v>
          </cell>
          <cell r="Z19">
            <v>18000</v>
          </cell>
          <cell r="AB19">
            <v>123992</v>
          </cell>
          <cell r="AC19">
            <v>337750</v>
          </cell>
          <cell r="AD19">
            <v>334100</v>
          </cell>
          <cell r="AG19">
            <v>0</v>
          </cell>
          <cell r="AH19">
            <v>0</v>
          </cell>
          <cell r="AK19">
            <v>4570892</v>
          </cell>
          <cell r="AP19">
            <v>162120</v>
          </cell>
          <cell r="BE19">
            <v>538000</v>
          </cell>
        </row>
        <row r="20">
          <cell r="T20">
            <v>114700</v>
          </cell>
          <cell r="Z20">
            <v>2500</v>
          </cell>
          <cell r="AB20">
            <v>85949</v>
          </cell>
          <cell r="AC20">
            <v>400750</v>
          </cell>
          <cell r="AD20">
            <v>338000</v>
          </cell>
          <cell r="AG20">
            <v>0</v>
          </cell>
          <cell r="AH20">
            <v>171861.11111111112</v>
          </cell>
          <cell r="AK20">
            <v>4939537.888888889</v>
          </cell>
          <cell r="AP20">
            <v>161500</v>
          </cell>
          <cell r="BE20">
            <v>0</v>
          </cell>
        </row>
        <row r="21">
          <cell r="T21">
            <v>144150</v>
          </cell>
          <cell r="Z21">
            <v>18000</v>
          </cell>
          <cell r="AB21">
            <v>133855</v>
          </cell>
          <cell r="AC21">
            <v>504000</v>
          </cell>
          <cell r="AD21">
            <v>341900</v>
          </cell>
          <cell r="AG21">
            <v>0</v>
          </cell>
          <cell r="AH21">
            <v>65755.555555555562</v>
          </cell>
          <cell r="AK21">
            <v>5245649.444444444</v>
          </cell>
          <cell r="AP21">
            <v>162120</v>
          </cell>
          <cell r="BE21">
            <v>0</v>
          </cell>
        </row>
        <row r="22">
          <cell r="T22">
            <v>69750</v>
          </cell>
          <cell r="Z22">
            <v>2500</v>
          </cell>
          <cell r="AB22">
            <v>150763</v>
          </cell>
          <cell r="AC22">
            <v>343000</v>
          </cell>
          <cell r="AD22">
            <v>339300</v>
          </cell>
          <cell r="AG22">
            <v>0</v>
          </cell>
          <cell r="AH22">
            <v>161400</v>
          </cell>
          <cell r="AK22">
            <v>4913413</v>
          </cell>
          <cell r="AP22">
            <v>161500</v>
          </cell>
          <cell r="BE22">
            <v>0</v>
          </cell>
        </row>
        <row r="23">
          <cell r="T23">
            <v>111000</v>
          </cell>
          <cell r="Z23">
            <v>2500</v>
          </cell>
          <cell r="AB23">
            <v>132446</v>
          </cell>
          <cell r="AC23">
            <v>381500</v>
          </cell>
          <cell r="AD23">
            <v>344500</v>
          </cell>
          <cell r="AG23">
            <v>0</v>
          </cell>
          <cell r="AH23">
            <v>0</v>
          </cell>
          <cell r="AK23">
            <v>5006946</v>
          </cell>
          <cell r="AP23">
            <v>161500</v>
          </cell>
          <cell r="BE23">
            <v>134500</v>
          </cell>
        </row>
        <row r="24">
          <cell r="T24">
            <v>172050</v>
          </cell>
          <cell r="Z24">
            <v>2500</v>
          </cell>
          <cell r="AB24">
            <v>198669</v>
          </cell>
          <cell r="AC24">
            <v>411250</v>
          </cell>
          <cell r="AD24">
            <v>332800</v>
          </cell>
          <cell r="AG24">
            <v>0</v>
          </cell>
          <cell r="AH24">
            <v>0</v>
          </cell>
          <cell r="AK24">
            <v>5286769</v>
          </cell>
          <cell r="AP24">
            <v>161500</v>
          </cell>
          <cell r="BE24">
            <v>0</v>
          </cell>
        </row>
        <row r="25">
          <cell r="T25">
            <v>166500</v>
          </cell>
          <cell r="Z25">
            <v>24000</v>
          </cell>
          <cell r="AB25">
            <v>122583</v>
          </cell>
          <cell r="AC25">
            <v>351750</v>
          </cell>
          <cell r="AD25">
            <v>343200</v>
          </cell>
          <cell r="AG25">
            <v>0</v>
          </cell>
          <cell r="AH25">
            <v>345216.66666666669</v>
          </cell>
          <cell r="AK25">
            <v>4697816.333333333</v>
          </cell>
          <cell r="AP25">
            <v>162360</v>
          </cell>
          <cell r="BE25">
            <v>134500</v>
          </cell>
        </row>
        <row r="26">
          <cell r="T26">
            <v>172050</v>
          </cell>
          <cell r="Z26">
            <v>27000</v>
          </cell>
          <cell r="AB26">
            <v>42270</v>
          </cell>
          <cell r="AC26">
            <v>323750</v>
          </cell>
          <cell r="AD26">
            <v>343200</v>
          </cell>
          <cell r="AG26">
            <v>0</v>
          </cell>
          <cell r="AH26">
            <v>270494.4444444445</v>
          </cell>
          <cell r="AK26">
            <v>4807275.555555556</v>
          </cell>
          <cell r="AP26">
            <v>162480</v>
          </cell>
          <cell r="BE26">
            <v>0</v>
          </cell>
        </row>
        <row r="27">
          <cell r="T27">
            <v>166500</v>
          </cell>
          <cell r="Z27">
            <v>92500</v>
          </cell>
          <cell r="AB27">
            <v>100039</v>
          </cell>
          <cell r="AC27">
            <v>344750</v>
          </cell>
          <cell r="AD27">
            <v>343200</v>
          </cell>
          <cell r="AG27">
            <v>0</v>
          </cell>
          <cell r="AH27">
            <v>263022.22222222225</v>
          </cell>
          <cell r="AK27">
            <v>4818966.777777778</v>
          </cell>
          <cell r="AP27">
            <v>165100</v>
          </cell>
          <cell r="BE27">
            <v>134500</v>
          </cell>
        </row>
        <row r="28">
          <cell r="T28">
            <v>172050</v>
          </cell>
          <cell r="Z28">
            <v>18000</v>
          </cell>
          <cell r="AB28">
            <v>76086</v>
          </cell>
          <cell r="AC28">
            <v>203000</v>
          </cell>
          <cell r="AD28">
            <v>169650</v>
          </cell>
          <cell r="AG28">
            <v>0</v>
          </cell>
          <cell r="AH28">
            <v>92655.555555555562</v>
          </cell>
          <cell r="AK28">
            <v>4715630.444444444</v>
          </cell>
          <cell r="AP28">
            <v>162120</v>
          </cell>
          <cell r="BE28">
            <v>0</v>
          </cell>
        </row>
        <row r="29">
          <cell r="T29">
            <v>114700</v>
          </cell>
          <cell r="Z29">
            <v>0</v>
          </cell>
          <cell r="AB29">
            <v>74677</v>
          </cell>
          <cell r="AC29">
            <v>357000</v>
          </cell>
          <cell r="AD29">
            <v>336700</v>
          </cell>
          <cell r="AG29">
            <v>0</v>
          </cell>
          <cell r="AH29">
            <v>85183.333333333343</v>
          </cell>
          <cell r="AK29">
            <v>4967393.666666667</v>
          </cell>
          <cell r="AP29">
            <v>161400</v>
          </cell>
          <cell r="BE29">
            <v>0</v>
          </cell>
        </row>
        <row r="30">
          <cell r="T30">
            <v>144150</v>
          </cell>
          <cell r="Z30">
            <v>0</v>
          </cell>
          <cell r="AB30">
            <v>122583</v>
          </cell>
          <cell r="AC30">
            <v>591500</v>
          </cell>
          <cell r="AD30">
            <v>0</v>
          </cell>
          <cell r="AG30">
            <v>0</v>
          </cell>
          <cell r="AH30">
            <v>0</v>
          </cell>
          <cell r="AK30">
            <v>5027733</v>
          </cell>
          <cell r="AP30">
            <v>161400</v>
          </cell>
          <cell r="BE30">
            <v>0</v>
          </cell>
        </row>
        <row r="31">
          <cell r="T31">
            <v>144150</v>
          </cell>
          <cell r="Z31">
            <v>0</v>
          </cell>
          <cell r="AB31">
            <v>0</v>
          </cell>
          <cell r="AC31">
            <v>204750</v>
          </cell>
          <cell r="AD31">
            <v>336050</v>
          </cell>
          <cell r="AG31">
            <v>0</v>
          </cell>
          <cell r="AH31">
            <v>68744.444444444453</v>
          </cell>
          <cell r="AK31">
            <v>4785705.555555556</v>
          </cell>
          <cell r="AP31">
            <v>161400</v>
          </cell>
          <cell r="BE31">
            <v>0</v>
          </cell>
        </row>
        <row r="32">
          <cell r="T32">
            <v>114700</v>
          </cell>
          <cell r="Z32">
            <v>24000</v>
          </cell>
          <cell r="AB32">
            <v>173307</v>
          </cell>
          <cell r="AC32">
            <v>518000</v>
          </cell>
          <cell r="AD32">
            <v>332800</v>
          </cell>
          <cell r="AG32">
            <v>0</v>
          </cell>
          <cell r="AH32">
            <v>0</v>
          </cell>
          <cell r="AK32">
            <v>5332307</v>
          </cell>
          <cell r="AP32">
            <v>162360</v>
          </cell>
          <cell r="BE32">
            <v>0</v>
          </cell>
        </row>
        <row r="33">
          <cell r="T33">
            <v>144150</v>
          </cell>
          <cell r="Z33">
            <v>21000</v>
          </cell>
          <cell r="AB33">
            <v>180352</v>
          </cell>
          <cell r="AC33">
            <v>535500</v>
          </cell>
          <cell r="AD33">
            <v>336050</v>
          </cell>
          <cell r="AG33">
            <v>0</v>
          </cell>
          <cell r="AH33">
            <v>70238.888888888891</v>
          </cell>
          <cell r="AK33">
            <v>5316313.111111111</v>
          </cell>
          <cell r="AP33">
            <v>162240</v>
          </cell>
          <cell r="BE33">
            <v>0</v>
          </cell>
        </row>
        <row r="34">
          <cell r="T34">
            <v>134850</v>
          </cell>
          <cell r="Z34">
            <v>27000</v>
          </cell>
          <cell r="AB34">
            <v>84540</v>
          </cell>
          <cell r="AC34">
            <v>337750</v>
          </cell>
          <cell r="AD34">
            <v>342550</v>
          </cell>
          <cell r="AG34">
            <v>0</v>
          </cell>
          <cell r="AH34">
            <v>97138.888888888891</v>
          </cell>
          <cell r="AK34">
            <v>4730051.111111111</v>
          </cell>
          <cell r="AP34">
            <v>162480</v>
          </cell>
          <cell r="BE34">
            <v>269000</v>
          </cell>
        </row>
        <row r="35">
          <cell r="T35">
            <v>172050</v>
          </cell>
          <cell r="Z35">
            <v>12500</v>
          </cell>
          <cell r="AB35">
            <v>140900</v>
          </cell>
          <cell r="AC35">
            <v>428750</v>
          </cell>
          <cell r="AD35">
            <v>338650</v>
          </cell>
          <cell r="AG35">
            <v>0</v>
          </cell>
          <cell r="AH35">
            <v>191288.88888888891</v>
          </cell>
          <cell r="AK35">
            <v>5071061.111111111</v>
          </cell>
          <cell r="AP35">
            <v>161900</v>
          </cell>
          <cell r="BE35">
            <v>0</v>
          </cell>
        </row>
        <row r="36">
          <cell r="T36">
            <v>144150</v>
          </cell>
          <cell r="Z36">
            <v>5000</v>
          </cell>
          <cell r="AB36">
            <v>135264</v>
          </cell>
          <cell r="AC36">
            <v>416500</v>
          </cell>
          <cell r="AD36">
            <v>332800</v>
          </cell>
          <cell r="AG36">
            <v>0</v>
          </cell>
          <cell r="AH36">
            <v>0</v>
          </cell>
          <cell r="AK36">
            <v>5203214</v>
          </cell>
          <cell r="AP36">
            <v>161600</v>
          </cell>
          <cell r="BE36">
            <v>0</v>
          </cell>
        </row>
        <row r="37">
          <cell r="T37">
            <v>144150</v>
          </cell>
          <cell r="Z37">
            <v>27000</v>
          </cell>
          <cell r="AB37">
            <v>43679</v>
          </cell>
          <cell r="AC37">
            <v>260750</v>
          </cell>
          <cell r="AD37">
            <v>336700</v>
          </cell>
          <cell r="AG37">
            <v>0</v>
          </cell>
          <cell r="AH37">
            <v>124038.88888888889</v>
          </cell>
          <cell r="AK37">
            <v>4857740.111111111</v>
          </cell>
          <cell r="AP37">
            <v>162480</v>
          </cell>
          <cell r="BE37">
            <v>0</v>
          </cell>
        </row>
        <row r="38">
          <cell r="T38">
            <v>160950</v>
          </cell>
          <cell r="Z38">
            <v>2500</v>
          </cell>
          <cell r="AB38">
            <v>0</v>
          </cell>
          <cell r="AC38">
            <v>430500</v>
          </cell>
          <cell r="AD38">
            <v>343200</v>
          </cell>
          <cell r="AG38">
            <v>0</v>
          </cell>
          <cell r="AH38">
            <v>135994.44444444447</v>
          </cell>
          <cell r="AK38">
            <v>4701655.555555556</v>
          </cell>
          <cell r="AP38">
            <v>161500</v>
          </cell>
          <cell r="BE38">
            <v>269000</v>
          </cell>
        </row>
        <row r="39">
          <cell r="T39">
            <v>134850</v>
          </cell>
          <cell r="Z39">
            <v>0</v>
          </cell>
          <cell r="AB39">
            <v>129628</v>
          </cell>
          <cell r="AC39">
            <v>148750</v>
          </cell>
          <cell r="AD39">
            <v>170300</v>
          </cell>
          <cell r="AG39">
            <v>0</v>
          </cell>
          <cell r="AH39">
            <v>286933.33333333331</v>
          </cell>
          <cell r="AK39">
            <v>4197094.666666667</v>
          </cell>
          <cell r="AP39">
            <v>161400</v>
          </cell>
          <cell r="BE39">
            <v>269000</v>
          </cell>
        </row>
        <row r="40">
          <cell r="T40">
            <v>69750</v>
          </cell>
          <cell r="Z40">
            <v>0</v>
          </cell>
          <cell r="AB40">
            <v>60587</v>
          </cell>
          <cell r="AC40">
            <v>262500</v>
          </cell>
          <cell r="AD40">
            <v>0</v>
          </cell>
          <cell r="AG40">
            <v>0</v>
          </cell>
          <cell r="AH40">
            <v>203244.44444444444</v>
          </cell>
          <cell r="AK40">
            <v>4359092.555555556</v>
          </cell>
          <cell r="AP40">
            <v>161400</v>
          </cell>
          <cell r="BE40">
            <v>0</v>
          </cell>
        </row>
        <row r="41">
          <cell r="T41">
            <v>4325600</v>
          </cell>
          <cell r="W41">
            <v>147500</v>
          </cell>
          <cell r="Z41">
            <v>484000</v>
          </cell>
          <cell r="AA41">
            <v>3499200</v>
          </cell>
          <cell r="AB41">
            <v>3368919</v>
          </cell>
          <cell r="AC41">
            <v>11336500</v>
          </cell>
          <cell r="AD41">
            <v>8802950</v>
          </cell>
          <cell r="AE41">
            <v>0</v>
          </cell>
          <cell r="AG41">
            <v>0</v>
          </cell>
          <cell r="AH41">
            <v>2981416.6666666674</v>
          </cell>
          <cell r="AI41">
            <v>0</v>
          </cell>
          <cell r="AK41">
            <v>156354752.33333328</v>
          </cell>
          <cell r="AP41">
            <v>5022760</v>
          </cell>
          <cell r="AV41">
            <v>90433</v>
          </cell>
          <cell r="BE41">
            <v>1883000</v>
          </cell>
        </row>
      </sheetData>
      <sheetData sheetId="9">
        <row r="10">
          <cell r="AT10">
            <v>0</v>
          </cell>
        </row>
      </sheetData>
      <sheetData sheetId="10">
        <row r="10">
          <cell r="X10">
            <v>130200</v>
          </cell>
          <cell r="AA10">
            <v>87500</v>
          </cell>
          <cell r="AD10">
            <v>33000</v>
          </cell>
          <cell r="AJ10">
            <v>4420200</v>
          </cell>
          <cell r="AO10">
            <v>162720</v>
          </cell>
          <cell r="BC10">
            <v>0</v>
          </cell>
        </row>
        <row r="11">
          <cell r="X11">
            <v>69750</v>
          </cell>
          <cell r="AD11">
            <v>54000</v>
          </cell>
          <cell r="AJ11">
            <v>4293250</v>
          </cell>
          <cell r="AO11">
            <v>163560</v>
          </cell>
          <cell r="BC11">
            <v>0</v>
          </cell>
        </row>
        <row r="12">
          <cell r="X12">
            <v>69750</v>
          </cell>
          <cell r="AD12">
            <v>50500</v>
          </cell>
          <cell r="AJ12">
            <v>4289750</v>
          </cell>
          <cell r="AO12">
            <v>163420</v>
          </cell>
          <cell r="BC12">
            <v>0</v>
          </cell>
        </row>
        <row r="13">
          <cell r="X13">
            <v>69750</v>
          </cell>
          <cell r="AD13">
            <v>54000</v>
          </cell>
          <cell r="AJ13">
            <v>4293250</v>
          </cell>
          <cell r="AO13">
            <v>163560</v>
          </cell>
          <cell r="BC13">
            <v>0</v>
          </cell>
        </row>
        <row r="14">
          <cell r="X14">
            <v>69750</v>
          </cell>
          <cell r="AD14">
            <v>50500</v>
          </cell>
          <cell r="AJ14">
            <v>4289750</v>
          </cell>
          <cell r="AO14">
            <v>163420</v>
          </cell>
          <cell r="BC14">
            <v>0</v>
          </cell>
        </row>
        <row r="15">
          <cell r="X15">
            <v>69750</v>
          </cell>
          <cell r="AD15">
            <v>50500</v>
          </cell>
          <cell r="AJ15">
            <v>4289750</v>
          </cell>
          <cell r="AO15">
            <v>163420</v>
          </cell>
          <cell r="BC15">
            <v>0</v>
          </cell>
        </row>
        <row r="16">
          <cell r="X16">
            <v>69750</v>
          </cell>
          <cell r="AD16">
            <v>54000</v>
          </cell>
          <cell r="AJ16">
            <v>4293250</v>
          </cell>
          <cell r="AO16">
            <v>163560</v>
          </cell>
          <cell r="BC16">
            <v>0</v>
          </cell>
        </row>
        <row r="17">
          <cell r="X17">
            <v>69750</v>
          </cell>
          <cell r="AD17">
            <v>50500</v>
          </cell>
          <cell r="AJ17">
            <v>4289750</v>
          </cell>
          <cell r="AO17">
            <v>163420</v>
          </cell>
          <cell r="BC17">
            <v>0</v>
          </cell>
        </row>
        <row r="18">
          <cell r="X18">
            <v>69750</v>
          </cell>
          <cell r="AD18">
            <v>54000</v>
          </cell>
          <cell r="AJ18">
            <v>4293250</v>
          </cell>
          <cell r="AO18">
            <v>163560</v>
          </cell>
          <cell r="BC18">
            <v>0</v>
          </cell>
        </row>
        <row r="19">
          <cell r="X19">
            <v>69750</v>
          </cell>
          <cell r="AD19">
            <v>50500</v>
          </cell>
          <cell r="AJ19">
            <v>4289750</v>
          </cell>
          <cell r="AO19">
            <v>163420</v>
          </cell>
          <cell r="BC19">
            <v>0</v>
          </cell>
        </row>
        <row r="20">
          <cell r="X20">
            <v>69750</v>
          </cell>
          <cell r="AD20">
            <v>50500</v>
          </cell>
          <cell r="AJ20">
            <v>4289750</v>
          </cell>
          <cell r="AO20">
            <v>163420</v>
          </cell>
          <cell r="BC20">
            <v>0</v>
          </cell>
        </row>
        <row r="21">
          <cell r="X21">
            <v>69750</v>
          </cell>
          <cell r="AD21">
            <v>54000</v>
          </cell>
          <cell r="AJ21">
            <v>4293250</v>
          </cell>
          <cell r="AO21">
            <v>163560</v>
          </cell>
          <cell r="BC21">
            <v>0</v>
          </cell>
        </row>
        <row r="22">
          <cell r="X22">
            <v>114700</v>
          </cell>
          <cell r="AD22">
            <v>33000</v>
          </cell>
          <cell r="AJ22">
            <v>4317200</v>
          </cell>
          <cell r="AO22">
            <v>162720</v>
          </cell>
          <cell r="BC22">
            <v>0</v>
          </cell>
        </row>
        <row r="23">
          <cell r="X23">
            <v>130200</v>
          </cell>
          <cell r="AD23">
            <v>50500</v>
          </cell>
          <cell r="AJ23">
            <v>4350200</v>
          </cell>
          <cell r="AO23">
            <v>163420</v>
          </cell>
          <cell r="BC23">
            <v>0</v>
          </cell>
        </row>
        <row r="24">
          <cell r="X24">
            <v>100750</v>
          </cell>
          <cell r="AD24">
            <v>50500</v>
          </cell>
          <cell r="AJ24">
            <v>4320750</v>
          </cell>
          <cell r="AO24">
            <v>163420</v>
          </cell>
          <cell r="BC24">
            <v>0</v>
          </cell>
        </row>
        <row r="25">
          <cell r="X25">
            <v>126000</v>
          </cell>
          <cell r="AD25">
            <v>36500</v>
          </cell>
          <cell r="AJ25">
            <v>4197500</v>
          </cell>
          <cell r="AO25">
            <v>162860</v>
          </cell>
          <cell r="BC25">
            <v>134500</v>
          </cell>
        </row>
        <row r="26">
          <cell r="X26">
            <v>134850</v>
          </cell>
          <cell r="AD26">
            <v>21000</v>
          </cell>
          <cell r="AJ26">
            <v>4056350</v>
          </cell>
          <cell r="AO26">
            <v>162240</v>
          </cell>
          <cell r="BC26">
            <v>269000</v>
          </cell>
        </row>
        <row r="27">
          <cell r="X27">
            <v>172050</v>
          </cell>
          <cell r="AD27">
            <v>27000</v>
          </cell>
          <cell r="AJ27">
            <v>4368550</v>
          </cell>
          <cell r="AO27">
            <v>162480</v>
          </cell>
          <cell r="BC27">
            <v>0</v>
          </cell>
        </row>
        <row r="28">
          <cell r="X28">
            <v>144150</v>
          </cell>
          <cell r="AD28">
            <v>27000</v>
          </cell>
          <cell r="AJ28">
            <v>4340650</v>
          </cell>
          <cell r="AO28">
            <v>162480</v>
          </cell>
          <cell r="BC28">
            <v>0</v>
          </cell>
        </row>
        <row r="29">
          <cell r="X29">
            <v>144150</v>
          </cell>
          <cell r="AD29">
            <v>27000</v>
          </cell>
          <cell r="AJ29">
            <v>4340650</v>
          </cell>
          <cell r="AO29">
            <v>162480</v>
          </cell>
          <cell r="BC29">
            <v>0</v>
          </cell>
        </row>
        <row r="30">
          <cell r="X30">
            <v>172050</v>
          </cell>
          <cell r="AD30">
            <v>24000</v>
          </cell>
          <cell r="AJ30">
            <v>4365550</v>
          </cell>
          <cell r="AO30">
            <v>162360</v>
          </cell>
          <cell r="BC30">
            <v>0</v>
          </cell>
        </row>
        <row r="31">
          <cell r="X31">
            <v>114700</v>
          </cell>
          <cell r="AD31">
            <v>27000</v>
          </cell>
          <cell r="AJ31">
            <v>4311200</v>
          </cell>
          <cell r="AO31">
            <v>162480</v>
          </cell>
          <cell r="BC31">
            <v>0</v>
          </cell>
        </row>
        <row r="32">
          <cell r="X32">
            <v>172050</v>
          </cell>
          <cell r="AD32">
            <v>89000</v>
          </cell>
          <cell r="AJ32">
            <v>4430550</v>
          </cell>
          <cell r="AO32">
            <v>164960</v>
          </cell>
          <cell r="BC32">
            <v>0</v>
          </cell>
        </row>
        <row r="33">
          <cell r="X33">
            <v>144150</v>
          </cell>
          <cell r="AD33">
            <v>24000</v>
          </cell>
          <cell r="AJ33">
            <v>4337650</v>
          </cell>
          <cell r="AO33">
            <v>162360</v>
          </cell>
          <cell r="BC33">
            <v>0</v>
          </cell>
        </row>
        <row r="34">
          <cell r="X34">
            <v>172050</v>
          </cell>
          <cell r="AD34">
            <v>21000</v>
          </cell>
          <cell r="AJ34">
            <v>4362550</v>
          </cell>
          <cell r="AO34">
            <v>162240</v>
          </cell>
          <cell r="BC34">
            <v>0</v>
          </cell>
        </row>
        <row r="35">
          <cell r="X35">
            <v>172050</v>
          </cell>
          <cell r="AD35">
            <v>50500</v>
          </cell>
          <cell r="AJ35">
            <v>4392050</v>
          </cell>
          <cell r="AO35">
            <v>163420</v>
          </cell>
          <cell r="BC35">
            <v>0</v>
          </cell>
        </row>
        <row r="36">
          <cell r="X36">
            <v>69750</v>
          </cell>
          <cell r="AD36">
            <v>54000</v>
          </cell>
          <cell r="AJ36">
            <v>4293250</v>
          </cell>
          <cell r="AO36">
            <v>163560</v>
          </cell>
          <cell r="BC36">
            <v>0</v>
          </cell>
        </row>
        <row r="37">
          <cell r="X37">
            <v>2981100</v>
          </cell>
          <cell r="AA37">
            <v>87500</v>
          </cell>
          <cell r="AD37">
            <v>1168000</v>
          </cell>
          <cell r="AE37">
            <v>0</v>
          </cell>
          <cell r="AJ37">
            <v>116409600</v>
          </cell>
          <cell r="AO37">
            <v>4404520</v>
          </cell>
          <cell r="AU37">
            <v>0</v>
          </cell>
          <cell r="BC37">
            <v>403500</v>
          </cell>
        </row>
      </sheetData>
      <sheetData sheetId="11">
        <row r="10">
          <cell r="T10">
            <v>69750</v>
          </cell>
          <cell r="W10">
            <v>80500</v>
          </cell>
          <cell r="Z10">
            <v>96000</v>
          </cell>
          <cell r="AA10">
            <v>1096213.8999999999</v>
          </cell>
          <cell r="AB10">
            <v>1328200</v>
          </cell>
          <cell r="AE10">
            <v>6840163.9000000004</v>
          </cell>
          <cell r="AJ10">
            <v>165240</v>
          </cell>
          <cell r="AY10">
            <v>0</v>
          </cell>
        </row>
        <row r="11">
          <cell r="T11">
            <v>172050</v>
          </cell>
          <cell r="W11">
            <v>62500</v>
          </cell>
          <cell r="Z11">
            <v>36500</v>
          </cell>
          <cell r="AA11">
            <v>1212832.3999999999</v>
          </cell>
          <cell r="AB11">
            <v>1607500</v>
          </cell>
          <cell r="AE11">
            <v>7260882.4000000004</v>
          </cell>
          <cell r="AJ11">
            <v>162860</v>
          </cell>
          <cell r="AY11">
            <v>0</v>
          </cell>
        </row>
        <row r="12">
          <cell r="T12">
            <v>166500</v>
          </cell>
          <cell r="W12">
            <v>84000</v>
          </cell>
          <cell r="Z12">
            <v>89000</v>
          </cell>
          <cell r="AA12">
            <v>723034.7</v>
          </cell>
          <cell r="AB12">
            <v>1301000</v>
          </cell>
          <cell r="AE12">
            <v>6398534.7000000002</v>
          </cell>
          <cell r="AJ12">
            <v>164960</v>
          </cell>
          <cell r="AY12">
            <v>134500</v>
          </cell>
        </row>
        <row r="13">
          <cell r="T13">
            <v>172050</v>
          </cell>
          <cell r="W13">
            <v>57500</v>
          </cell>
          <cell r="Z13">
            <v>47000</v>
          </cell>
          <cell r="AA13">
            <v>862976.90000000014</v>
          </cell>
          <cell r="AB13">
            <v>1389000</v>
          </cell>
          <cell r="AE13">
            <v>6698026.9000000004</v>
          </cell>
          <cell r="AJ13">
            <v>163280</v>
          </cell>
          <cell r="AY13">
            <v>0</v>
          </cell>
        </row>
        <row r="14">
          <cell r="T14">
            <v>130200</v>
          </cell>
          <cell r="W14">
            <v>84000</v>
          </cell>
          <cell r="Z14">
            <v>50500</v>
          </cell>
          <cell r="AA14">
            <v>1364436.4500000002</v>
          </cell>
          <cell r="AB14">
            <v>1908450</v>
          </cell>
          <cell r="AE14">
            <v>7707086.4500000002</v>
          </cell>
          <cell r="AJ14">
            <v>163420</v>
          </cell>
          <cell r="AY14">
            <v>0</v>
          </cell>
        </row>
        <row r="15">
          <cell r="T15">
            <v>144150</v>
          </cell>
          <cell r="W15">
            <v>57500</v>
          </cell>
          <cell r="Z15">
            <v>36500</v>
          </cell>
          <cell r="AA15">
            <v>1166185</v>
          </cell>
          <cell r="AB15">
            <v>1877850</v>
          </cell>
          <cell r="AE15">
            <v>7451685</v>
          </cell>
          <cell r="AJ15">
            <v>162860</v>
          </cell>
          <cell r="AY15">
            <v>0</v>
          </cell>
        </row>
        <row r="16">
          <cell r="T16">
            <v>854700</v>
          </cell>
          <cell r="W16">
            <v>426000</v>
          </cell>
          <cell r="Z16">
            <v>355500</v>
          </cell>
          <cell r="AA16">
            <v>6425679.3500000006</v>
          </cell>
          <cell r="AB16">
            <v>9412000</v>
          </cell>
          <cell r="AE16">
            <v>42356379.350000001</v>
          </cell>
          <cell r="AJ16">
            <v>982620</v>
          </cell>
          <cell r="AP16">
            <v>369832</v>
          </cell>
          <cell r="AY16">
            <v>134500</v>
          </cell>
        </row>
      </sheetData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H120"/>
  <sheetViews>
    <sheetView tabSelected="1" zoomScaleNormal="100" workbookViewId="0">
      <pane xSplit="3" topLeftCell="AH1" activePane="topRight" state="frozen"/>
      <selection pane="topRight" activeCell="T43" sqref="T43"/>
    </sheetView>
  </sheetViews>
  <sheetFormatPr defaultColWidth="9.28515625" defaultRowHeight="14.25" outlineLevelCol="1" x14ac:dyDescent="0.2"/>
  <cols>
    <col min="1" max="1" width="1.5703125" style="6" customWidth="1"/>
    <col min="2" max="2" width="5.7109375" style="1" customWidth="1"/>
    <col min="3" max="3" width="23.140625" style="2" customWidth="1"/>
    <col min="4" max="4" width="25.140625" style="91" customWidth="1" outlineLevel="1"/>
    <col min="5" max="5" width="20.42578125" style="3" customWidth="1" outlineLevel="1"/>
    <col min="6" max="6" width="44.85546875" style="2" customWidth="1" outlineLevel="1"/>
    <col min="7" max="7" width="21" style="4" customWidth="1" outlineLevel="1"/>
    <col min="8" max="8" width="4.7109375" style="5" customWidth="1" outlineLevel="1"/>
    <col min="9" max="9" width="6.7109375" style="5" customWidth="1" outlineLevel="1"/>
    <col min="10" max="10" width="8.28515625" style="5" customWidth="1" outlineLevel="1"/>
    <col min="11" max="11" width="18.140625" style="2" customWidth="1"/>
    <col min="12" max="12" width="15.28515625" style="2" customWidth="1"/>
    <col min="13" max="13" width="14.5703125" style="2" customWidth="1"/>
    <col min="14" max="14" width="14.28515625" style="2" customWidth="1"/>
    <col min="15" max="15" width="13.28515625" style="2" customWidth="1"/>
    <col min="16" max="16" width="13.85546875" style="2" customWidth="1"/>
    <col min="17" max="18" width="15.28515625" style="2" customWidth="1"/>
    <col min="19" max="19" width="12.7109375" style="2" customWidth="1"/>
    <col min="20" max="20" width="15.85546875" style="2" customWidth="1"/>
    <col min="21" max="21" width="14.7109375" style="2" customWidth="1"/>
    <col min="22" max="23" width="13.140625" style="2" customWidth="1"/>
    <col min="24" max="24" width="13.85546875" style="2" customWidth="1"/>
    <col min="25" max="25" width="14.28515625" style="2" customWidth="1"/>
    <col min="26" max="26" width="10.140625" style="2" hidden="1" customWidth="1"/>
    <col min="27" max="27" width="13.85546875" style="2" hidden="1" customWidth="1"/>
    <col min="28" max="28" width="14.85546875" style="2" hidden="1" customWidth="1"/>
    <col min="29" max="29" width="16.140625" style="2" hidden="1" customWidth="1"/>
    <col min="30" max="30" width="12.5703125" style="2" hidden="1" customWidth="1"/>
    <col min="31" max="31" width="15.140625" style="2" customWidth="1"/>
    <col min="32" max="32" width="15.42578125" style="2" customWidth="1"/>
    <col min="33" max="33" width="17.140625" style="2" customWidth="1" collapsed="1"/>
    <col min="34" max="34" width="8.42578125" style="93" customWidth="1"/>
    <col min="35" max="35" width="13.85546875" style="2" customWidth="1"/>
    <col min="36" max="37" width="16.28515625" style="1" customWidth="1"/>
    <col min="38" max="39" width="16.28515625" style="6" customWidth="1"/>
    <col min="40" max="40" width="13.7109375" style="6" customWidth="1"/>
    <col min="41" max="41" width="14" style="6" customWidth="1"/>
    <col min="42" max="44" width="13.5703125" style="6" customWidth="1"/>
    <col min="45" max="45" width="16.42578125" style="6" customWidth="1"/>
    <col min="46" max="46" width="13.7109375" style="6" customWidth="1"/>
    <col min="47" max="47" width="9.28515625" style="6" customWidth="1"/>
    <col min="48" max="48" width="12.7109375" style="6" bestFit="1" customWidth="1"/>
    <col min="49" max="16384" width="9.28515625" style="6"/>
  </cols>
  <sheetData>
    <row r="1" spans="2:48" x14ac:dyDescent="0.2">
      <c r="B1" s="1" t="s">
        <v>0</v>
      </c>
    </row>
    <row r="2" spans="2:48" x14ac:dyDescent="0.2">
      <c r="B2" s="1" t="s">
        <v>293</v>
      </c>
    </row>
    <row r="3" spans="2:48" ht="15" x14ac:dyDescent="0.2">
      <c r="B3" s="7" t="s">
        <v>213</v>
      </c>
      <c r="AI3" s="93"/>
    </row>
    <row r="4" spans="2:48" s="1" customFormat="1" ht="15.75" thickBot="1" x14ac:dyDescent="0.3">
      <c r="C4" s="7"/>
      <c r="D4" s="91"/>
      <c r="E4" s="3"/>
      <c r="F4" s="2"/>
      <c r="G4" s="4"/>
      <c r="H4" s="5"/>
      <c r="I4" s="5"/>
      <c r="J4" s="5"/>
      <c r="K4" s="2"/>
      <c r="L4" s="2"/>
      <c r="M4" s="2"/>
      <c r="N4" s="8" t="s">
        <v>1</v>
      </c>
      <c r="O4" s="8" t="s">
        <v>2</v>
      </c>
      <c r="P4" s="8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93"/>
      <c r="AI4" s="2"/>
    </row>
    <row r="5" spans="2:48" s="1" customFormat="1" ht="51.75" thickBot="1" x14ac:dyDescent="0.3">
      <c r="B5" s="9" t="s">
        <v>4</v>
      </c>
      <c r="C5" s="9" t="s">
        <v>5</v>
      </c>
      <c r="D5" s="10" t="s">
        <v>6</v>
      </c>
      <c r="E5" s="11" t="s">
        <v>7</v>
      </c>
      <c r="F5" s="9" t="s">
        <v>8</v>
      </c>
      <c r="G5" s="12" t="s">
        <v>9</v>
      </c>
      <c r="H5" s="13" t="s">
        <v>10</v>
      </c>
      <c r="I5" s="14" t="s">
        <v>11</v>
      </c>
      <c r="J5" s="14" t="s">
        <v>12</v>
      </c>
      <c r="K5" s="15" t="s">
        <v>13</v>
      </c>
      <c r="L5" s="16" t="s">
        <v>14</v>
      </c>
      <c r="M5" s="16" t="s">
        <v>15</v>
      </c>
      <c r="N5" s="16" t="s">
        <v>16</v>
      </c>
      <c r="O5" s="16" t="s">
        <v>17</v>
      </c>
      <c r="P5" s="16" t="s">
        <v>18</v>
      </c>
      <c r="Q5" s="16" t="s">
        <v>19</v>
      </c>
      <c r="R5" s="16" t="s">
        <v>254</v>
      </c>
      <c r="S5" s="16" t="s">
        <v>20</v>
      </c>
      <c r="T5" s="16" t="s">
        <v>21</v>
      </c>
      <c r="U5" s="16" t="s">
        <v>22</v>
      </c>
      <c r="V5" s="16" t="s">
        <v>243</v>
      </c>
      <c r="W5" s="16" t="s">
        <v>287</v>
      </c>
      <c r="X5" s="16" t="s">
        <v>247</v>
      </c>
      <c r="Y5" s="16" t="s">
        <v>245</v>
      </c>
      <c r="Z5" s="16" t="s">
        <v>246</v>
      </c>
      <c r="AA5" s="16" t="s">
        <v>253</v>
      </c>
      <c r="AB5" s="16" t="s">
        <v>23</v>
      </c>
      <c r="AC5" s="16" t="s">
        <v>24</v>
      </c>
      <c r="AD5" s="16" t="s">
        <v>25</v>
      </c>
      <c r="AE5" s="16" t="s">
        <v>244</v>
      </c>
      <c r="AF5" s="57" t="s">
        <v>26</v>
      </c>
      <c r="AG5" s="16" t="s">
        <v>27</v>
      </c>
      <c r="AH5" s="67" t="s">
        <v>28</v>
      </c>
      <c r="AI5" s="66" t="s">
        <v>294</v>
      </c>
      <c r="AJ5" s="1" t="s">
        <v>252</v>
      </c>
      <c r="AM5" s="5"/>
    </row>
    <row r="6" spans="2:48" s="1" customFormat="1" ht="21.75" customHeight="1" x14ac:dyDescent="0.25">
      <c r="B6" s="58">
        <v>1</v>
      </c>
      <c r="C6" s="59" t="s">
        <v>29</v>
      </c>
      <c r="D6" s="72" t="s">
        <v>30</v>
      </c>
      <c r="E6" s="73" t="s">
        <v>31</v>
      </c>
      <c r="F6" s="74" t="s">
        <v>32</v>
      </c>
      <c r="G6" s="17" t="s">
        <v>33</v>
      </c>
      <c r="H6" s="18" t="s">
        <v>34</v>
      </c>
      <c r="I6" s="18" t="s">
        <v>87</v>
      </c>
      <c r="J6" s="19" t="str">
        <f>IF(ISBLANK(I6),"",IF(OR(I6="TK/0",I6="TK/1",I6="K/0"),"TER A",IF(I6="K/3","TER C","TER B")))</f>
        <v>TER B</v>
      </c>
      <c r="K6" s="20">
        <f>134500*31</f>
        <v>4169500</v>
      </c>
      <c r="L6" s="20">
        <f>(4035000+Q6)*0.84%</f>
        <v>34171.199999999997</v>
      </c>
      <c r="M6" s="49">
        <f>[2]MAINTENANCE!AO10</f>
        <v>162720</v>
      </c>
      <c r="N6" s="49">
        <f>[2]MAINTENANCE!X10</f>
        <v>130200</v>
      </c>
      <c r="O6" s="49">
        <f>[2]MAINTENANCE!AA10</f>
        <v>87500</v>
      </c>
      <c r="P6" s="49">
        <f>[2]MAINTENANCE!AE10</f>
        <v>0</v>
      </c>
      <c r="Q6" s="49">
        <f>[2]MAINTENANCE!AD10</f>
        <v>33000</v>
      </c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>
        <f>-[2]MAINTENANCE!BC10</f>
        <v>0</v>
      </c>
      <c r="AG6" s="21">
        <f>ROUND(SUM(K6:AF6),0)</f>
        <v>4617091</v>
      </c>
      <c r="AH6" s="68">
        <f t="shared" ref="AH6:AH69" si="0">IF(J6="TER A",VLOOKUP(AG6,Ter_A,4,TRUE),IF(J6="TER B",VLOOKUP(AG6,Ter_B,4,TRUE),VLOOKUP(AG6,Ter_C,4,TRUE)))</f>
        <v>0</v>
      </c>
      <c r="AI6" s="60">
        <f>ROUND(IF(E6=0,AG6*AH6*120%,AG6*AH6),0)</f>
        <v>0</v>
      </c>
      <c r="AJ6" s="22">
        <f>[2]MAINTENANCE!AJ10</f>
        <v>4420200</v>
      </c>
      <c r="AK6" s="23">
        <f>L6+M6</f>
        <v>196891.2</v>
      </c>
      <c r="AL6" s="63">
        <f>AJ6+AK6</f>
        <v>4617091.2</v>
      </c>
      <c r="AM6" s="23">
        <f>AG6-AL6</f>
        <v>-0.20000000018626451</v>
      </c>
      <c r="AN6" s="23"/>
      <c r="AO6" s="23"/>
      <c r="AP6" s="22"/>
      <c r="AQ6" s="22"/>
      <c r="AR6" s="22"/>
      <c r="AS6" s="22"/>
      <c r="AT6" s="23"/>
      <c r="AV6" s="23"/>
    </row>
    <row r="7" spans="2:48" s="1" customFormat="1" ht="21.75" customHeight="1" x14ac:dyDescent="0.25">
      <c r="B7" s="54">
        <v>2</v>
      </c>
      <c r="C7" s="24" t="s">
        <v>36</v>
      </c>
      <c r="D7" s="75" t="s">
        <v>37</v>
      </c>
      <c r="E7" s="76" t="s">
        <v>38</v>
      </c>
      <c r="F7" s="77" t="s">
        <v>39</v>
      </c>
      <c r="G7" s="25" t="s">
        <v>40</v>
      </c>
      <c r="H7" s="26" t="s">
        <v>41</v>
      </c>
      <c r="I7" s="26" t="s">
        <v>42</v>
      </c>
      <c r="J7" s="27" t="str">
        <f t="shared" ref="J7:J69" si="1">IF(ISBLANK(I7),"",IF(OR(I7="TK/0",I7="TK/1",I7="K/0"),"TER A",IF(I7="K/3","TER C","TER B")))</f>
        <v>TER A</v>
      </c>
      <c r="K7" s="20">
        <f t="shared" ref="K7:K69" si="2">134500*31</f>
        <v>4169500</v>
      </c>
      <c r="L7" s="20">
        <f t="shared" ref="L7:L69" si="3">(4035000+Q7)*0.84%</f>
        <v>34347.599999999999</v>
      </c>
      <c r="M7" s="49">
        <f>[2]MAINTENANCE!AO11</f>
        <v>163560</v>
      </c>
      <c r="N7" s="49">
        <f>[2]MAINTENANCE!X11</f>
        <v>69750</v>
      </c>
      <c r="O7" s="49"/>
      <c r="P7" s="49"/>
      <c r="Q7" s="49">
        <f>[2]MAINTENANCE!AD11</f>
        <v>54000</v>
      </c>
      <c r="R7" s="49"/>
      <c r="S7" s="49"/>
      <c r="T7" s="49"/>
      <c r="U7" s="50"/>
      <c r="V7" s="50"/>
      <c r="W7" s="50"/>
      <c r="X7" s="50"/>
      <c r="Y7" s="50"/>
      <c r="Z7" s="62"/>
      <c r="AA7" s="62"/>
      <c r="AB7" s="49"/>
      <c r="AC7" s="49"/>
      <c r="AD7" s="50"/>
      <c r="AE7" s="50"/>
      <c r="AF7" s="49">
        <f>-[2]MAINTENANCE!BC11</f>
        <v>0</v>
      </c>
      <c r="AG7" s="21">
        <f t="shared" ref="AG7:AG69" si="4">ROUND(SUM(K7:AF7),0)</f>
        <v>4491158</v>
      </c>
      <c r="AH7" s="68">
        <f t="shared" si="0"/>
        <v>0</v>
      </c>
      <c r="AI7" s="60">
        <f t="shared" ref="AI7:AI69" si="5">ROUND(IF(E7=0,AG7*AH7*120%,AG7*AH7),0)</f>
        <v>0</v>
      </c>
      <c r="AJ7" s="22">
        <f>[2]MAINTENANCE!AJ11</f>
        <v>4293250</v>
      </c>
      <c r="AK7" s="23">
        <f t="shared" ref="AK7:AK69" si="6">L7+M7</f>
        <v>197907.6</v>
      </c>
      <c r="AL7" s="63">
        <f t="shared" ref="AL7:AL69" si="7">AJ7+AK7</f>
        <v>4491157.5999999996</v>
      </c>
      <c r="AM7" s="23">
        <f t="shared" ref="AM7:AM69" si="8">AG7-AL7</f>
        <v>0.40000000037252903</v>
      </c>
      <c r="AN7" s="23"/>
      <c r="AO7" s="23"/>
      <c r="AP7" s="22"/>
      <c r="AQ7" s="22"/>
      <c r="AR7" s="22"/>
      <c r="AS7" s="22"/>
      <c r="AT7" s="23"/>
      <c r="AV7" s="23"/>
    </row>
    <row r="8" spans="2:48" s="1" customFormat="1" ht="21.75" customHeight="1" x14ac:dyDescent="0.25">
      <c r="B8" s="54">
        <v>3</v>
      </c>
      <c r="C8" s="24" t="s">
        <v>43</v>
      </c>
      <c r="D8" s="75" t="s">
        <v>44</v>
      </c>
      <c r="E8" s="76" t="s">
        <v>45</v>
      </c>
      <c r="F8" s="77" t="s">
        <v>46</v>
      </c>
      <c r="G8" s="25" t="s">
        <v>40</v>
      </c>
      <c r="H8" s="26" t="s">
        <v>41</v>
      </c>
      <c r="I8" s="26" t="s">
        <v>42</v>
      </c>
      <c r="J8" s="27" t="str">
        <f t="shared" si="1"/>
        <v>TER A</v>
      </c>
      <c r="K8" s="20">
        <f t="shared" si="2"/>
        <v>4169500</v>
      </c>
      <c r="L8" s="20">
        <f t="shared" si="3"/>
        <v>34318.199999999997</v>
      </c>
      <c r="M8" s="49">
        <f>[2]MAINTENANCE!AO12</f>
        <v>163420</v>
      </c>
      <c r="N8" s="49">
        <f>[2]MAINTENANCE!X12</f>
        <v>69750</v>
      </c>
      <c r="O8" s="49"/>
      <c r="P8" s="49"/>
      <c r="Q8" s="49">
        <f>[2]MAINTENANCE!AD12</f>
        <v>50500</v>
      </c>
      <c r="R8" s="49"/>
      <c r="S8" s="49"/>
      <c r="T8" s="49"/>
      <c r="U8" s="50"/>
      <c r="V8" s="50"/>
      <c r="W8" s="50"/>
      <c r="X8" s="50"/>
      <c r="Y8" s="50"/>
      <c r="Z8" s="62"/>
      <c r="AA8" s="62"/>
      <c r="AB8" s="49"/>
      <c r="AC8" s="49"/>
      <c r="AD8" s="50"/>
      <c r="AE8" s="50"/>
      <c r="AF8" s="49">
        <f>-[2]MAINTENANCE!BC12</f>
        <v>0</v>
      </c>
      <c r="AG8" s="21">
        <f t="shared" si="4"/>
        <v>4487488</v>
      </c>
      <c r="AH8" s="68">
        <f t="shared" si="0"/>
        <v>0</v>
      </c>
      <c r="AI8" s="60">
        <f t="shared" si="5"/>
        <v>0</v>
      </c>
      <c r="AJ8" s="22">
        <f>[2]MAINTENANCE!AJ12</f>
        <v>4289750</v>
      </c>
      <c r="AK8" s="23">
        <f t="shared" si="6"/>
        <v>197738.2</v>
      </c>
      <c r="AL8" s="63">
        <f t="shared" si="7"/>
        <v>4487488.2</v>
      </c>
      <c r="AM8" s="23">
        <f t="shared" si="8"/>
        <v>-0.20000000018626451</v>
      </c>
      <c r="AN8" s="23"/>
      <c r="AO8" s="23"/>
      <c r="AP8" s="22"/>
      <c r="AQ8" s="22"/>
      <c r="AR8" s="22"/>
      <c r="AS8" s="22"/>
      <c r="AT8" s="23"/>
      <c r="AV8" s="23"/>
    </row>
    <row r="9" spans="2:48" s="1" customFormat="1" ht="21.75" customHeight="1" x14ac:dyDescent="0.25">
      <c r="B9" s="54">
        <v>4</v>
      </c>
      <c r="C9" s="24" t="s">
        <v>47</v>
      </c>
      <c r="D9" s="75" t="s">
        <v>48</v>
      </c>
      <c r="E9" s="76" t="s">
        <v>49</v>
      </c>
      <c r="F9" s="77" t="s">
        <v>50</v>
      </c>
      <c r="G9" s="25" t="s">
        <v>40</v>
      </c>
      <c r="H9" s="26" t="s">
        <v>41</v>
      </c>
      <c r="I9" s="26" t="s">
        <v>42</v>
      </c>
      <c r="J9" s="27" t="str">
        <f t="shared" si="1"/>
        <v>TER A</v>
      </c>
      <c r="K9" s="20">
        <f t="shared" si="2"/>
        <v>4169500</v>
      </c>
      <c r="L9" s="20">
        <f t="shared" si="3"/>
        <v>34347.599999999999</v>
      </c>
      <c r="M9" s="49">
        <f>[2]MAINTENANCE!AO13</f>
        <v>163560</v>
      </c>
      <c r="N9" s="49">
        <f>[2]MAINTENANCE!X13</f>
        <v>69750</v>
      </c>
      <c r="O9" s="49"/>
      <c r="P9" s="49"/>
      <c r="Q9" s="49">
        <f>[2]MAINTENANCE!AD13</f>
        <v>54000</v>
      </c>
      <c r="R9" s="49"/>
      <c r="S9" s="49"/>
      <c r="T9" s="49"/>
      <c r="U9" s="50"/>
      <c r="V9" s="50"/>
      <c r="W9" s="50"/>
      <c r="X9" s="50"/>
      <c r="Y9" s="50"/>
      <c r="Z9" s="62"/>
      <c r="AA9" s="62"/>
      <c r="AB9" s="49"/>
      <c r="AC9" s="49"/>
      <c r="AD9" s="50"/>
      <c r="AE9" s="50"/>
      <c r="AF9" s="49">
        <f>-[2]MAINTENANCE!BC13</f>
        <v>0</v>
      </c>
      <c r="AG9" s="21">
        <f t="shared" si="4"/>
        <v>4491158</v>
      </c>
      <c r="AH9" s="68">
        <f t="shared" si="0"/>
        <v>0</v>
      </c>
      <c r="AI9" s="60">
        <f t="shared" si="5"/>
        <v>0</v>
      </c>
      <c r="AJ9" s="22">
        <f>[2]MAINTENANCE!AJ13</f>
        <v>4293250</v>
      </c>
      <c r="AK9" s="23">
        <f t="shared" si="6"/>
        <v>197907.6</v>
      </c>
      <c r="AL9" s="63">
        <f t="shared" si="7"/>
        <v>4491157.5999999996</v>
      </c>
      <c r="AM9" s="23">
        <f t="shared" si="8"/>
        <v>0.40000000037252903</v>
      </c>
      <c r="AN9" s="23"/>
      <c r="AO9" s="23"/>
      <c r="AP9" s="22"/>
      <c r="AQ9" s="22"/>
      <c r="AR9" s="22"/>
      <c r="AS9" s="22"/>
      <c r="AT9" s="23"/>
      <c r="AV9" s="23"/>
    </row>
    <row r="10" spans="2:48" s="1" customFormat="1" ht="21.75" customHeight="1" x14ac:dyDescent="0.25">
      <c r="B10" s="54">
        <v>5</v>
      </c>
      <c r="C10" s="24" t="s">
        <v>51</v>
      </c>
      <c r="D10" s="75" t="s">
        <v>52</v>
      </c>
      <c r="E10" s="76" t="s">
        <v>53</v>
      </c>
      <c r="F10" s="77" t="s">
        <v>54</v>
      </c>
      <c r="G10" s="25" t="s">
        <v>40</v>
      </c>
      <c r="H10" s="26" t="s">
        <v>41</v>
      </c>
      <c r="I10" s="26" t="s">
        <v>42</v>
      </c>
      <c r="J10" s="27" t="str">
        <f t="shared" si="1"/>
        <v>TER A</v>
      </c>
      <c r="K10" s="20">
        <f t="shared" si="2"/>
        <v>4169500</v>
      </c>
      <c r="L10" s="20">
        <f t="shared" si="3"/>
        <v>34318.199999999997</v>
      </c>
      <c r="M10" s="49">
        <f>[2]MAINTENANCE!AO14</f>
        <v>163420</v>
      </c>
      <c r="N10" s="49">
        <f>[2]MAINTENANCE!X14</f>
        <v>69750</v>
      </c>
      <c r="O10" s="49"/>
      <c r="P10" s="49"/>
      <c r="Q10" s="49">
        <f>[2]MAINTENANCE!AD14</f>
        <v>50500</v>
      </c>
      <c r="R10" s="49"/>
      <c r="S10" s="49"/>
      <c r="T10" s="49"/>
      <c r="U10" s="50"/>
      <c r="V10" s="50"/>
      <c r="W10" s="50"/>
      <c r="X10" s="50"/>
      <c r="Y10" s="50"/>
      <c r="Z10" s="62"/>
      <c r="AA10" s="62"/>
      <c r="AB10" s="49"/>
      <c r="AC10" s="49"/>
      <c r="AD10" s="50"/>
      <c r="AE10" s="50"/>
      <c r="AF10" s="49">
        <f>-[2]MAINTENANCE!BC14</f>
        <v>0</v>
      </c>
      <c r="AG10" s="21">
        <f t="shared" si="4"/>
        <v>4487488</v>
      </c>
      <c r="AH10" s="68">
        <f t="shared" si="0"/>
        <v>0</v>
      </c>
      <c r="AI10" s="60">
        <f t="shared" si="5"/>
        <v>0</v>
      </c>
      <c r="AJ10" s="22">
        <f>[2]MAINTENANCE!AJ14</f>
        <v>4289750</v>
      </c>
      <c r="AK10" s="23">
        <f t="shared" si="6"/>
        <v>197738.2</v>
      </c>
      <c r="AL10" s="63">
        <f t="shared" si="7"/>
        <v>4487488.2</v>
      </c>
      <c r="AM10" s="23">
        <f t="shared" si="8"/>
        <v>-0.20000000018626451</v>
      </c>
      <c r="AN10" s="23"/>
      <c r="AO10" s="23"/>
      <c r="AP10" s="22"/>
      <c r="AQ10" s="22"/>
      <c r="AR10" s="22"/>
      <c r="AS10" s="22"/>
      <c r="AT10" s="23"/>
      <c r="AV10" s="23"/>
    </row>
    <row r="11" spans="2:48" s="1" customFormat="1" ht="21.75" customHeight="1" x14ac:dyDescent="0.25">
      <c r="B11" s="54">
        <v>6</v>
      </c>
      <c r="C11" s="24" t="s">
        <v>55</v>
      </c>
      <c r="D11" s="75" t="s">
        <v>56</v>
      </c>
      <c r="E11" s="76" t="s">
        <v>57</v>
      </c>
      <c r="F11" s="77" t="s">
        <v>58</v>
      </c>
      <c r="G11" s="25" t="s">
        <v>40</v>
      </c>
      <c r="H11" s="26" t="s">
        <v>41</v>
      </c>
      <c r="I11" s="26" t="s">
        <v>42</v>
      </c>
      <c r="J11" s="27" t="str">
        <f t="shared" si="1"/>
        <v>TER A</v>
      </c>
      <c r="K11" s="20">
        <f t="shared" si="2"/>
        <v>4169500</v>
      </c>
      <c r="L11" s="20">
        <f t="shared" si="3"/>
        <v>34318.199999999997</v>
      </c>
      <c r="M11" s="49">
        <f>[2]MAINTENANCE!AO15</f>
        <v>163420</v>
      </c>
      <c r="N11" s="49">
        <f>[2]MAINTENANCE!X15</f>
        <v>69750</v>
      </c>
      <c r="O11" s="49"/>
      <c r="P11" s="49"/>
      <c r="Q11" s="49">
        <f>[2]MAINTENANCE!AD15</f>
        <v>50500</v>
      </c>
      <c r="R11" s="49"/>
      <c r="S11" s="49"/>
      <c r="T11" s="49"/>
      <c r="U11" s="50"/>
      <c r="V11" s="50"/>
      <c r="W11" s="50"/>
      <c r="X11" s="50"/>
      <c r="Y11" s="50"/>
      <c r="Z11" s="62"/>
      <c r="AA11" s="62"/>
      <c r="AB11" s="49"/>
      <c r="AC11" s="49"/>
      <c r="AD11" s="50"/>
      <c r="AE11" s="50"/>
      <c r="AF11" s="49">
        <f>-[2]MAINTENANCE!BC15</f>
        <v>0</v>
      </c>
      <c r="AG11" s="21">
        <f t="shared" si="4"/>
        <v>4487488</v>
      </c>
      <c r="AH11" s="68">
        <f t="shared" si="0"/>
        <v>0</v>
      </c>
      <c r="AI11" s="60">
        <f t="shared" si="5"/>
        <v>0</v>
      </c>
      <c r="AJ11" s="22">
        <f>[2]MAINTENANCE!AJ15</f>
        <v>4289750</v>
      </c>
      <c r="AK11" s="23">
        <f t="shared" si="6"/>
        <v>197738.2</v>
      </c>
      <c r="AL11" s="63">
        <f t="shared" si="7"/>
        <v>4487488.2</v>
      </c>
      <c r="AM11" s="23">
        <f t="shared" si="8"/>
        <v>-0.20000000018626451</v>
      </c>
      <c r="AN11" s="23"/>
      <c r="AO11" s="23"/>
      <c r="AP11" s="22"/>
      <c r="AQ11" s="22"/>
      <c r="AR11" s="22"/>
      <c r="AS11" s="22"/>
      <c r="AT11" s="23"/>
      <c r="AV11" s="23"/>
    </row>
    <row r="12" spans="2:48" s="1" customFormat="1" ht="21.75" customHeight="1" x14ac:dyDescent="0.25">
      <c r="B12" s="54">
        <v>7</v>
      </c>
      <c r="C12" s="24" t="s">
        <v>59</v>
      </c>
      <c r="D12" s="75" t="s">
        <v>60</v>
      </c>
      <c r="E12" s="76" t="s">
        <v>61</v>
      </c>
      <c r="F12" s="77" t="s">
        <v>62</v>
      </c>
      <c r="G12" s="25" t="s">
        <v>40</v>
      </c>
      <c r="H12" s="26" t="s">
        <v>41</v>
      </c>
      <c r="I12" s="26" t="s">
        <v>42</v>
      </c>
      <c r="J12" s="27" t="str">
        <f t="shared" si="1"/>
        <v>TER A</v>
      </c>
      <c r="K12" s="20">
        <f t="shared" si="2"/>
        <v>4169500</v>
      </c>
      <c r="L12" s="20">
        <f t="shared" si="3"/>
        <v>34347.599999999999</v>
      </c>
      <c r="M12" s="49">
        <f>[2]MAINTENANCE!AO16</f>
        <v>163560</v>
      </c>
      <c r="N12" s="49">
        <f>[2]MAINTENANCE!X16</f>
        <v>69750</v>
      </c>
      <c r="O12" s="49"/>
      <c r="P12" s="49"/>
      <c r="Q12" s="49">
        <f>[2]MAINTENANCE!AD16</f>
        <v>54000</v>
      </c>
      <c r="R12" s="49"/>
      <c r="S12" s="49"/>
      <c r="T12" s="49"/>
      <c r="U12" s="50"/>
      <c r="V12" s="50"/>
      <c r="W12" s="50"/>
      <c r="X12" s="50"/>
      <c r="Y12" s="50"/>
      <c r="Z12" s="62"/>
      <c r="AA12" s="62"/>
      <c r="AB12" s="49"/>
      <c r="AC12" s="49"/>
      <c r="AD12" s="50"/>
      <c r="AE12" s="50"/>
      <c r="AF12" s="49">
        <f>-[2]MAINTENANCE!BC16</f>
        <v>0</v>
      </c>
      <c r="AG12" s="21">
        <f t="shared" si="4"/>
        <v>4491158</v>
      </c>
      <c r="AH12" s="68">
        <f t="shared" si="0"/>
        <v>0</v>
      </c>
      <c r="AI12" s="60">
        <f t="shared" si="5"/>
        <v>0</v>
      </c>
      <c r="AJ12" s="22">
        <f>[2]MAINTENANCE!AJ16</f>
        <v>4293250</v>
      </c>
      <c r="AK12" s="23">
        <f t="shared" si="6"/>
        <v>197907.6</v>
      </c>
      <c r="AL12" s="63">
        <f t="shared" si="7"/>
        <v>4491157.5999999996</v>
      </c>
      <c r="AM12" s="23">
        <f t="shared" si="8"/>
        <v>0.40000000037252903</v>
      </c>
      <c r="AN12" s="23"/>
      <c r="AO12" s="23"/>
      <c r="AP12" s="22"/>
      <c r="AQ12" s="22"/>
      <c r="AR12" s="22"/>
      <c r="AS12" s="22"/>
      <c r="AT12" s="23"/>
      <c r="AV12" s="23"/>
    </row>
    <row r="13" spans="2:48" s="1" customFormat="1" ht="21.75" customHeight="1" x14ac:dyDescent="0.25">
      <c r="B13" s="54">
        <v>8</v>
      </c>
      <c r="C13" s="24" t="s">
        <v>63</v>
      </c>
      <c r="D13" s="75" t="s">
        <v>64</v>
      </c>
      <c r="E13" s="76" t="s">
        <v>65</v>
      </c>
      <c r="F13" s="77" t="s">
        <v>66</v>
      </c>
      <c r="G13" s="25" t="s">
        <v>40</v>
      </c>
      <c r="H13" s="26" t="s">
        <v>41</v>
      </c>
      <c r="I13" s="26" t="s">
        <v>42</v>
      </c>
      <c r="J13" s="27" t="str">
        <f t="shared" si="1"/>
        <v>TER A</v>
      </c>
      <c r="K13" s="20">
        <f t="shared" si="2"/>
        <v>4169500</v>
      </c>
      <c r="L13" s="20">
        <f t="shared" si="3"/>
        <v>34318.199999999997</v>
      </c>
      <c r="M13" s="49">
        <f>[2]MAINTENANCE!AO17</f>
        <v>163420</v>
      </c>
      <c r="N13" s="49">
        <f>[2]MAINTENANCE!X17</f>
        <v>69750</v>
      </c>
      <c r="O13" s="49"/>
      <c r="P13" s="49"/>
      <c r="Q13" s="49">
        <f>[2]MAINTENANCE!AD17</f>
        <v>50500</v>
      </c>
      <c r="R13" s="49"/>
      <c r="S13" s="49"/>
      <c r="T13" s="49"/>
      <c r="U13" s="50"/>
      <c r="V13" s="50"/>
      <c r="W13" s="50"/>
      <c r="X13" s="50"/>
      <c r="Y13" s="50"/>
      <c r="Z13" s="62"/>
      <c r="AA13" s="62"/>
      <c r="AB13" s="49"/>
      <c r="AC13" s="49"/>
      <c r="AD13" s="50"/>
      <c r="AE13" s="50"/>
      <c r="AF13" s="49">
        <f>-[2]MAINTENANCE!BC17</f>
        <v>0</v>
      </c>
      <c r="AG13" s="21">
        <f t="shared" si="4"/>
        <v>4487488</v>
      </c>
      <c r="AH13" s="68">
        <f t="shared" si="0"/>
        <v>0</v>
      </c>
      <c r="AI13" s="60">
        <f t="shared" si="5"/>
        <v>0</v>
      </c>
      <c r="AJ13" s="22">
        <f>[2]MAINTENANCE!AJ17</f>
        <v>4289750</v>
      </c>
      <c r="AK13" s="23">
        <f t="shared" si="6"/>
        <v>197738.2</v>
      </c>
      <c r="AL13" s="63">
        <f t="shared" si="7"/>
        <v>4487488.2</v>
      </c>
      <c r="AM13" s="23">
        <f t="shared" si="8"/>
        <v>-0.20000000018626451</v>
      </c>
      <c r="AN13" s="23"/>
      <c r="AO13" s="23"/>
      <c r="AP13" s="22"/>
      <c r="AQ13" s="22"/>
      <c r="AR13" s="22"/>
      <c r="AS13" s="22"/>
      <c r="AT13" s="23"/>
      <c r="AV13" s="23"/>
    </row>
    <row r="14" spans="2:48" s="1" customFormat="1" ht="21.75" customHeight="1" x14ac:dyDescent="0.25">
      <c r="B14" s="54">
        <v>9</v>
      </c>
      <c r="C14" s="24" t="s">
        <v>67</v>
      </c>
      <c r="D14" s="75" t="s">
        <v>68</v>
      </c>
      <c r="E14" s="76" t="s">
        <v>69</v>
      </c>
      <c r="F14" s="77" t="s">
        <v>70</v>
      </c>
      <c r="G14" s="25" t="s">
        <v>40</v>
      </c>
      <c r="H14" s="26" t="s">
        <v>41</v>
      </c>
      <c r="I14" s="26" t="s">
        <v>42</v>
      </c>
      <c r="J14" s="27" t="str">
        <f t="shared" si="1"/>
        <v>TER A</v>
      </c>
      <c r="K14" s="20">
        <f t="shared" si="2"/>
        <v>4169500</v>
      </c>
      <c r="L14" s="20">
        <f t="shared" si="3"/>
        <v>34347.599999999999</v>
      </c>
      <c r="M14" s="49">
        <f>[2]MAINTENANCE!AO18</f>
        <v>163560</v>
      </c>
      <c r="N14" s="49">
        <f>[2]MAINTENANCE!X18</f>
        <v>69750</v>
      </c>
      <c r="O14" s="49"/>
      <c r="P14" s="49"/>
      <c r="Q14" s="49">
        <f>[2]MAINTENANCE!AD18</f>
        <v>54000</v>
      </c>
      <c r="R14" s="49"/>
      <c r="S14" s="49"/>
      <c r="T14" s="49"/>
      <c r="U14" s="50"/>
      <c r="V14" s="50"/>
      <c r="W14" s="50"/>
      <c r="X14" s="50"/>
      <c r="Y14" s="50"/>
      <c r="Z14" s="62"/>
      <c r="AA14" s="62"/>
      <c r="AB14" s="49"/>
      <c r="AC14" s="49"/>
      <c r="AD14" s="50"/>
      <c r="AE14" s="50"/>
      <c r="AF14" s="49">
        <f>-[2]MAINTENANCE!BC18</f>
        <v>0</v>
      </c>
      <c r="AG14" s="21">
        <f t="shared" si="4"/>
        <v>4491158</v>
      </c>
      <c r="AH14" s="68">
        <f t="shared" si="0"/>
        <v>0</v>
      </c>
      <c r="AI14" s="60">
        <f t="shared" si="5"/>
        <v>0</v>
      </c>
      <c r="AJ14" s="22">
        <f>[2]MAINTENANCE!AJ18</f>
        <v>4293250</v>
      </c>
      <c r="AK14" s="23">
        <f t="shared" si="6"/>
        <v>197907.6</v>
      </c>
      <c r="AL14" s="63">
        <f t="shared" si="7"/>
        <v>4491157.5999999996</v>
      </c>
      <c r="AM14" s="23">
        <f t="shared" si="8"/>
        <v>0.40000000037252903</v>
      </c>
      <c r="AN14" s="23"/>
      <c r="AO14" s="23"/>
      <c r="AP14" s="22"/>
      <c r="AQ14" s="22"/>
      <c r="AR14" s="22"/>
      <c r="AS14" s="22"/>
      <c r="AT14" s="23"/>
      <c r="AV14" s="23"/>
    </row>
    <row r="15" spans="2:48" s="1" customFormat="1" ht="21.75" customHeight="1" x14ac:dyDescent="0.25">
      <c r="B15" s="54">
        <v>10</v>
      </c>
      <c r="C15" s="24" t="s">
        <v>71</v>
      </c>
      <c r="D15" s="75" t="s">
        <v>72</v>
      </c>
      <c r="E15" s="76" t="s">
        <v>73</v>
      </c>
      <c r="F15" s="77" t="s">
        <v>74</v>
      </c>
      <c r="G15" s="25" t="s">
        <v>40</v>
      </c>
      <c r="H15" s="26" t="s">
        <v>41</v>
      </c>
      <c r="I15" s="26" t="s">
        <v>42</v>
      </c>
      <c r="J15" s="27" t="str">
        <f t="shared" si="1"/>
        <v>TER A</v>
      </c>
      <c r="K15" s="20">
        <f t="shared" si="2"/>
        <v>4169500</v>
      </c>
      <c r="L15" s="20">
        <f t="shared" si="3"/>
        <v>34318.199999999997</v>
      </c>
      <c r="M15" s="49">
        <f>[2]MAINTENANCE!AO19</f>
        <v>163420</v>
      </c>
      <c r="N15" s="49">
        <f>[2]MAINTENANCE!X19</f>
        <v>69750</v>
      </c>
      <c r="O15" s="49"/>
      <c r="P15" s="49"/>
      <c r="Q15" s="49">
        <f>[2]MAINTENANCE!AD19</f>
        <v>50500</v>
      </c>
      <c r="R15" s="49"/>
      <c r="S15" s="49"/>
      <c r="T15" s="49"/>
      <c r="U15" s="50"/>
      <c r="V15" s="50"/>
      <c r="W15" s="50"/>
      <c r="X15" s="50"/>
      <c r="Y15" s="50"/>
      <c r="Z15" s="62"/>
      <c r="AA15" s="62"/>
      <c r="AB15" s="49"/>
      <c r="AC15" s="49"/>
      <c r="AD15" s="50"/>
      <c r="AE15" s="50"/>
      <c r="AF15" s="49">
        <f>-[2]MAINTENANCE!BC19</f>
        <v>0</v>
      </c>
      <c r="AG15" s="21">
        <f t="shared" si="4"/>
        <v>4487488</v>
      </c>
      <c r="AH15" s="68">
        <f t="shared" si="0"/>
        <v>0</v>
      </c>
      <c r="AI15" s="60">
        <f t="shared" si="5"/>
        <v>0</v>
      </c>
      <c r="AJ15" s="22">
        <f>[2]MAINTENANCE!AJ19</f>
        <v>4289750</v>
      </c>
      <c r="AK15" s="23">
        <f t="shared" si="6"/>
        <v>197738.2</v>
      </c>
      <c r="AL15" s="63">
        <f t="shared" si="7"/>
        <v>4487488.2</v>
      </c>
      <c r="AM15" s="23">
        <f t="shared" si="8"/>
        <v>-0.20000000018626451</v>
      </c>
      <c r="AN15" s="23"/>
      <c r="AO15" s="23"/>
      <c r="AP15" s="22"/>
      <c r="AQ15" s="22"/>
      <c r="AR15" s="22"/>
      <c r="AS15" s="22"/>
      <c r="AT15" s="23"/>
      <c r="AV15" s="23"/>
    </row>
    <row r="16" spans="2:48" s="1" customFormat="1" ht="21.75" customHeight="1" x14ac:dyDescent="0.25">
      <c r="B16" s="54">
        <v>11</v>
      </c>
      <c r="C16" s="24" t="s">
        <v>75</v>
      </c>
      <c r="D16" s="75" t="s">
        <v>76</v>
      </c>
      <c r="E16" s="76" t="s">
        <v>77</v>
      </c>
      <c r="F16" s="77" t="s">
        <v>78</v>
      </c>
      <c r="G16" s="25" t="s">
        <v>40</v>
      </c>
      <c r="H16" s="26" t="s">
        <v>41</v>
      </c>
      <c r="I16" s="26" t="s">
        <v>42</v>
      </c>
      <c r="J16" s="27" t="str">
        <f t="shared" si="1"/>
        <v>TER A</v>
      </c>
      <c r="K16" s="20">
        <f t="shared" si="2"/>
        <v>4169500</v>
      </c>
      <c r="L16" s="20">
        <f t="shared" si="3"/>
        <v>34318.199999999997</v>
      </c>
      <c r="M16" s="49">
        <f>[2]MAINTENANCE!AO20</f>
        <v>163420</v>
      </c>
      <c r="N16" s="49">
        <f>[2]MAINTENANCE!X20</f>
        <v>69750</v>
      </c>
      <c r="O16" s="49"/>
      <c r="P16" s="49"/>
      <c r="Q16" s="49">
        <f>[2]MAINTENANCE!AD20</f>
        <v>50500</v>
      </c>
      <c r="R16" s="49"/>
      <c r="S16" s="49"/>
      <c r="T16" s="49"/>
      <c r="U16" s="50"/>
      <c r="V16" s="50"/>
      <c r="W16" s="50"/>
      <c r="X16" s="50"/>
      <c r="Y16" s="50"/>
      <c r="Z16" s="62"/>
      <c r="AA16" s="62"/>
      <c r="AB16" s="49"/>
      <c r="AC16" s="49"/>
      <c r="AD16" s="50"/>
      <c r="AE16" s="50"/>
      <c r="AF16" s="49">
        <f>-[2]MAINTENANCE!BC20</f>
        <v>0</v>
      </c>
      <c r="AG16" s="21">
        <f t="shared" si="4"/>
        <v>4487488</v>
      </c>
      <c r="AH16" s="68">
        <f t="shared" si="0"/>
        <v>0</v>
      </c>
      <c r="AI16" s="60">
        <f t="shared" si="5"/>
        <v>0</v>
      </c>
      <c r="AJ16" s="22">
        <f>[2]MAINTENANCE!AJ20</f>
        <v>4289750</v>
      </c>
      <c r="AK16" s="23">
        <f t="shared" si="6"/>
        <v>197738.2</v>
      </c>
      <c r="AL16" s="63">
        <f t="shared" si="7"/>
        <v>4487488.2</v>
      </c>
      <c r="AM16" s="23">
        <f t="shared" si="8"/>
        <v>-0.20000000018626451</v>
      </c>
      <c r="AN16" s="23"/>
      <c r="AO16" s="23"/>
      <c r="AP16" s="22"/>
      <c r="AQ16" s="22"/>
      <c r="AR16" s="22"/>
      <c r="AS16" s="22"/>
      <c r="AT16" s="23"/>
      <c r="AV16" s="23"/>
    </row>
    <row r="17" spans="2:48" s="1" customFormat="1" ht="21.75" customHeight="1" x14ac:dyDescent="0.25">
      <c r="B17" s="54">
        <v>12</v>
      </c>
      <c r="C17" s="24" t="s">
        <v>79</v>
      </c>
      <c r="D17" s="75" t="s">
        <v>80</v>
      </c>
      <c r="E17" s="76" t="s">
        <v>81</v>
      </c>
      <c r="F17" s="77" t="s">
        <v>82</v>
      </c>
      <c r="G17" s="25" t="s">
        <v>40</v>
      </c>
      <c r="H17" s="26" t="s">
        <v>41</v>
      </c>
      <c r="I17" s="26" t="s">
        <v>42</v>
      </c>
      <c r="J17" s="27" t="str">
        <f t="shared" si="1"/>
        <v>TER A</v>
      </c>
      <c r="K17" s="20">
        <f t="shared" si="2"/>
        <v>4169500</v>
      </c>
      <c r="L17" s="20">
        <f t="shared" si="3"/>
        <v>34347.599999999999</v>
      </c>
      <c r="M17" s="49">
        <f>[2]MAINTENANCE!AO21</f>
        <v>163560</v>
      </c>
      <c r="N17" s="49">
        <f>[2]MAINTENANCE!X21</f>
        <v>69750</v>
      </c>
      <c r="O17" s="49"/>
      <c r="P17" s="49"/>
      <c r="Q17" s="49">
        <f>[2]MAINTENANCE!AD21</f>
        <v>54000</v>
      </c>
      <c r="R17" s="49"/>
      <c r="S17" s="49"/>
      <c r="T17" s="49"/>
      <c r="U17" s="50"/>
      <c r="V17" s="50"/>
      <c r="W17" s="50"/>
      <c r="X17" s="50"/>
      <c r="Y17" s="50"/>
      <c r="Z17" s="62"/>
      <c r="AA17" s="62"/>
      <c r="AB17" s="49"/>
      <c r="AC17" s="49"/>
      <c r="AD17" s="50"/>
      <c r="AE17" s="50"/>
      <c r="AF17" s="49">
        <f>-[2]MAINTENANCE!BC21</f>
        <v>0</v>
      </c>
      <c r="AG17" s="21">
        <f t="shared" si="4"/>
        <v>4491158</v>
      </c>
      <c r="AH17" s="68">
        <f t="shared" si="0"/>
        <v>0</v>
      </c>
      <c r="AI17" s="60">
        <f t="shared" si="5"/>
        <v>0</v>
      </c>
      <c r="AJ17" s="22">
        <f>[2]MAINTENANCE!AJ21</f>
        <v>4293250</v>
      </c>
      <c r="AK17" s="23">
        <f t="shared" si="6"/>
        <v>197907.6</v>
      </c>
      <c r="AL17" s="63">
        <f t="shared" si="7"/>
        <v>4491157.5999999996</v>
      </c>
      <c r="AM17" s="23">
        <f t="shared" si="8"/>
        <v>0.40000000037252903</v>
      </c>
      <c r="AN17" s="23"/>
      <c r="AO17" s="23"/>
      <c r="AP17" s="22"/>
      <c r="AQ17" s="22"/>
      <c r="AR17" s="22"/>
      <c r="AS17" s="22"/>
      <c r="AT17" s="23"/>
      <c r="AV17" s="23"/>
    </row>
    <row r="18" spans="2:48" s="1" customFormat="1" ht="21.75" customHeight="1" x14ac:dyDescent="0.25">
      <c r="B18" s="54">
        <v>13</v>
      </c>
      <c r="C18" s="24" t="s">
        <v>83</v>
      </c>
      <c r="D18" s="75" t="s">
        <v>84</v>
      </c>
      <c r="E18" s="76" t="s">
        <v>85</v>
      </c>
      <c r="F18" s="77" t="s">
        <v>86</v>
      </c>
      <c r="G18" s="25" t="s">
        <v>40</v>
      </c>
      <c r="H18" s="26" t="s">
        <v>34</v>
      </c>
      <c r="I18" s="26" t="s">
        <v>110</v>
      </c>
      <c r="J18" s="27" t="str">
        <f t="shared" si="1"/>
        <v>TER A</v>
      </c>
      <c r="K18" s="20">
        <f t="shared" si="2"/>
        <v>4169500</v>
      </c>
      <c r="L18" s="20">
        <f t="shared" si="3"/>
        <v>34171.199999999997</v>
      </c>
      <c r="M18" s="49">
        <f>[2]MAINTENANCE!AO22</f>
        <v>162720</v>
      </c>
      <c r="N18" s="49">
        <f>[2]MAINTENANCE!X22</f>
        <v>114700</v>
      </c>
      <c r="O18" s="49"/>
      <c r="P18" s="49"/>
      <c r="Q18" s="49">
        <f>[2]MAINTENANCE!AD22</f>
        <v>33000</v>
      </c>
      <c r="R18" s="49"/>
      <c r="S18" s="49"/>
      <c r="T18" s="49"/>
      <c r="U18" s="50"/>
      <c r="V18" s="50"/>
      <c r="W18" s="50"/>
      <c r="X18" s="50"/>
      <c r="Y18" s="50"/>
      <c r="Z18" s="62"/>
      <c r="AA18" s="62"/>
      <c r="AB18" s="49"/>
      <c r="AC18" s="49"/>
      <c r="AD18" s="50"/>
      <c r="AE18" s="50"/>
      <c r="AF18" s="49">
        <f>-[2]MAINTENANCE!BC22</f>
        <v>0</v>
      </c>
      <c r="AG18" s="21">
        <f t="shared" si="4"/>
        <v>4514091</v>
      </c>
      <c r="AH18" s="68">
        <f t="shared" si="0"/>
        <v>0</v>
      </c>
      <c r="AI18" s="60">
        <f t="shared" si="5"/>
        <v>0</v>
      </c>
      <c r="AJ18" s="22">
        <f>[2]MAINTENANCE!AJ22</f>
        <v>4317200</v>
      </c>
      <c r="AK18" s="23">
        <f t="shared" si="6"/>
        <v>196891.2</v>
      </c>
      <c r="AL18" s="63">
        <f t="shared" si="7"/>
        <v>4514091.2</v>
      </c>
      <c r="AM18" s="23">
        <f t="shared" si="8"/>
        <v>-0.20000000018626451</v>
      </c>
      <c r="AN18" s="23"/>
      <c r="AO18" s="23"/>
      <c r="AP18" s="22"/>
      <c r="AQ18" s="22"/>
      <c r="AR18" s="22"/>
      <c r="AS18" s="22"/>
      <c r="AT18" s="23"/>
      <c r="AV18" s="23"/>
    </row>
    <row r="19" spans="2:48" s="1" customFormat="1" ht="21.75" customHeight="1" x14ac:dyDescent="0.25">
      <c r="B19" s="54">
        <v>14</v>
      </c>
      <c r="C19" s="24" t="s">
        <v>88</v>
      </c>
      <c r="D19" s="75" t="s">
        <v>89</v>
      </c>
      <c r="E19" s="76" t="s">
        <v>90</v>
      </c>
      <c r="F19" s="77" t="s">
        <v>91</v>
      </c>
      <c r="G19" s="25" t="s">
        <v>40</v>
      </c>
      <c r="H19" s="26" t="s">
        <v>34</v>
      </c>
      <c r="I19" s="26" t="s">
        <v>87</v>
      </c>
      <c r="J19" s="27" t="str">
        <f t="shared" si="1"/>
        <v>TER B</v>
      </c>
      <c r="K19" s="20">
        <f t="shared" si="2"/>
        <v>4169500</v>
      </c>
      <c r="L19" s="20">
        <f t="shared" si="3"/>
        <v>34318.199999999997</v>
      </c>
      <c r="M19" s="49">
        <f>[2]MAINTENANCE!AO23</f>
        <v>163420</v>
      </c>
      <c r="N19" s="49">
        <f>[2]MAINTENANCE!X23</f>
        <v>130200</v>
      </c>
      <c r="O19" s="49"/>
      <c r="P19" s="49"/>
      <c r="Q19" s="49">
        <f>[2]MAINTENANCE!AD23</f>
        <v>50500</v>
      </c>
      <c r="R19" s="49"/>
      <c r="S19" s="49"/>
      <c r="T19" s="49"/>
      <c r="U19" s="50"/>
      <c r="V19" s="50"/>
      <c r="W19" s="50"/>
      <c r="X19" s="50"/>
      <c r="Y19" s="50"/>
      <c r="Z19" s="62"/>
      <c r="AA19" s="62"/>
      <c r="AB19" s="49"/>
      <c r="AC19" s="49"/>
      <c r="AD19" s="50"/>
      <c r="AE19" s="50"/>
      <c r="AF19" s="49">
        <f>-[2]MAINTENANCE!BC23</f>
        <v>0</v>
      </c>
      <c r="AG19" s="21">
        <f t="shared" si="4"/>
        <v>4547938</v>
      </c>
      <c r="AH19" s="68">
        <f t="shared" si="0"/>
        <v>0</v>
      </c>
      <c r="AI19" s="60">
        <f t="shared" si="5"/>
        <v>0</v>
      </c>
      <c r="AJ19" s="22">
        <f>[2]MAINTENANCE!AJ23</f>
        <v>4350200</v>
      </c>
      <c r="AK19" s="23">
        <f t="shared" si="6"/>
        <v>197738.2</v>
      </c>
      <c r="AL19" s="63">
        <f t="shared" si="7"/>
        <v>4547938.2</v>
      </c>
      <c r="AM19" s="23">
        <f t="shared" si="8"/>
        <v>-0.20000000018626451</v>
      </c>
      <c r="AN19" s="23"/>
      <c r="AO19" s="23"/>
      <c r="AP19" s="22"/>
      <c r="AQ19" s="22"/>
      <c r="AR19" s="22"/>
      <c r="AS19" s="22"/>
      <c r="AT19" s="23"/>
      <c r="AV19" s="23"/>
    </row>
    <row r="20" spans="2:48" s="1" customFormat="1" ht="21.75" customHeight="1" x14ac:dyDescent="0.25">
      <c r="B20" s="54">
        <v>15</v>
      </c>
      <c r="C20" s="24" t="s">
        <v>292</v>
      </c>
      <c r="D20" s="75" t="s">
        <v>92</v>
      </c>
      <c r="E20" s="76" t="s">
        <v>93</v>
      </c>
      <c r="F20" s="77" t="s">
        <v>74</v>
      </c>
      <c r="G20" s="25" t="s">
        <v>40</v>
      </c>
      <c r="H20" s="26" t="s">
        <v>34</v>
      </c>
      <c r="I20" s="26" t="s">
        <v>42</v>
      </c>
      <c r="J20" s="27" t="str">
        <f t="shared" si="1"/>
        <v>TER A</v>
      </c>
      <c r="K20" s="20">
        <f t="shared" si="2"/>
        <v>4169500</v>
      </c>
      <c r="L20" s="20">
        <f t="shared" si="3"/>
        <v>34318.199999999997</v>
      </c>
      <c r="M20" s="49">
        <f>[2]MAINTENANCE!AO24</f>
        <v>163420</v>
      </c>
      <c r="N20" s="49">
        <f>[2]MAINTENANCE!X24</f>
        <v>100750</v>
      </c>
      <c r="O20" s="49"/>
      <c r="P20" s="49"/>
      <c r="Q20" s="49">
        <f>[2]MAINTENANCE!AD24</f>
        <v>50500</v>
      </c>
      <c r="R20" s="49"/>
      <c r="S20" s="49"/>
      <c r="T20" s="49"/>
      <c r="U20" s="50"/>
      <c r="V20" s="50"/>
      <c r="W20" s="50"/>
      <c r="X20" s="50"/>
      <c r="Y20" s="50"/>
      <c r="Z20" s="62"/>
      <c r="AA20" s="62"/>
      <c r="AB20" s="49"/>
      <c r="AC20" s="49"/>
      <c r="AD20" s="50"/>
      <c r="AE20" s="50"/>
      <c r="AF20" s="49">
        <f>-[2]MAINTENANCE!BC24</f>
        <v>0</v>
      </c>
      <c r="AG20" s="21">
        <f t="shared" si="4"/>
        <v>4518488</v>
      </c>
      <c r="AH20" s="68">
        <f t="shared" si="0"/>
        <v>0</v>
      </c>
      <c r="AI20" s="60">
        <f t="shared" si="5"/>
        <v>0</v>
      </c>
      <c r="AJ20" s="22">
        <f>[2]MAINTENANCE!AJ24</f>
        <v>4320750</v>
      </c>
      <c r="AK20" s="23">
        <f t="shared" si="6"/>
        <v>197738.2</v>
      </c>
      <c r="AL20" s="63">
        <f t="shared" si="7"/>
        <v>4518488.2</v>
      </c>
      <c r="AM20" s="23">
        <f t="shared" si="8"/>
        <v>-0.20000000018626451</v>
      </c>
      <c r="AN20" s="23"/>
      <c r="AO20" s="23"/>
      <c r="AP20" s="22"/>
      <c r="AQ20" s="22"/>
      <c r="AR20" s="22"/>
      <c r="AS20" s="22"/>
      <c r="AT20" s="23"/>
      <c r="AV20" s="23"/>
    </row>
    <row r="21" spans="2:48" s="1" customFormat="1" ht="21.75" customHeight="1" x14ac:dyDescent="0.25">
      <c r="B21" s="54">
        <v>16</v>
      </c>
      <c r="C21" s="29" t="s">
        <v>94</v>
      </c>
      <c r="D21" s="75" t="s">
        <v>95</v>
      </c>
      <c r="E21" s="76" t="s">
        <v>96</v>
      </c>
      <c r="F21" s="77" t="s">
        <v>97</v>
      </c>
      <c r="G21" s="25" t="s">
        <v>40</v>
      </c>
      <c r="H21" s="26" t="s">
        <v>34</v>
      </c>
      <c r="I21" s="26" t="s">
        <v>110</v>
      </c>
      <c r="J21" s="27" t="str">
        <f t="shared" si="1"/>
        <v>TER A</v>
      </c>
      <c r="K21" s="20">
        <f t="shared" si="2"/>
        <v>4169500</v>
      </c>
      <c r="L21" s="20">
        <f t="shared" si="3"/>
        <v>34200.6</v>
      </c>
      <c r="M21" s="49">
        <f>[2]MAINTENANCE!AO25</f>
        <v>162860</v>
      </c>
      <c r="N21" s="49">
        <f>[2]MAINTENANCE!X25</f>
        <v>126000</v>
      </c>
      <c r="O21" s="49"/>
      <c r="P21" s="49"/>
      <c r="Q21" s="49">
        <f>[2]MAINTENANCE!AD25</f>
        <v>36500</v>
      </c>
      <c r="R21" s="49"/>
      <c r="S21" s="49"/>
      <c r="T21" s="49"/>
      <c r="U21" s="50"/>
      <c r="V21" s="50"/>
      <c r="W21" s="50"/>
      <c r="X21" s="50"/>
      <c r="Y21" s="50"/>
      <c r="Z21" s="62"/>
      <c r="AA21" s="62"/>
      <c r="AB21" s="49"/>
      <c r="AC21" s="49"/>
      <c r="AD21" s="50"/>
      <c r="AE21" s="50"/>
      <c r="AF21" s="49">
        <f>-[2]MAINTENANCE!BC25</f>
        <v>-134500</v>
      </c>
      <c r="AG21" s="21">
        <f t="shared" si="4"/>
        <v>4394561</v>
      </c>
      <c r="AH21" s="68">
        <f t="shared" si="0"/>
        <v>0</v>
      </c>
      <c r="AI21" s="60">
        <f t="shared" si="5"/>
        <v>0</v>
      </c>
      <c r="AJ21" s="22">
        <f>[2]MAINTENANCE!AJ25</f>
        <v>4197500</v>
      </c>
      <c r="AK21" s="23">
        <f t="shared" si="6"/>
        <v>197060.6</v>
      </c>
      <c r="AL21" s="63">
        <f t="shared" si="7"/>
        <v>4394560.5999999996</v>
      </c>
      <c r="AM21" s="23">
        <f t="shared" si="8"/>
        <v>0.40000000037252903</v>
      </c>
      <c r="AN21" s="23"/>
      <c r="AO21" s="23"/>
      <c r="AP21" s="22"/>
      <c r="AQ21" s="22"/>
      <c r="AR21" s="22"/>
      <c r="AS21" s="22"/>
      <c r="AT21" s="23"/>
      <c r="AV21" s="23"/>
    </row>
    <row r="22" spans="2:48" s="1" customFormat="1" ht="21.75" customHeight="1" x14ac:dyDescent="0.25">
      <c r="B22" s="54">
        <v>17</v>
      </c>
      <c r="C22" s="30" t="s">
        <v>98</v>
      </c>
      <c r="D22" s="78" t="s">
        <v>99</v>
      </c>
      <c r="E22" s="76" t="s">
        <v>96</v>
      </c>
      <c r="F22" s="77" t="s">
        <v>100</v>
      </c>
      <c r="G22" s="25" t="s">
        <v>40</v>
      </c>
      <c r="H22" s="26" t="s">
        <v>34</v>
      </c>
      <c r="I22" s="26" t="s">
        <v>87</v>
      </c>
      <c r="J22" s="27" t="str">
        <f t="shared" si="1"/>
        <v>TER B</v>
      </c>
      <c r="K22" s="20">
        <f t="shared" si="2"/>
        <v>4169500</v>
      </c>
      <c r="L22" s="20">
        <f t="shared" si="3"/>
        <v>34070.400000000001</v>
      </c>
      <c r="M22" s="49">
        <f>[2]MAINTENANCE!AO26</f>
        <v>162240</v>
      </c>
      <c r="N22" s="49">
        <f>[2]MAINTENANCE!X26</f>
        <v>134850</v>
      </c>
      <c r="O22" s="49"/>
      <c r="P22" s="49"/>
      <c r="Q22" s="49">
        <f>[2]MAINTENANCE!AD26</f>
        <v>21000</v>
      </c>
      <c r="R22" s="49"/>
      <c r="S22" s="49"/>
      <c r="T22" s="49"/>
      <c r="U22" s="50"/>
      <c r="V22" s="50"/>
      <c r="W22" s="50"/>
      <c r="X22" s="50"/>
      <c r="Y22" s="50"/>
      <c r="Z22" s="62"/>
      <c r="AA22" s="62"/>
      <c r="AB22" s="49"/>
      <c r="AC22" s="49"/>
      <c r="AD22" s="50"/>
      <c r="AE22" s="50"/>
      <c r="AF22" s="49">
        <f>-[2]MAINTENANCE!BC26</f>
        <v>-269000</v>
      </c>
      <c r="AG22" s="21">
        <f t="shared" si="4"/>
        <v>4252660</v>
      </c>
      <c r="AH22" s="68">
        <f t="shared" si="0"/>
        <v>0</v>
      </c>
      <c r="AI22" s="60">
        <f t="shared" si="5"/>
        <v>0</v>
      </c>
      <c r="AJ22" s="22">
        <f>[2]MAINTENANCE!AJ26</f>
        <v>4056350</v>
      </c>
      <c r="AK22" s="23">
        <f t="shared" si="6"/>
        <v>196310.39999999999</v>
      </c>
      <c r="AL22" s="63">
        <f t="shared" si="7"/>
        <v>4252660.4000000004</v>
      </c>
      <c r="AM22" s="23">
        <f t="shared" si="8"/>
        <v>-0.40000000037252903</v>
      </c>
      <c r="AN22" s="23"/>
      <c r="AO22" s="23"/>
      <c r="AP22" s="22"/>
      <c r="AQ22" s="22"/>
      <c r="AR22" s="22"/>
      <c r="AS22" s="22"/>
      <c r="AT22" s="23"/>
      <c r="AV22" s="23"/>
    </row>
    <row r="23" spans="2:48" s="1" customFormat="1" ht="21.75" customHeight="1" x14ac:dyDescent="0.25">
      <c r="B23" s="54">
        <v>18</v>
      </c>
      <c r="C23" s="24" t="s">
        <v>101</v>
      </c>
      <c r="D23" s="79" t="s">
        <v>102</v>
      </c>
      <c r="E23" s="76" t="s">
        <v>96</v>
      </c>
      <c r="F23" s="77" t="s">
        <v>74</v>
      </c>
      <c r="G23" s="25" t="s">
        <v>40</v>
      </c>
      <c r="H23" s="26" t="s">
        <v>34</v>
      </c>
      <c r="I23" s="26" t="s">
        <v>103</v>
      </c>
      <c r="J23" s="27" t="str">
        <f t="shared" si="1"/>
        <v>TER C</v>
      </c>
      <c r="K23" s="20">
        <f t="shared" si="2"/>
        <v>4169500</v>
      </c>
      <c r="L23" s="20">
        <f t="shared" si="3"/>
        <v>34120.799999999996</v>
      </c>
      <c r="M23" s="49">
        <f>[2]MAINTENANCE!AO27</f>
        <v>162480</v>
      </c>
      <c r="N23" s="49">
        <f>[2]MAINTENANCE!X27</f>
        <v>172050</v>
      </c>
      <c r="O23" s="49"/>
      <c r="P23" s="49"/>
      <c r="Q23" s="49">
        <f>[2]MAINTENANCE!AD27</f>
        <v>27000</v>
      </c>
      <c r="R23" s="49"/>
      <c r="S23" s="49"/>
      <c r="T23" s="49"/>
      <c r="U23" s="50"/>
      <c r="V23" s="50"/>
      <c r="W23" s="50"/>
      <c r="X23" s="50"/>
      <c r="Y23" s="50"/>
      <c r="Z23" s="62"/>
      <c r="AA23" s="62"/>
      <c r="AB23" s="49"/>
      <c r="AC23" s="49"/>
      <c r="AD23" s="50"/>
      <c r="AE23" s="50"/>
      <c r="AF23" s="49">
        <f>-[2]MAINTENANCE!BC27</f>
        <v>0</v>
      </c>
      <c r="AG23" s="21">
        <f t="shared" si="4"/>
        <v>4565151</v>
      </c>
      <c r="AH23" s="68">
        <f t="shared" si="0"/>
        <v>0</v>
      </c>
      <c r="AI23" s="60">
        <f t="shared" si="5"/>
        <v>0</v>
      </c>
      <c r="AJ23" s="22">
        <f>[2]MAINTENANCE!AJ27</f>
        <v>4368550</v>
      </c>
      <c r="AK23" s="23">
        <f t="shared" si="6"/>
        <v>196600.8</v>
      </c>
      <c r="AL23" s="63">
        <f t="shared" si="7"/>
        <v>4565150.8</v>
      </c>
      <c r="AM23" s="23">
        <f t="shared" si="8"/>
        <v>0.20000000018626451</v>
      </c>
      <c r="AN23" s="23"/>
      <c r="AO23" s="23"/>
      <c r="AP23" s="22"/>
      <c r="AQ23" s="22"/>
      <c r="AR23" s="22"/>
      <c r="AS23" s="22"/>
      <c r="AT23" s="23"/>
      <c r="AV23" s="23"/>
    </row>
    <row r="24" spans="2:48" s="1" customFormat="1" ht="21.75" customHeight="1" x14ac:dyDescent="0.25">
      <c r="B24" s="54">
        <v>19</v>
      </c>
      <c r="C24" s="30" t="s">
        <v>127</v>
      </c>
      <c r="D24" s="75" t="s">
        <v>128</v>
      </c>
      <c r="E24" s="76" t="s">
        <v>96</v>
      </c>
      <c r="F24" s="77" t="s">
        <v>129</v>
      </c>
      <c r="G24" s="25" t="s">
        <v>40</v>
      </c>
      <c r="H24" s="26" t="s">
        <v>34</v>
      </c>
      <c r="I24" s="26" t="s">
        <v>87</v>
      </c>
      <c r="J24" s="27" t="str">
        <f t="shared" si="1"/>
        <v>TER B</v>
      </c>
      <c r="K24" s="20">
        <f t="shared" si="2"/>
        <v>4169500</v>
      </c>
      <c r="L24" s="20">
        <f t="shared" si="3"/>
        <v>34120.799999999996</v>
      </c>
      <c r="M24" s="49">
        <f>[2]MAINTENANCE!AO28</f>
        <v>162480</v>
      </c>
      <c r="N24" s="49">
        <f>[2]MAINTENANCE!X28</f>
        <v>144150</v>
      </c>
      <c r="O24" s="49"/>
      <c r="P24" s="49"/>
      <c r="Q24" s="49">
        <f>[2]MAINTENANCE!AD28</f>
        <v>27000</v>
      </c>
      <c r="R24" s="49"/>
      <c r="S24" s="49"/>
      <c r="T24" s="49"/>
      <c r="U24" s="50"/>
      <c r="V24" s="50"/>
      <c r="W24" s="50"/>
      <c r="X24" s="50"/>
      <c r="Y24" s="50"/>
      <c r="Z24" s="62"/>
      <c r="AA24" s="62"/>
      <c r="AB24" s="49"/>
      <c r="AC24" s="49"/>
      <c r="AD24" s="50"/>
      <c r="AE24" s="50"/>
      <c r="AF24" s="49">
        <f>-[2]MAINTENANCE!BC28</f>
        <v>0</v>
      </c>
      <c r="AG24" s="21">
        <f t="shared" si="4"/>
        <v>4537251</v>
      </c>
      <c r="AH24" s="68">
        <f t="shared" si="0"/>
        <v>0</v>
      </c>
      <c r="AI24" s="60">
        <f t="shared" si="5"/>
        <v>0</v>
      </c>
      <c r="AJ24" s="22">
        <f>[2]MAINTENANCE!AJ28</f>
        <v>4340650</v>
      </c>
      <c r="AK24" s="23">
        <f t="shared" si="6"/>
        <v>196600.8</v>
      </c>
      <c r="AL24" s="63">
        <f t="shared" si="7"/>
        <v>4537250.8</v>
      </c>
      <c r="AM24" s="23">
        <f t="shared" si="8"/>
        <v>0.20000000018626451</v>
      </c>
      <c r="AN24" s="23"/>
      <c r="AO24" s="23"/>
      <c r="AP24" s="22"/>
      <c r="AQ24" s="22"/>
      <c r="AR24" s="22"/>
      <c r="AS24" s="22"/>
      <c r="AT24" s="23"/>
      <c r="AV24" s="23"/>
    </row>
    <row r="25" spans="2:48" s="1" customFormat="1" ht="21.75" customHeight="1" x14ac:dyDescent="0.25">
      <c r="B25" s="54">
        <v>20</v>
      </c>
      <c r="C25" s="30" t="s">
        <v>111</v>
      </c>
      <c r="D25" s="75" t="s">
        <v>112</v>
      </c>
      <c r="E25" s="76" t="s">
        <v>113</v>
      </c>
      <c r="F25" s="77" t="s">
        <v>114</v>
      </c>
      <c r="G25" s="25" t="s">
        <v>40</v>
      </c>
      <c r="H25" s="26" t="s">
        <v>34</v>
      </c>
      <c r="I25" s="26" t="s">
        <v>87</v>
      </c>
      <c r="J25" s="27" t="str">
        <f t="shared" si="1"/>
        <v>TER B</v>
      </c>
      <c r="K25" s="20">
        <f t="shared" si="2"/>
        <v>4169500</v>
      </c>
      <c r="L25" s="20">
        <f t="shared" si="3"/>
        <v>34120.799999999996</v>
      </c>
      <c r="M25" s="49">
        <f>[2]MAINTENANCE!AO29</f>
        <v>162480</v>
      </c>
      <c r="N25" s="49">
        <f>[2]MAINTENANCE!X29</f>
        <v>144150</v>
      </c>
      <c r="O25" s="49"/>
      <c r="P25" s="49"/>
      <c r="Q25" s="49">
        <f>[2]MAINTENANCE!AD29</f>
        <v>27000</v>
      </c>
      <c r="R25" s="49"/>
      <c r="S25" s="49"/>
      <c r="T25" s="49"/>
      <c r="U25" s="50"/>
      <c r="V25" s="50"/>
      <c r="W25" s="50"/>
      <c r="X25" s="50"/>
      <c r="Y25" s="50"/>
      <c r="Z25" s="62"/>
      <c r="AA25" s="62"/>
      <c r="AB25" s="49"/>
      <c r="AC25" s="49"/>
      <c r="AD25" s="50"/>
      <c r="AE25" s="50"/>
      <c r="AF25" s="49">
        <f>-[2]MAINTENANCE!BC29</f>
        <v>0</v>
      </c>
      <c r="AG25" s="21">
        <f t="shared" si="4"/>
        <v>4537251</v>
      </c>
      <c r="AH25" s="68">
        <f t="shared" si="0"/>
        <v>0</v>
      </c>
      <c r="AI25" s="60">
        <f t="shared" si="5"/>
        <v>0</v>
      </c>
      <c r="AJ25" s="22">
        <f>[2]MAINTENANCE!AJ29</f>
        <v>4340650</v>
      </c>
      <c r="AK25" s="23">
        <f t="shared" si="6"/>
        <v>196600.8</v>
      </c>
      <c r="AL25" s="63">
        <f t="shared" si="7"/>
        <v>4537250.8</v>
      </c>
      <c r="AM25" s="23">
        <f t="shared" si="8"/>
        <v>0.20000000018626451</v>
      </c>
      <c r="AN25" s="23"/>
      <c r="AO25" s="23"/>
      <c r="AP25" s="22"/>
      <c r="AQ25" s="22"/>
      <c r="AR25" s="22"/>
      <c r="AS25" s="22"/>
      <c r="AT25" s="23"/>
      <c r="AV25" s="23"/>
    </row>
    <row r="26" spans="2:48" s="1" customFormat="1" ht="21.75" customHeight="1" x14ac:dyDescent="0.25">
      <c r="B26" s="54">
        <v>21</v>
      </c>
      <c r="C26" s="30" t="s">
        <v>217</v>
      </c>
      <c r="D26" s="75" t="s">
        <v>104</v>
      </c>
      <c r="E26" s="76" t="s">
        <v>96</v>
      </c>
      <c r="F26" s="77" t="s">
        <v>105</v>
      </c>
      <c r="G26" s="25" t="s">
        <v>40</v>
      </c>
      <c r="H26" s="26" t="s">
        <v>34</v>
      </c>
      <c r="I26" s="26" t="s">
        <v>35</v>
      </c>
      <c r="J26" s="27" t="str">
        <f t="shared" si="1"/>
        <v>TER B</v>
      </c>
      <c r="K26" s="20">
        <f t="shared" si="2"/>
        <v>4169500</v>
      </c>
      <c r="L26" s="20">
        <f t="shared" si="3"/>
        <v>34095.599999999999</v>
      </c>
      <c r="M26" s="49">
        <f>[2]MAINTENANCE!AO30</f>
        <v>162360</v>
      </c>
      <c r="N26" s="49">
        <f>[2]MAINTENANCE!X30</f>
        <v>172050</v>
      </c>
      <c r="O26" s="49"/>
      <c r="P26" s="49"/>
      <c r="Q26" s="49">
        <f>[2]MAINTENANCE!AD30</f>
        <v>24000</v>
      </c>
      <c r="R26" s="49"/>
      <c r="S26" s="49"/>
      <c r="T26" s="49"/>
      <c r="U26" s="50"/>
      <c r="V26" s="50"/>
      <c r="W26" s="50"/>
      <c r="X26" s="50"/>
      <c r="Y26" s="50"/>
      <c r="Z26" s="62"/>
      <c r="AA26" s="62"/>
      <c r="AB26" s="49"/>
      <c r="AC26" s="49"/>
      <c r="AD26" s="50"/>
      <c r="AE26" s="50"/>
      <c r="AF26" s="49">
        <f>-[2]MAINTENANCE!BC30</f>
        <v>0</v>
      </c>
      <c r="AG26" s="21">
        <f t="shared" si="4"/>
        <v>4562006</v>
      </c>
      <c r="AH26" s="68">
        <f t="shared" si="0"/>
        <v>0</v>
      </c>
      <c r="AI26" s="60">
        <f t="shared" si="5"/>
        <v>0</v>
      </c>
      <c r="AJ26" s="22">
        <f>[2]MAINTENANCE!AJ30</f>
        <v>4365550</v>
      </c>
      <c r="AK26" s="23">
        <f t="shared" si="6"/>
        <v>196455.6</v>
      </c>
      <c r="AL26" s="63">
        <f t="shared" si="7"/>
        <v>4562005.5999999996</v>
      </c>
      <c r="AM26" s="23">
        <f t="shared" si="8"/>
        <v>0.40000000037252903</v>
      </c>
      <c r="AN26" s="23"/>
      <c r="AO26" s="23"/>
      <c r="AP26" s="22"/>
      <c r="AQ26" s="22"/>
      <c r="AR26" s="22"/>
      <c r="AS26" s="22"/>
      <c r="AT26" s="23"/>
      <c r="AV26" s="23"/>
    </row>
    <row r="27" spans="2:48" s="1" customFormat="1" ht="21.75" customHeight="1" x14ac:dyDescent="0.25">
      <c r="B27" s="54">
        <v>22</v>
      </c>
      <c r="C27" s="24" t="s">
        <v>106</v>
      </c>
      <c r="D27" s="75" t="s">
        <v>107</v>
      </c>
      <c r="E27" s="76" t="s">
        <v>108</v>
      </c>
      <c r="F27" s="77" t="s">
        <v>109</v>
      </c>
      <c r="G27" s="25" t="s">
        <v>40</v>
      </c>
      <c r="H27" s="26" t="s">
        <v>34</v>
      </c>
      <c r="I27" s="26" t="s">
        <v>110</v>
      </c>
      <c r="J27" s="27" t="str">
        <f t="shared" si="1"/>
        <v>TER A</v>
      </c>
      <c r="K27" s="20">
        <f t="shared" si="2"/>
        <v>4169500</v>
      </c>
      <c r="L27" s="20">
        <f t="shared" si="3"/>
        <v>34120.799999999996</v>
      </c>
      <c r="M27" s="49">
        <f>[2]MAINTENANCE!AO31</f>
        <v>162480</v>
      </c>
      <c r="N27" s="49">
        <f>[2]MAINTENANCE!X31</f>
        <v>114700</v>
      </c>
      <c r="O27" s="49"/>
      <c r="P27" s="49"/>
      <c r="Q27" s="49">
        <f>[2]MAINTENANCE!AD31</f>
        <v>27000</v>
      </c>
      <c r="R27" s="49"/>
      <c r="S27" s="49"/>
      <c r="T27" s="49"/>
      <c r="U27" s="50"/>
      <c r="V27" s="50"/>
      <c r="W27" s="50"/>
      <c r="X27" s="50"/>
      <c r="Y27" s="50"/>
      <c r="Z27" s="62"/>
      <c r="AA27" s="62"/>
      <c r="AB27" s="49"/>
      <c r="AC27" s="49"/>
      <c r="AD27" s="50"/>
      <c r="AE27" s="50"/>
      <c r="AF27" s="49">
        <f>-[2]MAINTENANCE!BC31</f>
        <v>0</v>
      </c>
      <c r="AG27" s="21">
        <f t="shared" si="4"/>
        <v>4507801</v>
      </c>
      <c r="AH27" s="68">
        <f t="shared" si="0"/>
        <v>0</v>
      </c>
      <c r="AI27" s="60">
        <f t="shared" si="5"/>
        <v>0</v>
      </c>
      <c r="AJ27" s="22">
        <f>[2]MAINTENANCE!AJ31</f>
        <v>4311200</v>
      </c>
      <c r="AK27" s="23">
        <f t="shared" si="6"/>
        <v>196600.8</v>
      </c>
      <c r="AL27" s="63">
        <f t="shared" si="7"/>
        <v>4507800.8</v>
      </c>
      <c r="AM27" s="23">
        <f t="shared" si="8"/>
        <v>0.20000000018626451</v>
      </c>
      <c r="AN27" s="23"/>
      <c r="AO27" s="23"/>
      <c r="AP27" s="22"/>
      <c r="AQ27" s="22"/>
      <c r="AR27" s="22"/>
      <c r="AS27" s="22"/>
      <c r="AT27" s="23"/>
      <c r="AV27" s="23"/>
    </row>
    <row r="28" spans="2:48" s="1" customFormat="1" ht="21.75" customHeight="1" x14ac:dyDescent="0.25">
      <c r="B28" s="54">
        <v>23</v>
      </c>
      <c r="C28" s="24" t="s">
        <v>119</v>
      </c>
      <c r="D28" s="75" t="s">
        <v>120</v>
      </c>
      <c r="E28" s="76" t="s">
        <v>121</v>
      </c>
      <c r="F28" s="77" t="s">
        <v>122</v>
      </c>
      <c r="G28" s="25" t="s">
        <v>40</v>
      </c>
      <c r="H28" s="26" t="s">
        <v>34</v>
      </c>
      <c r="I28" s="26" t="s">
        <v>35</v>
      </c>
      <c r="J28" s="27" t="str">
        <f t="shared" si="1"/>
        <v>TER B</v>
      </c>
      <c r="K28" s="20">
        <f t="shared" si="2"/>
        <v>4169500</v>
      </c>
      <c r="L28" s="20">
        <f t="shared" si="3"/>
        <v>34641.599999999999</v>
      </c>
      <c r="M28" s="49">
        <f>[2]MAINTENANCE!AO32</f>
        <v>164960</v>
      </c>
      <c r="N28" s="49">
        <f>[2]MAINTENANCE!X32</f>
        <v>172050</v>
      </c>
      <c r="O28" s="49"/>
      <c r="P28" s="49"/>
      <c r="Q28" s="49">
        <f>[2]MAINTENANCE!AD32</f>
        <v>89000</v>
      </c>
      <c r="R28" s="49"/>
      <c r="S28" s="49"/>
      <c r="T28" s="49"/>
      <c r="U28" s="50"/>
      <c r="V28" s="50"/>
      <c r="W28" s="50"/>
      <c r="X28" s="50"/>
      <c r="Y28" s="50"/>
      <c r="Z28" s="62"/>
      <c r="AA28" s="62"/>
      <c r="AB28" s="49"/>
      <c r="AC28" s="49"/>
      <c r="AD28" s="50"/>
      <c r="AE28" s="50"/>
      <c r="AF28" s="49">
        <f>-[2]MAINTENANCE!BC32</f>
        <v>0</v>
      </c>
      <c r="AG28" s="21">
        <f t="shared" si="4"/>
        <v>4630152</v>
      </c>
      <c r="AH28" s="68">
        <f t="shared" si="0"/>
        <v>0</v>
      </c>
      <c r="AI28" s="60">
        <f t="shared" si="5"/>
        <v>0</v>
      </c>
      <c r="AJ28" s="22">
        <f>[2]MAINTENANCE!AJ32</f>
        <v>4430550</v>
      </c>
      <c r="AK28" s="23">
        <f t="shared" si="6"/>
        <v>199601.6</v>
      </c>
      <c r="AL28" s="63">
        <f t="shared" si="7"/>
        <v>4630151.5999999996</v>
      </c>
      <c r="AM28" s="23">
        <f t="shared" si="8"/>
        <v>0.40000000037252903</v>
      </c>
      <c r="AN28" s="23"/>
      <c r="AO28" s="23"/>
      <c r="AP28" s="22"/>
      <c r="AQ28" s="22"/>
      <c r="AR28" s="22"/>
      <c r="AS28" s="22"/>
      <c r="AT28" s="23"/>
      <c r="AV28" s="23"/>
    </row>
    <row r="29" spans="2:48" s="1" customFormat="1" ht="21.75" customHeight="1" x14ac:dyDescent="0.25">
      <c r="B29" s="54">
        <v>24</v>
      </c>
      <c r="C29" s="24" t="s">
        <v>123</v>
      </c>
      <c r="D29" s="79" t="s">
        <v>124</v>
      </c>
      <c r="E29" s="76" t="s">
        <v>125</v>
      </c>
      <c r="F29" s="77" t="s">
        <v>126</v>
      </c>
      <c r="G29" s="25" t="s">
        <v>40</v>
      </c>
      <c r="H29" s="26" t="s">
        <v>34</v>
      </c>
      <c r="I29" s="26" t="s">
        <v>35</v>
      </c>
      <c r="J29" s="27" t="str">
        <f t="shared" si="1"/>
        <v>TER B</v>
      </c>
      <c r="K29" s="20">
        <f t="shared" si="2"/>
        <v>4169500</v>
      </c>
      <c r="L29" s="20">
        <f t="shared" si="3"/>
        <v>34095.599999999999</v>
      </c>
      <c r="M29" s="49">
        <f>[2]MAINTENANCE!AO33</f>
        <v>162360</v>
      </c>
      <c r="N29" s="49">
        <f>[2]MAINTENANCE!X33</f>
        <v>144150</v>
      </c>
      <c r="O29" s="49"/>
      <c r="P29" s="49"/>
      <c r="Q29" s="49">
        <f>[2]MAINTENANCE!AD33</f>
        <v>24000</v>
      </c>
      <c r="R29" s="49"/>
      <c r="S29" s="50"/>
      <c r="T29" s="50"/>
      <c r="U29" s="50"/>
      <c r="V29" s="50"/>
      <c r="W29" s="50"/>
      <c r="X29" s="50"/>
      <c r="Y29" s="50"/>
      <c r="Z29" s="62"/>
      <c r="AA29" s="62"/>
      <c r="AB29" s="49"/>
      <c r="AC29" s="49"/>
      <c r="AD29" s="50"/>
      <c r="AE29" s="50"/>
      <c r="AF29" s="49">
        <f>-[2]MAINTENANCE!BC33</f>
        <v>0</v>
      </c>
      <c r="AG29" s="21">
        <f t="shared" si="4"/>
        <v>4534106</v>
      </c>
      <c r="AH29" s="68">
        <f t="shared" si="0"/>
        <v>0</v>
      </c>
      <c r="AI29" s="60">
        <f t="shared" si="5"/>
        <v>0</v>
      </c>
      <c r="AJ29" s="22">
        <f>[2]MAINTENANCE!AJ33</f>
        <v>4337650</v>
      </c>
      <c r="AK29" s="23">
        <f t="shared" si="6"/>
        <v>196455.6</v>
      </c>
      <c r="AL29" s="63">
        <f t="shared" si="7"/>
        <v>4534105.5999999996</v>
      </c>
      <c r="AM29" s="23">
        <f t="shared" si="8"/>
        <v>0.40000000037252903</v>
      </c>
      <c r="AN29" s="23"/>
      <c r="AO29" s="23"/>
      <c r="AP29" s="22"/>
      <c r="AQ29" s="22"/>
      <c r="AR29" s="22"/>
      <c r="AS29" s="22"/>
      <c r="AT29" s="23"/>
      <c r="AV29" s="23"/>
    </row>
    <row r="30" spans="2:48" s="1" customFormat="1" ht="21.75" customHeight="1" x14ac:dyDescent="0.25">
      <c r="B30" s="54">
        <v>25</v>
      </c>
      <c r="C30" s="24" t="s">
        <v>223</v>
      </c>
      <c r="D30" s="79" t="s">
        <v>224</v>
      </c>
      <c r="E30" s="76" t="s">
        <v>96</v>
      </c>
      <c r="F30" s="77" t="s">
        <v>225</v>
      </c>
      <c r="G30" s="25" t="s">
        <v>40</v>
      </c>
      <c r="H30" s="26" t="s">
        <v>34</v>
      </c>
      <c r="I30" s="26" t="s">
        <v>35</v>
      </c>
      <c r="J30" s="27" t="str">
        <f t="shared" si="1"/>
        <v>TER B</v>
      </c>
      <c r="K30" s="20">
        <f t="shared" si="2"/>
        <v>4169500</v>
      </c>
      <c r="L30" s="20">
        <f t="shared" si="3"/>
        <v>34070.400000000001</v>
      </c>
      <c r="M30" s="49">
        <f>[2]MAINTENANCE!AO34</f>
        <v>162240</v>
      </c>
      <c r="N30" s="49">
        <f>[2]MAINTENANCE!X34</f>
        <v>172050</v>
      </c>
      <c r="O30" s="49"/>
      <c r="P30" s="49"/>
      <c r="Q30" s="49">
        <f>[2]MAINTENANCE!AD34</f>
        <v>21000</v>
      </c>
      <c r="R30" s="49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49"/>
      <c r="AD30" s="50"/>
      <c r="AE30" s="50"/>
      <c r="AF30" s="49">
        <f>-[2]MAINTENANCE!BC34</f>
        <v>0</v>
      </c>
      <c r="AG30" s="21">
        <f t="shared" si="4"/>
        <v>4558860</v>
      </c>
      <c r="AH30" s="68">
        <f t="shared" si="0"/>
        <v>0</v>
      </c>
      <c r="AI30" s="60">
        <f t="shared" si="5"/>
        <v>0</v>
      </c>
      <c r="AJ30" s="22">
        <f>[2]MAINTENANCE!AJ34</f>
        <v>4362550</v>
      </c>
      <c r="AK30" s="23">
        <f t="shared" si="6"/>
        <v>196310.39999999999</v>
      </c>
      <c r="AL30" s="63">
        <f t="shared" si="7"/>
        <v>4558860.4000000004</v>
      </c>
      <c r="AM30" s="23">
        <f t="shared" si="8"/>
        <v>-0.40000000037252903</v>
      </c>
      <c r="AN30" s="23"/>
      <c r="AO30" s="23"/>
      <c r="AP30" s="22"/>
      <c r="AQ30" s="22"/>
      <c r="AR30" s="22"/>
      <c r="AS30" s="22"/>
      <c r="AT30" s="23"/>
      <c r="AV30" s="23"/>
    </row>
    <row r="31" spans="2:48" s="1" customFormat="1" ht="21.75" customHeight="1" x14ac:dyDescent="0.25">
      <c r="B31" s="54">
        <v>26</v>
      </c>
      <c r="C31" s="24" t="s">
        <v>115</v>
      </c>
      <c r="D31" s="75" t="s">
        <v>116</v>
      </c>
      <c r="E31" s="76" t="s">
        <v>117</v>
      </c>
      <c r="F31" s="77" t="s">
        <v>118</v>
      </c>
      <c r="G31" s="25" t="s">
        <v>40</v>
      </c>
      <c r="H31" s="26" t="s">
        <v>34</v>
      </c>
      <c r="I31" s="26" t="s">
        <v>35</v>
      </c>
      <c r="J31" s="27" t="str">
        <f>IF(ISBLANK(I31),"",IF(OR(I31="TK/0",I31="TK/1",I31="K/0"),"TER A",IF(I31="K/3","TER C","TER B")))</f>
        <v>TER B</v>
      </c>
      <c r="K31" s="20">
        <f t="shared" si="2"/>
        <v>4169500</v>
      </c>
      <c r="L31" s="20">
        <f t="shared" si="3"/>
        <v>34318.199999999997</v>
      </c>
      <c r="M31" s="49">
        <f>[2]MAINTENANCE!AO35</f>
        <v>163420</v>
      </c>
      <c r="N31" s="49">
        <f>[2]MAINTENANCE!X35</f>
        <v>172050</v>
      </c>
      <c r="O31" s="50"/>
      <c r="P31" s="49"/>
      <c r="Q31" s="49">
        <f>[2]MAINTENANCE!AD35</f>
        <v>50500</v>
      </c>
      <c r="R31" s="50"/>
      <c r="S31" s="49"/>
      <c r="T31" s="49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49">
        <f>-[2]MAINTENANCE!BC35</f>
        <v>0</v>
      </c>
      <c r="AG31" s="21">
        <f t="shared" si="4"/>
        <v>4589788</v>
      </c>
      <c r="AH31" s="68">
        <f t="shared" si="0"/>
        <v>0</v>
      </c>
      <c r="AI31" s="60">
        <f t="shared" si="5"/>
        <v>0</v>
      </c>
      <c r="AJ31" s="22">
        <f>[2]MAINTENANCE!AJ35</f>
        <v>4392050</v>
      </c>
      <c r="AK31" s="23">
        <f t="shared" si="6"/>
        <v>197738.2</v>
      </c>
      <c r="AL31" s="63">
        <f t="shared" si="7"/>
        <v>4589788.2</v>
      </c>
      <c r="AM31" s="23">
        <f t="shared" si="8"/>
        <v>-0.20000000018626451</v>
      </c>
      <c r="AN31" s="23"/>
      <c r="AO31" s="23"/>
      <c r="AP31" s="22"/>
      <c r="AQ31" s="22"/>
      <c r="AR31" s="22"/>
      <c r="AS31" s="22"/>
      <c r="AT31" s="23"/>
      <c r="AV31" s="23"/>
    </row>
    <row r="32" spans="2:48" s="1" customFormat="1" ht="21.75" customHeight="1" x14ac:dyDescent="0.25">
      <c r="B32" s="54">
        <v>27</v>
      </c>
      <c r="C32" s="24" t="s">
        <v>288</v>
      </c>
      <c r="D32" s="75" t="s">
        <v>289</v>
      </c>
      <c r="E32" s="76" t="s">
        <v>290</v>
      </c>
      <c r="F32" s="77" t="s">
        <v>291</v>
      </c>
      <c r="G32" s="25" t="s">
        <v>40</v>
      </c>
      <c r="H32" s="26" t="s">
        <v>34</v>
      </c>
      <c r="I32" s="26" t="s">
        <v>42</v>
      </c>
      <c r="J32" s="27" t="str">
        <f>IF(ISBLANK(I32),"",IF(OR(I32="TK/0",I32="TK/1",I32="K/0"),"TER A",IF(I32="K/3","TER C","TER B")))</f>
        <v>TER A</v>
      </c>
      <c r="K32" s="20">
        <f t="shared" si="2"/>
        <v>4169500</v>
      </c>
      <c r="L32" s="20">
        <f t="shared" si="3"/>
        <v>34347.599999999999</v>
      </c>
      <c r="M32" s="49">
        <f>[2]MAINTENANCE!AO36</f>
        <v>163560</v>
      </c>
      <c r="N32" s="49">
        <f>[2]MAINTENANCE!X36</f>
        <v>69750</v>
      </c>
      <c r="O32" s="50"/>
      <c r="P32" s="49"/>
      <c r="Q32" s="49">
        <f>[2]MAINTENANCE!AD36</f>
        <v>54000</v>
      </c>
      <c r="R32" s="50"/>
      <c r="S32" s="49"/>
      <c r="T32" s="49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49">
        <f>-[2]MAINTENANCE!BC36</f>
        <v>0</v>
      </c>
      <c r="AG32" s="21">
        <f t="shared" si="4"/>
        <v>4491158</v>
      </c>
      <c r="AH32" s="68">
        <f t="shared" si="0"/>
        <v>0</v>
      </c>
      <c r="AI32" s="60">
        <f t="shared" si="5"/>
        <v>0</v>
      </c>
      <c r="AJ32" s="22">
        <f>[2]MAINTENANCE!AJ36</f>
        <v>4293250</v>
      </c>
      <c r="AK32" s="23">
        <f t="shared" si="6"/>
        <v>197907.6</v>
      </c>
      <c r="AL32" s="63">
        <f t="shared" si="7"/>
        <v>4491157.5999999996</v>
      </c>
      <c r="AM32" s="23">
        <f t="shared" si="8"/>
        <v>0.40000000037252903</v>
      </c>
      <c r="AN32" s="23"/>
      <c r="AO32" s="23"/>
      <c r="AP32" s="22"/>
      <c r="AQ32" s="22"/>
      <c r="AR32" s="22"/>
      <c r="AS32" s="22"/>
      <c r="AT32" s="23"/>
      <c r="AV32" s="23"/>
    </row>
    <row r="33" spans="2:48" s="1" customFormat="1" ht="21.75" customHeight="1" x14ac:dyDescent="0.25">
      <c r="B33" s="54">
        <v>28</v>
      </c>
      <c r="C33" s="95" t="s">
        <v>138</v>
      </c>
      <c r="D33" s="75" t="s">
        <v>139</v>
      </c>
      <c r="E33" s="76" t="s">
        <v>140</v>
      </c>
      <c r="F33" s="77" t="s">
        <v>141</v>
      </c>
      <c r="G33" s="25" t="s">
        <v>132</v>
      </c>
      <c r="H33" s="26" t="s">
        <v>34</v>
      </c>
      <c r="I33" s="26" t="s">
        <v>42</v>
      </c>
      <c r="J33" s="27" t="str">
        <f t="shared" si="1"/>
        <v>TER A</v>
      </c>
      <c r="K33" s="20">
        <f t="shared" si="2"/>
        <v>4169500</v>
      </c>
      <c r="L33" s="20">
        <f t="shared" si="3"/>
        <v>34700.400000000001</v>
      </c>
      <c r="M33" s="49">
        <f>[2]OPERATOR!AJ10</f>
        <v>165240</v>
      </c>
      <c r="N33" s="50">
        <f>[2]OPERATOR!T10</f>
        <v>69750</v>
      </c>
      <c r="O33" s="50">
        <f>[2]OPERATOR!W10</f>
        <v>80500</v>
      </c>
      <c r="P33" s="50">
        <f>[2]OPERATOR!AA10</f>
        <v>1096213.8999999999</v>
      </c>
      <c r="Q33" s="50">
        <f>[2]OPERATOR!Z10</f>
        <v>96000</v>
      </c>
      <c r="R33" s="50"/>
      <c r="S33" s="50"/>
      <c r="T33" s="50"/>
      <c r="U33" s="50"/>
      <c r="V33" s="50"/>
      <c r="W33" s="50"/>
      <c r="X33" s="50"/>
      <c r="Y33" s="50">
        <f>[2]OPERATOR!AB10</f>
        <v>1328200</v>
      </c>
      <c r="Z33" s="50"/>
      <c r="AA33" s="50"/>
      <c r="AB33" s="50"/>
      <c r="AC33" s="50"/>
      <c r="AD33" s="50"/>
      <c r="AE33" s="50"/>
      <c r="AF33" s="49">
        <f>-[2]OPERATOR!AY10</f>
        <v>0</v>
      </c>
      <c r="AG33" s="21">
        <f t="shared" si="4"/>
        <v>7040104</v>
      </c>
      <c r="AH33" s="68">
        <f t="shared" si="0"/>
        <v>1.2500000000000001E-2</v>
      </c>
      <c r="AI33" s="60">
        <f t="shared" si="5"/>
        <v>88001</v>
      </c>
      <c r="AJ33" s="22">
        <f>[2]OPERATOR!AE10</f>
        <v>6840163.9000000004</v>
      </c>
      <c r="AK33" s="23">
        <f t="shared" si="6"/>
        <v>199940.4</v>
      </c>
      <c r="AL33" s="63">
        <f t="shared" si="7"/>
        <v>7040104.3000000007</v>
      </c>
      <c r="AM33" s="23">
        <f t="shared" si="8"/>
        <v>-0.30000000074505806</v>
      </c>
      <c r="AN33" s="23"/>
      <c r="AO33" s="23"/>
      <c r="AP33" s="22"/>
      <c r="AQ33" s="22"/>
      <c r="AR33" s="22"/>
      <c r="AS33" s="22"/>
      <c r="AT33" s="23"/>
      <c r="AV33" s="23"/>
    </row>
    <row r="34" spans="2:48" s="1" customFormat="1" ht="21.75" customHeight="1" x14ac:dyDescent="0.25">
      <c r="B34" s="54">
        <v>29</v>
      </c>
      <c r="C34" s="24" t="s">
        <v>142</v>
      </c>
      <c r="D34" s="75" t="s">
        <v>143</v>
      </c>
      <c r="E34" s="76" t="s">
        <v>144</v>
      </c>
      <c r="F34" s="77" t="s">
        <v>145</v>
      </c>
      <c r="G34" s="25" t="s">
        <v>137</v>
      </c>
      <c r="H34" s="26" t="s">
        <v>34</v>
      </c>
      <c r="I34" s="26" t="s">
        <v>35</v>
      </c>
      <c r="J34" s="27" t="str">
        <f t="shared" si="1"/>
        <v>TER B</v>
      </c>
      <c r="K34" s="20">
        <f t="shared" si="2"/>
        <v>4169500</v>
      </c>
      <c r="L34" s="20">
        <f t="shared" si="3"/>
        <v>34200.6</v>
      </c>
      <c r="M34" s="49">
        <f>[2]OPERATOR!AJ11</f>
        <v>162860</v>
      </c>
      <c r="N34" s="50">
        <f>[2]OPERATOR!T11</f>
        <v>172050</v>
      </c>
      <c r="O34" s="50">
        <f>[2]OPERATOR!W11</f>
        <v>62500</v>
      </c>
      <c r="P34" s="50">
        <f>[2]OPERATOR!AA11</f>
        <v>1212832.3999999999</v>
      </c>
      <c r="Q34" s="50">
        <f>[2]OPERATOR!Z11</f>
        <v>36500</v>
      </c>
      <c r="R34" s="50"/>
      <c r="S34" s="50"/>
      <c r="T34" s="50"/>
      <c r="U34" s="50"/>
      <c r="V34" s="50"/>
      <c r="W34" s="50"/>
      <c r="X34" s="50"/>
      <c r="Y34" s="50">
        <f>[2]OPERATOR!AB11</f>
        <v>1607500</v>
      </c>
      <c r="Z34" s="50"/>
      <c r="AA34" s="50"/>
      <c r="AB34" s="50"/>
      <c r="AC34" s="50"/>
      <c r="AD34" s="50"/>
      <c r="AE34" s="50"/>
      <c r="AF34" s="49">
        <f>-[2]OPERATOR!AY11</f>
        <v>0</v>
      </c>
      <c r="AG34" s="21">
        <f t="shared" si="4"/>
        <v>7457943</v>
      </c>
      <c r="AH34" s="68">
        <f t="shared" si="0"/>
        <v>0.01</v>
      </c>
      <c r="AI34" s="60">
        <f t="shared" si="5"/>
        <v>74579</v>
      </c>
      <c r="AJ34" s="22">
        <f>[2]OPERATOR!AE11</f>
        <v>7260882.4000000004</v>
      </c>
      <c r="AK34" s="23">
        <f t="shared" si="6"/>
        <v>197060.6</v>
      </c>
      <c r="AL34" s="63">
        <f t="shared" si="7"/>
        <v>7457943</v>
      </c>
      <c r="AM34" s="23">
        <f t="shared" si="8"/>
        <v>0</v>
      </c>
      <c r="AN34" s="23"/>
      <c r="AO34" s="23"/>
      <c r="AP34" s="22"/>
      <c r="AQ34" s="22"/>
      <c r="AR34" s="22"/>
      <c r="AS34" s="22"/>
      <c r="AT34" s="23"/>
      <c r="AV34" s="23"/>
    </row>
    <row r="35" spans="2:48" s="1" customFormat="1" ht="21.75" customHeight="1" x14ac:dyDescent="0.25">
      <c r="B35" s="54">
        <v>30</v>
      </c>
      <c r="C35" s="24" t="s">
        <v>146</v>
      </c>
      <c r="D35" s="75" t="s">
        <v>147</v>
      </c>
      <c r="E35" s="76" t="s">
        <v>148</v>
      </c>
      <c r="F35" s="77" t="s">
        <v>149</v>
      </c>
      <c r="G35" s="25" t="s">
        <v>132</v>
      </c>
      <c r="H35" s="26" t="s">
        <v>34</v>
      </c>
      <c r="I35" s="26" t="s">
        <v>103</v>
      </c>
      <c r="J35" s="27" t="str">
        <f t="shared" si="1"/>
        <v>TER C</v>
      </c>
      <c r="K35" s="20">
        <f t="shared" si="2"/>
        <v>4169500</v>
      </c>
      <c r="L35" s="20">
        <f t="shared" si="3"/>
        <v>34641.599999999999</v>
      </c>
      <c r="M35" s="49">
        <f>[2]OPERATOR!AJ12</f>
        <v>164960</v>
      </c>
      <c r="N35" s="50">
        <f>[2]OPERATOR!T12</f>
        <v>166500</v>
      </c>
      <c r="O35" s="50">
        <f>[2]OPERATOR!W12</f>
        <v>84000</v>
      </c>
      <c r="P35" s="50">
        <f>[2]OPERATOR!AA12</f>
        <v>723034.7</v>
      </c>
      <c r="Q35" s="50">
        <f>[2]OPERATOR!Z12</f>
        <v>89000</v>
      </c>
      <c r="R35" s="50"/>
      <c r="S35" s="50"/>
      <c r="T35" s="50"/>
      <c r="U35" s="50"/>
      <c r="V35" s="50"/>
      <c r="W35" s="50"/>
      <c r="X35" s="50"/>
      <c r="Y35" s="50">
        <f>[2]OPERATOR!AB12</f>
        <v>1301000</v>
      </c>
      <c r="Z35" s="50"/>
      <c r="AA35" s="50"/>
      <c r="AB35" s="50"/>
      <c r="AC35" s="50"/>
      <c r="AD35" s="50"/>
      <c r="AE35" s="50"/>
      <c r="AF35" s="49">
        <f>-[2]OPERATOR!AY12</f>
        <v>-134500</v>
      </c>
      <c r="AG35" s="21">
        <f t="shared" si="4"/>
        <v>6598136</v>
      </c>
      <c r="AH35" s="68">
        <f t="shared" si="0"/>
        <v>0</v>
      </c>
      <c r="AI35" s="60">
        <f t="shared" si="5"/>
        <v>0</v>
      </c>
      <c r="AJ35" s="22">
        <f>[2]OPERATOR!AE12</f>
        <v>6398534.7000000002</v>
      </c>
      <c r="AK35" s="23">
        <f t="shared" si="6"/>
        <v>199601.6</v>
      </c>
      <c r="AL35" s="63">
        <f t="shared" si="7"/>
        <v>6598136.2999999998</v>
      </c>
      <c r="AM35" s="23">
        <f t="shared" si="8"/>
        <v>-0.29999999981373549</v>
      </c>
      <c r="AN35" s="23"/>
      <c r="AO35" s="23"/>
      <c r="AP35" s="22"/>
      <c r="AQ35" s="22"/>
      <c r="AR35" s="22"/>
      <c r="AS35" s="22"/>
      <c r="AT35" s="23"/>
      <c r="AV35" s="23"/>
    </row>
    <row r="36" spans="2:48" s="1" customFormat="1" ht="21.75" customHeight="1" x14ac:dyDescent="0.25">
      <c r="B36" s="54">
        <v>31</v>
      </c>
      <c r="C36" s="24" t="s">
        <v>150</v>
      </c>
      <c r="D36" s="75" t="s">
        <v>151</v>
      </c>
      <c r="E36" s="76" t="s">
        <v>152</v>
      </c>
      <c r="F36" s="77" t="s">
        <v>153</v>
      </c>
      <c r="G36" s="25" t="s">
        <v>137</v>
      </c>
      <c r="H36" s="26" t="s">
        <v>34</v>
      </c>
      <c r="I36" s="26" t="s">
        <v>35</v>
      </c>
      <c r="J36" s="27" t="str">
        <f t="shared" si="1"/>
        <v>TER B</v>
      </c>
      <c r="K36" s="20">
        <f t="shared" si="2"/>
        <v>4169500</v>
      </c>
      <c r="L36" s="20">
        <f t="shared" si="3"/>
        <v>34288.799999999996</v>
      </c>
      <c r="M36" s="49">
        <f>[2]OPERATOR!AJ13</f>
        <v>163280</v>
      </c>
      <c r="N36" s="50">
        <f>[2]OPERATOR!T13</f>
        <v>172050</v>
      </c>
      <c r="O36" s="50">
        <f>[2]OPERATOR!W13</f>
        <v>57500</v>
      </c>
      <c r="P36" s="50">
        <f>[2]OPERATOR!AA13</f>
        <v>862976.90000000014</v>
      </c>
      <c r="Q36" s="50">
        <f>[2]OPERATOR!Z13</f>
        <v>47000</v>
      </c>
      <c r="R36" s="50"/>
      <c r="S36" s="50"/>
      <c r="T36" s="50"/>
      <c r="U36" s="50"/>
      <c r="V36" s="50"/>
      <c r="W36" s="50"/>
      <c r="X36" s="50"/>
      <c r="Y36" s="50">
        <f>[2]OPERATOR!AB13</f>
        <v>1389000</v>
      </c>
      <c r="Z36" s="50"/>
      <c r="AA36" s="50"/>
      <c r="AB36" s="50"/>
      <c r="AC36" s="50"/>
      <c r="AD36" s="50"/>
      <c r="AE36" s="50"/>
      <c r="AF36" s="49">
        <f>-[2]OPERATOR!AY13</f>
        <v>0</v>
      </c>
      <c r="AG36" s="21">
        <f t="shared" si="4"/>
        <v>6895596</v>
      </c>
      <c r="AH36" s="68">
        <f t="shared" si="0"/>
        <v>7.4999999999999997E-3</v>
      </c>
      <c r="AI36" s="60">
        <f t="shared" si="5"/>
        <v>51717</v>
      </c>
      <c r="AJ36" s="22">
        <f>[2]OPERATOR!AE13</f>
        <v>6698026.9000000004</v>
      </c>
      <c r="AK36" s="23">
        <f t="shared" si="6"/>
        <v>197568.8</v>
      </c>
      <c r="AL36" s="63">
        <f t="shared" si="7"/>
        <v>6895595.7000000002</v>
      </c>
      <c r="AM36" s="23">
        <f t="shared" si="8"/>
        <v>0.29999999981373549</v>
      </c>
      <c r="AN36" s="23"/>
      <c r="AO36" s="23"/>
      <c r="AP36" s="22"/>
      <c r="AQ36" s="22"/>
      <c r="AR36" s="22"/>
      <c r="AS36" s="22"/>
      <c r="AT36" s="23"/>
      <c r="AV36" s="23"/>
    </row>
    <row r="37" spans="2:48" s="1" customFormat="1" ht="21.75" customHeight="1" x14ac:dyDescent="0.25">
      <c r="B37" s="54">
        <v>32</v>
      </c>
      <c r="C37" s="24" t="s">
        <v>130</v>
      </c>
      <c r="D37" s="75" t="s">
        <v>281</v>
      </c>
      <c r="E37" s="76" t="s">
        <v>131</v>
      </c>
      <c r="F37" s="77" t="s">
        <v>282</v>
      </c>
      <c r="G37" s="25" t="s">
        <v>132</v>
      </c>
      <c r="H37" s="26" t="s">
        <v>34</v>
      </c>
      <c r="I37" s="26" t="s">
        <v>87</v>
      </c>
      <c r="J37" s="27" t="str">
        <f t="shared" si="1"/>
        <v>TER B</v>
      </c>
      <c r="K37" s="20">
        <f t="shared" si="2"/>
        <v>4169500</v>
      </c>
      <c r="L37" s="20">
        <f t="shared" si="3"/>
        <v>34318.199999999997</v>
      </c>
      <c r="M37" s="49">
        <f>[2]OPERATOR!AJ14</f>
        <v>163420</v>
      </c>
      <c r="N37" s="50">
        <f>[2]OPERATOR!T14</f>
        <v>130200</v>
      </c>
      <c r="O37" s="50">
        <f>[2]OPERATOR!W14</f>
        <v>84000</v>
      </c>
      <c r="P37" s="50">
        <f>[2]OPERATOR!AA14</f>
        <v>1364436.4500000002</v>
      </c>
      <c r="Q37" s="50">
        <f>[2]OPERATOR!Z14</f>
        <v>50500</v>
      </c>
      <c r="R37" s="50"/>
      <c r="S37" s="50"/>
      <c r="T37" s="50"/>
      <c r="U37" s="50"/>
      <c r="V37" s="50"/>
      <c r="W37" s="50"/>
      <c r="X37" s="50"/>
      <c r="Y37" s="50">
        <f>[2]OPERATOR!AB14</f>
        <v>1908450</v>
      </c>
      <c r="Z37" s="50"/>
      <c r="AA37" s="50"/>
      <c r="AB37" s="50"/>
      <c r="AC37" s="50"/>
      <c r="AD37" s="50"/>
      <c r="AE37" s="50"/>
      <c r="AF37" s="49">
        <f>-[2]OPERATOR!AY14</f>
        <v>0</v>
      </c>
      <c r="AG37" s="21">
        <f t="shared" si="4"/>
        <v>7904825</v>
      </c>
      <c r="AH37" s="68">
        <f t="shared" si="0"/>
        <v>0.01</v>
      </c>
      <c r="AI37" s="60">
        <f t="shared" si="5"/>
        <v>79048</v>
      </c>
      <c r="AJ37" s="22">
        <f>[2]OPERATOR!AE14</f>
        <v>7707086.4500000002</v>
      </c>
      <c r="AK37" s="23">
        <f t="shared" si="6"/>
        <v>197738.2</v>
      </c>
      <c r="AL37" s="63">
        <f t="shared" si="7"/>
        <v>7904824.6500000004</v>
      </c>
      <c r="AM37" s="23">
        <f t="shared" si="8"/>
        <v>0.34999999962747097</v>
      </c>
      <c r="AN37" s="23"/>
      <c r="AO37" s="23"/>
      <c r="AP37" s="22"/>
      <c r="AQ37" s="22"/>
      <c r="AR37" s="22"/>
      <c r="AS37" s="22"/>
      <c r="AT37" s="23"/>
      <c r="AV37" s="23"/>
    </row>
    <row r="38" spans="2:48" s="1" customFormat="1" ht="21.75" customHeight="1" x14ac:dyDescent="0.25">
      <c r="B38" s="54">
        <v>33</v>
      </c>
      <c r="C38" s="24" t="s">
        <v>133</v>
      </c>
      <c r="D38" s="75" t="s">
        <v>134</v>
      </c>
      <c r="E38" s="76" t="s">
        <v>135</v>
      </c>
      <c r="F38" s="77" t="s">
        <v>136</v>
      </c>
      <c r="G38" s="25" t="s">
        <v>137</v>
      </c>
      <c r="H38" s="26" t="s">
        <v>34</v>
      </c>
      <c r="I38" s="26" t="s">
        <v>87</v>
      </c>
      <c r="J38" s="27" t="str">
        <f t="shared" si="1"/>
        <v>TER B</v>
      </c>
      <c r="K38" s="20">
        <f t="shared" si="2"/>
        <v>4169500</v>
      </c>
      <c r="L38" s="20">
        <f t="shared" si="3"/>
        <v>34200.6</v>
      </c>
      <c r="M38" s="49">
        <f>[2]OPERATOR!AJ15</f>
        <v>162860</v>
      </c>
      <c r="N38" s="50">
        <f>[2]OPERATOR!T15</f>
        <v>144150</v>
      </c>
      <c r="O38" s="50">
        <f>[2]OPERATOR!W15</f>
        <v>57500</v>
      </c>
      <c r="P38" s="50">
        <f>[2]OPERATOR!AA15</f>
        <v>1166185</v>
      </c>
      <c r="Q38" s="50">
        <f>[2]OPERATOR!Z15</f>
        <v>36500</v>
      </c>
      <c r="R38" s="50"/>
      <c r="S38" s="50"/>
      <c r="T38" s="50"/>
      <c r="U38" s="50"/>
      <c r="V38" s="50"/>
      <c r="W38" s="50"/>
      <c r="X38" s="50"/>
      <c r="Y38" s="50">
        <f>[2]OPERATOR!AB15</f>
        <v>1877850</v>
      </c>
      <c r="Z38" s="50"/>
      <c r="AA38" s="50"/>
      <c r="AB38" s="50"/>
      <c r="AC38" s="50"/>
      <c r="AD38" s="50"/>
      <c r="AE38" s="50"/>
      <c r="AF38" s="49">
        <f>-[2]OPERATOR!AY15</f>
        <v>0</v>
      </c>
      <c r="AG38" s="21">
        <f t="shared" si="4"/>
        <v>7648746</v>
      </c>
      <c r="AH38" s="68">
        <f t="shared" si="0"/>
        <v>0.01</v>
      </c>
      <c r="AI38" s="60">
        <f t="shared" si="5"/>
        <v>76487</v>
      </c>
      <c r="AJ38" s="22">
        <f>[2]OPERATOR!AE15</f>
        <v>7451685</v>
      </c>
      <c r="AK38" s="23">
        <f t="shared" si="6"/>
        <v>197060.6</v>
      </c>
      <c r="AL38" s="63">
        <f t="shared" si="7"/>
        <v>7648745.5999999996</v>
      </c>
      <c r="AM38" s="23">
        <f t="shared" si="8"/>
        <v>0.40000000037252903</v>
      </c>
      <c r="AN38" s="23"/>
      <c r="AO38" s="23"/>
      <c r="AP38" s="22"/>
      <c r="AQ38" s="22"/>
      <c r="AR38" s="22"/>
      <c r="AS38" s="22"/>
      <c r="AT38" s="23"/>
      <c r="AV38" s="23"/>
    </row>
    <row r="39" spans="2:48" s="1" customFormat="1" ht="21.75" customHeight="1" x14ac:dyDescent="0.25">
      <c r="B39" s="54">
        <v>34</v>
      </c>
      <c r="C39" s="94" t="s">
        <v>154</v>
      </c>
      <c r="D39" s="75" t="s">
        <v>155</v>
      </c>
      <c r="E39" s="76" t="s">
        <v>156</v>
      </c>
      <c r="F39" s="77" t="s">
        <v>157</v>
      </c>
      <c r="G39" s="25" t="s">
        <v>158</v>
      </c>
      <c r="H39" s="26" t="s">
        <v>34</v>
      </c>
      <c r="I39" s="96" t="s">
        <v>110</v>
      </c>
      <c r="J39" s="27" t="str">
        <f t="shared" si="1"/>
        <v>TER A</v>
      </c>
      <c r="K39" s="20">
        <f t="shared" si="2"/>
        <v>4169500</v>
      </c>
      <c r="L39" s="20">
        <f t="shared" si="3"/>
        <v>34318.199999999997</v>
      </c>
      <c r="M39" s="49">
        <f>[2]HARVESTING!AP10</f>
        <v>163420</v>
      </c>
      <c r="N39" s="50">
        <f>[2]HARVESTING!T10</f>
        <v>114700</v>
      </c>
      <c r="O39" s="50">
        <f>[2]HARVESTING!W10</f>
        <v>87500</v>
      </c>
      <c r="P39" s="50">
        <f>[2]HARVESTING!AI10</f>
        <v>0</v>
      </c>
      <c r="Q39" s="50">
        <f>[2]HARVESTING!Z10</f>
        <v>50500</v>
      </c>
      <c r="R39" s="50">
        <f>[2]HARVESTING!AA10</f>
        <v>1650000</v>
      </c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49">
        <f>-[2]HARVESTING!BE10</f>
        <v>0</v>
      </c>
      <c r="AG39" s="21">
        <f t="shared" si="4"/>
        <v>6269938</v>
      </c>
      <c r="AH39" s="68">
        <f t="shared" si="0"/>
        <v>7.4999999999999997E-3</v>
      </c>
      <c r="AI39" s="60">
        <f t="shared" si="5"/>
        <v>47025</v>
      </c>
      <c r="AJ39" s="22">
        <f>[2]HARVESTING!AK10</f>
        <v>6072200</v>
      </c>
      <c r="AK39" s="23">
        <f t="shared" si="6"/>
        <v>197738.2</v>
      </c>
      <c r="AL39" s="63">
        <f t="shared" si="7"/>
        <v>6269938.2000000002</v>
      </c>
      <c r="AM39" s="23">
        <f t="shared" si="8"/>
        <v>-0.20000000018626451</v>
      </c>
      <c r="AN39" s="23"/>
      <c r="AO39" s="23"/>
      <c r="AP39" s="22"/>
      <c r="AQ39" s="22"/>
      <c r="AR39" s="22"/>
      <c r="AS39" s="22"/>
      <c r="AT39" s="23"/>
      <c r="AV39" s="23"/>
    </row>
    <row r="40" spans="2:48" s="1" customFormat="1" ht="21.75" customHeight="1" x14ac:dyDescent="0.25">
      <c r="B40" s="54">
        <v>35</v>
      </c>
      <c r="C40" s="24" t="s">
        <v>270</v>
      </c>
      <c r="D40" s="75" t="s">
        <v>274</v>
      </c>
      <c r="E40" s="76" t="s">
        <v>96</v>
      </c>
      <c r="F40" s="77" t="s">
        <v>275</v>
      </c>
      <c r="G40" s="25" t="s">
        <v>218</v>
      </c>
      <c r="H40" s="26" t="s">
        <v>34</v>
      </c>
      <c r="I40" s="96" t="s">
        <v>87</v>
      </c>
      <c r="J40" s="27" t="str">
        <f t="shared" si="1"/>
        <v>TER B</v>
      </c>
      <c r="K40" s="20">
        <f t="shared" si="2"/>
        <v>4169500</v>
      </c>
      <c r="L40" s="20">
        <f t="shared" si="3"/>
        <v>33978</v>
      </c>
      <c r="M40" s="49">
        <f>[2]HARVESTING!AP11</f>
        <v>161800</v>
      </c>
      <c r="N40" s="50">
        <f>[2]HARVESTING!T11</f>
        <v>144150</v>
      </c>
      <c r="O40" s="50">
        <f>[2]HARVESTING!W11</f>
        <v>60000</v>
      </c>
      <c r="P40" s="50">
        <f>[2]HARVESTING!AI11</f>
        <v>0</v>
      </c>
      <c r="Q40" s="50">
        <f>[2]HARVESTING!Z11</f>
        <v>10000</v>
      </c>
      <c r="R40" s="50">
        <f>[2]HARVESTING!AA11</f>
        <v>1849200</v>
      </c>
      <c r="S40" s="62"/>
      <c r="T40" s="62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49">
        <f>-[2]HARVESTING!BE11</f>
        <v>0</v>
      </c>
      <c r="AG40" s="21">
        <f t="shared" si="4"/>
        <v>6428628</v>
      </c>
      <c r="AH40" s="68">
        <f t="shared" si="0"/>
        <v>2.5000000000000001E-3</v>
      </c>
      <c r="AI40" s="60">
        <f t="shared" si="5"/>
        <v>16072</v>
      </c>
      <c r="AJ40" s="22">
        <f>[2]HARVESTING!AK11</f>
        <v>6232850</v>
      </c>
      <c r="AK40" s="23">
        <f t="shared" si="6"/>
        <v>195778</v>
      </c>
      <c r="AL40" s="63">
        <f t="shared" si="7"/>
        <v>6428628</v>
      </c>
      <c r="AM40" s="23">
        <f t="shared" si="8"/>
        <v>0</v>
      </c>
      <c r="AN40" s="23"/>
      <c r="AO40" s="23"/>
      <c r="AP40" s="22"/>
      <c r="AQ40" s="22"/>
      <c r="AR40" s="22"/>
      <c r="AS40" s="22"/>
      <c r="AT40" s="23"/>
      <c r="AV40" s="23"/>
    </row>
    <row r="41" spans="2:48" s="1" customFormat="1" ht="21.75" customHeight="1" x14ac:dyDescent="0.25">
      <c r="B41" s="54">
        <v>36</v>
      </c>
      <c r="C41" s="24" t="s">
        <v>159</v>
      </c>
      <c r="D41" s="79" t="s">
        <v>160</v>
      </c>
      <c r="E41" s="76" t="s">
        <v>161</v>
      </c>
      <c r="F41" s="77" t="s">
        <v>162</v>
      </c>
      <c r="G41" s="25" t="s">
        <v>163</v>
      </c>
      <c r="H41" s="26" t="s">
        <v>34</v>
      </c>
      <c r="I41" s="96" t="s">
        <v>35</v>
      </c>
      <c r="J41" s="27" t="str">
        <f t="shared" si="1"/>
        <v>TER B</v>
      </c>
      <c r="K41" s="20">
        <f t="shared" si="2"/>
        <v>4169500</v>
      </c>
      <c r="L41" s="20">
        <f t="shared" si="3"/>
        <v>34120.799999999996</v>
      </c>
      <c r="M41" s="49">
        <f>[2]HARVESTING!AP12</f>
        <v>162480</v>
      </c>
      <c r="N41" s="50">
        <f>[2]HARVESTING!T12</f>
        <v>172050</v>
      </c>
      <c r="O41" s="50"/>
      <c r="P41" s="50"/>
      <c r="Q41" s="50">
        <f>[2]HARVESTING!Z12</f>
        <v>27000</v>
      </c>
      <c r="R41" s="50"/>
      <c r="S41" s="50">
        <f>[2]HARVESTING!AB12</f>
        <v>150763</v>
      </c>
      <c r="T41" s="50">
        <f>[2]HARVESTING!AC12</f>
        <v>498750</v>
      </c>
      <c r="U41" s="50">
        <f>[2]HARVESTING!AD12</f>
        <v>332150</v>
      </c>
      <c r="V41" s="50">
        <f>[2]HARVESTING!AG12</f>
        <v>0</v>
      </c>
      <c r="W41" s="50">
        <f>[2]HARVESTING!AE12</f>
        <v>0</v>
      </c>
      <c r="X41" s="50"/>
      <c r="Y41" s="50"/>
      <c r="Z41" s="50"/>
      <c r="AA41" s="50"/>
      <c r="AB41" s="50"/>
      <c r="AC41" s="50"/>
      <c r="AD41" s="50"/>
      <c r="AE41" s="50">
        <f>-[2]HARVESTING!AH12</f>
        <v>0</v>
      </c>
      <c r="AF41" s="49">
        <f>-[2]HARVESTING!BE12</f>
        <v>0</v>
      </c>
      <c r="AG41" s="21">
        <f t="shared" si="4"/>
        <v>5546814</v>
      </c>
      <c r="AH41" s="68">
        <f t="shared" si="0"/>
        <v>0</v>
      </c>
      <c r="AI41" s="60">
        <f t="shared" si="5"/>
        <v>0</v>
      </c>
      <c r="AJ41" s="22">
        <f>[2]HARVESTING!AK12</f>
        <v>5350213</v>
      </c>
      <c r="AK41" s="23">
        <f t="shared" si="6"/>
        <v>196600.8</v>
      </c>
      <c r="AL41" s="63">
        <f t="shared" si="7"/>
        <v>5546813.7999999998</v>
      </c>
      <c r="AM41" s="23">
        <f t="shared" si="8"/>
        <v>0.20000000018626451</v>
      </c>
      <c r="AN41" s="23"/>
      <c r="AO41" s="23"/>
      <c r="AP41" s="22"/>
      <c r="AQ41" s="22"/>
      <c r="AR41" s="22"/>
      <c r="AS41" s="22"/>
      <c r="AT41" s="23"/>
      <c r="AV41" s="23"/>
    </row>
    <row r="42" spans="2:48" s="1" customFormat="1" ht="21.75" customHeight="1" x14ac:dyDescent="0.25">
      <c r="B42" s="54">
        <v>37</v>
      </c>
      <c r="C42" s="30" t="s">
        <v>164</v>
      </c>
      <c r="D42" s="75" t="s">
        <v>165</v>
      </c>
      <c r="E42" s="76" t="s">
        <v>96</v>
      </c>
      <c r="F42" s="77" t="s">
        <v>162</v>
      </c>
      <c r="G42" s="25" t="s">
        <v>163</v>
      </c>
      <c r="H42" s="26" t="s">
        <v>34</v>
      </c>
      <c r="I42" s="97" t="s">
        <v>87</v>
      </c>
      <c r="J42" s="27" t="str">
        <f t="shared" si="1"/>
        <v>TER B</v>
      </c>
      <c r="K42" s="20">
        <f t="shared" si="2"/>
        <v>4169500</v>
      </c>
      <c r="L42" s="20">
        <f t="shared" si="3"/>
        <v>33999</v>
      </c>
      <c r="M42" s="49">
        <f>[2]HARVESTING!AP13</f>
        <v>161900</v>
      </c>
      <c r="N42" s="50">
        <f>[2]HARVESTING!T13</f>
        <v>144150</v>
      </c>
      <c r="O42" s="50"/>
      <c r="P42" s="50"/>
      <c r="Q42" s="50">
        <f>[2]HARVESTING!Z13</f>
        <v>12500</v>
      </c>
      <c r="R42" s="50"/>
      <c r="S42" s="50">
        <f>[2]HARVESTING!AB13</f>
        <v>194442</v>
      </c>
      <c r="T42" s="50">
        <f>[2]HARVESTING!AC13</f>
        <v>458500</v>
      </c>
      <c r="U42" s="50">
        <f>[2]HARVESTING!AD13</f>
        <v>340600</v>
      </c>
      <c r="V42" s="50">
        <f>[2]HARVESTING!AG13</f>
        <v>0</v>
      </c>
      <c r="W42" s="50">
        <f>[2]HARVESTING!AE13</f>
        <v>0</v>
      </c>
      <c r="X42" s="50"/>
      <c r="Y42" s="50"/>
      <c r="Z42" s="50"/>
      <c r="AA42" s="50"/>
      <c r="AB42" s="50"/>
      <c r="AC42" s="50"/>
      <c r="AD42" s="50"/>
      <c r="AE42" s="50">
        <f>-[2]HARVESTING!AH13</f>
        <v>0</v>
      </c>
      <c r="AF42" s="49">
        <f>-[2]HARVESTING!BE13</f>
        <v>0</v>
      </c>
      <c r="AG42" s="21">
        <f t="shared" si="4"/>
        <v>5515591</v>
      </c>
      <c r="AH42" s="68">
        <f t="shared" si="0"/>
        <v>0</v>
      </c>
      <c r="AI42" s="60">
        <f t="shared" si="5"/>
        <v>0</v>
      </c>
      <c r="AJ42" s="22">
        <f>[2]HARVESTING!AK13</f>
        <v>5319692</v>
      </c>
      <c r="AK42" s="23">
        <f t="shared" si="6"/>
        <v>195899</v>
      </c>
      <c r="AL42" s="63">
        <f t="shared" si="7"/>
        <v>5515591</v>
      </c>
      <c r="AM42" s="23">
        <f t="shared" si="8"/>
        <v>0</v>
      </c>
      <c r="AN42" s="23"/>
      <c r="AO42" s="23"/>
      <c r="AP42" s="22"/>
      <c r="AQ42" s="22"/>
      <c r="AR42" s="22"/>
      <c r="AS42" s="22"/>
      <c r="AT42" s="23"/>
      <c r="AV42" s="23"/>
    </row>
    <row r="43" spans="2:48" s="1" customFormat="1" ht="21.75" customHeight="1" x14ac:dyDescent="0.25">
      <c r="B43" s="54">
        <v>38</v>
      </c>
      <c r="C43" s="30" t="s">
        <v>166</v>
      </c>
      <c r="D43" s="75" t="s">
        <v>167</v>
      </c>
      <c r="E43" s="76" t="s">
        <v>96</v>
      </c>
      <c r="F43" s="77" t="s">
        <v>168</v>
      </c>
      <c r="G43" s="25" t="s">
        <v>163</v>
      </c>
      <c r="H43" s="26" t="s">
        <v>34</v>
      </c>
      <c r="I43" s="26" t="s">
        <v>35</v>
      </c>
      <c r="J43" s="27" t="str">
        <f t="shared" si="1"/>
        <v>TER B</v>
      </c>
      <c r="K43" s="20">
        <f t="shared" si="2"/>
        <v>4169500</v>
      </c>
      <c r="L43" s="20">
        <f t="shared" si="3"/>
        <v>33999</v>
      </c>
      <c r="M43" s="49">
        <f>[2]HARVESTING!AP14</f>
        <v>161900</v>
      </c>
      <c r="N43" s="50">
        <f>[2]HARVESTING!T14</f>
        <v>166500</v>
      </c>
      <c r="O43" s="50"/>
      <c r="P43" s="50"/>
      <c r="Q43" s="50">
        <f>[2]HARVESTING!Z14</f>
        <v>12500</v>
      </c>
      <c r="R43" s="50"/>
      <c r="S43" s="50">
        <f>[2]HARVESTING!AB14</f>
        <v>74677</v>
      </c>
      <c r="T43" s="50">
        <f>[2]HARVESTING!AC14</f>
        <v>432250</v>
      </c>
      <c r="U43" s="50">
        <f>[2]HARVESTING!AD14</f>
        <v>338000</v>
      </c>
      <c r="V43" s="50">
        <f>[2]HARVESTING!AG14</f>
        <v>0</v>
      </c>
      <c r="W43" s="50">
        <f>[2]HARVESTING!AE14</f>
        <v>0</v>
      </c>
      <c r="X43" s="50"/>
      <c r="Y43" s="50"/>
      <c r="Z43" s="50"/>
      <c r="AA43" s="50"/>
      <c r="AB43" s="50"/>
      <c r="AC43" s="50"/>
      <c r="AD43" s="50"/>
      <c r="AE43" s="50">
        <f>-[2]HARVESTING!AH14</f>
        <v>-52305.555555555562</v>
      </c>
      <c r="AF43" s="49">
        <f>-[2]HARVESTING!BE14</f>
        <v>-134500</v>
      </c>
      <c r="AG43" s="21">
        <f t="shared" si="4"/>
        <v>5202520</v>
      </c>
      <c r="AH43" s="68">
        <f t="shared" si="0"/>
        <v>0</v>
      </c>
      <c r="AI43" s="60">
        <f t="shared" si="5"/>
        <v>0</v>
      </c>
      <c r="AJ43" s="22">
        <f>[2]HARVESTING!AK14</f>
        <v>5006621.444444444</v>
      </c>
      <c r="AK43" s="23">
        <f t="shared" si="6"/>
        <v>195899</v>
      </c>
      <c r="AL43" s="63">
        <f t="shared" si="7"/>
        <v>5202520.444444444</v>
      </c>
      <c r="AM43" s="23">
        <f t="shared" si="8"/>
        <v>-0.4444444440305233</v>
      </c>
      <c r="AN43" s="23"/>
      <c r="AO43" s="23"/>
      <c r="AP43" s="22"/>
      <c r="AQ43" s="22"/>
      <c r="AR43" s="22"/>
      <c r="AS43" s="22"/>
      <c r="AT43" s="23"/>
      <c r="AV43" s="23"/>
    </row>
    <row r="44" spans="2:48" s="1" customFormat="1" ht="21.75" customHeight="1" x14ac:dyDescent="0.25">
      <c r="B44" s="54">
        <v>39</v>
      </c>
      <c r="C44" s="30" t="s">
        <v>169</v>
      </c>
      <c r="D44" s="75" t="s">
        <v>170</v>
      </c>
      <c r="E44" s="76" t="s">
        <v>96</v>
      </c>
      <c r="F44" s="77" t="s">
        <v>171</v>
      </c>
      <c r="G44" s="25" t="s">
        <v>163</v>
      </c>
      <c r="H44" s="26" t="s">
        <v>34</v>
      </c>
      <c r="I44" s="26" t="s">
        <v>110</v>
      </c>
      <c r="J44" s="27" t="str">
        <f t="shared" si="1"/>
        <v>TER A</v>
      </c>
      <c r="K44" s="20">
        <f t="shared" si="2"/>
        <v>4169500</v>
      </c>
      <c r="L44" s="20">
        <f t="shared" si="3"/>
        <v>33999</v>
      </c>
      <c r="M44" s="49">
        <f>[2]HARVESTING!AP15</f>
        <v>161900</v>
      </c>
      <c r="N44" s="50">
        <f>[2]HARVESTING!T15</f>
        <v>114700</v>
      </c>
      <c r="O44" s="50"/>
      <c r="P44" s="50"/>
      <c r="Q44" s="50">
        <f>[2]HARVESTING!Z15</f>
        <v>12500</v>
      </c>
      <c r="R44" s="50"/>
      <c r="S44" s="50">
        <f>[2]HARVESTING!AB15</f>
        <v>233894</v>
      </c>
      <c r="T44" s="50">
        <f>[2]HARVESTING!AC15</f>
        <v>439250</v>
      </c>
      <c r="U44" s="50">
        <f>[2]HARVESTING!AD15</f>
        <v>339950</v>
      </c>
      <c r="V44" s="50">
        <f>[2]HARVESTING!AG15</f>
        <v>0</v>
      </c>
      <c r="W44" s="50">
        <f>[2]HARVESTING!AE15</f>
        <v>0</v>
      </c>
      <c r="X44" s="50"/>
      <c r="Y44" s="50"/>
      <c r="Z44" s="50"/>
      <c r="AA44" s="50"/>
      <c r="AB44" s="50"/>
      <c r="AC44" s="50"/>
      <c r="AD44" s="50"/>
      <c r="AE44" s="50">
        <f>-[2]HARVESTING!AH15</f>
        <v>-100127.77777777778</v>
      </c>
      <c r="AF44" s="49">
        <f>-[2]HARVESTING!BE15</f>
        <v>0</v>
      </c>
      <c r="AG44" s="21">
        <f t="shared" si="4"/>
        <v>5405565</v>
      </c>
      <c r="AH44" s="68">
        <f t="shared" si="0"/>
        <v>2.5000000000000001E-3</v>
      </c>
      <c r="AI44" s="60">
        <f t="shared" si="5"/>
        <v>13514</v>
      </c>
      <c r="AJ44" s="22">
        <f>[2]HARVESTING!AK15</f>
        <v>5209666.222222222</v>
      </c>
      <c r="AK44" s="23">
        <f t="shared" si="6"/>
        <v>195899</v>
      </c>
      <c r="AL44" s="63">
        <f t="shared" si="7"/>
        <v>5405565.222222222</v>
      </c>
      <c r="AM44" s="23">
        <f t="shared" si="8"/>
        <v>-0.22222222201526165</v>
      </c>
      <c r="AN44" s="23"/>
      <c r="AO44" s="23"/>
      <c r="AP44" s="22"/>
      <c r="AQ44" s="22"/>
      <c r="AR44" s="22"/>
      <c r="AS44" s="22"/>
      <c r="AT44" s="23"/>
      <c r="AV44" s="23"/>
    </row>
    <row r="45" spans="2:48" s="1" customFormat="1" ht="21.75" customHeight="1" x14ac:dyDescent="0.25">
      <c r="B45" s="54">
        <v>40</v>
      </c>
      <c r="C45" s="30" t="s">
        <v>172</v>
      </c>
      <c r="D45" s="75" t="s">
        <v>173</v>
      </c>
      <c r="E45" s="76" t="s">
        <v>96</v>
      </c>
      <c r="F45" s="77" t="s">
        <v>174</v>
      </c>
      <c r="G45" s="25" t="s">
        <v>163</v>
      </c>
      <c r="H45" s="26" t="s">
        <v>34</v>
      </c>
      <c r="I45" s="96" t="s">
        <v>87</v>
      </c>
      <c r="J45" s="27" t="str">
        <f t="shared" si="1"/>
        <v>TER B</v>
      </c>
      <c r="K45" s="20">
        <f t="shared" si="2"/>
        <v>4169500</v>
      </c>
      <c r="L45" s="20">
        <f t="shared" si="3"/>
        <v>33999</v>
      </c>
      <c r="M45" s="49">
        <f>[2]HARVESTING!AP16</f>
        <v>161900</v>
      </c>
      <c r="N45" s="50">
        <f>[2]HARVESTING!T16</f>
        <v>144150</v>
      </c>
      <c r="O45" s="50"/>
      <c r="P45" s="50"/>
      <c r="Q45" s="50">
        <f>[2]HARVESTING!Z16</f>
        <v>12500</v>
      </c>
      <c r="R45" s="50"/>
      <c r="S45" s="50">
        <f>[2]HARVESTING!AB16</f>
        <v>70450</v>
      </c>
      <c r="T45" s="50">
        <f>[2]HARVESTING!AC16</f>
        <v>367500</v>
      </c>
      <c r="U45" s="50">
        <f>[2]HARVESTING!AD16</f>
        <v>340600</v>
      </c>
      <c r="V45" s="50">
        <f>[2]HARVESTING!AG16</f>
        <v>0</v>
      </c>
      <c r="W45" s="50">
        <f>[2]HARVESTING!AE16</f>
        <v>0</v>
      </c>
      <c r="X45" s="50"/>
      <c r="Y45" s="50"/>
      <c r="Z45" s="50"/>
      <c r="AA45" s="50"/>
      <c r="AB45" s="50"/>
      <c r="AC45" s="50"/>
      <c r="AD45" s="50"/>
      <c r="AE45" s="50">
        <f>-[2]HARVESTING!AH16</f>
        <v>-150938.88888888888</v>
      </c>
      <c r="AF45" s="49">
        <f>-[2]HARVESTING!BE16</f>
        <v>0</v>
      </c>
      <c r="AG45" s="21">
        <f t="shared" si="4"/>
        <v>5149660</v>
      </c>
      <c r="AH45" s="68">
        <f t="shared" si="0"/>
        <v>0</v>
      </c>
      <c r="AI45" s="60">
        <f t="shared" si="5"/>
        <v>0</v>
      </c>
      <c r="AJ45" s="22">
        <f>[2]HARVESTING!AK16</f>
        <v>4953761.111111111</v>
      </c>
      <c r="AK45" s="23">
        <f t="shared" si="6"/>
        <v>195899</v>
      </c>
      <c r="AL45" s="63">
        <f t="shared" si="7"/>
        <v>5149660.111111111</v>
      </c>
      <c r="AM45" s="23">
        <f t="shared" si="8"/>
        <v>-0.11111111100763083</v>
      </c>
      <c r="AN45" s="23"/>
      <c r="AO45" s="23"/>
      <c r="AP45" s="22"/>
      <c r="AQ45" s="22"/>
      <c r="AR45" s="22"/>
      <c r="AS45" s="22"/>
      <c r="AT45" s="23"/>
      <c r="AV45" s="23"/>
    </row>
    <row r="46" spans="2:48" s="1" customFormat="1" ht="21.75" customHeight="1" x14ac:dyDescent="0.25">
      <c r="B46" s="54">
        <v>41</v>
      </c>
      <c r="C46" s="30" t="s">
        <v>175</v>
      </c>
      <c r="D46" s="75" t="s">
        <v>176</v>
      </c>
      <c r="E46" s="76" t="s">
        <v>177</v>
      </c>
      <c r="F46" s="77" t="s">
        <v>178</v>
      </c>
      <c r="G46" s="25" t="s">
        <v>163</v>
      </c>
      <c r="H46" s="26" t="s">
        <v>34</v>
      </c>
      <c r="I46" s="26" t="s">
        <v>87</v>
      </c>
      <c r="J46" s="27" t="str">
        <f t="shared" si="1"/>
        <v>TER B</v>
      </c>
      <c r="K46" s="20">
        <f t="shared" si="2"/>
        <v>4169500</v>
      </c>
      <c r="L46" s="20">
        <f t="shared" si="3"/>
        <v>33999</v>
      </c>
      <c r="M46" s="49">
        <f>[2]HARVESTING!AP17</f>
        <v>161900</v>
      </c>
      <c r="N46" s="50">
        <f>[2]HARVESTING!T17</f>
        <v>144150</v>
      </c>
      <c r="O46" s="50"/>
      <c r="P46" s="50"/>
      <c r="Q46" s="50">
        <f>[2]HARVESTING!Z17</f>
        <v>12500</v>
      </c>
      <c r="R46" s="50"/>
      <c r="S46" s="50">
        <f>[2]HARVESTING!AB17</f>
        <v>197260</v>
      </c>
      <c r="T46" s="50">
        <f>[2]HARVESTING!AC17</f>
        <v>500500</v>
      </c>
      <c r="U46" s="50">
        <f>[2]HARVESTING!AD17</f>
        <v>338000</v>
      </c>
      <c r="V46" s="50">
        <f>[2]HARVESTING!AG17</f>
        <v>0</v>
      </c>
      <c r="W46" s="50">
        <f>[2]HARVESTING!AE17</f>
        <v>0</v>
      </c>
      <c r="X46" s="50"/>
      <c r="Y46" s="50"/>
      <c r="Z46" s="50"/>
      <c r="AA46" s="50"/>
      <c r="AB46" s="50"/>
      <c r="AC46" s="50"/>
      <c r="AD46" s="50"/>
      <c r="AE46" s="50">
        <f>-[2]HARVESTING!AH17</f>
        <v>0</v>
      </c>
      <c r="AF46" s="49">
        <f>-[2]HARVESTING!BE17</f>
        <v>0</v>
      </c>
      <c r="AG46" s="21">
        <f t="shared" si="4"/>
        <v>5557809</v>
      </c>
      <c r="AH46" s="68">
        <f t="shared" si="0"/>
        <v>0</v>
      </c>
      <c r="AI46" s="60">
        <f t="shared" si="5"/>
        <v>0</v>
      </c>
      <c r="AJ46" s="22">
        <f>[2]HARVESTING!AK17</f>
        <v>5361910</v>
      </c>
      <c r="AK46" s="23">
        <f t="shared" si="6"/>
        <v>195899</v>
      </c>
      <c r="AL46" s="63">
        <f t="shared" si="7"/>
        <v>5557809</v>
      </c>
      <c r="AM46" s="23">
        <f t="shared" si="8"/>
        <v>0</v>
      </c>
      <c r="AN46" s="23"/>
      <c r="AO46" s="23"/>
      <c r="AP46" s="22"/>
      <c r="AQ46" s="22"/>
      <c r="AR46" s="22"/>
      <c r="AS46" s="22"/>
      <c r="AT46" s="23"/>
      <c r="AV46" s="23"/>
    </row>
    <row r="47" spans="2:48" s="1" customFormat="1" ht="21.75" customHeight="1" x14ac:dyDescent="0.25">
      <c r="B47" s="54">
        <v>42</v>
      </c>
      <c r="C47" s="31" t="s">
        <v>179</v>
      </c>
      <c r="D47" s="75" t="s">
        <v>180</v>
      </c>
      <c r="E47" s="76" t="s">
        <v>96</v>
      </c>
      <c r="F47" s="77" t="s">
        <v>181</v>
      </c>
      <c r="G47" s="25" t="s">
        <v>163</v>
      </c>
      <c r="H47" s="26" t="s">
        <v>34</v>
      </c>
      <c r="I47" s="26" t="s">
        <v>87</v>
      </c>
      <c r="J47" s="27" t="str">
        <f t="shared" si="1"/>
        <v>TER B</v>
      </c>
      <c r="K47" s="20">
        <f t="shared" si="2"/>
        <v>4169500</v>
      </c>
      <c r="L47" s="20">
        <f t="shared" si="3"/>
        <v>33957</v>
      </c>
      <c r="M47" s="49">
        <f>[2]HARVESTING!AP18</f>
        <v>161700</v>
      </c>
      <c r="N47" s="50">
        <f>[2]HARVESTING!T18</f>
        <v>144150</v>
      </c>
      <c r="O47" s="50"/>
      <c r="P47" s="50"/>
      <c r="Q47" s="50">
        <f>[2]HARVESTING!Z18</f>
        <v>7500</v>
      </c>
      <c r="R47" s="50"/>
      <c r="S47" s="50">
        <f>[2]HARVESTING!AB18</f>
        <v>135264</v>
      </c>
      <c r="T47" s="50">
        <f>[2]HARVESTING!AC18</f>
        <v>546000</v>
      </c>
      <c r="U47" s="50">
        <f>[2]HARVESTING!AD18</f>
        <v>338000</v>
      </c>
      <c r="V47" s="50">
        <f>[2]HARVESTING!AG18</f>
        <v>0</v>
      </c>
      <c r="W47" s="50">
        <f>[2]HARVESTING!AE18</f>
        <v>0</v>
      </c>
      <c r="X47" s="50"/>
      <c r="Y47" s="50"/>
      <c r="Z47" s="50"/>
      <c r="AA47" s="50"/>
      <c r="AB47" s="50"/>
      <c r="AC47" s="50"/>
      <c r="AD47" s="50"/>
      <c r="AE47" s="50">
        <f>-[2]HARVESTING!AH18</f>
        <v>-44833.333333333343</v>
      </c>
      <c r="AF47" s="49">
        <f>-[2]HARVESTING!BE18</f>
        <v>0</v>
      </c>
      <c r="AG47" s="21">
        <f t="shared" si="4"/>
        <v>5491238</v>
      </c>
      <c r="AH47" s="68">
        <f t="shared" si="0"/>
        <v>0</v>
      </c>
      <c r="AI47" s="60">
        <f t="shared" si="5"/>
        <v>0</v>
      </c>
      <c r="AJ47" s="22">
        <f>[2]HARVESTING!AK18</f>
        <v>5295580.666666667</v>
      </c>
      <c r="AK47" s="23">
        <f t="shared" si="6"/>
        <v>195657</v>
      </c>
      <c r="AL47" s="63">
        <f t="shared" si="7"/>
        <v>5491237.666666667</v>
      </c>
      <c r="AM47" s="23">
        <f t="shared" si="8"/>
        <v>0.33333333302289248</v>
      </c>
      <c r="AN47" s="23"/>
      <c r="AO47" s="23"/>
      <c r="AP47" s="22"/>
      <c r="AQ47" s="22"/>
      <c r="AR47" s="22"/>
      <c r="AS47" s="22"/>
      <c r="AT47" s="23"/>
      <c r="AV47" s="23"/>
    </row>
    <row r="48" spans="2:48" s="1" customFormat="1" ht="21.75" customHeight="1" x14ac:dyDescent="0.25">
      <c r="B48" s="54">
        <v>43</v>
      </c>
      <c r="C48" s="32" t="s">
        <v>182</v>
      </c>
      <c r="D48" s="80" t="s">
        <v>183</v>
      </c>
      <c r="E48" s="81" t="s">
        <v>96</v>
      </c>
      <c r="F48" s="82" t="s">
        <v>184</v>
      </c>
      <c r="G48" s="25" t="s">
        <v>163</v>
      </c>
      <c r="H48" s="26" t="s">
        <v>34</v>
      </c>
      <c r="I48" s="26" t="s">
        <v>87</v>
      </c>
      <c r="J48" s="27" t="str">
        <f t="shared" si="1"/>
        <v>TER B</v>
      </c>
      <c r="K48" s="20">
        <f t="shared" si="2"/>
        <v>4169500</v>
      </c>
      <c r="L48" s="20">
        <f t="shared" si="3"/>
        <v>34045.199999999997</v>
      </c>
      <c r="M48" s="49">
        <f>[2]HARVESTING!AP19</f>
        <v>162120</v>
      </c>
      <c r="N48" s="50">
        <f>[2]HARVESTING!T19</f>
        <v>125550</v>
      </c>
      <c r="O48" s="50"/>
      <c r="P48" s="50"/>
      <c r="Q48" s="50">
        <f>[2]HARVESTING!Z19</f>
        <v>18000</v>
      </c>
      <c r="R48" s="50"/>
      <c r="S48" s="50">
        <f>[2]HARVESTING!AB19</f>
        <v>123992</v>
      </c>
      <c r="T48" s="50">
        <f>[2]HARVESTING!AC19</f>
        <v>337750</v>
      </c>
      <c r="U48" s="50">
        <f>[2]HARVESTING!AD19</f>
        <v>334100</v>
      </c>
      <c r="V48" s="50">
        <f>[2]HARVESTING!AG19</f>
        <v>0</v>
      </c>
      <c r="W48" s="50">
        <f>[2]HARVESTING!AE19</f>
        <v>0</v>
      </c>
      <c r="X48" s="50"/>
      <c r="Y48" s="50"/>
      <c r="Z48" s="50"/>
      <c r="AA48" s="50"/>
      <c r="AB48" s="50"/>
      <c r="AC48" s="50"/>
      <c r="AD48" s="50"/>
      <c r="AE48" s="50">
        <f>-[2]HARVESTING!AH19</f>
        <v>0</v>
      </c>
      <c r="AF48" s="49">
        <f>-[2]HARVESTING!BE19</f>
        <v>-538000</v>
      </c>
      <c r="AG48" s="21">
        <f t="shared" si="4"/>
        <v>4767057</v>
      </c>
      <c r="AH48" s="68">
        <f t="shared" si="0"/>
        <v>0</v>
      </c>
      <c r="AI48" s="60">
        <f t="shared" si="5"/>
        <v>0</v>
      </c>
      <c r="AJ48" s="22">
        <f>[2]HARVESTING!AK19</f>
        <v>4570892</v>
      </c>
      <c r="AK48" s="23">
        <f t="shared" si="6"/>
        <v>196165.2</v>
      </c>
      <c r="AL48" s="63">
        <f t="shared" si="7"/>
        <v>4767057.2</v>
      </c>
      <c r="AM48" s="23">
        <f t="shared" si="8"/>
        <v>-0.20000000018626451</v>
      </c>
      <c r="AN48" s="23"/>
      <c r="AO48" s="23"/>
      <c r="AP48" s="22"/>
      <c r="AQ48" s="22"/>
      <c r="AR48" s="22"/>
      <c r="AS48" s="22"/>
      <c r="AT48" s="23"/>
      <c r="AV48" s="23"/>
    </row>
    <row r="49" spans="2:48" s="1" customFormat="1" ht="21.75" customHeight="1" x14ac:dyDescent="0.25">
      <c r="B49" s="54">
        <v>44</v>
      </c>
      <c r="C49" s="55" t="s">
        <v>185</v>
      </c>
      <c r="D49" s="80" t="s">
        <v>186</v>
      </c>
      <c r="E49" s="76" t="s">
        <v>96</v>
      </c>
      <c r="F49" s="82" t="s">
        <v>187</v>
      </c>
      <c r="G49" s="25" t="s">
        <v>163</v>
      </c>
      <c r="H49" s="34" t="s">
        <v>34</v>
      </c>
      <c r="I49" s="35" t="s">
        <v>110</v>
      </c>
      <c r="J49" s="27" t="str">
        <f t="shared" si="1"/>
        <v>TER A</v>
      </c>
      <c r="K49" s="20">
        <f t="shared" si="2"/>
        <v>4169500</v>
      </c>
      <c r="L49" s="20">
        <f t="shared" si="3"/>
        <v>33915</v>
      </c>
      <c r="M49" s="49">
        <f>[2]HARVESTING!AP20</f>
        <v>161500</v>
      </c>
      <c r="N49" s="50">
        <f>[2]HARVESTING!T20</f>
        <v>114700</v>
      </c>
      <c r="O49" s="50"/>
      <c r="P49" s="50"/>
      <c r="Q49" s="50">
        <f>[2]HARVESTING!Z20</f>
        <v>2500</v>
      </c>
      <c r="R49" s="50"/>
      <c r="S49" s="50">
        <f>[2]HARVESTING!AB20</f>
        <v>85949</v>
      </c>
      <c r="T49" s="50">
        <f>[2]HARVESTING!AC20</f>
        <v>400750</v>
      </c>
      <c r="U49" s="50">
        <f>[2]HARVESTING!AD20</f>
        <v>338000</v>
      </c>
      <c r="V49" s="50">
        <f>[2]HARVESTING!AG20</f>
        <v>0</v>
      </c>
      <c r="W49" s="50">
        <f>[2]HARVESTING!AE20</f>
        <v>0</v>
      </c>
      <c r="X49" s="50"/>
      <c r="Y49" s="28"/>
      <c r="Z49" s="28"/>
      <c r="AA49" s="28"/>
      <c r="AB49" s="50"/>
      <c r="AC49" s="50"/>
      <c r="AD49" s="50"/>
      <c r="AE49" s="50">
        <f>-[2]HARVESTING!AH20</f>
        <v>-171861.11111111112</v>
      </c>
      <c r="AF49" s="49">
        <f>-[2]HARVESTING!BE20</f>
        <v>0</v>
      </c>
      <c r="AG49" s="21">
        <f t="shared" si="4"/>
        <v>5134953</v>
      </c>
      <c r="AH49" s="68">
        <f t="shared" si="0"/>
        <v>0</v>
      </c>
      <c r="AI49" s="60">
        <f t="shared" si="5"/>
        <v>0</v>
      </c>
      <c r="AJ49" s="22">
        <f>[2]HARVESTING!AK20</f>
        <v>4939537.888888889</v>
      </c>
      <c r="AK49" s="23">
        <f t="shared" si="6"/>
        <v>195415</v>
      </c>
      <c r="AL49" s="63">
        <f t="shared" si="7"/>
        <v>5134952.888888889</v>
      </c>
      <c r="AM49" s="23">
        <f t="shared" si="8"/>
        <v>0.11111111100763083</v>
      </c>
      <c r="AN49" s="23"/>
      <c r="AO49" s="23"/>
      <c r="AP49" s="22"/>
      <c r="AQ49" s="22"/>
      <c r="AR49" s="22"/>
      <c r="AS49" s="22"/>
      <c r="AT49" s="23"/>
      <c r="AV49" s="23"/>
    </row>
    <row r="50" spans="2:48" s="1" customFormat="1" ht="21.75" customHeight="1" x14ac:dyDescent="0.25">
      <c r="B50" s="54">
        <v>45</v>
      </c>
      <c r="C50" s="55" t="s">
        <v>188</v>
      </c>
      <c r="D50" s="80" t="s">
        <v>189</v>
      </c>
      <c r="E50" s="76" t="s">
        <v>96</v>
      </c>
      <c r="F50" s="83" t="s">
        <v>190</v>
      </c>
      <c r="G50" s="25" t="s">
        <v>163</v>
      </c>
      <c r="H50" s="34" t="s">
        <v>34</v>
      </c>
      <c r="I50" s="35" t="s">
        <v>87</v>
      </c>
      <c r="J50" s="27" t="str">
        <f t="shared" si="1"/>
        <v>TER B</v>
      </c>
      <c r="K50" s="20">
        <f t="shared" si="2"/>
        <v>4169500</v>
      </c>
      <c r="L50" s="20">
        <f t="shared" si="3"/>
        <v>34045.199999999997</v>
      </c>
      <c r="M50" s="49">
        <f>[2]HARVESTING!AP21</f>
        <v>162120</v>
      </c>
      <c r="N50" s="50">
        <f>[2]HARVESTING!T21</f>
        <v>144150</v>
      </c>
      <c r="O50" s="50"/>
      <c r="P50" s="50"/>
      <c r="Q50" s="50">
        <f>[2]HARVESTING!Z21</f>
        <v>18000</v>
      </c>
      <c r="R50" s="50"/>
      <c r="S50" s="50">
        <f>[2]HARVESTING!AB21</f>
        <v>133855</v>
      </c>
      <c r="T50" s="50">
        <f>[2]HARVESTING!AC21</f>
        <v>504000</v>
      </c>
      <c r="U50" s="50">
        <f>[2]HARVESTING!AD21</f>
        <v>341900</v>
      </c>
      <c r="V50" s="50">
        <f>[2]HARVESTING!AG21</f>
        <v>0</v>
      </c>
      <c r="W50" s="50">
        <f>[2]HARVESTING!AE21</f>
        <v>0</v>
      </c>
      <c r="X50" s="50"/>
      <c r="Y50" s="28"/>
      <c r="Z50" s="28"/>
      <c r="AA50" s="28"/>
      <c r="AB50" s="50"/>
      <c r="AC50" s="50"/>
      <c r="AD50" s="50"/>
      <c r="AE50" s="50">
        <f>-[2]HARVESTING!AH21</f>
        <v>-65755.555555555562</v>
      </c>
      <c r="AF50" s="49">
        <f>-[2]HARVESTING!BE21</f>
        <v>0</v>
      </c>
      <c r="AG50" s="21">
        <f t="shared" si="4"/>
        <v>5441815</v>
      </c>
      <c r="AH50" s="68">
        <f t="shared" si="0"/>
        <v>0</v>
      </c>
      <c r="AI50" s="60">
        <f t="shared" si="5"/>
        <v>0</v>
      </c>
      <c r="AJ50" s="22">
        <f>[2]HARVESTING!AK21</f>
        <v>5245649.444444444</v>
      </c>
      <c r="AK50" s="23">
        <f t="shared" si="6"/>
        <v>196165.2</v>
      </c>
      <c r="AL50" s="63">
        <f t="shared" si="7"/>
        <v>5441814.6444444442</v>
      </c>
      <c r="AM50" s="23">
        <f t="shared" si="8"/>
        <v>0.35555555578321218</v>
      </c>
      <c r="AN50" s="23"/>
      <c r="AO50" s="23"/>
      <c r="AP50" s="22"/>
      <c r="AQ50" s="22"/>
      <c r="AR50" s="22"/>
      <c r="AS50" s="22"/>
      <c r="AT50" s="23"/>
      <c r="AV50" s="23"/>
    </row>
    <row r="51" spans="2:48" s="1" customFormat="1" ht="21.75" customHeight="1" x14ac:dyDescent="0.25">
      <c r="B51" s="54">
        <v>46</v>
      </c>
      <c r="C51" s="33" t="s">
        <v>191</v>
      </c>
      <c r="D51" s="80" t="s">
        <v>192</v>
      </c>
      <c r="E51" s="76" t="s">
        <v>96</v>
      </c>
      <c r="F51" s="82" t="s">
        <v>248</v>
      </c>
      <c r="G51" s="25" t="s">
        <v>163</v>
      </c>
      <c r="H51" s="34" t="s">
        <v>34</v>
      </c>
      <c r="I51" s="35" t="s">
        <v>42</v>
      </c>
      <c r="J51" s="27" t="str">
        <f t="shared" si="1"/>
        <v>TER A</v>
      </c>
      <c r="K51" s="20">
        <f t="shared" si="2"/>
        <v>4169500</v>
      </c>
      <c r="L51" s="20">
        <f t="shared" si="3"/>
        <v>33915</v>
      </c>
      <c r="M51" s="49">
        <f>[2]HARVESTING!AP22</f>
        <v>161500</v>
      </c>
      <c r="N51" s="50">
        <f>[2]HARVESTING!T22</f>
        <v>69750</v>
      </c>
      <c r="O51" s="50"/>
      <c r="P51" s="50"/>
      <c r="Q51" s="50">
        <f>[2]HARVESTING!Z22</f>
        <v>2500</v>
      </c>
      <c r="R51" s="50"/>
      <c r="S51" s="50">
        <f>[2]HARVESTING!AB22</f>
        <v>150763</v>
      </c>
      <c r="T51" s="50">
        <f>[2]HARVESTING!AC22</f>
        <v>343000</v>
      </c>
      <c r="U51" s="50">
        <f>[2]HARVESTING!AD22</f>
        <v>339300</v>
      </c>
      <c r="V51" s="50">
        <f>[2]HARVESTING!AG22</f>
        <v>0</v>
      </c>
      <c r="W51" s="50">
        <f>[2]HARVESTING!AE22</f>
        <v>0</v>
      </c>
      <c r="X51" s="50"/>
      <c r="Y51" s="50"/>
      <c r="Z51" s="50"/>
      <c r="AA51" s="50"/>
      <c r="AB51" s="50"/>
      <c r="AC51" s="50"/>
      <c r="AD51" s="50"/>
      <c r="AE51" s="50">
        <f>-[2]HARVESTING!AH22</f>
        <v>-161400</v>
      </c>
      <c r="AF51" s="49">
        <f>-[2]HARVESTING!BE22</f>
        <v>0</v>
      </c>
      <c r="AG51" s="21">
        <f t="shared" si="4"/>
        <v>5108828</v>
      </c>
      <c r="AH51" s="68">
        <f t="shared" si="0"/>
        <v>0</v>
      </c>
      <c r="AI51" s="60">
        <f t="shared" si="5"/>
        <v>0</v>
      </c>
      <c r="AJ51" s="22">
        <f>[2]HARVESTING!AK22</f>
        <v>4913413</v>
      </c>
      <c r="AK51" s="23">
        <f t="shared" si="6"/>
        <v>195415</v>
      </c>
      <c r="AL51" s="63">
        <f t="shared" si="7"/>
        <v>5108828</v>
      </c>
      <c r="AM51" s="23">
        <f t="shared" si="8"/>
        <v>0</v>
      </c>
      <c r="AN51" s="23"/>
      <c r="AO51" s="23"/>
      <c r="AP51" s="22"/>
      <c r="AQ51" s="22"/>
      <c r="AR51" s="22"/>
      <c r="AS51" s="22"/>
      <c r="AT51" s="23"/>
      <c r="AV51" s="23"/>
    </row>
    <row r="52" spans="2:48" s="1" customFormat="1" ht="21.75" customHeight="1" x14ac:dyDescent="0.25">
      <c r="B52" s="54">
        <v>47</v>
      </c>
      <c r="C52" s="33" t="s">
        <v>193</v>
      </c>
      <c r="D52" s="80" t="s">
        <v>194</v>
      </c>
      <c r="E52" s="76" t="s">
        <v>96</v>
      </c>
      <c r="F52" s="82" t="s">
        <v>195</v>
      </c>
      <c r="G52" s="25" t="s">
        <v>163</v>
      </c>
      <c r="H52" s="34" t="s">
        <v>34</v>
      </c>
      <c r="I52" s="35" t="s">
        <v>110</v>
      </c>
      <c r="J52" s="27" t="str">
        <f t="shared" si="1"/>
        <v>TER A</v>
      </c>
      <c r="K52" s="20">
        <f t="shared" si="2"/>
        <v>4169500</v>
      </c>
      <c r="L52" s="20">
        <f t="shared" si="3"/>
        <v>33915</v>
      </c>
      <c r="M52" s="49">
        <f>[2]HARVESTING!AP23</f>
        <v>161500</v>
      </c>
      <c r="N52" s="50">
        <f>[2]HARVESTING!T23</f>
        <v>111000</v>
      </c>
      <c r="O52" s="50"/>
      <c r="P52" s="50"/>
      <c r="Q52" s="50">
        <f>[2]HARVESTING!Z23</f>
        <v>2500</v>
      </c>
      <c r="R52" s="50"/>
      <c r="S52" s="50">
        <f>[2]HARVESTING!AB23</f>
        <v>132446</v>
      </c>
      <c r="T52" s="50">
        <f>[2]HARVESTING!AC23</f>
        <v>381500</v>
      </c>
      <c r="U52" s="50">
        <f>[2]HARVESTING!AD23</f>
        <v>344500</v>
      </c>
      <c r="V52" s="50">
        <f>[2]HARVESTING!AG23</f>
        <v>0</v>
      </c>
      <c r="W52" s="50">
        <f>[2]HARVESTING!AE23</f>
        <v>0</v>
      </c>
      <c r="X52" s="50"/>
      <c r="Y52" s="50"/>
      <c r="Z52" s="50"/>
      <c r="AA52" s="50"/>
      <c r="AB52" s="50"/>
      <c r="AC52" s="50"/>
      <c r="AD52" s="50"/>
      <c r="AE52" s="50">
        <f>-[2]HARVESTING!AH23</f>
        <v>0</v>
      </c>
      <c r="AF52" s="49">
        <f>-[2]HARVESTING!BE23</f>
        <v>-134500</v>
      </c>
      <c r="AG52" s="21">
        <f t="shared" si="4"/>
        <v>5202361</v>
      </c>
      <c r="AH52" s="68">
        <f t="shared" si="0"/>
        <v>0</v>
      </c>
      <c r="AI52" s="60">
        <f t="shared" si="5"/>
        <v>0</v>
      </c>
      <c r="AJ52" s="22">
        <f>[2]HARVESTING!AK23</f>
        <v>5006946</v>
      </c>
      <c r="AK52" s="23">
        <f t="shared" si="6"/>
        <v>195415</v>
      </c>
      <c r="AL52" s="63">
        <f t="shared" si="7"/>
        <v>5202361</v>
      </c>
      <c r="AM52" s="23">
        <f t="shared" si="8"/>
        <v>0</v>
      </c>
      <c r="AN52" s="23"/>
      <c r="AO52" s="23"/>
      <c r="AP52" s="22"/>
      <c r="AQ52" s="22"/>
      <c r="AR52" s="22"/>
      <c r="AS52" s="22"/>
      <c r="AT52" s="23"/>
      <c r="AV52" s="23"/>
    </row>
    <row r="53" spans="2:48" s="1" customFormat="1" ht="21.75" customHeight="1" x14ac:dyDescent="0.25">
      <c r="B53" s="54">
        <v>48</v>
      </c>
      <c r="C53" s="33" t="s">
        <v>196</v>
      </c>
      <c r="D53" s="80" t="s">
        <v>197</v>
      </c>
      <c r="E53" s="76" t="s">
        <v>96</v>
      </c>
      <c r="F53" s="82" t="s">
        <v>198</v>
      </c>
      <c r="G53" s="36" t="s">
        <v>163</v>
      </c>
      <c r="H53" s="34" t="s">
        <v>34</v>
      </c>
      <c r="I53" s="35" t="s">
        <v>103</v>
      </c>
      <c r="J53" s="27" t="str">
        <f t="shared" si="1"/>
        <v>TER C</v>
      </c>
      <c r="K53" s="20">
        <f t="shared" si="2"/>
        <v>4169500</v>
      </c>
      <c r="L53" s="20">
        <f t="shared" si="3"/>
        <v>33915</v>
      </c>
      <c r="M53" s="49">
        <f>[2]HARVESTING!AP24</f>
        <v>161500</v>
      </c>
      <c r="N53" s="50">
        <f>[2]HARVESTING!T24</f>
        <v>172050</v>
      </c>
      <c r="O53" s="50"/>
      <c r="P53" s="50"/>
      <c r="Q53" s="50">
        <f>[2]HARVESTING!Z24</f>
        <v>2500</v>
      </c>
      <c r="R53" s="50"/>
      <c r="S53" s="50">
        <f>[2]HARVESTING!AB24</f>
        <v>198669</v>
      </c>
      <c r="T53" s="50">
        <f>[2]HARVESTING!AC24</f>
        <v>411250</v>
      </c>
      <c r="U53" s="50">
        <f>[2]HARVESTING!AD24</f>
        <v>332800</v>
      </c>
      <c r="V53" s="50">
        <f>[2]HARVESTING!AG24</f>
        <v>0</v>
      </c>
      <c r="W53" s="50">
        <f>[2]HARVESTING!AE24</f>
        <v>0</v>
      </c>
      <c r="X53" s="50"/>
      <c r="Y53" s="52"/>
      <c r="Z53" s="52"/>
      <c r="AA53" s="52"/>
      <c r="AB53" s="50"/>
      <c r="AC53" s="50"/>
      <c r="AD53" s="50"/>
      <c r="AE53" s="50">
        <f>-[2]HARVESTING!AH24</f>
        <v>0</v>
      </c>
      <c r="AF53" s="49">
        <f>-[2]HARVESTING!BE24</f>
        <v>0</v>
      </c>
      <c r="AG53" s="21">
        <f t="shared" si="4"/>
        <v>5482184</v>
      </c>
      <c r="AH53" s="68">
        <f t="shared" si="0"/>
        <v>0</v>
      </c>
      <c r="AI53" s="60">
        <f t="shared" si="5"/>
        <v>0</v>
      </c>
      <c r="AJ53" s="22">
        <f>[2]HARVESTING!AK24</f>
        <v>5286769</v>
      </c>
      <c r="AK53" s="23">
        <f t="shared" si="6"/>
        <v>195415</v>
      </c>
      <c r="AL53" s="63">
        <f t="shared" si="7"/>
        <v>5482184</v>
      </c>
      <c r="AM53" s="23">
        <f t="shared" si="8"/>
        <v>0</v>
      </c>
      <c r="AN53" s="23"/>
      <c r="AO53" s="23"/>
      <c r="AP53" s="22"/>
      <c r="AQ53" s="22"/>
      <c r="AR53" s="22"/>
      <c r="AS53" s="22"/>
      <c r="AT53" s="23"/>
      <c r="AV53" s="23"/>
    </row>
    <row r="54" spans="2:48" s="1" customFormat="1" ht="21.75" customHeight="1" x14ac:dyDescent="0.25">
      <c r="B54" s="54">
        <v>49</v>
      </c>
      <c r="C54" s="33" t="s">
        <v>199</v>
      </c>
      <c r="D54" s="80" t="s">
        <v>230</v>
      </c>
      <c r="E54" s="76" t="s">
        <v>96</v>
      </c>
      <c r="F54" s="82" t="s">
        <v>235</v>
      </c>
      <c r="G54" s="36" t="s">
        <v>163</v>
      </c>
      <c r="H54" s="34" t="s">
        <v>34</v>
      </c>
      <c r="I54" s="35" t="s">
        <v>35</v>
      </c>
      <c r="J54" s="27" t="str">
        <f t="shared" si="1"/>
        <v>TER B</v>
      </c>
      <c r="K54" s="20">
        <f t="shared" si="2"/>
        <v>4169500</v>
      </c>
      <c r="L54" s="20">
        <f t="shared" si="3"/>
        <v>34095.599999999999</v>
      </c>
      <c r="M54" s="49">
        <f>[2]HARVESTING!AP25</f>
        <v>162360</v>
      </c>
      <c r="N54" s="50">
        <f>[2]HARVESTING!T25</f>
        <v>166500</v>
      </c>
      <c r="O54" s="50"/>
      <c r="P54" s="50"/>
      <c r="Q54" s="50">
        <f>[2]HARVESTING!Z25</f>
        <v>24000</v>
      </c>
      <c r="R54" s="50"/>
      <c r="S54" s="50">
        <f>[2]HARVESTING!AB25</f>
        <v>122583</v>
      </c>
      <c r="T54" s="50">
        <f>[2]HARVESTING!AC25</f>
        <v>351750</v>
      </c>
      <c r="U54" s="50">
        <f>[2]HARVESTING!AD25</f>
        <v>343200</v>
      </c>
      <c r="V54" s="50">
        <f>[2]HARVESTING!AG25</f>
        <v>0</v>
      </c>
      <c r="W54" s="50">
        <f>[2]HARVESTING!AE25</f>
        <v>0</v>
      </c>
      <c r="X54" s="50"/>
      <c r="Y54" s="51"/>
      <c r="Z54" s="51"/>
      <c r="AA54" s="51"/>
      <c r="AB54" s="51"/>
      <c r="AC54" s="50"/>
      <c r="AD54" s="50"/>
      <c r="AE54" s="50">
        <f>-[2]HARVESTING!AH25</f>
        <v>-345216.66666666669</v>
      </c>
      <c r="AF54" s="49">
        <f>-[2]HARVESTING!BE25</f>
        <v>-134500</v>
      </c>
      <c r="AG54" s="21">
        <f t="shared" si="4"/>
        <v>4894272</v>
      </c>
      <c r="AH54" s="68">
        <f t="shared" si="0"/>
        <v>0</v>
      </c>
      <c r="AI54" s="60">
        <f t="shared" si="5"/>
        <v>0</v>
      </c>
      <c r="AJ54" s="22">
        <f>[2]HARVESTING!AK25</f>
        <v>4697816.333333333</v>
      </c>
      <c r="AK54" s="23">
        <f t="shared" si="6"/>
        <v>196455.6</v>
      </c>
      <c r="AL54" s="63">
        <f t="shared" si="7"/>
        <v>4894271.9333333327</v>
      </c>
      <c r="AM54" s="23">
        <f t="shared" si="8"/>
        <v>6.6666667349636555E-2</v>
      </c>
      <c r="AN54" s="23"/>
      <c r="AO54" s="23"/>
      <c r="AP54" s="22"/>
      <c r="AQ54" s="22"/>
      <c r="AR54" s="22"/>
      <c r="AS54" s="22"/>
      <c r="AT54" s="23"/>
      <c r="AV54" s="23"/>
    </row>
    <row r="55" spans="2:48" s="1" customFormat="1" ht="21.75" customHeight="1" x14ac:dyDescent="0.25">
      <c r="B55" s="54">
        <v>50</v>
      </c>
      <c r="C55" s="33" t="s">
        <v>226</v>
      </c>
      <c r="D55" s="80" t="s">
        <v>231</v>
      </c>
      <c r="E55" s="73" t="s">
        <v>233</v>
      </c>
      <c r="F55" s="82" t="s">
        <v>236</v>
      </c>
      <c r="G55" s="36" t="s">
        <v>163</v>
      </c>
      <c r="H55" s="34" t="s">
        <v>34</v>
      </c>
      <c r="I55" s="35" t="s">
        <v>35</v>
      </c>
      <c r="J55" s="27" t="str">
        <f t="shared" si="1"/>
        <v>TER B</v>
      </c>
      <c r="K55" s="20">
        <f t="shared" si="2"/>
        <v>4169500</v>
      </c>
      <c r="L55" s="20">
        <f t="shared" si="3"/>
        <v>34120.799999999996</v>
      </c>
      <c r="M55" s="49">
        <f>[2]HARVESTING!AP26</f>
        <v>162480</v>
      </c>
      <c r="N55" s="50">
        <f>[2]HARVESTING!T26</f>
        <v>172050</v>
      </c>
      <c r="O55" s="50"/>
      <c r="P55" s="50"/>
      <c r="Q55" s="50">
        <f>[2]HARVESTING!Z26</f>
        <v>27000</v>
      </c>
      <c r="R55" s="50"/>
      <c r="S55" s="50">
        <f>[2]HARVESTING!AB26</f>
        <v>42270</v>
      </c>
      <c r="T55" s="50">
        <f>[2]HARVESTING!AC26</f>
        <v>323750</v>
      </c>
      <c r="U55" s="50">
        <f>[2]HARVESTING!AD26</f>
        <v>343200</v>
      </c>
      <c r="V55" s="50">
        <f>[2]HARVESTING!AG26</f>
        <v>0</v>
      </c>
      <c r="W55" s="50">
        <f>[2]HARVESTING!AE26</f>
        <v>0</v>
      </c>
      <c r="X55" s="50"/>
      <c r="Y55" s="51"/>
      <c r="Z55" s="51"/>
      <c r="AA55" s="51"/>
      <c r="AB55" s="51"/>
      <c r="AC55" s="50"/>
      <c r="AD55" s="50"/>
      <c r="AE55" s="50">
        <f>-[2]HARVESTING!AH26</f>
        <v>-270494.4444444445</v>
      </c>
      <c r="AF55" s="49">
        <f>-[2]HARVESTING!BE26</f>
        <v>0</v>
      </c>
      <c r="AG55" s="21">
        <f t="shared" si="4"/>
        <v>5003876</v>
      </c>
      <c r="AH55" s="68">
        <f t="shared" si="0"/>
        <v>0</v>
      </c>
      <c r="AI55" s="60">
        <f t="shared" si="5"/>
        <v>0</v>
      </c>
      <c r="AJ55" s="22">
        <f>[2]HARVESTING!AK26</f>
        <v>4807275.555555556</v>
      </c>
      <c r="AK55" s="23">
        <f t="shared" si="6"/>
        <v>196600.8</v>
      </c>
      <c r="AL55" s="63">
        <f t="shared" si="7"/>
        <v>5003876.3555555558</v>
      </c>
      <c r="AM55" s="23">
        <f t="shared" si="8"/>
        <v>-0.35555555578321218</v>
      </c>
      <c r="AN55" s="23"/>
      <c r="AO55" s="23"/>
      <c r="AP55" s="22"/>
      <c r="AQ55" s="22"/>
      <c r="AR55" s="22"/>
      <c r="AS55" s="22"/>
      <c r="AT55" s="23"/>
      <c r="AV55" s="23"/>
    </row>
    <row r="56" spans="2:48" s="1" customFormat="1" ht="21.75" customHeight="1" x14ac:dyDescent="0.25">
      <c r="B56" s="54">
        <v>51</v>
      </c>
      <c r="C56" s="33" t="s">
        <v>227</v>
      </c>
      <c r="D56" s="80" t="s">
        <v>232</v>
      </c>
      <c r="E56" s="73" t="s">
        <v>234</v>
      </c>
      <c r="F56" s="82" t="s">
        <v>237</v>
      </c>
      <c r="G56" s="36" t="s">
        <v>163</v>
      </c>
      <c r="H56" s="34" t="s">
        <v>34</v>
      </c>
      <c r="I56" s="35" t="s">
        <v>35</v>
      </c>
      <c r="J56" s="27" t="str">
        <f t="shared" si="1"/>
        <v>TER B</v>
      </c>
      <c r="K56" s="20">
        <f t="shared" si="2"/>
        <v>4169500</v>
      </c>
      <c r="L56" s="20">
        <f t="shared" si="3"/>
        <v>34671</v>
      </c>
      <c r="M56" s="49">
        <f>[2]HARVESTING!AP27</f>
        <v>165100</v>
      </c>
      <c r="N56" s="50">
        <f>[2]HARVESTING!T27</f>
        <v>166500</v>
      </c>
      <c r="O56" s="50"/>
      <c r="P56" s="50"/>
      <c r="Q56" s="50">
        <f>[2]HARVESTING!Z27</f>
        <v>92500</v>
      </c>
      <c r="R56" s="50"/>
      <c r="S56" s="50">
        <f>[2]HARVESTING!AB27</f>
        <v>100039</v>
      </c>
      <c r="T56" s="50">
        <f>[2]HARVESTING!AC27</f>
        <v>344750</v>
      </c>
      <c r="U56" s="50">
        <f>[2]HARVESTING!AD27</f>
        <v>343200</v>
      </c>
      <c r="V56" s="50">
        <f>[2]HARVESTING!AG27</f>
        <v>0</v>
      </c>
      <c r="W56" s="50">
        <f>[2]HARVESTING!AE27</f>
        <v>0</v>
      </c>
      <c r="X56" s="50"/>
      <c r="Y56" s="51"/>
      <c r="Z56" s="51"/>
      <c r="AA56" s="51"/>
      <c r="AB56" s="51"/>
      <c r="AC56" s="50"/>
      <c r="AD56" s="50"/>
      <c r="AE56" s="50">
        <f>-[2]HARVESTING!AH27</f>
        <v>-263022.22222222225</v>
      </c>
      <c r="AF56" s="49">
        <f>-[2]HARVESTING!BE27</f>
        <v>-134500</v>
      </c>
      <c r="AG56" s="21">
        <f t="shared" si="4"/>
        <v>5018738</v>
      </c>
      <c r="AH56" s="68">
        <f t="shared" si="0"/>
        <v>0</v>
      </c>
      <c r="AI56" s="60">
        <f t="shared" si="5"/>
        <v>0</v>
      </c>
      <c r="AJ56" s="22">
        <f>[2]HARVESTING!AK27</f>
        <v>4818966.777777778</v>
      </c>
      <c r="AK56" s="23">
        <f t="shared" si="6"/>
        <v>199771</v>
      </c>
      <c r="AL56" s="63">
        <f t="shared" si="7"/>
        <v>5018737.777777778</v>
      </c>
      <c r="AM56" s="23">
        <f t="shared" si="8"/>
        <v>0.22222222201526165</v>
      </c>
      <c r="AN56" s="23"/>
      <c r="AO56" s="23"/>
      <c r="AP56" s="22"/>
      <c r="AQ56" s="22"/>
      <c r="AR56" s="22"/>
      <c r="AS56" s="22"/>
      <c r="AT56" s="23"/>
      <c r="AV56" s="23"/>
    </row>
    <row r="57" spans="2:48" s="1" customFormat="1" ht="21.75" customHeight="1" x14ac:dyDescent="0.25">
      <c r="B57" s="54">
        <v>52</v>
      </c>
      <c r="C57" s="33" t="s">
        <v>249</v>
      </c>
      <c r="D57" s="80" t="s">
        <v>250</v>
      </c>
      <c r="E57" s="73" t="s">
        <v>96</v>
      </c>
      <c r="F57" s="82" t="s">
        <v>251</v>
      </c>
      <c r="G57" s="36" t="s">
        <v>163</v>
      </c>
      <c r="H57" s="34" t="s">
        <v>34</v>
      </c>
      <c r="I57" s="35" t="s">
        <v>35</v>
      </c>
      <c r="J57" s="27" t="str">
        <f t="shared" si="1"/>
        <v>TER B</v>
      </c>
      <c r="K57" s="20">
        <f t="shared" si="2"/>
        <v>4169500</v>
      </c>
      <c r="L57" s="20">
        <f t="shared" si="3"/>
        <v>34045.199999999997</v>
      </c>
      <c r="M57" s="49">
        <f>[2]HARVESTING!AP28</f>
        <v>162120</v>
      </c>
      <c r="N57" s="50">
        <f>[2]HARVESTING!T28</f>
        <v>172050</v>
      </c>
      <c r="O57" s="50"/>
      <c r="P57" s="50"/>
      <c r="Q57" s="50">
        <f>[2]HARVESTING!Z28</f>
        <v>18000</v>
      </c>
      <c r="R57" s="50"/>
      <c r="S57" s="50">
        <f>[2]HARVESTING!AB28</f>
        <v>76086</v>
      </c>
      <c r="T57" s="50">
        <f>[2]HARVESTING!AC28</f>
        <v>203000</v>
      </c>
      <c r="U57" s="50">
        <f>[2]HARVESTING!AD28</f>
        <v>169650</v>
      </c>
      <c r="V57" s="50">
        <f>[2]HARVESTING!AG28</f>
        <v>0</v>
      </c>
      <c r="W57" s="50">
        <f>[2]HARVESTING!AE28</f>
        <v>0</v>
      </c>
      <c r="X57" s="50"/>
      <c r="Y57" s="51"/>
      <c r="Z57" s="51"/>
      <c r="AA57" s="51"/>
      <c r="AB57" s="51"/>
      <c r="AC57" s="50"/>
      <c r="AD57" s="50"/>
      <c r="AE57" s="50">
        <f>-[2]HARVESTING!AH28</f>
        <v>-92655.555555555562</v>
      </c>
      <c r="AF57" s="49">
        <f>-[2]HARVESTING!BE28</f>
        <v>0</v>
      </c>
      <c r="AG57" s="21">
        <f t="shared" si="4"/>
        <v>4911796</v>
      </c>
      <c r="AH57" s="68">
        <f t="shared" si="0"/>
        <v>0</v>
      </c>
      <c r="AI57" s="60">
        <f t="shared" si="5"/>
        <v>0</v>
      </c>
      <c r="AJ57" s="22">
        <f>[2]HARVESTING!AK28</f>
        <v>4715630.444444444</v>
      </c>
      <c r="AK57" s="23">
        <f t="shared" si="6"/>
        <v>196165.2</v>
      </c>
      <c r="AL57" s="63">
        <f t="shared" si="7"/>
        <v>4911795.6444444442</v>
      </c>
      <c r="AM57" s="23">
        <f t="shared" si="8"/>
        <v>0.35555555578321218</v>
      </c>
      <c r="AN57" s="23"/>
      <c r="AO57" s="23"/>
      <c r="AP57" s="22"/>
      <c r="AQ57" s="22"/>
      <c r="AR57" s="22"/>
      <c r="AS57" s="22"/>
      <c r="AT57" s="23"/>
      <c r="AV57" s="23"/>
    </row>
    <row r="58" spans="2:48" s="1" customFormat="1" ht="21.75" customHeight="1" x14ac:dyDescent="0.25">
      <c r="B58" s="54">
        <v>53</v>
      </c>
      <c r="C58" s="30" t="s">
        <v>214</v>
      </c>
      <c r="D58" s="84" t="s">
        <v>215</v>
      </c>
      <c r="E58" s="76" t="s">
        <v>96</v>
      </c>
      <c r="F58" s="77" t="s">
        <v>216</v>
      </c>
      <c r="G58" s="36" t="s">
        <v>163</v>
      </c>
      <c r="H58" s="34" t="s">
        <v>34</v>
      </c>
      <c r="I58" s="35" t="s">
        <v>110</v>
      </c>
      <c r="J58" s="27" t="str">
        <f t="shared" si="1"/>
        <v>TER A</v>
      </c>
      <c r="K58" s="20">
        <f t="shared" si="2"/>
        <v>4169500</v>
      </c>
      <c r="L58" s="20">
        <f t="shared" si="3"/>
        <v>33894</v>
      </c>
      <c r="M58" s="49">
        <f>[2]HARVESTING!AP29</f>
        <v>161400</v>
      </c>
      <c r="N58" s="50">
        <f>[2]HARVESTING!T29</f>
        <v>114700</v>
      </c>
      <c r="O58" s="50"/>
      <c r="P58" s="50"/>
      <c r="Q58" s="50">
        <f>[2]HARVESTING!Z29</f>
        <v>0</v>
      </c>
      <c r="R58" s="50"/>
      <c r="S58" s="50">
        <f>[2]HARVESTING!AB29</f>
        <v>74677</v>
      </c>
      <c r="T58" s="50">
        <f>[2]HARVESTING!AC29</f>
        <v>357000</v>
      </c>
      <c r="U58" s="50">
        <f>[2]HARVESTING!AD29</f>
        <v>336700</v>
      </c>
      <c r="V58" s="50">
        <f>[2]HARVESTING!AG29</f>
        <v>0</v>
      </c>
      <c r="W58" s="50">
        <f>[2]HARVESTING!AE29</f>
        <v>0</v>
      </c>
      <c r="X58" s="50"/>
      <c r="Y58" s="50"/>
      <c r="Z58" s="50"/>
      <c r="AA58" s="50"/>
      <c r="AB58" s="50"/>
      <c r="AC58" s="50"/>
      <c r="AD58" s="50"/>
      <c r="AE58" s="50">
        <f>-[2]HARVESTING!AH29</f>
        <v>-85183.333333333343</v>
      </c>
      <c r="AF58" s="49">
        <f>-[2]HARVESTING!BE29</f>
        <v>0</v>
      </c>
      <c r="AG58" s="21">
        <f t="shared" si="4"/>
        <v>5162688</v>
      </c>
      <c r="AH58" s="68">
        <f t="shared" si="0"/>
        <v>0</v>
      </c>
      <c r="AI58" s="60">
        <f t="shared" si="5"/>
        <v>0</v>
      </c>
      <c r="AJ58" s="22">
        <f>[2]HARVESTING!AK29</f>
        <v>4967393.666666667</v>
      </c>
      <c r="AK58" s="23">
        <f t="shared" si="6"/>
        <v>195294</v>
      </c>
      <c r="AL58" s="63">
        <f t="shared" si="7"/>
        <v>5162687.666666667</v>
      </c>
      <c r="AM58" s="23">
        <f t="shared" si="8"/>
        <v>0.33333333302289248</v>
      </c>
      <c r="AN58" s="23"/>
      <c r="AO58" s="23"/>
      <c r="AP58" s="22"/>
      <c r="AQ58" s="22"/>
      <c r="AR58" s="22"/>
      <c r="AS58" s="22"/>
      <c r="AT58" s="23"/>
      <c r="AV58" s="23"/>
    </row>
    <row r="59" spans="2:48" s="1" customFormat="1" ht="21.75" customHeight="1" x14ac:dyDescent="0.25">
      <c r="B59" s="54">
        <v>54</v>
      </c>
      <c r="C59" s="30" t="s">
        <v>228</v>
      </c>
      <c r="D59" s="84" t="s">
        <v>241</v>
      </c>
      <c r="E59" s="76" t="s">
        <v>96</v>
      </c>
      <c r="F59" s="77" t="s">
        <v>240</v>
      </c>
      <c r="G59" s="36" t="s">
        <v>163</v>
      </c>
      <c r="H59" s="34" t="s">
        <v>34</v>
      </c>
      <c r="I59" s="35" t="s">
        <v>87</v>
      </c>
      <c r="J59" s="27" t="str">
        <f t="shared" si="1"/>
        <v>TER B</v>
      </c>
      <c r="K59" s="20">
        <f t="shared" si="2"/>
        <v>4169500</v>
      </c>
      <c r="L59" s="20">
        <f t="shared" si="3"/>
        <v>33894</v>
      </c>
      <c r="M59" s="49">
        <f>[2]HARVESTING!AP30</f>
        <v>161400</v>
      </c>
      <c r="N59" s="50">
        <f>[2]HARVESTING!T30</f>
        <v>144150</v>
      </c>
      <c r="O59" s="50"/>
      <c r="P59" s="50"/>
      <c r="Q59" s="50">
        <f>[2]HARVESTING!Z30</f>
        <v>0</v>
      </c>
      <c r="R59" s="50"/>
      <c r="S59" s="50">
        <f>[2]HARVESTING!AB30</f>
        <v>122583</v>
      </c>
      <c r="T59" s="50">
        <f>[2]HARVESTING!AC30</f>
        <v>591500</v>
      </c>
      <c r="U59" s="50">
        <f>[2]HARVESTING!AD30</f>
        <v>0</v>
      </c>
      <c r="V59" s="50">
        <f>[2]HARVESTING!AG30</f>
        <v>0</v>
      </c>
      <c r="W59" s="50">
        <f>[2]HARVESTING!AE30</f>
        <v>0</v>
      </c>
      <c r="X59" s="50"/>
      <c r="Y59" s="50"/>
      <c r="Z59" s="50"/>
      <c r="AA59" s="50"/>
      <c r="AB59" s="50"/>
      <c r="AC59" s="50"/>
      <c r="AD59" s="50"/>
      <c r="AE59" s="50">
        <f>-[2]HARVESTING!AH30</f>
        <v>0</v>
      </c>
      <c r="AF59" s="49">
        <f>-[2]HARVESTING!BE30</f>
        <v>0</v>
      </c>
      <c r="AG59" s="21">
        <f t="shared" si="4"/>
        <v>5223027</v>
      </c>
      <c r="AH59" s="68">
        <f t="shared" si="0"/>
        <v>0</v>
      </c>
      <c r="AI59" s="60">
        <f t="shared" si="5"/>
        <v>0</v>
      </c>
      <c r="AJ59" s="22">
        <f>[2]HARVESTING!AK30</f>
        <v>5027733</v>
      </c>
      <c r="AK59" s="23">
        <f t="shared" si="6"/>
        <v>195294</v>
      </c>
      <c r="AL59" s="63">
        <f t="shared" si="7"/>
        <v>5223027</v>
      </c>
      <c r="AM59" s="23">
        <f t="shared" si="8"/>
        <v>0</v>
      </c>
      <c r="AN59" s="23"/>
      <c r="AO59" s="23"/>
      <c r="AP59" s="22"/>
      <c r="AQ59" s="22"/>
      <c r="AR59" s="22"/>
      <c r="AS59" s="22"/>
      <c r="AT59" s="23"/>
      <c r="AV59" s="23"/>
    </row>
    <row r="60" spans="2:48" s="1" customFormat="1" ht="21.75" customHeight="1" x14ac:dyDescent="0.25">
      <c r="B60" s="54">
        <v>55</v>
      </c>
      <c r="C60" s="30" t="s">
        <v>229</v>
      </c>
      <c r="D60" s="84" t="s">
        <v>238</v>
      </c>
      <c r="E60" s="76" t="s">
        <v>96</v>
      </c>
      <c r="F60" s="77" t="s">
        <v>239</v>
      </c>
      <c r="G60" s="25" t="s">
        <v>163</v>
      </c>
      <c r="H60" s="34" t="s">
        <v>34</v>
      </c>
      <c r="I60" s="35" t="s">
        <v>87</v>
      </c>
      <c r="J60" s="27" t="str">
        <f t="shared" si="1"/>
        <v>TER B</v>
      </c>
      <c r="K60" s="20">
        <f t="shared" si="2"/>
        <v>4169500</v>
      </c>
      <c r="L60" s="20">
        <f t="shared" si="3"/>
        <v>33894</v>
      </c>
      <c r="M60" s="49">
        <f>[2]HARVESTING!AP31</f>
        <v>161400</v>
      </c>
      <c r="N60" s="50">
        <f>[2]HARVESTING!T31</f>
        <v>144150</v>
      </c>
      <c r="O60" s="50"/>
      <c r="P60" s="50"/>
      <c r="Q60" s="50">
        <f>[2]HARVESTING!Z31</f>
        <v>0</v>
      </c>
      <c r="R60" s="50"/>
      <c r="S60" s="50">
        <f>[2]HARVESTING!AB31</f>
        <v>0</v>
      </c>
      <c r="T60" s="50">
        <f>[2]HARVESTING!AC31</f>
        <v>204750</v>
      </c>
      <c r="U60" s="50">
        <f>[2]HARVESTING!AD31</f>
        <v>336050</v>
      </c>
      <c r="V60" s="50">
        <f>[2]HARVESTING!AG31</f>
        <v>0</v>
      </c>
      <c r="W60" s="50">
        <f>[2]HARVESTING!AE31</f>
        <v>0</v>
      </c>
      <c r="X60" s="50"/>
      <c r="Y60" s="50"/>
      <c r="Z60" s="50"/>
      <c r="AA60" s="50"/>
      <c r="AB60" s="50"/>
      <c r="AC60" s="50"/>
      <c r="AD60" s="50"/>
      <c r="AE60" s="50">
        <f>-[2]HARVESTING!AH31</f>
        <v>-68744.444444444453</v>
      </c>
      <c r="AF60" s="49">
        <f>-[2]HARVESTING!BE31</f>
        <v>0</v>
      </c>
      <c r="AG60" s="21">
        <f t="shared" si="4"/>
        <v>4981000</v>
      </c>
      <c r="AH60" s="68">
        <f t="shared" si="0"/>
        <v>0</v>
      </c>
      <c r="AI60" s="60">
        <f t="shared" si="5"/>
        <v>0</v>
      </c>
      <c r="AJ60" s="22">
        <f>[2]HARVESTING!AK31</f>
        <v>4785705.555555556</v>
      </c>
      <c r="AK60" s="23">
        <f t="shared" si="6"/>
        <v>195294</v>
      </c>
      <c r="AL60" s="63">
        <f t="shared" si="7"/>
        <v>4980999.555555556</v>
      </c>
      <c r="AM60" s="23">
        <f t="shared" si="8"/>
        <v>0.4444444440305233</v>
      </c>
      <c r="AN60" s="23"/>
      <c r="AO60" s="23"/>
      <c r="AP60" s="22"/>
      <c r="AQ60" s="22"/>
      <c r="AR60" s="22"/>
      <c r="AS60" s="22"/>
      <c r="AT60" s="23"/>
      <c r="AV60" s="23"/>
    </row>
    <row r="61" spans="2:48" s="1" customFormat="1" ht="21.75" customHeight="1" x14ac:dyDescent="0.25">
      <c r="B61" s="54">
        <v>56</v>
      </c>
      <c r="C61" s="30" t="s">
        <v>255</v>
      </c>
      <c r="D61" s="84" t="s">
        <v>260</v>
      </c>
      <c r="E61" s="76" t="s">
        <v>96</v>
      </c>
      <c r="F61" s="77" t="s">
        <v>265</v>
      </c>
      <c r="G61" s="25" t="s">
        <v>163</v>
      </c>
      <c r="H61" s="34" t="s">
        <v>34</v>
      </c>
      <c r="I61" s="35" t="s">
        <v>110</v>
      </c>
      <c r="J61" s="27" t="str">
        <f t="shared" si="1"/>
        <v>TER A</v>
      </c>
      <c r="K61" s="20">
        <f t="shared" si="2"/>
        <v>4169500</v>
      </c>
      <c r="L61" s="20">
        <f t="shared" si="3"/>
        <v>34095.599999999999</v>
      </c>
      <c r="M61" s="49">
        <f>[2]HARVESTING!AP32</f>
        <v>162360</v>
      </c>
      <c r="N61" s="50">
        <f>[2]HARVESTING!T32</f>
        <v>114700</v>
      </c>
      <c r="O61" s="50"/>
      <c r="P61" s="50"/>
      <c r="Q61" s="50">
        <f>[2]HARVESTING!Z32</f>
        <v>24000</v>
      </c>
      <c r="R61" s="50"/>
      <c r="S61" s="50">
        <f>[2]HARVESTING!AB32</f>
        <v>173307</v>
      </c>
      <c r="T61" s="50">
        <f>[2]HARVESTING!AC32</f>
        <v>518000</v>
      </c>
      <c r="U61" s="50">
        <f>[2]HARVESTING!AD32</f>
        <v>332800</v>
      </c>
      <c r="V61" s="50">
        <f>[2]HARVESTING!AG32</f>
        <v>0</v>
      </c>
      <c r="W61" s="50">
        <f>[2]HARVESTING!AE32</f>
        <v>0</v>
      </c>
      <c r="X61" s="50"/>
      <c r="Y61" s="50"/>
      <c r="Z61" s="50"/>
      <c r="AA61" s="50"/>
      <c r="AB61" s="50"/>
      <c r="AC61" s="50"/>
      <c r="AD61" s="50"/>
      <c r="AE61" s="50">
        <f>-[2]HARVESTING!AH32</f>
        <v>0</v>
      </c>
      <c r="AF61" s="49">
        <f>-[2]HARVESTING!BE32</f>
        <v>0</v>
      </c>
      <c r="AG61" s="21">
        <f t="shared" si="4"/>
        <v>5528763</v>
      </c>
      <c r="AH61" s="68">
        <f t="shared" si="0"/>
        <v>2.5000000000000001E-3</v>
      </c>
      <c r="AI61" s="60">
        <f t="shared" si="5"/>
        <v>13822</v>
      </c>
      <c r="AJ61" s="22">
        <f>[2]HARVESTING!AK32</f>
        <v>5332307</v>
      </c>
      <c r="AK61" s="23">
        <f t="shared" si="6"/>
        <v>196455.6</v>
      </c>
      <c r="AL61" s="63">
        <f t="shared" si="7"/>
        <v>5528762.5999999996</v>
      </c>
      <c r="AM61" s="23">
        <f t="shared" si="8"/>
        <v>0.40000000037252903</v>
      </c>
      <c r="AN61" s="23"/>
      <c r="AO61" s="23"/>
      <c r="AP61" s="22"/>
      <c r="AQ61" s="22"/>
      <c r="AR61" s="22"/>
      <c r="AS61" s="22"/>
      <c r="AT61" s="23"/>
      <c r="AV61" s="23"/>
    </row>
    <row r="62" spans="2:48" s="1" customFormat="1" ht="21.75" customHeight="1" x14ac:dyDescent="0.25">
      <c r="B62" s="54">
        <v>57</v>
      </c>
      <c r="C62" s="30" t="s">
        <v>256</v>
      </c>
      <c r="D62" s="84" t="s">
        <v>261</v>
      </c>
      <c r="E62" s="76" t="s">
        <v>96</v>
      </c>
      <c r="F62" s="77" t="s">
        <v>266</v>
      </c>
      <c r="G62" s="25" t="s">
        <v>163</v>
      </c>
      <c r="H62" s="34" t="s">
        <v>34</v>
      </c>
      <c r="I62" s="35" t="s">
        <v>87</v>
      </c>
      <c r="J62" s="27" t="str">
        <f t="shared" si="1"/>
        <v>TER B</v>
      </c>
      <c r="K62" s="20">
        <f t="shared" si="2"/>
        <v>4169500</v>
      </c>
      <c r="L62" s="20">
        <f t="shared" si="3"/>
        <v>34070.400000000001</v>
      </c>
      <c r="M62" s="49">
        <f>[2]HARVESTING!AP33</f>
        <v>162240</v>
      </c>
      <c r="N62" s="50">
        <f>[2]HARVESTING!T33</f>
        <v>144150</v>
      </c>
      <c r="O62" s="50"/>
      <c r="P62" s="50"/>
      <c r="Q62" s="50">
        <f>[2]HARVESTING!Z33</f>
        <v>21000</v>
      </c>
      <c r="R62" s="50"/>
      <c r="S62" s="50">
        <f>[2]HARVESTING!AB33</f>
        <v>180352</v>
      </c>
      <c r="T62" s="50">
        <f>[2]HARVESTING!AC33</f>
        <v>535500</v>
      </c>
      <c r="U62" s="50">
        <f>[2]HARVESTING!AD33</f>
        <v>336050</v>
      </c>
      <c r="V62" s="50">
        <f>[2]HARVESTING!AG33</f>
        <v>0</v>
      </c>
      <c r="W62" s="50">
        <f>[2]HARVESTING!AE33</f>
        <v>0</v>
      </c>
      <c r="X62" s="50"/>
      <c r="Y62" s="50"/>
      <c r="Z62" s="50"/>
      <c r="AA62" s="50"/>
      <c r="AB62" s="50"/>
      <c r="AC62" s="50"/>
      <c r="AD62" s="50"/>
      <c r="AE62" s="50">
        <f>-[2]HARVESTING!AH33</f>
        <v>-70238.888888888891</v>
      </c>
      <c r="AF62" s="49">
        <f>-[2]HARVESTING!BE33</f>
        <v>0</v>
      </c>
      <c r="AG62" s="21">
        <f t="shared" si="4"/>
        <v>5512624</v>
      </c>
      <c r="AH62" s="68">
        <f t="shared" si="0"/>
        <v>0</v>
      </c>
      <c r="AI62" s="60">
        <f t="shared" si="5"/>
        <v>0</v>
      </c>
      <c r="AJ62" s="22">
        <f>[2]HARVESTING!AK33</f>
        <v>5316313.111111111</v>
      </c>
      <c r="AK62" s="23">
        <f t="shared" si="6"/>
        <v>196310.39999999999</v>
      </c>
      <c r="AL62" s="63">
        <f t="shared" si="7"/>
        <v>5512623.5111111114</v>
      </c>
      <c r="AM62" s="23">
        <f t="shared" si="8"/>
        <v>0.48888888861984015</v>
      </c>
      <c r="AN62" s="23"/>
      <c r="AO62" s="23"/>
      <c r="AP62" s="22"/>
      <c r="AQ62" s="22"/>
      <c r="AR62" s="22"/>
      <c r="AS62" s="22"/>
      <c r="AT62" s="23"/>
      <c r="AV62" s="23"/>
    </row>
    <row r="63" spans="2:48" s="1" customFormat="1" ht="21.75" customHeight="1" x14ac:dyDescent="0.25">
      <c r="B63" s="54">
        <v>58</v>
      </c>
      <c r="C63" s="30" t="s">
        <v>257</v>
      </c>
      <c r="D63" s="84" t="s">
        <v>262</v>
      </c>
      <c r="E63" s="76" t="s">
        <v>96</v>
      </c>
      <c r="F63" s="77" t="s">
        <v>267</v>
      </c>
      <c r="G63" s="25" t="s">
        <v>163</v>
      </c>
      <c r="H63" s="34" t="s">
        <v>34</v>
      </c>
      <c r="I63" s="35" t="s">
        <v>87</v>
      </c>
      <c r="J63" s="27" t="str">
        <f t="shared" si="1"/>
        <v>TER B</v>
      </c>
      <c r="K63" s="20">
        <f t="shared" si="2"/>
        <v>4169500</v>
      </c>
      <c r="L63" s="20">
        <f t="shared" si="3"/>
        <v>34120.799999999996</v>
      </c>
      <c r="M63" s="49">
        <f>[2]HARVESTING!AP34</f>
        <v>162480</v>
      </c>
      <c r="N63" s="50">
        <f>[2]HARVESTING!T34</f>
        <v>134850</v>
      </c>
      <c r="O63" s="50"/>
      <c r="P63" s="50"/>
      <c r="Q63" s="50">
        <f>[2]HARVESTING!Z34</f>
        <v>27000</v>
      </c>
      <c r="R63" s="50"/>
      <c r="S63" s="50">
        <f>[2]HARVESTING!AB34</f>
        <v>84540</v>
      </c>
      <c r="T63" s="50">
        <f>[2]HARVESTING!AC34</f>
        <v>337750</v>
      </c>
      <c r="U63" s="50">
        <f>[2]HARVESTING!AD34</f>
        <v>342550</v>
      </c>
      <c r="V63" s="50">
        <f>[2]HARVESTING!AG34</f>
        <v>0</v>
      </c>
      <c r="W63" s="50">
        <f>[2]HARVESTING!AE34</f>
        <v>0</v>
      </c>
      <c r="X63" s="50"/>
      <c r="Y63" s="50"/>
      <c r="Z63" s="50"/>
      <c r="AA63" s="50"/>
      <c r="AB63" s="50"/>
      <c r="AC63" s="50"/>
      <c r="AD63" s="50"/>
      <c r="AE63" s="50">
        <f>-[2]HARVESTING!AH34</f>
        <v>-97138.888888888891</v>
      </c>
      <c r="AF63" s="49">
        <f>-[2]HARVESTING!BE34</f>
        <v>-269000</v>
      </c>
      <c r="AG63" s="21">
        <f t="shared" si="4"/>
        <v>4926652</v>
      </c>
      <c r="AH63" s="68">
        <f t="shared" si="0"/>
        <v>0</v>
      </c>
      <c r="AI63" s="60">
        <f t="shared" si="5"/>
        <v>0</v>
      </c>
      <c r="AJ63" s="22">
        <f>[2]HARVESTING!AK34</f>
        <v>4730051.111111111</v>
      </c>
      <c r="AK63" s="23">
        <f t="shared" si="6"/>
        <v>196600.8</v>
      </c>
      <c r="AL63" s="63">
        <f t="shared" si="7"/>
        <v>4926651.9111111108</v>
      </c>
      <c r="AM63" s="23">
        <f t="shared" si="8"/>
        <v>8.888888917863369E-2</v>
      </c>
      <c r="AN63" s="23"/>
      <c r="AO63" s="23"/>
      <c r="AP63" s="22"/>
      <c r="AQ63" s="22"/>
      <c r="AR63" s="22"/>
      <c r="AS63" s="22"/>
      <c r="AT63" s="23"/>
      <c r="AV63" s="23"/>
    </row>
    <row r="64" spans="2:48" s="1" customFormat="1" ht="21.75" customHeight="1" x14ac:dyDescent="0.25">
      <c r="B64" s="54">
        <v>59</v>
      </c>
      <c r="C64" s="30" t="s">
        <v>258</v>
      </c>
      <c r="D64" s="84" t="s">
        <v>263</v>
      </c>
      <c r="E64" s="76" t="s">
        <v>96</v>
      </c>
      <c r="F64" s="77" t="s">
        <v>268</v>
      </c>
      <c r="G64" s="25" t="s">
        <v>163</v>
      </c>
      <c r="H64" s="34" t="s">
        <v>34</v>
      </c>
      <c r="I64" s="35" t="s">
        <v>35</v>
      </c>
      <c r="J64" s="27" t="str">
        <f t="shared" si="1"/>
        <v>TER B</v>
      </c>
      <c r="K64" s="20">
        <f t="shared" si="2"/>
        <v>4169500</v>
      </c>
      <c r="L64" s="20">
        <f t="shared" si="3"/>
        <v>33999</v>
      </c>
      <c r="M64" s="49">
        <f>[2]HARVESTING!AP35</f>
        <v>161900</v>
      </c>
      <c r="N64" s="50">
        <f>[2]HARVESTING!T35</f>
        <v>172050</v>
      </c>
      <c r="O64" s="50"/>
      <c r="P64" s="50"/>
      <c r="Q64" s="50">
        <f>[2]HARVESTING!Z35</f>
        <v>12500</v>
      </c>
      <c r="R64" s="50"/>
      <c r="S64" s="50">
        <f>[2]HARVESTING!AB35</f>
        <v>140900</v>
      </c>
      <c r="T64" s="50">
        <f>[2]HARVESTING!AC35</f>
        <v>428750</v>
      </c>
      <c r="U64" s="50">
        <f>[2]HARVESTING!AD35</f>
        <v>338650</v>
      </c>
      <c r="V64" s="50">
        <f>[2]HARVESTING!AG35</f>
        <v>0</v>
      </c>
      <c r="W64" s="50">
        <f>[2]HARVESTING!AE35</f>
        <v>0</v>
      </c>
      <c r="X64" s="50"/>
      <c r="Y64" s="50"/>
      <c r="Z64" s="50"/>
      <c r="AA64" s="50"/>
      <c r="AB64" s="50"/>
      <c r="AC64" s="50"/>
      <c r="AD64" s="50"/>
      <c r="AE64" s="50">
        <f>-[2]HARVESTING!AH35</f>
        <v>-191288.88888888891</v>
      </c>
      <c r="AF64" s="49">
        <f>-[2]HARVESTING!BE35</f>
        <v>0</v>
      </c>
      <c r="AG64" s="21">
        <f t="shared" si="4"/>
        <v>5266960</v>
      </c>
      <c r="AH64" s="68">
        <f t="shared" si="0"/>
        <v>0</v>
      </c>
      <c r="AI64" s="60">
        <f t="shared" si="5"/>
        <v>0</v>
      </c>
      <c r="AJ64" s="22">
        <f>[2]HARVESTING!AK35</f>
        <v>5071061.111111111</v>
      </c>
      <c r="AK64" s="23">
        <f t="shared" si="6"/>
        <v>195899</v>
      </c>
      <c r="AL64" s="63">
        <f t="shared" si="7"/>
        <v>5266960.111111111</v>
      </c>
      <c r="AM64" s="23">
        <f t="shared" si="8"/>
        <v>-0.11111111100763083</v>
      </c>
      <c r="AN64" s="23"/>
      <c r="AO64" s="23"/>
      <c r="AP64" s="22"/>
      <c r="AQ64" s="22"/>
      <c r="AR64" s="22"/>
      <c r="AS64" s="22"/>
      <c r="AT64" s="23"/>
      <c r="AV64" s="23"/>
    </row>
    <row r="65" spans="2:60" s="1" customFormat="1" ht="21.75" customHeight="1" x14ac:dyDescent="0.25">
      <c r="B65" s="54">
        <v>60</v>
      </c>
      <c r="C65" s="30" t="s">
        <v>259</v>
      </c>
      <c r="D65" s="84" t="s">
        <v>264</v>
      </c>
      <c r="E65" s="76" t="s">
        <v>96</v>
      </c>
      <c r="F65" s="77" t="s">
        <v>269</v>
      </c>
      <c r="G65" s="25" t="s">
        <v>163</v>
      </c>
      <c r="H65" s="34" t="s">
        <v>34</v>
      </c>
      <c r="I65" s="98" t="s">
        <v>87</v>
      </c>
      <c r="J65" s="27" t="str">
        <f t="shared" si="1"/>
        <v>TER B</v>
      </c>
      <c r="K65" s="20">
        <f t="shared" si="2"/>
        <v>4169500</v>
      </c>
      <c r="L65" s="20">
        <f t="shared" si="3"/>
        <v>33936</v>
      </c>
      <c r="M65" s="49">
        <f>[2]HARVESTING!AP36</f>
        <v>161600</v>
      </c>
      <c r="N65" s="50">
        <f>[2]HARVESTING!T36</f>
        <v>144150</v>
      </c>
      <c r="O65" s="50"/>
      <c r="P65" s="50"/>
      <c r="Q65" s="50">
        <f>[2]HARVESTING!Z36</f>
        <v>5000</v>
      </c>
      <c r="R65" s="50"/>
      <c r="S65" s="50">
        <f>[2]HARVESTING!AB36</f>
        <v>135264</v>
      </c>
      <c r="T65" s="50">
        <f>[2]HARVESTING!AC36</f>
        <v>416500</v>
      </c>
      <c r="U65" s="50">
        <f>[2]HARVESTING!AD36</f>
        <v>332800</v>
      </c>
      <c r="V65" s="50">
        <f>[2]HARVESTING!AG36</f>
        <v>0</v>
      </c>
      <c r="W65" s="50">
        <f>[2]HARVESTING!AE36</f>
        <v>0</v>
      </c>
      <c r="X65" s="50"/>
      <c r="Y65" s="50"/>
      <c r="Z65" s="50"/>
      <c r="AA65" s="50"/>
      <c r="AB65" s="50"/>
      <c r="AC65" s="50"/>
      <c r="AD65" s="50"/>
      <c r="AE65" s="50">
        <f>-[2]HARVESTING!AH36</f>
        <v>0</v>
      </c>
      <c r="AF65" s="49">
        <f>-[2]HARVESTING!BE36</f>
        <v>0</v>
      </c>
      <c r="AG65" s="21">
        <f t="shared" si="4"/>
        <v>5398750</v>
      </c>
      <c r="AH65" s="68">
        <f t="shared" si="0"/>
        <v>0</v>
      </c>
      <c r="AI65" s="60">
        <f t="shared" si="5"/>
        <v>0</v>
      </c>
      <c r="AJ65" s="22">
        <f>[2]HARVESTING!AK36</f>
        <v>5203214</v>
      </c>
      <c r="AK65" s="23">
        <f t="shared" si="6"/>
        <v>195536</v>
      </c>
      <c r="AL65" s="63">
        <f t="shared" si="7"/>
        <v>5398750</v>
      </c>
      <c r="AM65" s="23">
        <f t="shared" si="8"/>
        <v>0</v>
      </c>
      <c r="AN65" s="23"/>
      <c r="AO65" s="23"/>
      <c r="AP65" s="22"/>
      <c r="AQ65" s="22"/>
      <c r="AR65" s="22"/>
      <c r="AS65" s="22"/>
      <c r="AT65" s="23"/>
      <c r="AV65" s="23"/>
    </row>
    <row r="66" spans="2:60" s="1" customFormat="1" ht="21.75" customHeight="1" x14ac:dyDescent="0.25">
      <c r="B66" s="54">
        <v>61</v>
      </c>
      <c r="C66" s="30" t="s">
        <v>271</v>
      </c>
      <c r="D66" s="84" t="s">
        <v>276</v>
      </c>
      <c r="E66" s="76" t="s">
        <v>96</v>
      </c>
      <c r="F66" s="77" t="s">
        <v>285</v>
      </c>
      <c r="G66" s="25" t="s">
        <v>163</v>
      </c>
      <c r="H66" s="34" t="s">
        <v>34</v>
      </c>
      <c r="I66" s="35" t="s">
        <v>87</v>
      </c>
      <c r="J66" s="27" t="str">
        <f t="shared" si="1"/>
        <v>TER B</v>
      </c>
      <c r="K66" s="20">
        <f t="shared" si="2"/>
        <v>4169500</v>
      </c>
      <c r="L66" s="20">
        <f t="shared" si="3"/>
        <v>34120.799999999996</v>
      </c>
      <c r="M66" s="49">
        <f>[2]HARVESTING!AP37</f>
        <v>162480</v>
      </c>
      <c r="N66" s="50">
        <f>[2]HARVESTING!T37</f>
        <v>144150</v>
      </c>
      <c r="O66" s="50"/>
      <c r="P66" s="50"/>
      <c r="Q66" s="50">
        <f>[2]HARVESTING!Z37</f>
        <v>27000</v>
      </c>
      <c r="R66" s="50"/>
      <c r="S66" s="50">
        <f>[2]HARVESTING!AB37</f>
        <v>43679</v>
      </c>
      <c r="T66" s="50">
        <f>[2]HARVESTING!AC37</f>
        <v>260750</v>
      </c>
      <c r="U66" s="50">
        <f>[2]HARVESTING!AD37</f>
        <v>336700</v>
      </c>
      <c r="V66" s="50">
        <f>[2]HARVESTING!AG37</f>
        <v>0</v>
      </c>
      <c r="W66" s="50">
        <f>[2]HARVESTING!AE37</f>
        <v>0</v>
      </c>
      <c r="X66" s="50"/>
      <c r="Y66" s="50"/>
      <c r="Z66" s="50"/>
      <c r="AA66" s="50"/>
      <c r="AB66" s="50"/>
      <c r="AC66" s="50"/>
      <c r="AD66" s="50"/>
      <c r="AE66" s="50">
        <f>-[2]HARVESTING!AH37</f>
        <v>-124038.88888888889</v>
      </c>
      <c r="AF66" s="49">
        <f>-[2]HARVESTING!BE37</f>
        <v>0</v>
      </c>
      <c r="AG66" s="21">
        <f t="shared" si="4"/>
        <v>5054341</v>
      </c>
      <c r="AH66" s="68">
        <f t="shared" si="0"/>
        <v>0</v>
      </c>
      <c r="AI66" s="60">
        <f t="shared" si="5"/>
        <v>0</v>
      </c>
      <c r="AJ66" s="22">
        <f>[2]HARVESTING!AK37</f>
        <v>4857740.111111111</v>
      </c>
      <c r="AK66" s="23">
        <f t="shared" si="6"/>
        <v>196600.8</v>
      </c>
      <c r="AL66" s="63">
        <f t="shared" si="7"/>
        <v>5054340.9111111108</v>
      </c>
      <c r="AM66" s="23">
        <f t="shared" si="8"/>
        <v>8.888888917863369E-2</v>
      </c>
      <c r="AN66" s="23"/>
      <c r="AO66" s="23"/>
      <c r="AP66" s="22"/>
      <c r="AQ66" s="22"/>
      <c r="AR66" s="22"/>
      <c r="AS66" s="22"/>
      <c r="AT66" s="23"/>
      <c r="AV66" s="23"/>
    </row>
    <row r="67" spans="2:60" s="1" customFormat="1" ht="21.75" customHeight="1" x14ac:dyDescent="0.25">
      <c r="B67" s="54">
        <v>62</v>
      </c>
      <c r="C67" s="30" t="s">
        <v>272</v>
      </c>
      <c r="D67" s="84" t="s">
        <v>277</v>
      </c>
      <c r="E67" s="76" t="s">
        <v>96</v>
      </c>
      <c r="F67" s="77" t="s">
        <v>279</v>
      </c>
      <c r="G67" s="25" t="s">
        <v>163</v>
      </c>
      <c r="H67" s="34" t="s">
        <v>34</v>
      </c>
      <c r="I67" s="35" t="s">
        <v>35</v>
      </c>
      <c r="J67" s="27" t="str">
        <f t="shared" si="1"/>
        <v>TER B</v>
      </c>
      <c r="K67" s="20">
        <f t="shared" si="2"/>
        <v>4169500</v>
      </c>
      <c r="L67" s="20">
        <f t="shared" si="3"/>
        <v>33915</v>
      </c>
      <c r="M67" s="49">
        <f>[2]HARVESTING!AP38</f>
        <v>161500</v>
      </c>
      <c r="N67" s="50">
        <f>[2]HARVESTING!T38</f>
        <v>160950</v>
      </c>
      <c r="O67" s="50"/>
      <c r="P67" s="50"/>
      <c r="Q67" s="50">
        <f>[2]HARVESTING!Z38</f>
        <v>2500</v>
      </c>
      <c r="R67" s="50"/>
      <c r="S67" s="50">
        <f>[2]HARVESTING!AB38</f>
        <v>0</v>
      </c>
      <c r="T67" s="50">
        <f>[2]HARVESTING!AC38</f>
        <v>430500</v>
      </c>
      <c r="U67" s="50">
        <f>[2]HARVESTING!AD38</f>
        <v>343200</v>
      </c>
      <c r="V67" s="50">
        <f>[2]HARVESTING!AG38</f>
        <v>0</v>
      </c>
      <c r="W67" s="50">
        <f>[2]HARVESTING!AE38</f>
        <v>0</v>
      </c>
      <c r="X67" s="50"/>
      <c r="Y67" s="50"/>
      <c r="Z67" s="50"/>
      <c r="AA67" s="50"/>
      <c r="AB67" s="50"/>
      <c r="AC67" s="50"/>
      <c r="AD67" s="50"/>
      <c r="AE67" s="50">
        <f>-[2]HARVESTING!AH38</f>
        <v>-135994.44444444447</v>
      </c>
      <c r="AF67" s="49">
        <f>-[2]HARVESTING!BE38</f>
        <v>-269000</v>
      </c>
      <c r="AG67" s="21">
        <f t="shared" si="4"/>
        <v>4897071</v>
      </c>
      <c r="AH67" s="68">
        <f t="shared" si="0"/>
        <v>0</v>
      </c>
      <c r="AI67" s="60">
        <f t="shared" si="5"/>
        <v>0</v>
      </c>
      <c r="AJ67" s="22">
        <f>[2]HARVESTING!AK38</f>
        <v>4701655.555555556</v>
      </c>
      <c r="AK67" s="23">
        <f t="shared" si="6"/>
        <v>195415</v>
      </c>
      <c r="AL67" s="63">
        <f t="shared" si="7"/>
        <v>4897070.555555556</v>
      </c>
      <c r="AM67" s="23">
        <f t="shared" si="8"/>
        <v>0.4444444440305233</v>
      </c>
      <c r="AN67" s="23"/>
      <c r="AO67" s="23"/>
      <c r="AP67" s="22"/>
      <c r="AQ67" s="22"/>
      <c r="AR67" s="22"/>
      <c r="AS67" s="22"/>
      <c r="AT67" s="23"/>
      <c r="AV67" s="23"/>
    </row>
    <row r="68" spans="2:60" s="1" customFormat="1" ht="21.75" customHeight="1" x14ac:dyDescent="0.25">
      <c r="B68" s="54">
        <v>63</v>
      </c>
      <c r="C68" s="30" t="s">
        <v>273</v>
      </c>
      <c r="D68" s="84" t="s">
        <v>278</v>
      </c>
      <c r="E68" s="76" t="s">
        <v>96</v>
      </c>
      <c r="F68" s="77" t="s">
        <v>284</v>
      </c>
      <c r="G68" s="25" t="s">
        <v>163</v>
      </c>
      <c r="H68" s="34" t="s">
        <v>34</v>
      </c>
      <c r="I68" s="35" t="s">
        <v>87</v>
      </c>
      <c r="J68" s="27" t="str">
        <f t="shared" si="1"/>
        <v>TER B</v>
      </c>
      <c r="K68" s="20">
        <f t="shared" si="2"/>
        <v>4169500</v>
      </c>
      <c r="L68" s="20">
        <f t="shared" si="3"/>
        <v>33894</v>
      </c>
      <c r="M68" s="49">
        <f>[2]HARVESTING!AP39</f>
        <v>161400</v>
      </c>
      <c r="N68" s="50">
        <f>[2]HARVESTING!T39</f>
        <v>134850</v>
      </c>
      <c r="O68" s="50"/>
      <c r="P68" s="50"/>
      <c r="Q68" s="50">
        <f>[2]HARVESTING!Z39</f>
        <v>0</v>
      </c>
      <c r="R68" s="50"/>
      <c r="S68" s="50">
        <f>[2]HARVESTING!AB39</f>
        <v>129628</v>
      </c>
      <c r="T68" s="50">
        <f>[2]HARVESTING!AC39</f>
        <v>148750</v>
      </c>
      <c r="U68" s="50">
        <f>[2]HARVESTING!AD39</f>
        <v>170300</v>
      </c>
      <c r="V68" s="50">
        <f>[2]HARVESTING!AG39</f>
        <v>0</v>
      </c>
      <c r="W68" s="50">
        <f>[2]HARVESTING!AE39</f>
        <v>0</v>
      </c>
      <c r="X68" s="50"/>
      <c r="Y68" s="50"/>
      <c r="Z68" s="50"/>
      <c r="AA68" s="50"/>
      <c r="AB68" s="50"/>
      <c r="AC68" s="50"/>
      <c r="AD68" s="50"/>
      <c r="AE68" s="50">
        <f>-[2]HARVESTING!AH39</f>
        <v>-286933.33333333331</v>
      </c>
      <c r="AF68" s="49">
        <f>-[2]HARVESTING!BE39</f>
        <v>-269000</v>
      </c>
      <c r="AG68" s="21">
        <f t="shared" si="4"/>
        <v>4392389</v>
      </c>
      <c r="AH68" s="68">
        <f t="shared" si="0"/>
        <v>0</v>
      </c>
      <c r="AI68" s="60">
        <f t="shared" si="5"/>
        <v>0</v>
      </c>
      <c r="AJ68" s="22">
        <f>[2]HARVESTING!AK39</f>
        <v>4197094.666666667</v>
      </c>
      <c r="AK68" s="23">
        <f t="shared" si="6"/>
        <v>195294</v>
      </c>
      <c r="AL68" s="63">
        <f t="shared" si="7"/>
        <v>4392388.666666667</v>
      </c>
      <c r="AM68" s="23">
        <f t="shared" si="8"/>
        <v>0.33333333302289248</v>
      </c>
      <c r="AN68" s="23"/>
      <c r="AO68" s="23"/>
      <c r="AP68" s="22"/>
      <c r="AQ68" s="22"/>
      <c r="AR68" s="22"/>
      <c r="AS68" s="22"/>
      <c r="AT68" s="23"/>
      <c r="AV68" s="23"/>
    </row>
    <row r="69" spans="2:60" s="1" customFormat="1" ht="21.75" customHeight="1" thickBot="1" x14ac:dyDescent="0.3">
      <c r="B69" s="54">
        <v>64</v>
      </c>
      <c r="C69" s="56" t="s">
        <v>280</v>
      </c>
      <c r="D69" s="85" t="s">
        <v>283</v>
      </c>
      <c r="E69" s="90" t="s">
        <v>96</v>
      </c>
      <c r="F69" s="86" t="s">
        <v>286</v>
      </c>
      <c r="G69" s="25" t="s">
        <v>163</v>
      </c>
      <c r="H69" s="48" t="s">
        <v>34</v>
      </c>
      <c r="I69" s="87" t="s">
        <v>42</v>
      </c>
      <c r="J69" s="88" t="str">
        <f t="shared" si="1"/>
        <v>TER A</v>
      </c>
      <c r="K69" s="20">
        <f t="shared" si="2"/>
        <v>4169500</v>
      </c>
      <c r="L69" s="20">
        <f t="shared" si="3"/>
        <v>33894</v>
      </c>
      <c r="M69" s="49">
        <f>[2]HARVESTING!AP40</f>
        <v>161400</v>
      </c>
      <c r="N69" s="50">
        <f>[2]HARVESTING!T40</f>
        <v>69750</v>
      </c>
      <c r="O69" s="89"/>
      <c r="P69" s="89"/>
      <c r="Q69" s="50">
        <f>[2]HARVESTING!Z40</f>
        <v>0</v>
      </c>
      <c r="R69" s="89"/>
      <c r="S69" s="50">
        <f>[2]HARVESTING!AB40</f>
        <v>60587</v>
      </c>
      <c r="T69" s="50">
        <f>[2]HARVESTING!AC40</f>
        <v>262500</v>
      </c>
      <c r="U69" s="50">
        <f>[2]HARVESTING!AD40</f>
        <v>0</v>
      </c>
      <c r="V69" s="50">
        <f>[2]HARVESTING!AG40</f>
        <v>0</v>
      </c>
      <c r="W69" s="50">
        <f>[2]HARVESTING!AE40</f>
        <v>0</v>
      </c>
      <c r="X69" s="89"/>
      <c r="Y69" s="89"/>
      <c r="Z69" s="89"/>
      <c r="AA69" s="89"/>
      <c r="AB69" s="89"/>
      <c r="AC69" s="89"/>
      <c r="AD69" s="89"/>
      <c r="AE69" s="50">
        <f>-[2]HARVESTING!AH40</f>
        <v>-203244.44444444444</v>
      </c>
      <c r="AF69" s="49">
        <f>-[2]HARVESTING!BE40</f>
        <v>0</v>
      </c>
      <c r="AG69" s="21">
        <f t="shared" si="4"/>
        <v>4554387</v>
      </c>
      <c r="AH69" s="68">
        <f t="shared" si="0"/>
        <v>0</v>
      </c>
      <c r="AI69" s="60">
        <f t="shared" si="5"/>
        <v>0</v>
      </c>
      <c r="AJ69" s="22">
        <f>[2]HARVESTING!AK40</f>
        <v>4359092.555555556</v>
      </c>
      <c r="AK69" s="23">
        <f t="shared" si="6"/>
        <v>195294</v>
      </c>
      <c r="AL69" s="63">
        <f t="shared" si="7"/>
        <v>4554386.555555556</v>
      </c>
      <c r="AM69" s="23">
        <f t="shared" si="8"/>
        <v>0.4444444440305233</v>
      </c>
      <c r="AN69" s="23"/>
      <c r="AO69" s="23"/>
      <c r="AP69" s="22"/>
      <c r="AQ69" s="22"/>
      <c r="AR69" s="22"/>
      <c r="AS69" s="22"/>
      <c r="AT69" s="23"/>
      <c r="AV69" s="23"/>
    </row>
    <row r="70" spans="2:60" s="37" customFormat="1" ht="37.5" customHeight="1" thickBot="1" x14ac:dyDescent="0.3">
      <c r="B70" s="101"/>
      <c r="C70" s="102"/>
      <c r="D70" s="102"/>
      <c r="E70" s="102"/>
      <c r="F70" s="102"/>
      <c r="G70" s="102"/>
      <c r="H70" s="102"/>
      <c r="I70" s="102"/>
      <c r="J70" s="103"/>
      <c r="K70" s="70">
        <f t="shared" ref="K70:AI70" si="9">SUM(K6:K69)</f>
        <v>266848000</v>
      </c>
      <c r="L70" s="70">
        <f t="shared" si="9"/>
        <v>2186079</v>
      </c>
      <c r="M70" s="70">
        <f t="shared" si="9"/>
        <v>10409900</v>
      </c>
      <c r="N70" s="70">
        <f t="shared" si="9"/>
        <v>8161400</v>
      </c>
      <c r="O70" s="70">
        <f t="shared" si="9"/>
        <v>661000</v>
      </c>
      <c r="P70" s="70">
        <f t="shared" si="9"/>
        <v>6425679.3500000006</v>
      </c>
      <c r="Q70" s="70">
        <f t="shared" si="9"/>
        <v>2007500</v>
      </c>
      <c r="R70" s="70">
        <f t="shared" si="9"/>
        <v>3499200</v>
      </c>
      <c r="S70" s="70">
        <f t="shared" si="9"/>
        <v>3368919</v>
      </c>
      <c r="T70" s="70">
        <f t="shared" si="9"/>
        <v>11336500</v>
      </c>
      <c r="U70" s="70">
        <f t="shared" si="9"/>
        <v>8802950</v>
      </c>
      <c r="V70" s="70">
        <f t="shared" si="9"/>
        <v>0</v>
      </c>
      <c r="W70" s="70">
        <f t="shared" si="9"/>
        <v>0</v>
      </c>
      <c r="X70" s="70">
        <f t="shared" si="9"/>
        <v>0</v>
      </c>
      <c r="Y70" s="70">
        <f t="shared" si="9"/>
        <v>9412000</v>
      </c>
      <c r="Z70" s="70">
        <f t="shared" si="9"/>
        <v>0</v>
      </c>
      <c r="AA70" s="70">
        <f t="shared" si="9"/>
        <v>0</v>
      </c>
      <c r="AB70" s="70">
        <f t="shared" si="9"/>
        <v>0</v>
      </c>
      <c r="AC70" s="70">
        <f t="shared" si="9"/>
        <v>0</v>
      </c>
      <c r="AD70" s="70">
        <f t="shared" si="9"/>
        <v>0</v>
      </c>
      <c r="AE70" s="70">
        <f t="shared" si="9"/>
        <v>-2981416.6666666674</v>
      </c>
      <c r="AF70" s="70">
        <f t="shared" si="9"/>
        <v>-2421000</v>
      </c>
      <c r="AG70" s="70">
        <f t="shared" si="9"/>
        <v>327716716</v>
      </c>
      <c r="AH70" s="70">
        <f t="shared" si="9"/>
        <v>6.5000000000000002E-2</v>
      </c>
      <c r="AI70" s="70">
        <f t="shared" si="9"/>
        <v>460265</v>
      </c>
      <c r="AJ70" s="53">
        <f>SUM(AJ6:AJ69)</f>
        <v>315120731.6833334</v>
      </c>
      <c r="AK70" s="53">
        <f t="shared" ref="AK70:AM70" si="10">SUM(AK6:AK69)</f>
        <v>12595979</v>
      </c>
      <c r="AL70" s="53">
        <f t="shared" si="10"/>
        <v>327716710.68333346</v>
      </c>
      <c r="AM70" s="53">
        <f t="shared" si="10"/>
        <v>5.3166666673496366</v>
      </c>
      <c r="AN70" s="53"/>
      <c r="AO70" s="53"/>
      <c r="AP70" s="53"/>
      <c r="AQ70" s="53"/>
      <c r="AR70" s="53"/>
      <c r="AS70" s="53"/>
      <c r="AT70" s="53"/>
      <c r="AV70" s="38"/>
    </row>
    <row r="71" spans="2:60" ht="20.25" customHeight="1" x14ac:dyDescent="0.2">
      <c r="L71" s="61"/>
      <c r="M71" s="2">
        <f>[2]MAINTENANCE!$AO$37+[2]OPERATOR!$AJ$16+[2]HARVESTING!$AP$41</f>
        <v>10409900</v>
      </c>
      <c r="N71" s="2">
        <f>[2]MAINTENANCE!$X$37+[2]OPERATOR!$T$16+[2]HARVESTING!$T$41</f>
        <v>8161400</v>
      </c>
      <c r="O71" s="2">
        <f>[2]MAINTENANCE!$AA$37+[2]OPERATOR!$W$16+[2]HARVESTING!$W$41</f>
        <v>661000</v>
      </c>
      <c r="P71" s="2">
        <f>[2]MAINTENANCE!$AE$37+[2]OPERATOR!$AA$16+[2]HARVESTING!$AI$41</f>
        <v>6425679.3500000006</v>
      </c>
      <c r="Q71" s="2">
        <f>[2]MAINTENANCE!$AD$37+[2]OPERATOR!$Z$16+[2]HARVESTING!$Z$41</f>
        <v>2007500</v>
      </c>
      <c r="R71" s="2">
        <f>[2]HARVESTING!$AA$41</f>
        <v>3499200</v>
      </c>
      <c r="S71" s="2">
        <f>[2]HARVESTING!$AB$41</f>
        <v>3368919</v>
      </c>
      <c r="T71" s="2">
        <f>[2]HARVESTING!$AC$41</f>
        <v>11336500</v>
      </c>
      <c r="U71" s="2">
        <f>[2]HARVESTING!$AD$41</f>
        <v>8802950</v>
      </c>
      <c r="V71" s="2">
        <f>[2]HARVESTING!$AG$41</f>
        <v>0</v>
      </c>
      <c r="W71" s="2">
        <f>[2]HARVESTING!$AE$41</f>
        <v>0</v>
      </c>
      <c r="Y71" s="2">
        <f>[2]OPERATOR!$AB$16</f>
        <v>9412000</v>
      </c>
      <c r="Z71" s="65"/>
      <c r="AE71" s="2">
        <f>[2]HARVESTING!$AH$41</f>
        <v>2981416.6666666674</v>
      </c>
      <c r="AF71" s="63">
        <f>[2]MAINTENANCE!$BC$37+[2]OPERATOR!$AY$16+[2]HARVESTING!$BE$41</f>
        <v>2421000</v>
      </c>
      <c r="AI71" s="2">
        <f>[2]HARVESTING!$AV$41+[2]BHL!$AT$10+[2]MAINTENANCE!$AU$37+[2]OPERATOR!$AP$16</f>
        <v>460265</v>
      </c>
      <c r="AJ71" s="22">
        <f>[2]MAINTENANCE!$AJ$37+[2]OPERATOR!$AE$16+[2]HARVESTING!$AK$41</f>
        <v>315120731.68333328</v>
      </c>
      <c r="AM71" s="39"/>
    </row>
    <row r="72" spans="2:60" ht="15" hidden="1" customHeight="1" x14ac:dyDescent="0.2">
      <c r="B72" s="1" t="s">
        <v>200</v>
      </c>
      <c r="J72" s="69"/>
      <c r="K72" s="8"/>
      <c r="L72" s="8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8"/>
      <c r="AH72" s="41"/>
      <c r="AI72" s="8"/>
    </row>
    <row r="73" spans="2:60" ht="15" hidden="1" customHeight="1" x14ac:dyDescent="0.2">
      <c r="B73" s="1" t="s">
        <v>201</v>
      </c>
      <c r="J73" s="69"/>
      <c r="K73" s="8"/>
      <c r="L73" s="8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8"/>
      <c r="AH73" s="41"/>
      <c r="AI73" s="8"/>
    </row>
    <row r="74" spans="2:60" s="42" customFormat="1" ht="15" hidden="1" customHeight="1" x14ac:dyDescent="0.2">
      <c r="B74" s="1" t="s">
        <v>202</v>
      </c>
      <c r="C74" s="2"/>
      <c r="D74" s="91"/>
      <c r="E74" s="3"/>
      <c r="F74" s="2"/>
      <c r="G74" s="4"/>
      <c r="H74" s="5"/>
      <c r="I74" s="5"/>
      <c r="J74" s="69"/>
      <c r="K74" s="8"/>
      <c r="L74" s="8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8"/>
      <c r="AH74" s="41"/>
      <c r="AI74" s="8"/>
      <c r="AJ74" s="1"/>
      <c r="AK74" s="1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2:60" s="42" customFormat="1" ht="15" hidden="1" customHeight="1" x14ac:dyDescent="0.2">
      <c r="B75" s="1" t="s">
        <v>203</v>
      </c>
      <c r="C75" s="2"/>
      <c r="D75" s="91"/>
      <c r="E75" s="3"/>
      <c r="F75" s="2"/>
      <c r="G75" s="4"/>
      <c r="H75" s="5"/>
      <c r="I75" s="5"/>
      <c r="J75" s="69"/>
      <c r="K75" s="8"/>
      <c r="L75" s="8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8"/>
      <c r="AH75" s="41"/>
      <c r="AI75" s="8"/>
      <c r="AJ75" s="1"/>
      <c r="AK75" s="1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2:60" s="42" customFormat="1" ht="15" hidden="1" customHeight="1" x14ac:dyDescent="0.2">
      <c r="B76" s="1" t="s">
        <v>204</v>
      </c>
      <c r="C76" s="2"/>
      <c r="D76" s="91"/>
      <c r="E76" s="3"/>
      <c r="F76" s="2"/>
      <c r="G76" s="4"/>
      <c r="H76" s="5"/>
      <c r="I76" s="5"/>
      <c r="J76" s="69"/>
      <c r="K76" s="8"/>
      <c r="L76" s="8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8"/>
      <c r="AH76" s="41"/>
      <c r="AI76" s="8"/>
      <c r="AJ76" s="1"/>
      <c r="AK76" s="1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2:60" s="42" customFormat="1" ht="15" hidden="1" customHeight="1" x14ac:dyDescent="0.2">
      <c r="B77" s="1" t="s">
        <v>205</v>
      </c>
      <c r="C77" s="2"/>
      <c r="D77" s="91"/>
      <c r="E77" s="3"/>
      <c r="F77" s="2"/>
      <c r="G77" s="4"/>
      <c r="H77" s="5"/>
      <c r="I77" s="5"/>
      <c r="J77" s="69"/>
      <c r="K77" s="8"/>
      <c r="L77" s="8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8"/>
      <c r="AH77" s="41"/>
      <c r="AI77" s="8"/>
      <c r="AJ77" s="1"/>
      <c r="AK77" s="1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2:60" s="42" customFormat="1" ht="15" hidden="1" customHeight="1" x14ac:dyDescent="0.2">
      <c r="B78" s="1" t="s">
        <v>206</v>
      </c>
      <c r="C78" s="2"/>
      <c r="D78" s="91"/>
      <c r="E78" s="3"/>
      <c r="F78" s="2"/>
      <c r="G78" s="4"/>
      <c r="H78" s="5"/>
      <c r="I78" s="5"/>
      <c r="J78" s="69"/>
      <c r="K78" s="8"/>
      <c r="L78" s="8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8"/>
      <c r="AH78" s="41"/>
      <c r="AI78" s="8"/>
      <c r="AJ78" s="1"/>
      <c r="AK78" s="1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2:60" s="42" customFormat="1" ht="15" hidden="1" customHeight="1" x14ac:dyDescent="0.2">
      <c r="B79" s="1" t="s">
        <v>207</v>
      </c>
      <c r="C79" s="2"/>
      <c r="D79" s="91"/>
      <c r="E79" s="3"/>
      <c r="F79" s="2"/>
      <c r="G79" s="4"/>
      <c r="H79" s="5"/>
      <c r="I79" s="5"/>
      <c r="J79" s="69"/>
      <c r="K79" s="8"/>
      <c r="L79" s="8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8"/>
      <c r="AH79" s="41"/>
      <c r="AI79" s="8"/>
      <c r="AJ79" s="1"/>
      <c r="AK79" s="1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2:60" s="42" customFormat="1" ht="15" hidden="1" customHeight="1" x14ac:dyDescent="0.2">
      <c r="B80" s="1" t="s">
        <v>208</v>
      </c>
      <c r="C80" s="2"/>
      <c r="D80" s="91"/>
      <c r="E80" s="3"/>
      <c r="F80" s="2"/>
      <c r="G80" s="4"/>
      <c r="H80" s="5"/>
      <c r="I80" s="5"/>
      <c r="J80" s="69"/>
      <c r="K80" s="8"/>
      <c r="L80" s="8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8"/>
      <c r="AH80" s="41"/>
      <c r="AI80" s="8"/>
      <c r="AJ80" s="1"/>
      <c r="AK80" s="1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2:60" s="42" customFormat="1" ht="15" customHeight="1" x14ac:dyDescent="0.2">
      <c r="B81" s="1"/>
      <c r="C81" s="2"/>
      <c r="D81" s="91"/>
      <c r="E81" s="3"/>
      <c r="F81" s="2"/>
      <c r="G81" s="4"/>
      <c r="H81" s="5"/>
      <c r="I81" s="5"/>
      <c r="J81" s="69"/>
      <c r="K81" s="8"/>
      <c r="L81" s="8"/>
      <c r="M81" s="64">
        <f>L70+M70</f>
        <v>12595979</v>
      </c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8"/>
      <c r="AH81" s="41"/>
      <c r="AI81" s="8"/>
      <c r="AJ81" s="1"/>
      <c r="AK81" s="1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2:60" ht="18" customHeight="1" x14ac:dyDescent="0.2">
      <c r="C82" s="91" t="s">
        <v>209</v>
      </c>
      <c r="G82" s="91"/>
      <c r="H82" s="91"/>
      <c r="M82" s="8"/>
      <c r="N82" s="8"/>
      <c r="O82" s="99" t="s">
        <v>210</v>
      </c>
      <c r="P82" s="99"/>
      <c r="Q82" s="8"/>
      <c r="R82" s="8"/>
      <c r="S82" s="8"/>
      <c r="T82" s="99"/>
      <c r="U82" s="99"/>
      <c r="V82" s="8"/>
      <c r="W82" s="8"/>
      <c r="X82" s="8"/>
      <c r="Y82" s="8"/>
      <c r="Z82" s="8"/>
      <c r="AA82" s="8"/>
      <c r="AG82" s="99" t="s">
        <v>242</v>
      </c>
      <c r="AH82" s="99"/>
      <c r="AI82" s="99"/>
    </row>
    <row r="83" spans="2:60" x14ac:dyDescent="0.2">
      <c r="C83" s="91"/>
      <c r="G83" s="91"/>
      <c r="H83" s="91"/>
      <c r="M83" s="8"/>
      <c r="N83" s="8"/>
      <c r="O83" s="91"/>
      <c r="P83" s="91"/>
      <c r="Q83" s="8"/>
      <c r="R83" s="8"/>
      <c r="S83" s="8"/>
      <c r="T83" s="91"/>
      <c r="U83" s="91"/>
      <c r="V83" s="8"/>
      <c r="W83" s="8"/>
      <c r="X83" s="8"/>
      <c r="Y83" s="8"/>
      <c r="Z83" s="8"/>
      <c r="AA83" s="8"/>
      <c r="AF83" s="91"/>
      <c r="AG83" s="91"/>
    </row>
    <row r="84" spans="2:60" s="42" customFormat="1" ht="15" customHeight="1" x14ac:dyDescent="0.2">
      <c r="B84" s="1"/>
      <c r="C84" s="2"/>
      <c r="D84" s="91"/>
      <c r="E84" s="3"/>
      <c r="F84" s="2"/>
      <c r="G84" s="4"/>
      <c r="H84" s="5"/>
      <c r="I84" s="5"/>
      <c r="J84" s="5"/>
      <c r="K84" s="2"/>
      <c r="L84" s="2"/>
      <c r="M84" s="43"/>
      <c r="N84" s="43"/>
      <c r="O84" s="44"/>
      <c r="P84" s="44"/>
      <c r="Q84" s="44"/>
      <c r="R84" s="44"/>
      <c r="S84" s="44"/>
      <c r="T84" s="43"/>
      <c r="U84" s="44"/>
      <c r="V84" s="44"/>
      <c r="W84" s="44"/>
      <c r="X84" s="44"/>
      <c r="Y84" s="44"/>
      <c r="Z84" s="44"/>
      <c r="AA84" s="44"/>
      <c r="AB84" s="43"/>
      <c r="AC84" s="44"/>
      <c r="AD84" s="45"/>
      <c r="AE84" s="44"/>
      <c r="AF84" s="46"/>
      <c r="AG84" s="2"/>
      <c r="AH84" s="93"/>
      <c r="AI84" s="2"/>
      <c r="AJ84" s="1"/>
      <c r="AK84" s="1"/>
      <c r="AL84" s="6"/>
      <c r="AM84" s="47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2:60" x14ac:dyDescent="0.2">
      <c r="G85" s="2"/>
      <c r="H85" s="2"/>
    </row>
    <row r="86" spans="2:60" ht="15" x14ac:dyDescent="0.2">
      <c r="C86" s="92" t="s">
        <v>219</v>
      </c>
      <c r="G86" s="91"/>
      <c r="H86" s="2"/>
      <c r="O86" s="104" t="s">
        <v>212</v>
      </c>
      <c r="P86" s="104"/>
      <c r="T86" s="99"/>
      <c r="U86" s="99"/>
      <c r="AG86" s="104" t="s">
        <v>221</v>
      </c>
      <c r="AH86" s="104"/>
      <c r="AI86" s="104"/>
      <c r="AJ86" s="71"/>
    </row>
    <row r="87" spans="2:60" ht="15" customHeight="1" x14ac:dyDescent="0.2">
      <c r="C87" s="91" t="s">
        <v>220</v>
      </c>
      <c r="G87" s="5"/>
      <c r="L87" s="99"/>
      <c r="M87" s="99"/>
      <c r="O87" s="99" t="s">
        <v>211</v>
      </c>
      <c r="P87" s="99"/>
      <c r="T87" s="99"/>
      <c r="U87" s="99"/>
      <c r="AG87" s="100" t="s">
        <v>222</v>
      </c>
      <c r="AH87" s="100"/>
      <c r="AI87" s="100"/>
    </row>
    <row r="90" spans="2:60" x14ac:dyDescent="0.2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 spans="2:60" x14ac:dyDescent="0.2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 spans="2:60" x14ac:dyDescent="0.2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 spans="2:60" x14ac:dyDescent="0.2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 spans="2:60" x14ac:dyDescent="0.2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 spans="2:60" x14ac:dyDescent="0.2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 spans="2:60" x14ac:dyDescent="0.2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 spans="2:37" x14ac:dyDescent="0.2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 spans="2:37" x14ac:dyDescent="0.2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 spans="2:37" x14ac:dyDescent="0.2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 spans="2:37" x14ac:dyDescent="0.2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 spans="2:37" x14ac:dyDescent="0.2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 spans="2:37" x14ac:dyDescent="0.2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 spans="2:37" x14ac:dyDescent="0.2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 spans="2:37" x14ac:dyDescent="0.2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 spans="2:37" x14ac:dyDescent="0.2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 spans="2:37" x14ac:dyDescent="0.2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 spans="2:37" x14ac:dyDescent="0.2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spans="2:37" x14ac:dyDescent="0.2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 spans="2:37" x14ac:dyDescent="0.2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spans="2:37" x14ac:dyDescent="0.2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 spans="2:37" x14ac:dyDescent="0.2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 spans="2:37" x14ac:dyDescent="0.2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 spans="2:37" x14ac:dyDescent="0.2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 spans="2:37" x14ac:dyDescent="0.2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 spans="2:37" x14ac:dyDescent="0.2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 spans="2:37" x14ac:dyDescent="0.2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spans="2:37" x14ac:dyDescent="0.2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 spans="2:37" x14ac:dyDescent="0.2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 spans="2:37" x14ac:dyDescent="0.2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 spans="2:37" x14ac:dyDescent="0.2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</sheetData>
  <mergeCells count="11">
    <mergeCell ref="L87:M87"/>
    <mergeCell ref="O87:P87"/>
    <mergeCell ref="T87:U87"/>
    <mergeCell ref="AG87:AI87"/>
    <mergeCell ref="B70:J70"/>
    <mergeCell ref="O82:P82"/>
    <mergeCell ref="T82:U82"/>
    <mergeCell ref="AG82:AI82"/>
    <mergeCell ref="O86:P86"/>
    <mergeCell ref="T86:U86"/>
    <mergeCell ref="AG86:AI86"/>
  </mergeCells>
  <dataValidations count="2">
    <dataValidation type="list" allowBlank="1" showInputMessage="1" showErrorMessage="1" sqref="I6:I69">
      <formula1>"TK/0,TK/1,TK/2,TK/3,K/0,K/1,K/2,K/3"</formula1>
    </dataValidation>
    <dataValidation type="list" allowBlank="1" showInputMessage="1" showErrorMessage="1" sqref="H6:H69">
      <formula1>"L,P"</formula1>
    </dataValidation>
  </dataValidations>
  <pageMargins left="0" right="0" top="0" bottom="0" header="0" footer="0"/>
  <pageSetup paperSize="10000" scale="3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JANUARI</vt:lpstr>
      <vt:lpstr>JANUARI!Print_Area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PGE2A</dc:creator>
  <cp:lastModifiedBy>PGE2A</cp:lastModifiedBy>
  <cp:lastPrinted>2025-12-03T08:26:19Z</cp:lastPrinted>
  <dcterms:created xsi:type="dcterms:W3CDTF">2025-01-13T06:31:49Z</dcterms:created>
  <dcterms:modified xsi:type="dcterms:W3CDTF">2026-02-02T03:53:19Z</dcterms:modified>
</cp:coreProperties>
</file>