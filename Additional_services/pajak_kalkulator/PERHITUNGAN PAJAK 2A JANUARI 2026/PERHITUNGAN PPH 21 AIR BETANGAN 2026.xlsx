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310"/>
  </bookViews>
  <sheets>
    <sheet name="JANUARI" sheetId="1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FEB">[1]TARIF!$H$3:$K$42</definedName>
    <definedName name="PERHITUNGAN" localSheetId="0">[2]TARIF!#REF!</definedName>
    <definedName name="PERHITUNGAN">[2]TARIF!#REF!</definedName>
    <definedName name="PH" localSheetId="0">[3]TARIF!#REF!</definedName>
    <definedName name="PH">[4]TARIF!#REF!</definedName>
    <definedName name="PPH" localSheetId="0">#REF!</definedName>
    <definedName name="PPH">#REF!</definedName>
    <definedName name="_xlnm.Print_Area" localSheetId="0">JANUARI!$A$1:$AI$83</definedName>
    <definedName name="PTKP" localSheetId="0">[3]TARIF!#REF!</definedName>
    <definedName name="PTKP">[4]TARIF!#REF!</definedName>
    <definedName name="Ter_A">[3]TARIF!$B$3:$E$46</definedName>
    <definedName name="Ter_B">[3]TARIF!$H$3:$K$42</definedName>
    <definedName name="Ter_C">[3]TARIF!$N$3:$Q$43</definedName>
  </definedNames>
  <calcPr calcId="144525"/>
</workbook>
</file>

<file path=xl/calcChain.xml><?xml version="1.0" encoding="utf-8"?>
<calcChain xmlns="http://schemas.openxmlformats.org/spreadsheetml/2006/main">
  <c r="Q9" i="15" l="1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K36" i="15" l="1"/>
  <c r="AA36" i="15" l="1"/>
  <c r="Z36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6" i="15"/>
  <c r="Z27" i="15"/>
  <c r="Z28" i="15"/>
  <c r="Z29" i="15"/>
  <c r="Z30" i="15"/>
  <c r="Z31" i="15"/>
  <c r="Z32" i="15"/>
  <c r="Z33" i="15"/>
  <c r="Z34" i="15"/>
  <c r="Z35" i="15"/>
  <c r="Z9" i="15"/>
  <c r="X60" i="15"/>
  <c r="X61" i="15"/>
  <c r="X62" i="15"/>
  <c r="X63" i="15"/>
  <c r="X64" i="15"/>
  <c r="X59" i="15"/>
  <c r="W66" i="15"/>
  <c r="W36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9" i="15"/>
  <c r="V66" i="15"/>
  <c r="V36" i="15"/>
  <c r="T36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9" i="15"/>
  <c r="S34" i="15"/>
  <c r="S35" i="15"/>
  <c r="S66" i="15"/>
  <c r="S60" i="15"/>
  <c r="S61" i="15"/>
  <c r="S62" i="15"/>
  <c r="S63" i="15"/>
  <c r="S64" i="15"/>
  <c r="S59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3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7" i="15"/>
  <c r="S6" i="15"/>
  <c r="R8" i="15"/>
  <c r="R7" i="15"/>
  <c r="R6" i="15"/>
  <c r="M66" i="15" l="1"/>
  <c r="M60" i="15"/>
  <c r="M61" i="15"/>
  <c r="M62" i="15"/>
  <c r="M63" i="15"/>
  <c r="M64" i="15"/>
  <c r="M59" i="15"/>
  <c r="M38" i="15" l="1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37" i="15"/>
  <c r="M36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7" i="15"/>
  <c r="M6" i="15"/>
  <c r="K65" i="15"/>
  <c r="L62" i="15"/>
  <c r="L63" i="15"/>
  <c r="L64" i="15"/>
  <c r="K62" i="15"/>
  <c r="K63" i="15"/>
  <c r="K64" i="15"/>
  <c r="J62" i="15"/>
  <c r="L36" i="15"/>
  <c r="J36" i="15"/>
  <c r="AK36" i="15" l="1"/>
  <c r="AK63" i="15"/>
  <c r="AK62" i="15"/>
  <c r="AK64" i="15"/>
  <c r="L8" i="15"/>
  <c r="AK8" i="15" s="1"/>
  <c r="L9" i="15"/>
  <c r="AK9" i="15" s="1"/>
  <c r="L10" i="15"/>
  <c r="AK10" i="15" s="1"/>
  <c r="L11" i="15"/>
  <c r="AK11" i="15" s="1"/>
  <c r="L12" i="15"/>
  <c r="AK12" i="15" s="1"/>
  <c r="L13" i="15"/>
  <c r="AK13" i="15" s="1"/>
  <c r="L14" i="15"/>
  <c r="AK14" i="15" s="1"/>
  <c r="L15" i="15"/>
  <c r="AK15" i="15" s="1"/>
  <c r="L16" i="15"/>
  <c r="AK16" i="15" s="1"/>
  <c r="L17" i="15"/>
  <c r="AK17" i="15" s="1"/>
  <c r="L18" i="15"/>
  <c r="AK18" i="15" s="1"/>
  <c r="L19" i="15"/>
  <c r="AK19" i="15" s="1"/>
  <c r="L20" i="15"/>
  <c r="AK20" i="15" s="1"/>
  <c r="L21" i="15"/>
  <c r="AK21" i="15" s="1"/>
  <c r="L22" i="15"/>
  <c r="AK22" i="15" s="1"/>
  <c r="L23" i="15"/>
  <c r="AK23" i="15" s="1"/>
  <c r="L24" i="15"/>
  <c r="AK24" i="15" s="1"/>
  <c r="L25" i="15"/>
  <c r="AK25" i="15" s="1"/>
  <c r="L26" i="15"/>
  <c r="AK26" i="15" s="1"/>
  <c r="L27" i="15"/>
  <c r="AK27" i="15" s="1"/>
  <c r="L28" i="15"/>
  <c r="AK28" i="15" s="1"/>
  <c r="L29" i="15"/>
  <c r="AK29" i="15" s="1"/>
  <c r="L30" i="15"/>
  <c r="AK30" i="15" s="1"/>
  <c r="L31" i="15"/>
  <c r="AK31" i="15" s="1"/>
  <c r="L32" i="15"/>
  <c r="AK32" i="15" s="1"/>
  <c r="L33" i="15"/>
  <c r="L34" i="15"/>
  <c r="L35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9" i="15"/>
  <c r="L60" i="15"/>
  <c r="L61" i="15"/>
  <c r="L58" i="15"/>
  <c r="L7" i="15"/>
  <c r="L6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9" i="15"/>
  <c r="K60" i="15"/>
  <c r="K61" i="15"/>
  <c r="K58" i="15"/>
  <c r="K7" i="15"/>
  <c r="K6" i="15"/>
  <c r="AK56" i="15" l="1"/>
  <c r="AK55" i="15"/>
  <c r="AK38" i="15"/>
  <c r="AK40" i="15"/>
  <c r="AK39" i="15"/>
  <c r="AK58" i="15"/>
  <c r="AK52" i="15"/>
  <c r="AK37" i="15"/>
  <c r="AK44" i="15"/>
  <c r="AK35" i="15"/>
  <c r="AK60" i="15"/>
  <c r="AK51" i="15"/>
  <c r="AK43" i="15"/>
  <c r="AK34" i="15"/>
  <c r="AK54" i="15"/>
  <c r="AK53" i="15"/>
  <c r="AK59" i="15"/>
  <c r="AK42" i="15"/>
  <c r="AK33" i="15"/>
  <c r="AK48" i="15"/>
  <c r="AK47" i="15"/>
  <c r="AK46" i="15"/>
  <c r="AK45" i="15"/>
  <c r="AK61" i="15"/>
  <c r="AK50" i="15"/>
  <c r="AK57" i="15"/>
  <c r="AK49" i="15"/>
  <c r="AK41" i="15"/>
  <c r="AF65" i="15"/>
  <c r="AE65" i="15"/>
  <c r="AC65" i="15"/>
  <c r="AB65" i="15"/>
  <c r="Y65" i="15"/>
  <c r="N65" i="15"/>
  <c r="J64" i="15"/>
  <c r="J63" i="15"/>
  <c r="J58" i="15"/>
  <c r="J61" i="15"/>
  <c r="J60" i="15"/>
  <c r="X65" i="15"/>
  <c r="J59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W65" i="15"/>
  <c r="V65" i="15"/>
  <c r="J9" i="15"/>
  <c r="J8" i="15"/>
  <c r="J7" i="15"/>
  <c r="R65" i="15"/>
  <c r="J6" i="15"/>
  <c r="M65" i="15" l="1"/>
  <c r="AK7" i="15"/>
  <c r="L65" i="15"/>
  <c r="S65" i="15"/>
  <c r="AK6" i="15"/>
  <c r="AK65" i="15" l="1"/>
  <c r="AD43" i="15" l="1"/>
  <c r="AD41" i="15"/>
  <c r="AD40" i="15"/>
  <c r="O41" i="15" l="1"/>
  <c r="AG41" i="15" s="1"/>
  <c r="AD42" i="15"/>
  <c r="O42" i="15"/>
  <c r="AG42" i="15" s="1"/>
  <c r="O40" i="15"/>
  <c r="AG40" i="15" s="1"/>
  <c r="O43" i="15"/>
  <c r="AG43" i="15" s="1"/>
  <c r="AH42" i="15" l="1"/>
  <c r="AI42" i="15" s="1"/>
  <c r="AH41" i="15"/>
  <c r="AI41" i="15" s="1"/>
  <c r="AH43" i="15"/>
  <c r="AI43" i="15" s="1"/>
  <c r="AH40" i="15"/>
  <c r="AI40" i="15" s="1"/>
  <c r="AJ41" i="15"/>
  <c r="AL41" i="15" s="1"/>
  <c r="AM41" i="15" s="1"/>
  <c r="AJ40" i="15"/>
  <c r="AL40" i="15" s="1"/>
  <c r="AM40" i="15" s="1"/>
  <c r="AJ42" i="15"/>
  <c r="AL42" i="15" s="1"/>
  <c r="AM42" i="15" s="1"/>
  <c r="AJ43" i="15"/>
  <c r="AL43" i="15" s="1"/>
  <c r="AM43" i="15" s="1"/>
  <c r="AD58" i="15" l="1"/>
  <c r="O58" i="15"/>
  <c r="AG58" i="15" l="1"/>
  <c r="AH58" i="15" s="1"/>
  <c r="AI58" i="15" s="1"/>
  <c r="AJ58" i="15"/>
  <c r="AL58" i="15" s="1"/>
  <c r="AM58" i="15" l="1"/>
  <c r="R66" i="15"/>
  <c r="AD8" i="15" l="1"/>
  <c r="O8" i="15"/>
  <c r="P8" i="15"/>
  <c r="U36" i="15" l="1"/>
  <c r="P64" i="15" l="1"/>
  <c r="O63" i="15" l="1"/>
  <c r="O64" i="15"/>
  <c r="AD64" i="15"/>
  <c r="AD63" i="15"/>
  <c r="P63" i="15"/>
  <c r="Q63" i="15"/>
  <c r="AG63" i="15" l="1"/>
  <c r="AH63" i="15" s="1"/>
  <c r="AI63" i="15" s="1"/>
  <c r="Q64" i="15"/>
  <c r="AG64" i="15" s="1"/>
  <c r="AH64" i="15" s="1"/>
  <c r="AI64" i="15" s="1"/>
  <c r="AA35" i="15" l="1"/>
  <c r="AA34" i="15"/>
  <c r="AA33" i="15"/>
  <c r="AA32" i="15"/>
  <c r="AA31" i="15"/>
  <c r="AA30" i="15"/>
  <c r="AA29" i="15"/>
  <c r="AA28" i="15"/>
  <c r="AA27" i="15"/>
  <c r="AA26" i="15"/>
  <c r="U26" i="15"/>
  <c r="AA25" i="15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A12" i="15"/>
  <c r="AA11" i="15"/>
  <c r="AA10" i="15"/>
  <c r="AA9" i="15"/>
  <c r="AA65" i="15" l="1"/>
  <c r="U35" i="15"/>
  <c r="U34" i="15"/>
  <c r="U33" i="15"/>
  <c r="U32" i="15"/>
  <c r="U31" i="15"/>
  <c r="U30" i="15"/>
  <c r="U29" i="15"/>
  <c r="U28" i="15"/>
  <c r="U27" i="15"/>
  <c r="U25" i="15"/>
  <c r="U24" i="15"/>
  <c r="U23" i="15"/>
  <c r="U22" i="15"/>
  <c r="U21" i="15"/>
  <c r="U20" i="15"/>
  <c r="U19" i="15"/>
  <c r="U18" i="15"/>
  <c r="U17" i="15"/>
  <c r="U16" i="15"/>
  <c r="U15" i="15"/>
  <c r="U14" i="15"/>
  <c r="U13" i="15"/>
  <c r="U12" i="15"/>
  <c r="U11" i="15"/>
  <c r="U10" i="15"/>
  <c r="U9" i="15"/>
  <c r="AD33" i="15"/>
  <c r="AD31" i="15"/>
  <c r="AD28" i="15"/>
  <c r="AD24" i="15"/>
  <c r="AD13" i="15"/>
  <c r="AD16" i="15"/>
  <c r="AD14" i="15"/>
  <c r="AD7" i="15"/>
  <c r="AA66" i="15"/>
  <c r="AD35" i="15"/>
  <c r="U65" i="15" l="1"/>
  <c r="AD26" i="15"/>
  <c r="AD19" i="15"/>
  <c r="AD30" i="15"/>
  <c r="AD18" i="15"/>
  <c r="AD17" i="15"/>
  <c r="AD20" i="15"/>
  <c r="AD15" i="15"/>
  <c r="AD23" i="15"/>
  <c r="AD25" i="15"/>
  <c r="AD21" i="15"/>
  <c r="AD12" i="15"/>
  <c r="AD32" i="15"/>
  <c r="AD11" i="15"/>
  <c r="AD10" i="15"/>
  <c r="AD27" i="15"/>
  <c r="AD9" i="15"/>
  <c r="AD29" i="15"/>
  <c r="AD34" i="15"/>
  <c r="AD22" i="15"/>
  <c r="T22" i="15"/>
  <c r="T21" i="15"/>
  <c r="T35" i="15"/>
  <c r="T34" i="15"/>
  <c r="T33" i="15"/>
  <c r="T32" i="15"/>
  <c r="T31" i="15"/>
  <c r="T30" i="15"/>
  <c r="T29" i="15"/>
  <c r="T28" i="15"/>
  <c r="T27" i="15"/>
  <c r="T26" i="15"/>
  <c r="T24" i="15"/>
  <c r="T23" i="15"/>
  <c r="T19" i="15"/>
  <c r="T18" i="15"/>
  <c r="T17" i="15"/>
  <c r="T16" i="15"/>
  <c r="T15" i="15"/>
  <c r="T14" i="15"/>
  <c r="T13" i="15"/>
  <c r="T11" i="15"/>
  <c r="U66" i="15"/>
  <c r="T25" i="15"/>
  <c r="T20" i="15"/>
  <c r="T12" i="15"/>
  <c r="T10" i="15"/>
  <c r="O9" i="15"/>
  <c r="T9" i="15" l="1"/>
  <c r="T65" i="15" s="1"/>
  <c r="AG9" i="15" l="1"/>
  <c r="T66" i="15"/>
  <c r="AH9" i="15" l="1"/>
  <c r="AI9" i="15" s="1"/>
  <c r="AD60" i="15" l="1"/>
  <c r="AD62" i="15" l="1"/>
  <c r="AD61" i="15"/>
  <c r="Q60" i="15"/>
  <c r="Q61" i="15"/>
  <c r="AD59" i="15" l="1"/>
  <c r="Q62" i="15"/>
  <c r="Q59" i="15"/>
  <c r="P62" i="15" l="1"/>
  <c r="O62" i="15"/>
  <c r="AG62" i="15" s="1"/>
  <c r="AH62" i="15" s="1"/>
  <c r="AI62" i="15" s="1"/>
  <c r="P61" i="15"/>
  <c r="O61" i="15"/>
  <c r="P60" i="15"/>
  <c r="O60" i="15"/>
  <c r="AG60" i="15" s="1"/>
  <c r="AH60" i="15" s="1"/>
  <c r="AI60" i="15" s="1"/>
  <c r="AG61" i="15" l="1"/>
  <c r="AH61" i="15" s="1"/>
  <c r="AI61" i="15" s="1"/>
  <c r="AJ60" i="15"/>
  <c r="AL60" i="15" s="1"/>
  <c r="AM60" i="15" s="1"/>
  <c r="P59" i="15"/>
  <c r="O59" i="15"/>
  <c r="AG59" i="15" l="1"/>
  <c r="AJ59" i="15"/>
  <c r="AL59" i="15" l="1"/>
  <c r="AM59" i="15" s="1"/>
  <c r="AH59" i="15"/>
  <c r="AI59" i="15" l="1"/>
  <c r="AD36" i="15" l="1"/>
  <c r="AG36" i="15" s="1"/>
  <c r="AH36" i="15" l="1"/>
  <c r="AI36" i="15" s="1"/>
  <c r="AJ36" i="15" l="1"/>
  <c r="AL36" i="15" s="1"/>
  <c r="AM36" i="15" s="1"/>
  <c r="O33" i="15"/>
  <c r="AG33" i="15" s="1"/>
  <c r="AH33" i="15" s="1"/>
  <c r="AI33" i="15" s="1"/>
  <c r="O32" i="15"/>
  <c r="AG32" i="15" s="1"/>
  <c r="AH32" i="15" s="1"/>
  <c r="AI32" i="15" s="1"/>
  <c r="O25" i="15"/>
  <c r="O23" i="15"/>
  <c r="AG23" i="15" s="1"/>
  <c r="AH23" i="15" s="1"/>
  <c r="AI23" i="15" s="1"/>
  <c r="O21" i="15"/>
  <c r="AG21" i="15" s="1"/>
  <c r="AH21" i="15" s="1"/>
  <c r="AI21" i="15" s="1"/>
  <c r="O16" i="15"/>
  <c r="AG16" i="15" s="1"/>
  <c r="AH16" i="15" s="1"/>
  <c r="AI16" i="15" s="1"/>
  <c r="O15" i="15"/>
  <c r="AG15" i="15" s="1"/>
  <c r="AH15" i="15" s="1"/>
  <c r="AI15" i="15" s="1"/>
  <c r="O14" i="15"/>
  <c r="AG14" i="15" s="1"/>
  <c r="AH14" i="15" s="1"/>
  <c r="AI14" i="15" s="1"/>
  <c r="O13" i="15"/>
  <c r="AG13" i="15" s="1"/>
  <c r="AH13" i="15" s="1"/>
  <c r="AI13" i="15" s="1"/>
  <c r="O12" i="15"/>
  <c r="AG12" i="15" s="1"/>
  <c r="AH12" i="15" l="1"/>
  <c r="AI12" i="15" s="1"/>
  <c r="AJ23" i="15"/>
  <c r="AL23" i="15" s="1"/>
  <c r="AM23" i="15" s="1"/>
  <c r="AJ16" i="15"/>
  <c r="AL16" i="15" s="1"/>
  <c r="AM16" i="15" s="1"/>
  <c r="AJ32" i="15"/>
  <c r="AL32" i="15" s="1"/>
  <c r="AM32" i="15" s="1"/>
  <c r="AJ21" i="15"/>
  <c r="AL21" i="15" s="1"/>
  <c r="AM21" i="15" s="1"/>
  <c r="AJ33" i="15"/>
  <c r="AL33" i="15" s="1"/>
  <c r="AM33" i="15" s="1"/>
  <c r="O27" i="15"/>
  <c r="AG27" i="15" s="1"/>
  <c r="AH27" i="15" s="1"/>
  <c r="AI27" i="15" s="1"/>
  <c r="O22" i="15"/>
  <c r="AG22" i="15" s="1"/>
  <c r="O34" i="15"/>
  <c r="AG34" i="15" s="1"/>
  <c r="AH34" i="15" s="1"/>
  <c r="AI34" i="15" s="1"/>
  <c r="O31" i="15"/>
  <c r="AG31" i="15" s="1"/>
  <c r="AH31" i="15" s="1"/>
  <c r="AI31" i="15" s="1"/>
  <c r="O30" i="15"/>
  <c r="AG30" i="15" s="1"/>
  <c r="AH30" i="15" s="1"/>
  <c r="AI30" i="15" s="1"/>
  <c r="O29" i="15"/>
  <c r="AG29" i="15" s="1"/>
  <c r="AH29" i="15" s="1"/>
  <c r="AI29" i="15" s="1"/>
  <c r="O28" i="15"/>
  <c r="AG28" i="15" s="1"/>
  <c r="AH28" i="15" s="1"/>
  <c r="AI28" i="15" s="1"/>
  <c r="O26" i="15"/>
  <c r="AG26" i="15" s="1"/>
  <c r="AH26" i="15" s="1"/>
  <c r="AI26" i="15" s="1"/>
  <c r="O20" i="15"/>
  <c r="AG20" i="15" s="1"/>
  <c r="AH20" i="15" s="1"/>
  <c r="AI20" i="15" s="1"/>
  <c r="O19" i="15"/>
  <c r="AG19" i="15" s="1"/>
  <c r="AH19" i="15" s="1"/>
  <c r="AI19" i="15" s="1"/>
  <c r="O18" i="15"/>
  <c r="AG18" i="15" s="1"/>
  <c r="AH18" i="15" s="1"/>
  <c r="AI18" i="15" s="1"/>
  <c r="O17" i="15"/>
  <c r="AG17" i="15" s="1"/>
  <c r="AH17" i="15" s="1"/>
  <c r="AI17" i="15" s="1"/>
  <c r="O10" i="15"/>
  <c r="AH22" i="15" l="1"/>
  <c r="AI22" i="15" s="1"/>
  <c r="AJ28" i="15"/>
  <c r="AL28" i="15" s="1"/>
  <c r="AM28" i="15" s="1"/>
  <c r="AJ34" i="15"/>
  <c r="AL34" i="15" s="1"/>
  <c r="AM34" i="15" s="1"/>
  <c r="AJ29" i="15"/>
  <c r="AL29" i="15" s="1"/>
  <c r="AM29" i="15" s="1"/>
  <c r="AJ19" i="15"/>
  <c r="AL19" i="15" s="1"/>
  <c r="AM19" i="15" s="1"/>
  <c r="AJ17" i="15"/>
  <c r="AL17" i="15" s="1"/>
  <c r="AM17" i="15" s="1"/>
  <c r="AJ18" i="15"/>
  <c r="AL18" i="15" s="1"/>
  <c r="AM18" i="15" s="1"/>
  <c r="AJ26" i="15"/>
  <c r="AL26" i="15" s="1"/>
  <c r="AM26" i="15" s="1"/>
  <c r="AJ30" i="15"/>
  <c r="AL30" i="15" s="1"/>
  <c r="AM30" i="15" s="1"/>
  <c r="AJ31" i="15"/>
  <c r="AL31" i="15" s="1"/>
  <c r="AM31" i="15" s="1"/>
  <c r="AJ22" i="15"/>
  <c r="AL22" i="15" s="1"/>
  <c r="AM22" i="15" s="1"/>
  <c r="AJ20" i="15"/>
  <c r="AL20" i="15" s="1"/>
  <c r="AM20" i="15" s="1"/>
  <c r="AJ27" i="15"/>
  <c r="AL27" i="15" s="1"/>
  <c r="AM27" i="15" s="1"/>
  <c r="O11" i="15"/>
  <c r="AG11" i="15" s="1"/>
  <c r="AH11" i="15" s="1"/>
  <c r="AI11" i="15" s="1"/>
  <c r="O35" i="15"/>
  <c r="AG35" i="15" s="1"/>
  <c r="AH35" i="15" s="1"/>
  <c r="AI35" i="15" s="1"/>
  <c r="O24" i="15"/>
  <c r="AG24" i="15" s="1"/>
  <c r="AH24" i="15" s="1"/>
  <c r="AI24" i="15" s="1"/>
  <c r="AJ35" i="15" l="1"/>
  <c r="AL35" i="15" s="1"/>
  <c r="AM35" i="15" s="1"/>
  <c r="AJ24" i="15"/>
  <c r="AL24" i="15" s="1"/>
  <c r="AM24" i="15" s="1"/>
  <c r="AD46" i="15" l="1"/>
  <c r="AD38" i="15"/>
  <c r="AD39" i="15"/>
  <c r="AD53" i="15"/>
  <c r="AD44" i="15"/>
  <c r="AD45" i="15"/>
  <c r="AD52" i="15"/>
  <c r="AD57" i="15"/>
  <c r="AD55" i="15"/>
  <c r="AD51" i="15"/>
  <c r="AD47" i="15"/>
  <c r="AD50" i="15" l="1"/>
  <c r="AD49" i="15"/>
  <c r="AD48" i="15"/>
  <c r="O38" i="15"/>
  <c r="AG38" i="15" s="1"/>
  <c r="AH38" i="15" s="1"/>
  <c r="AI38" i="15" s="1"/>
  <c r="AD56" i="15"/>
  <c r="Q37" i="15"/>
  <c r="O53" i="15"/>
  <c r="AG53" i="15" s="1"/>
  <c r="AH53" i="15" s="1"/>
  <c r="AI53" i="15" s="1"/>
  <c r="AD54" i="15"/>
  <c r="O39" i="15"/>
  <c r="AG39" i="15" s="1"/>
  <c r="AH39" i="15" s="1"/>
  <c r="AI39" i="15" s="1"/>
  <c r="O51" i="15"/>
  <c r="AG51" i="15" s="1"/>
  <c r="AH51" i="15" s="1"/>
  <c r="AI51" i="15" s="1"/>
  <c r="O47" i="15"/>
  <c r="AG47" i="15" s="1"/>
  <c r="AH47" i="15" s="1"/>
  <c r="AI47" i="15" s="1"/>
  <c r="O45" i="15"/>
  <c r="AG45" i="15" s="1"/>
  <c r="AH45" i="15" s="1"/>
  <c r="AI45" i="15" s="1"/>
  <c r="O49" i="15"/>
  <c r="AG49" i="15" s="1"/>
  <c r="AH49" i="15" s="1"/>
  <c r="AI49" i="15" s="1"/>
  <c r="O57" i="15"/>
  <c r="AG57" i="15" s="1"/>
  <c r="AH57" i="15" s="1"/>
  <c r="AI57" i="15" s="1"/>
  <c r="O52" i="15"/>
  <c r="AG52" i="15" s="1"/>
  <c r="AH52" i="15" s="1"/>
  <c r="AI52" i="15" s="1"/>
  <c r="O50" i="15"/>
  <c r="O48" i="15"/>
  <c r="O46" i="15"/>
  <c r="AG46" i="15" s="1"/>
  <c r="AH46" i="15" s="1"/>
  <c r="AI46" i="15" s="1"/>
  <c r="O44" i="15"/>
  <c r="AG44" i="15" s="1"/>
  <c r="AH44" i="15" s="1"/>
  <c r="AI44" i="15" s="1"/>
  <c r="AG50" i="15" l="1"/>
  <c r="AH50" i="15" s="1"/>
  <c r="AI50" i="15" s="1"/>
  <c r="AG48" i="15"/>
  <c r="AH48" i="15" s="1"/>
  <c r="AI48" i="15" s="1"/>
  <c r="AD37" i="15"/>
  <c r="P37" i="15"/>
  <c r="O37" i="15"/>
  <c r="O56" i="15"/>
  <c r="AG56" i="15" s="1"/>
  <c r="AH56" i="15" s="1"/>
  <c r="AI56" i="15" s="1"/>
  <c r="AJ53" i="15"/>
  <c r="AL53" i="15" s="1"/>
  <c r="AM53" i="15" s="1"/>
  <c r="O55" i="15"/>
  <c r="AG55" i="15" s="1"/>
  <c r="AH55" i="15" s="1"/>
  <c r="AI55" i="15" s="1"/>
  <c r="O54" i="15"/>
  <c r="AG54" i="15" s="1"/>
  <c r="AH54" i="15" s="1"/>
  <c r="AI54" i="15" s="1"/>
  <c r="AJ39" i="15"/>
  <c r="AL39" i="15" s="1"/>
  <c r="AM39" i="15" s="1"/>
  <c r="AJ51" i="15"/>
  <c r="AL51" i="15" s="1"/>
  <c r="AM51" i="15" s="1"/>
  <c r="AJ49" i="15"/>
  <c r="AL49" i="15" s="1"/>
  <c r="AM49" i="15" s="1"/>
  <c r="AJ50" i="15"/>
  <c r="AL50" i="15" s="1"/>
  <c r="AM50" i="15" s="1"/>
  <c r="AJ48" i="15"/>
  <c r="AL48" i="15" s="1"/>
  <c r="AM48" i="15" s="1"/>
  <c r="AJ44" i="15"/>
  <c r="AL44" i="15" s="1"/>
  <c r="AM44" i="15" s="1"/>
  <c r="AG37" i="15" l="1"/>
  <c r="AH37" i="15"/>
  <c r="AI37" i="15" s="1"/>
  <c r="AJ37" i="15"/>
  <c r="AL37" i="15" s="1"/>
  <c r="AM37" i="15" s="1"/>
  <c r="AJ55" i="15"/>
  <c r="AL55" i="15" s="1"/>
  <c r="AM55" i="15" s="1"/>
  <c r="AJ54" i="15"/>
  <c r="AL54" i="15" s="1"/>
  <c r="AM54" i="15" s="1"/>
  <c r="Q8" i="15" l="1"/>
  <c r="AG8" i="15" l="1"/>
  <c r="AH8" i="15" s="1"/>
  <c r="AI8" i="15" s="1"/>
  <c r="Q65" i="15"/>
  <c r="AJ8" i="15"/>
  <c r="AL8" i="15" s="1"/>
  <c r="Q66" i="15"/>
  <c r="AM8" i="15" l="1"/>
  <c r="P7" i="15"/>
  <c r="O7" i="15" l="1"/>
  <c r="AG7" i="15" s="1"/>
  <c r="AH7" i="15" s="1"/>
  <c r="AI7" i="15" s="1"/>
  <c r="P6" i="15"/>
  <c r="P65" i="15" s="1"/>
  <c r="O6" i="15"/>
  <c r="O65" i="15" l="1"/>
  <c r="AD66" i="15"/>
  <c r="AD6" i="15"/>
  <c r="AD65" i="15" s="1"/>
  <c r="AJ7" i="15"/>
  <c r="AL7" i="15" s="1"/>
  <c r="AM7" i="15" s="1"/>
  <c r="AJ6" i="15"/>
  <c r="O66" i="15"/>
  <c r="P66" i="15"/>
  <c r="AL6" i="15" l="1"/>
  <c r="AG6" i="15"/>
  <c r="AH6" i="15" l="1"/>
  <c r="AM6" i="15"/>
  <c r="AJ57" i="15"/>
  <c r="AL57" i="15" s="1"/>
  <c r="AM57" i="15" s="1"/>
  <c r="AI6" i="15" l="1"/>
  <c r="AJ56" i="15"/>
  <c r="AL56" i="15" s="1"/>
  <c r="AM56" i="15" s="1"/>
  <c r="AJ52" i="15" l="1"/>
  <c r="AL52" i="15" s="1"/>
  <c r="AM52" i="15" s="1"/>
  <c r="AJ47" i="15" l="1"/>
  <c r="AL47" i="15" s="1"/>
  <c r="AM47" i="15" s="1"/>
  <c r="AJ46" i="15" l="1"/>
  <c r="AL46" i="15" s="1"/>
  <c r="AM46" i="15" s="1"/>
  <c r="AJ45" i="15"/>
  <c r="AL45" i="15" s="1"/>
  <c r="AM45" i="15" s="1"/>
  <c r="AJ38" i="15" l="1"/>
  <c r="AL38" i="15" s="1"/>
  <c r="AM38" i="15" s="1"/>
  <c r="AJ15" i="15" l="1"/>
  <c r="AL15" i="15" s="1"/>
  <c r="AM15" i="15" s="1"/>
  <c r="AJ11" i="15"/>
  <c r="AL11" i="15" s="1"/>
  <c r="AM11" i="15" s="1"/>
  <c r="AJ13" i="15"/>
  <c r="AL13" i="15" s="1"/>
  <c r="AM13" i="15" s="1"/>
  <c r="AJ14" i="15" l="1"/>
  <c r="AL14" i="15" s="1"/>
  <c r="AM14" i="15" s="1"/>
  <c r="AJ12" i="15"/>
  <c r="AL12" i="15" s="1"/>
  <c r="AM12" i="15" s="1"/>
  <c r="AJ9" i="15"/>
  <c r="AL9" i="15" l="1"/>
  <c r="AM9" i="15" l="1"/>
  <c r="Z10" i="15" l="1"/>
  <c r="Z25" i="15"/>
  <c r="AG25" i="15" s="1"/>
  <c r="AH25" i="15" s="1"/>
  <c r="AI25" i="15" s="1"/>
  <c r="Z65" i="15" l="1"/>
  <c r="AG10" i="15"/>
  <c r="AH10" i="15" l="1"/>
  <c r="AG65" i="15"/>
  <c r="AI10" i="15" l="1"/>
  <c r="AI65" i="15" s="1"/>
  <c r="AH65" i="15"/>
  <c r="X66" i="15" l="1"/>
  <c r="AJ63" i="15" l="1"/>
  <c r="AL63" i="15" s="1"/>
  <c r="AM63" i="15" s="1"/>
  <c r="AJ64" i="15" l="1"/>
  <c r="AL64" i="15" s="1"/>
  <c r="AM64" i="15" s="1"/>
  <c r="Z66" i="15" l="1"/>
  <c r="AJ62" i="15" l="1"/>
  <c r="AL62" i="15" s="1"/>
  <c r="AM62" i="15" s="1"/>
  <c r="AJ61" i="15"/>
  <c r="AL61" i="15" l="1"/>
  <c r="AM61" i="15" l="1"/>
  <c r="AJ25" i="15" l="1"/>
  <c r="AL25" i="15" s="1"/>
  <c r="AM25" i="15" s="1"/>
  <c r="AJ10" i="15" l="1"/>
  <c r="AL10" i="15" l="1"/>
  <c r="AJ65" i="15"/>
  <c r="AJ66" i="15"/>
  <c r="AM10" i="15" l="1"/>
  <c r="AM65" i="15" s="1"/>
  <c r="AL65" i="15"/>
  <c r="AI66" i="15" l="1"/>
</calcChain>
</file>

<file path=xl/sharedStrings.xml><?xml version="1.0" encoding="utf-8"?>
<sst xmlns="http://schemas.openxmlformats.org/spreadsheetml/2006/main" count="467" uniqueCount="270">
  <si>
    <t>PT. REBINMAS JAYA</t>
  </si>
  <si>
    <t>PGE 2A (AIR BETANGAN)</t>
  </si>
  <si>
    <t>yang berwarna ini rumus</t>
  </si>
  <si>
    <t>T.Beras</t>
  </si>
  <si>
    <t>T.Jabatan</t>
  </si>
  <si>
    <t>Lembur</t>
  </si>
  <si>
    <t>NO.</t>
  </si>
  <si>
    <t>NAMA KARYAWAN</t>
  </si>
  <si>
    <t>N I K / 
PASPOR</t>
  </si>
  <si>
    <t>N P W P</t>
  </si>
  <si>
    <t>A L A M A T</t>
  </si>
  <si>
    <t>JABATAN</t>
  </si>
  <si>
    <t>L/P</t>
  </si>
  <si>
    <t>PTKP</t>
  </si>
  <si>
    <t>TER</t>
  </si>
  <si>
    <t>Gaji Pokok</t>
  </si>
  <si>
    <t>Astek Ins (0,84%)</t>
  </si>
  <si>
    <t>BPJS KESEHATAN (4%)</t>
  </si>
  <si>
    <t>Transport  Allow</t>
  </si>
  <si>
    <t>Rice  Allow</t>
  </si>
  <si>
    <t>Structural  Allow</t>
  </si>
  <si>
    <t>Service Time Allow</t>
  </si>
  <si>
    <t>Masa Kerja</t>
  </si>
  <si>
    <t>Premi Tandan</t>
  </si>
  <si>
    <t>Premi Brondol</t>
  </si>
  <si>
    <t>Premi Pruning</t>
  </si>
  <si>
    <t>Insentif Panen</t>
  </si>
  <si>
    <t>POT. ALPA &amp; POT. CTH ( CUTI TANPA HK )</t>
  </si>
  <si>
    <t>THR</t>
  </si>
  <si>
    <t>Bonus</t>
  </si>
  <si>
    <t>Penghasilan
Bruto</t>
  </si>
  <si>
    <t>Tarif
TER</t>
  </si>
  <si>
    <t>UPAH KOTOR</t>
  </si>
  <si>
    <t>JL RAYA PELEPAK PUTE RT. 004 RW. 002 DESA PELEPAK PUTE KEC. SIJUK</t>
  </si>
  <si>
    <t>L</t>
  </si>
  <si>
    <t>K/2</t>
  </si>
  <si>
    <t>YULI TRIANTO</t>
  </si>
  <si>
    <t>1902050304890002</t>
  </si>
  <si>
    <t>97.228.397.2-305.000</t>
  </si>
  <si>
    <t>JL. MANGGAR DSN BUKIT INDAH RT. 011 RW.004 DESA KACANG BUTOR KEC. BADAU</t>
  </si>
  <si>
    <t>MANDOR PANEN</t>
  </si>
  <si>
    <t>SUPRIADI</t>
  </si>
  <si>
    <t>1906041710870002</t>
  </si>
  <si>
    <t>97.387.454.8-305.000</t>
  </si>
  <si>
    <t>DSN CENDIL RT. 003 RW. 001 DESA CENDIL KEC. KELAPA KAMPIT</t>
  </si>
  <si>
    <t>KERANI PANEN</t>
  </si>
  <si>
    <t>-</t>
  </si>
  <si>
    <t>KARYAWAN PANEN</t>
  </si>
  <si>
    <t>DEDI PURWANTO</t>
  </si>
  <si>
    <t>1906042408970002</t>
  </si>
  <si>
    <t>DSN BUKIT DURIAN RT. 003 RW. 002 DESA MENTAWAK KEC. KELAPA KAMPIT</t>
  </si>
  <si>
    <t>K/1</t>
  </si>
  <si>
    <t>HARYONO</t>
  </si>
  <si>
    <t>1902041805930001</t>
  </si>
  <si>
    <t>DSN PESARAKAN RT. 007 RW. 003 DESA CENDIL KEC. CENDIL</t>
  </si>
  <si>
    <t>IRAWAN</t>
  </si>
  <si>
    <t>1902040806810001</t>
  </si>
  <si>
    <t>PELEPAK PUTIH RT. 022 RW. 011 DESA SIJUK KEC. SIJUK</t>
  </si>
  <si>
    <t>MAS AGUS ULTARIA</t>
  </si>
  <si>
    <t>1902041008970002</t>
  </si>
  <si>
    <t>AIK KALAK RT. 006 RW. 003 DESA PELEPAK PUTE KEC. SIJUK</t>
  </si>
  <si>
    <t>TK/0</t>
  </si>
  <si>
    <t>REZI SAPUTRA</t>
  </si>
  <si>
    <t>1902042706940001</t>
  </si>
  <si>
    <t>SUNGAI PADANG RT. 008 RW. 004 DESA SUNGAI PADANG KEC. SIJUK</t>
  </si>
  <si>
    <t>ROBIYANSAH</t>
  </si>
  <si>
    <t>1902041607920001</t>
  </si>
  <si>
    <t>JL PELEPAK PUTE AIK KALAK RT. 008 RW. 004 DESA PELEPAK PUTE KEC. SIJUK</t>
  </si>
  <si>
    <t>SAPARUDIN</t>
  </si>
  <si>
    <t>1902040704710002</t>
  </si>
  <si>
    <t>PELEPAK PUTE RT. 001 RW. 001 DESA PELEPAK PUTE KEC. SIJUK</t>
  </si>
  <si>
    <t>SERI</t>
  </si>
  <si>
    <t>1902040508800002</t>
  </si>
  <si>
    <t>JL BUDING DUSUN AIR KALA RT. 023 RW. 012 DESA SIJUK KEC. SIJUK</t>
  </si>
  <si>
    <t>SUPRITNO</t>
  </si>
  <si>
    <t>1902042811880004</t>
  </si>
  <si>
    <t>VERIYADI</t>
  </si>
  <si>
    <t>1902040809890004</t>
  </si>
  <si>
    <t>AIK KALAK RT. 006 RW. 003 DESA PELEPAK PUTE KEC. SIJIK</t>
  </si>
  <si>
    <t>K/0</t>
  </si>
  <si>
    <t>WANDI</t>
  </si>
  <si>
    <t>1902040305800004</t>
  </si>
  <si>
    <t>SUNGAI PADANG RT. 006 RW. 003 DESA SUNGAI PADANG KEC. SIJUK</t>
  </si>
  <si>
    <t>K/3</t>
  </si>
  <si>
    <t>SAPRIANTO</t>
  </si>
  <si>
    <t>1902052605910003</t>
  </si>
  <si>
    <t>DSN. PESARAKAN RT.007 RW.003 DESA CENDIL KEC. KELAPA KAMPIT</t>
  </si>
  <si>
    <t>MUHAMMAD SAID</t>
  </si>
  <si>
    <t>5203041206820007</t>
  </si>
  <si>
    <t>DASAN PETUNG DESA KOTARAJA KEC. SIKUR KAB. LOMBOK TIMUR</t>
  </si>
  <si>
    <t>ABDURRAHIM</t>
  </si>
  <si>
    <t>5203193112750530</t>
  </si>
  <si>
    <t>GUBUK MAJLOK DS. BUNGTIANG KEC. SAKRA BARAT KAB. LOMBOK TIMUR</t>
  </si>
  <si>
    <t>SAHNAN</t>
  </si>
  <si>
    <t>5203011202030002</t>
  </si>
  <si>
    <t>KETANGGA BARAT RT.01 RW.02 DESA KETANGGA JERAENG KEC.KERUAK KAB.LOMBOK TIMUR</t>
  </si>
  <si>
    <t>RANDI SISWANTO</t>
  </si>
  <si>
    <t>1902041305960004</t>
  </si>
  <si>
    <t>JL. SIJUK RT.001 RW.001 DESA AIR SERUK KEC. SIJUK KAB. BELITUNG</t>
  </si>
  <si>
    <t>SAHARUDIN</t>
  </si>
  <si>
    <t>5202071208780002</t>
  </si>
  <si>
    <t>GIONG MANIS DESA JANAPRIA KEC. JANAPRIA KAB. LOMBOK TENGAH</t>
  </si>
  <si>
    <t>ZAINUL ABIDIN</t>
  </si>
  <si>
    <t>5203130810830006</t>
  </si>
  <si>
    <t>GOTONG ROYONG DESA BAGIK PAYUNG SELATAN KEC. SURALAGA KAB. LOMBOK TIMUR</t>
  </si>
  <si>
    <t>HARMAIN</t>
  </si>
  <si>
    <t>5203133112790131</t>
  </si>
  <si>
    <t>GOTONG ROYONG RT.002/RW.001 DESA BAGIK PAYUNG SELATAN KEC. SURALAGA KAB. LOMBOK TIMUR</t>
  </si>
  <si>
    <t>KHAIRUL ALAMSYAH NASUTION</t>
  </si>
  <si>
    <t>1405081701000002</t>
  </si>
  <si>
    <t>JLN.PEMUDA II RT.021 RW.007 DS AIK RAYAK KEC. TANJUNG PANDAN KAB. BELITUNG</t>
  </si>
  <si>
    <t>SURYA MAZDALENA</t>
  </si>
  <si>
    <t>1671085608870007</t>
  </si>
  <si>
    <t>57.417.069.2-307.000</t>
  </si>
  <si>
    <t>DSN PARIT GUNUNG RT. 005 RW. 003 DESA AIR BATU BUDING KEC. BADAU</t>
  </si>
  <si>
    <t>KERANI DIVISI</t>
  </si>
  <si>
    <t>P</t>
  </si>
  <si>
    <t>ADE CANDRA</t>
  </si>
  <si>
    <t>1902041607880003</t>
  </si>
  <si>
    <t>97.228.521.7.305.000</t>
  </si>
  <si>
    <t>KARYAWAN PERAWATAN</t>
  </si>
  <si>
    <t>ARNA</t>
  </si>
  <si>
    <t>1902044504730002</t>
  </si>
  <si>
    <t>97.228.557.1.305.000</t>
  </si>
  <si>
    <t>JL SIJUK RT. 029 RW. 011 DESA AIR SERUK KEC. SIJUK</t>
  </si>
  <si>
    <t>NELLIE</t>
  </si>
  <si>
    <t>1906046104770002</t>
  </si>
  <si>
    <t>97.228.580.3.305.000</t>
  </si>
  <si>
    <t>DSN AIR KALA RT. 023 RW. 012 DESA SIJUK KEC. SIJUK</t>
  </si>
  <si>
    <t>SUSANTI</t>
  </si>
  <si>
    <t>1902044807900001</t>
  </si>
  <si>
    <t>97.228.520.9-305.000</t>
  </si>
  <si>
    <t>DSN CENDIL RT. 004 RW. 002 DESA CENDIL KEC. KELAPA KAMPIT</t>
  </si>
  <si>
    <t>DARNA</t>
  </si>
  <si>
    <t>1906045304820002</t>
  </si>
  <si>
    <t>97.228.532.4.305.000</t>
  </si>
  <si>
    <t>DSN AIK KALAK RT. 006 RW. 003 DESA PELEPAK PUTE KEC. SIJUK</t>
  </si>
  <si>
    <t>DESI WARDANI</t>
  </si>
  <si>
    <t>1902044203900002</t>
  </si>
  <si>
    <t>97.228.575.3.305.000</t>
  </si>
  <si>
    <t>FEBRIANTI</t>
  </si>
  <si>
    <t>1906045602850002</t>
  </si>
  <si>
    <t>97.228.528.2.305.000</t>
  </si>
  <si>
    <t>DSN KEPAYANG RT. 005 RW. 002 DESA KACANG BUTOR KEC. BADAU</t>
  </si>
  <si>
    <t>SANDRA</t>
  </si>
  <si>
    <t>1902040506910003</t>
  </si>
  <si>
    <t>66.914.373.7-305.000</t>
  </si>
  <si>
    <t>DSN BUKIT INDAH RT. 011 RW. 004 DS KACANG BUTOR KEC. BADAU</t>
  </si>
  <si>
    <t>FIANDI</t>
  </si>
  <si>
    <t>1902041005860003</t>
  </si>
  <si>
    <t>66.907.952.7-305.000</t>
  </si>
  <si>
    <t>JL TARUNA DSN SIMPANG EMPAT RT. 012 RW. 006 DESA SIJUK KEC. SIJUK</t>
  </si>
  <si>
    <t>BASTIAR</t>
  </si>
  <si>
    <t>1902051310720001</t>
  </si>
  <si>
    <t>97.228.534.0.305.000</t>
  </si>
  <si>
    <t>JL SIJUK RT. 005 RW. 002 DESA AIR SERUK KEC. SIJUK</t>
  </si>
  <si>
    <t>SURYANTI</t>
  </si>
  <si>
    <t>1906044712790002</t>
  </si>
  <si>
    <t>97.228.548.0.305.000</t>
  </si>
  <si>
    <t>JL MANGGAR AIR BATU BUDING RT. 003 RW. 002 KEC. BADAU</t>
  </si>
  <si>
    <t>ROMIATI</t>
  </si>
  <si>
    <t>1906045309730003</t>
  </si>
  <si>
    <t>97.228.585.2.305.000</t>
  </si>
  <si>
    <t>DSN PESARAKAN RT. 008 RW. 003 DESA CENDIL KEC. KELAPA KAMPIT</t>
  </si>
  <si>
    <t>ROSMALA</t>
  </si>
  <si>
    <t>1906046609710002</t>
  </si>
  <si>
    <t>97.228.583.7.305.000</t>
  </si>
  <si>
    <t>DSN CENDIL RT. 005 RW. 002 DESA CENDIL KEC. KELAPA KAMPIT</t>
  </si>
  <si>
    <t>HARTININGSIH</t>
  </si>
  <si>
    <t>1906045411810002</t>
  </si>
  <si>
    <t>97.228.587.8.305.000</t>
  </si>
  <si>
    <t>DSN CENDIL RT. 002 RW. 001 DESA CENDIL KEC. KELAPA KAMPIT</t>
  </si>
  <si>
    <t>DARIAN</t>
  </si>
  <si>
    <t>1906042201890004</t>
  </si>
  <si>
    <t>97.387.457.1-305.000</t>
  </si>
  <si>
    <t>DSN CENDIL RT. 002 RW. 001 DS CENDIL KEC. KELAPA KAMPIT</t>
  </si>
  <si>
    <t>HARYATI</t>
  </si>
  <si>
    <t>1906046210740002</t>
  </si>
  <si>
    <t>97.228.503.5-305.000</t>
  </si>
  <si>
    <t xml:space="preserve">DSN CENDIL RT. 006 RW. 002 DESA CENDIL KEC. KELAPA KAMPIT </t>
  </si>
  <si>
    <t>DESI ARTIKA</t>
  </si>
  <si>
    <t>1906044309880002</t>
  </si>
  <si>
    <t>97.387.479.5-305.000</t>
  </si>
  <si>
    <t>BELLY BATRA</t>
  </si>
  <si>
    <t>1906042112940005</t>
  </si>
  <si>
    <t>JL SIJUK RT. 019 RW. 007 DESA AIR SERUK KEC. SIJUK</t>
  </si>
  <si>
    <t>SASTRAWATI</t>
  </si>
  <si>
    <t>1902046003810002</t>
  </si>
  <si>
    <t>97.387.485.2-305.000</t>
  </si>
  <si>
    <t>DSN PELEPAK PUTIH RT. 022 RW. 011 DESA SIJUK KEC. SIJUK</t>
  </si>
  <si>
    <t>JAMIL</t>
  </si>
  <si>
    <t>1902040711800002</t>
  </si>
  <si>
    <t>97.228.420.2-305.000</t>
  </si>
  <si>
    <t>ARYANDI</t>
  </si>
  <si>
    <t>1906042402820002</t>
  </si>
  <si>
    <t>DSN PENIRUKAN RT. 004 RW. 002 DESA MAYANG KEC. KELAPA KAMPIT</t>
  </si>
  <si>
    <t>RUDIANTO</t>
  </si>
  <si>
    <t>1902050703790001</t>
  </si>
  <si>
    <t>97.228.545.6-305.000</t>
  </si>
  <si>
    <t>JL MANGGAR RT. 010 RW. 003 DESA KACANG BUTOR KEC. BADAU</t>
  </si>
  <si>
    <t>OPERATOR</t>
  </si>
  <si>
    <t>TRISNOHADI</t>
  </si>
  <si>
    <t>1902052005930001</t>
  </si>
  <si>
    <t>54.907.341.9-305.000</t>
  </si>
  <si>
    <t>JL. KAPTEN HARIS RT. 007 RW. 004 DESA BADAU KEC. BADAU</t>
  </si>
  <si>
    <t>HELPER</t>
  </si>
  <si>
    <t>TARMUJI</t>
  </si>
  <si>
    <t>1902051502940001</t>
  </si>
  <si>
    <t>55.493.375.4-305.000</t>
  </si>
  <si>
    <t>JL MANGGAR RT. 011 RW. 004 DESA KACANG BUTOR KEC. BADAU</t>
  </si>
  <si>
    <t>Diketahui Oleh,</t>
  </si>
  <si>
    <t>Estate Manager</t>
  </si>
  <si>
    <t>AHMAD SURADI</t>
  </si>
  <si>
    <t>1902050208880001</t>
  </si>
  <si>
    <t xml:space="preserve">BUKIT INDAH RT.12 RW 004 DESA KACANG BUTOR KEC. BADAU </t>
  </si>
  <si>
    <t>MUHAMMAD IHSAN</t>
  </si>
  <si>
    <t>BUDIYANTO</t>
  </si>
  <si>
    <t>1902042708930003</t>
  </si>
  <si>
    <t>54.921.494.8-305.000</t>
  </si>
  <si>
    <t>1902051506940001</t>
  </si>
  <si>
    <t>55.214.573.2-305.000</t>
  </si>
  <si>
    <t>DSN CENDIL RT.005 RW.002 DESA CENDIL KEC. KELAPA KAMPIT</t>
  </si>
  <si>
    <t xml:space="preserve">DS. AIR BEGANTUNG RT.001 RW.001 DESA KACANG BUTOR KEC. BADAU </t>
  </si>
  <si>
    <t>KOREKSI</t>
  </si>
  <si>
    <t>POTONGAN TIKET</t>
  </si>
  <si>
    <t>GOHI MARULI L TORUAN.SP</t>
  </si>
  <si>
    <t>LENA</t>
  </si>
  <si>
    <t>Kerani Divisi</t>
  </si>
  <si>
    <t>Dibuat Oleh</t>
  </si>
  <si>
    <t>WAHYUDI</t>
  </si>
  <si>
    <t>1906043112990005</t>
  </si>
  <si>
    <t>JL. BAHAGIA RT.003 RW.002 DESA PEMBAHARUAN KEC.KELAPA KAMPIT</t>
  </si>
  <si>
    <t>CHANDRA DINATA PRIBADI</t>
  </si>
  <si>
    <t>Senior Manager</t>
  </si>
  <si>
    <t>Premi Operator</t>
  </si>
  <si>
    <t>Pengembalian Tiket</t>
  </si>
  <si>
    <t>Kontanan</t>
  </si>
  <si>
    <t>Disahkan Oleh,</t>
  </si>
  <si>
    <t>DAMSYAH</t>
  </si>
  <si>
    <t>5203010203740001</t>
  </si>
  <si>
    <t>KETANGGA TIMUR DESA KETANGGA JERAENG KEC. KERUAK LOMBOK TIMUR</t>
  </si>
  <si>
    <t>AGUS MULIADI PAUSAN</t>
  </si>
  <si>
    <t>5203131808960002</t>
  </si>
  <si>
    <t>KODRI</t>
  </si>
  <si>
    <t>MARUDIN</t>
  </si>
  <si>
    <t>AHMAD SOPIANDI</t>
  </si>
  <si>
    <t>SAEPUL NASRI</t>
  </si>
  <si>
    <t>5203172505030001</t>
  </si>
  <si>
    <t xml:space="preserve">MONTONG MEONG DESA LABUHAN HAJI KEC. LABUHAN HAJI KAB.LOMBOK TIMUR </t>
  </si>
  <si>
    <t>5203133105850001</t>
  </si>
  <si>
    <t>5203170611960003</t>
  </si>
  <si>
    <t>5203130107840222</t>
  </si>
  <si>
    <t>GOTONG ROYONG RT.04 RW.01 BAGIK PAYUNG SELATAN KEC. SURALAGA KAB. LOMBOK TIMUR</t>
  </si>
  <si>
    <t>SISIK DESA LABUHAN HAJI KEC. LABUHAN HAJI KAB. LOMBOK TIMUR</t>
  </si>
  <si>
    <t>GOTONG ROYONG LAUK RT.01 RW.02 BAGIK PAYUNG SELATAN KEC. SURALAGA KAB. LOMBOK TIMUR</t>
  </si>
  <si>
    <t>GOTONG ROYONG RT.03 RW.01 DESA BAGIK PAYUNG SELATAN KEC. SURALAGA KAB. LOMBOK TIMUR</t>
  </si>
  <si>
    <t>Tunjangan Kinerja</t>
  </si>
  <si>
    <t>Diperiksa Oleh,</t>
  </si>
  <si>
    <t>WANDY.F</t>
  </si>
  <si>
    <t>Assistant Manager</t>
  </si>
  <si>
    <t>Premi Circle Raking</t>
  </si>
  <si>
    <t>INCOME TAX ARTICLE 21 FOR JANUARY 2026</t>
  </si>
  <si>
    <t>PPH 21 JANUARI</t>
  </si>
  <si>
    <t>TK/1</t>
  </si>
  <si>
    <t>SERIADI</t>
  </si>
  <si>
    <t>5203013112710032</t>
  </si>
  <si>
    <t>WATES DESA KETANGGA JERAENG KECAMATAN KERUAK KAB.LOMBOK TIMUR</t>
  </si>
  <si>
    <t>DHIMAS WINDHI FRATAMA</t>
  </si>
  <si>
    <t>3314150102010002</t>
  </si>
  <si>
    <t>DSN.BUKIT INDAH RT.012 RW.004 DESA KACANG BUTOR KEC. BADAU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</si>
</sst>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_)"/>
    <numFmt numFmtId="166" formatCode="0000000000000000"/>
    <numFmt numFmtId="167" formatCode="000000000000000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10"/>
      <color theme="0"/>
      <name val="Arial"/>
      <family val="2"/>
    </font>
    <font>
      <u val="singleAccounting"/>
      <sz val="10"/>
      <name val="Arial"/>
      <family val="2"/>
    </font>
    <font>
      <sz val="11"/>
      <color indexed="8"/>
      <name val="Calibri"/>
      <family val="2"/>
      <charset val="1"/>
    </font>
    <font>
      <b/>
      <sz val="9"/>
      <name val="Arial"/>
      <family val="2"/>
    </font>
    <font>
      <b/>
      <u val="singleAccounting"/>
      <sz val="10"/>
      <name val="Arial"/>
      <family val="2"/>
    </font>
    <font>
      <sz val="9"/>
      <color theme="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</borders>
  <cellStyleXfs count="19">
    <xf numFmtId="0" fontId="0" fillId="0" borderId="0"/>
    <xf numFmtId="43" fontId="6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1" fillId="0" borderId="0"/>
  </cellStyleXfs>
  <cellXfs count="86">
    <xf numFmtId="0" fontId="0" fillId="0" borderId="0" xfId="0"/>
    <xf numFmtId="0" fontId="2" fillId="0" borderId="0" xfId="2" applyAlignment="1">
      <alignment vertical="center"/>
    </xf>
    <xf numFmtId="41" fontId="2" fillId="0" borderId="0" xfId="3" applyFont="1" applyFill="1" applyAlignment="1">
      <alignment vertical="center"/>
    </xf>
    <xf numFmtId="0" fontId="2" fillId="0" borderId="0" xfId="3" applyNumberFormat="1" applyFont="1" applyFill="1" applyAlignment="1">
      <alignment horizontal="center" vertical="center"/>
    </xf>
    <xf numFmtId="0" fontId="2" fillId="0" borderId="0" xfId="2" applyAlignment="1">
      <alignment horizontal="left" vertical="center"/>
    </xf>
    <xf numFmtId="0" fontId="2" fillId="0" borderId="0" xfId="2" applyAlignment="1">
      <alignment horizontal="center" vertical="center"/>
    </xf>
    <xf numFmtId="0" fontId="2" fillId="0" borderId="0" xfId="2"/>
    <xf numFmtId="41" fontId="3" fillId="2" borderId="0" xfId="3" applyFont="1" applyFill="1" applyAlignment="1">
      <alignment vertical="center"/>
    </xf>
    <xf numFmtId="167" fontId="5" fillId="0" borderId="3" xfId="3" quotePrefix="1" applyNumberFormat="1" applyFont="1" applyFill="1" applyBorder="1" applyAlignment="1" applyProtection="1">
      <alignment horizontal="center" vertical="center"/>
    </xf>
    <xf numFmtId="41" fontId="2" fillId="0" borderId="0" xfId="2" applyNumberFormat="1" applyAlignment="1">
      <alignment vertical="center"/>
    </xf>
    <xf numFmtId="3" fontId="2" fillId="0" borderId="0" xfId="2" applyNumberFormat="1" applyAlignment="1">
      <alignment vertical="center"/>
    </xf>
    <xf numFmtId="167" fontId="5" fillId="0" borderId="5" xfId="3" quotePrefix="1" applyNumberFormat="1" applyFont="1" applyFill="1" applyBorder="1" applyAlignment="1" applyProtection="1">
      <alignment horizontal="center" vertical="center"/>
    </xf>
    <xf numFmtId="165" fontId="8" fillId="0" borderId="5" xfId="2" applyNumberFormat="1" applyFont="1" applyBorder="1" applyAlignment="1">
      <alignment horizontal="left" vertical="center"/>
    </xf>
    <xf numFmtId="0" fontId="3" fillId="3" borderId="1" xfId="2" quotePrefix="1" applyFont="1" applyFill="1" applyBorder="1" applyAlignment="1">
      <alignment vertical="center"/>
    </xf>
    <xf numFmtId="0" fontId="3" fillId="3" borderId="8" xfId="2" quotePrefix="1" applyFont="1" applyFill="1" applyBorder="1" applyAlignment="1">
      <alignment vertical="center"/>
    </xf>
    <xf numFmtId="0" fontId="3" fillId="0" borderId="0" xfId="2" applyFont="1"/>
    <xf numFmtId="0" fontId="2" fillId="0" borderId="0" xfId="6"/>
    <xf numFmtId="9" fontId="2" fillId="0" borderId="0" xfId="7" applyFont="1" applyFill="1" applyAlignment="1">
      <alignment vertical="center"/>
    </xf>
    <xf numFmtId="41" fontId="9" fillId="0" borderId="0" xfId="3" applyFont="1" applyFill="1" applyAlignment="1">
      <alignment vertical="center"/>
    </xf>
    <xf numFmtId="0" fontId="9" fillId="0" borderId="0" xfId="6" applyFont="1"/>
    <xf numFmtId="165" fontId="8" fillId="0" borderId="3" xfId="2" applyNumberFormat="1" applyFont="1" applyBorder="1" applyAlignment="1">
      <alignment horizontal="left" vertical="center"/>
    </xf>
    <xf numFmtId="167" fontId="5" fillId="0" borderId="6" xfId="3" quotePrefix="1" applyNumberFormat="1" applyFont="1" applyFill="1" applyBorder="1" applyAlignment="1" applyProtection="1">
      <alignment horizontal="center" vertical="center"/>
    </xf>
    <xf numFmtId="166" fontId="5" fillId="0" borderId="3" xfId="2" applyNumberFormat="1" applyFont="1" applyBorder="1" applyAlignment="1">
      <alignment horizontal="center" vertical="center"/>
    </xf>
    <xf numFmtId="165" fontId="8" fillId="0" borderId="3" xfId="2" applyNumberFormat="1" applyFont="1" applyBorder="1" applyAlignment="1">
      <alignment horizontal="center" vertical="center"/>
    </xf>
    <xf numFmtId="166" fontId="5" fillId="0" borderId="5" xfId="2" applyNumberFormat="1" applyFont="1" applyBorder="1" applyAlignment="1">
      <alignment horizontal="center" vertical="center"/>
    </xf>
    <xf numFmtId="166" fontId="5" fillId="0" borderId="5" xfId="2" quotePrefix="1" applyNumberFormat="1" applyFont="1" applyBorder="1" applyAlignment="1">
      <alignment horizontal="center" vertical="center"/>
    </xf>
    <xf numFmtId="41" fontId="2" fillId="0" borderId="0" xfId="2" applyNumberFormat="1"/>
    <xf numFmtId="0" fontId="2" fillId="0" borderId="3" xfId="2" quotePrefix="1" applyBorder="1" applyAlignment="1">
      <alignment horizontal="center" vertical="center"/>
    </xf>
    <xf numFmtId="168" fontId="3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165" fontId="8" fillId="0" borderId="5" xfId="2" applyNumberFormat="1" applyFont="1" applyBorder="1" applyAlignment="1">
      <alignment horizontal="center" vertical="center"/>
    </xf>
    <xf numFmtId="166" fontId="5" fillId="0" borderId="6" xfId="2" quotePrefix="1" applyNumberFormat="1" applyFont="1" applyBorder="1" applyAlignment="1">
      <alignment horizontal="center" vertical="center"/>
    </xf>
    <xf numFmtId="165" fontId="8" fillId="0" borderId="6" xfId="2" applyNumberFormat="1" applyFont="1" applyBorder="1" applyAlignment="1">
      <alignment horizontal="left" vertical="center"/>
    </xf>
    <xf numFmtId="165" fontId="8" fillId="0" borderId="6" xfId="2" applyNumberFormat="1" applyFont="1" applyBorder="1" applyAlignment="1">
      <alignment horizontal="center" vertical="center"/>
    </xf>
    <xf numFmtId="165" fontId="15" fillId="0" borderId="3" xfId="2" applyNumberFormat="1" applyFont="1" applyBorder="1" applyAlignment="1">
      <alignment horizontal="left" vertical="center"/>
    </xf>
    <xf numFmtId="165" fontId="15" fillId="4" borderId="3" xfId="2" applyNumberFormat="1" applyFont="1" applyFill="1" applyBorder="1" applyAlignment="1">
      <alignment horizontal="left" vertical="center"/>
    </xf>
    <xf numFmtId="165" fontId="15" fillId="6" borderId="3" xfId="2" applyNumberFormat="1" applyFont="1" applyFill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5" borderId="5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41" fontId="15" fillId="0" borderId="3" xfId="3" applyFont="1" applyFill="1" applyBorder="1" applyAlignment="1" applyProtection="1">
      <alignment horizontal="left" vertical="center"/>
    </xf>
    <xf numFmtId="41" fontId="15" fillId="2" borderId="5" xfId="3" applyFont="1" applyFill="1" applyBorder="1" applyAlignment="1" applyProtection="1">
      <alignment horizontal="left" vertical="center"/>
    </xf>
    <xf numFmtId="10" fontId="15" fillId="2" borderId="3" xfId="3" applyNumberFormat="1" applyFont="1" applyFill="1" applyBorder="1" applyAlignment="1" applyProtection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0" fontId="16" fillId="2" borderId="5" xfId="4" applyFont="1" applyFill="1" applyBorder="1" applyAlignment="1">
      <alignment horizontal="center" vertical="center"/>
    </xf>
    <xf numFmtId="41" fontId="15" fillId="0" borderId="5" xfId="3" applyFont="1" applyFill="1" applyBorder="1" applyAlignment="1" applyProtection="1">
      <alignment horizontal="left" vertical="center"/>
    </xf>
    <xf numFmtId="168" fontId="16" fillId="0" borderId="5" xfId="1" applyNumberFormat="1" applyFont="1" applyFill="1" applyBorder="1" applyAlignment="1">
      <alignment vertical="center"/>
    </xf>
    <xf numFmtId="0" fontId="16" fillId="0" borderId="5" xfId="4" applyFont="1" applyBorder="1" applyAlignment="1">
      <alignment horizontal="center" vertical="center"/>
    </xf>
    <xf numFmtId="0" fontId="15" fillId="0" borderId="5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41" fontId="15" fillId="0" borderId="6" xfId="3" applyFont="1" applyFill="1" applyBorder="1" applyAlignment="1" applyProtection="1">
      <alignment horizontal="left" vertical="center"/>
    </xf>
    <xf numFmtId="168" fontId="17" fillId="3" borderId="2" xfId="1" applyNumberFormat="1" applyFont="1" applyFill="1" applyBorder="1" applyAlignment="1">
      <alignment vertical="center"/>
    </xf>
    <xf numFmtId="41" fontId="4" fillId="0" borderId="0" xfId="3" applyFont="1" applyFill="1" applyAlignment="1">
      <alignment vertical="center"/>
    </xf>
    <xf numFmtId="41" fontId="15" fillId="2" borderId="3" xfId="3" applyFont="1" applyFill="1" applyBorder="1" applyAlignment="1" applyProtection="1">
      <alignment horizontal="left" vertical="center"/>
    </xf>
    <xf numFmtId="10" fontId="4" fillId="0" borderId="0" xfId="3" applyNumberFormat="1" applyFont="1" applyFill="1" applyAlignment="1">
      <alignment horizontal="center" vertical="center"/>
    </xf>
    <xf numFmtId="168" fontId="2" fillId="0" borderId="0" xfId="2" applyNumberFormat="1" applyAlignment="1">
      <alignment vertical="center"/>
    </xf>
    <xf numFmtId="168" fontId="14" fillId="0" borderId="0" xfId="6" applyNumberFormat="1" applyFont="1"/>
    <xf numFmtId="0" fontId="16" fillId="2" borderId="3" xfId="4" applyFont="1" applyFill="1" applyBorder="1" applyAlignment="1">
      <alignment horizontal="center" vertical="center"/>
    </xf>
    <xf numFmtId="41" fontId="15" fillId="0" borderId="9" xfId="3" applyFont="1" applyFill="1" applyBorder="1" applyAlignment="1" applyProtection="1">
      <alignment horizontal="left" vertical="center"/>
    </xf>
    <xf numFmtId="41" fontId="15" fillId="0" borderId="7" xfId="3" applyFont="1" applyFill="1" applyBorder="1" applyAlignment="1" applyProtection="1">
      <alignment horizontal="left" vertical="center"/>
    </xf>
    <xf numFmtId="41" fontId="3" fillId="3" borderId="10" xfId="3" applyFont="1" applyFill="1" applyBorder="1" applyAlignment="1">
      <alignment horizontal="center" vertical="center"/>
    </xf>
    <xf numFmtId="41" fontId="3" fillId="3" borderId="10" xfId="3" applyFont="1" applyFill="1" applyBorder="1" applyAlignment="1">
      <alignment horizontal="center" vertical="center" wrapText="1"/>
    </xf>
    <xf numFmtId="0" fontId="3" fillId="3" borderId="10" xfId="3" applyNumberFormat="1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 wrapText="1"/>
    </xf>
    <xf numFmtId="0" fontId="3" fillId="3" borderId="10" xfId="2" applyFont="1" applyFill="1" applyBorder="1" applyAlignment="1">
      <alignment horizontal="center" vertical="center"/>
    </xf>
    <xf numFmtId="0" fontId="3" fillId="3" borderId="10" xfId="3" applyNumberFormat="1" applyFont="1" applyFill="1" applyBorder="1" applyAlignment="1">
      <alignment horizontal="center" vertical="center" wrapText="1"/>
    </xf>
    <xf numFmtId="0" fontId="12" fillId="3" borderId="10" xfId="3" applyNumberFormat="1" applyFont="1" applyFill="1" applyBorder="1" applyAlignment="1">
      <alignment horizontal="center" vertical="center" wrapText="1"/>
    </xf>
    <xf numFmtId="10" fontId="3" fillId="3" borderId="10" xfId="3" applyNumberFormat="1" applyFont="1" applyFill="1" applyBorder="1" applyAlignment="1">
      <alignment horizontal="center" vertical="center" wrapText="1"/>
    </xf>
    <xf numFmtId="41" fontId="15" fillId="2" borderId="11" xfId="3" applyFont="1" applyFill="1" applyBorder="1" applyAlignment="1" applyProtection="1">
      <alignment horizontal="left" vertical="center"/>
    </xf>
    <xf numFmtId="41" fontId="15" fillId="2" borderId="4" xfId="3" applyFont="1" applyFill="1" applyBorder="1" applyAlignment="1" applyProtection="1">
      <alignment horizontal="left" vertical="center"/>
    </xf>
    <xf numFmtId="10" fontId="9" fillId="0" borderId="0" xfId="3" applyNumberFormat="1" applyFont="1" applyFill="1" applyAlignment="1">
      <alignment horizontal="center" vertical="center"/>
    </xf>
    <xf numFmtId="41" fontId="2" fillId="0" borderId="0" xfId="3" applyFont="1" applyFill="1" applyAlignment="1">
      <alignment horizontal="center" vertical="center"/>
    </xf>
    <xf numFmtId="41" fontId="2" fillId="0" borderId="0" xfId="3" applyFont="1" applyFill="1" applyBorder="1" applyAlignment="1">
      <alignment horizontal="center" vertical="center"/>
    </xf>
    <xf numFmtId="41" fontId="13" fillId="0" borderId="0" xfId="3" applyFont="1" applyFill="1" applyBorder="1" applyAlignment="1">
      <alignment horizontal="center" vertical="center"/>
    </xf>
    <xf numFmtId="10" fontId="2" fillId="0" borderId="0" xfId="3" applyNumberFormat="1" applyFont="1" applyFill="1" applyAlignment="1">
      <alignment horizontal="center" vertical="center"/>
    </xf>
    <xf numFmtId="41" fontId="13" fillId="0" borderId="0" xfId="3" applyFont="1" applyFill="1" applyAlignment="1">
      <alignment horizontal="center" vertical="center"/>
    </xf>
    <xf numFmtId="0" fontId="16" fillId="7" borderId="5" xfId="4" applyFont="1" applyFill="1" applyBorder="1" applyAlignment="1">
      <alignment horizontal="center" vertical="center"/>
    </xf>
    <xf numFmtId="0" fontId="16" fillId="7" borderId="3" xfId="4" applyFont="1" applyFill="1" applyBorder="1" applyAlignment="1">
      <alignment horizontal="center" vertical="center"/>
    </xf>
    <xf numFmtId="41" fontId="2" fillId="0" borderId="0" xfId="3" applyFont="1" applyFill="1" applyAlignment="1">
      <alignment horizontal="center" vertical="center"/>
    </xf>
    <xf numFmtId="41" fontId="10" fillId="0" borderId="0" xfId="3" applyFont="1" applyFill="1" applyBorder="1" applyAlignment="1">
      <alignment horizontal="center" vertical="center"/>
    </xf>
    <xf numFmtId="41" fontId="13" fillId="0" borderId="0" xfId="3" applyFont="1" applyFill="1" applyAlignment="1">
      <alignment horizontal="center" vertical="center"/>
    </xf>
    <xf numFmtId="41" fontId="13" fillId="0" borderId="0" xfId="3" applyFont="1" applyFill="1" applyBorder="1" applyAlignment="1">
      <alignment horizontal="center" vertical="center"/>
    </xf>
    <xf numFmtId="41" fontId="10" fillId="0" borderId="0" xfId="3" applyFont="1" applyFill="1" applyAlignment="1">
      <alignment horizontal="center" vertical="center"/>
    </xf>
    <xf numFmtId="41" fontId="2" fillId="0" borderId="0" xfId="3" applyFont="1" applyFill="1" applyBorder="1" applyAlignment="1">
      <alignment horizontal="center" vertical="center"/>
    </xf>
    <xf numFmtId="0" fontId="2" fillId="0" borderId="0" xfId="6" applyAlignment="1">
      <alignment horizontal="center"/>
    </xf>
  </cellXfs>
  <cellStyles count="19">
    <cellStyle name="Comma" xfId="1" builtinId="3"/>
    <cellStyle name="Comma [0] 2" xfId="8"/>
    <cellStyle name="Comma [0] 3" xfId="9"/>
    <cellStyle name="Comma [0] 4" xfId="3"/>
    <cellStyle name="Comma [0] 5" xfId="10"/>
    <cellStyle name="Comma 2" xfId="11"/>
    <cellStyle name="Comma 2 2" xfId="5"/>
    <cellStyle name="Comma 3" xfId="12"/>
    <cellStyle name="Comma 4" xfId="13"/>
    <cellStyle name="Comma 5" xfId="14"/>
    <cellStyle name="Normal" xfId="0" builtinId="0"/>
    <cellStyle name="Normal 19" xfId="15"/>
    <cellStyle name="Normal 2" xfId="16"/>
    <cellStyle name="Normal 2 2" xfId="17"/>
    <cellStyle name="Normal 3" xfId="2"/>
    <cellStyle name="Normal 4" xfId="18"/>
    <cellStyle name="Normal 6 2" xfId="6"/>
    <cellStyle name="Normal_Tetap" xfId="4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NA/2024/DAFTAR%20UPAH/PERHITUNGAN%20PPH%2021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ENA/2024/DAFTAR%20UPAH/THR/FEBRUARI/PERHITUNGAN%20PPH%2021%20AIR%20BETANGAN%202024%20O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HITUNGAN%20PPH%2021%202025%20AIR%20JANGKA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LENA/2024/DAFTAR%20UPAH/PERHITUNGAN%20PPH%2021%20AIR%20BETANGAN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FTAR%20GAJI%20JANUARI%202026%20AIR%20BETANGA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</sheetNames>
    <sheetDataSet>
      <sheetData sheetId="0">
        <row r="3">
          <cell r="H3">
            <v>0</v>
          </cell>
          <cell r="I3" t="str">
            <v>s.d</v>
          </cell>
          <cell r="J3">
            <v>6200000</v>
          </cell>
          <cell r="K3">
            <v>0</v>
          </cell>
        </row>
        <row r="4"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</row>
        <row r="5"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</row>
        <row r="6"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</row>
        <row r="7"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</row>
        <row r="8"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</row>
        <row r="9"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</row>
        <row r="10"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</row>
        <row r="11"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</row>
        <row r="12"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</row>
        <row r="13"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</row>
        <row r="14"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</row>
        <row r="15"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</row>
        <row r="16"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</row>
        <row r="17"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</row>
        <row r="18"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</row>
        <row r="19"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</row>
        <row r="20"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</row>
        <row r="21"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</row>
        <row r="22"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</row>
        <row r="23"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</row>
        <row r="24"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</row>
        <row r="25"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</row>
        <row r="26"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</row>
        <row r="27"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</row>
        <row r="28"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</row>
        <row r="29"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</row>
        <row r="30"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</row>
        <row r="31"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</row>
        <row r="32"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</row>
        <row r="33"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</row>
        <row r="34"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</row>
        <row r="35"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</row>
        <row r="36"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</row>
        <row r="37"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</row>
        <row r="38"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</row>
        <row r="39"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</row>
        <row r="40"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</row>
        <row r="41"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</row>
        <row r="42"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 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UARI'25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 "/>
      <sheetName val="THR"/>
      <sheetName val="MAR'24"/>
      <sheetName val="APRIL'24"/>
      <sheetName val="EXGRATIA"/>
      <sheetName val="MEI'24"/>
      <sheetName val="JUNI'24"/>
      <sheetName val="JULI'24"/>
      <sheetName val="AGUSTUS'24"/>
      <sheetName val="SEPTEMBER'24"/>
      <sheetName val="OKTOBER'24"/>
      <sheetName val="NOVEMBER'24"/>
      <sheetName val="DESEMBER'24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KROL PANEN"/>
      <sheetName val="Sheet1"/>
      <sheetName val="OUTPUT-HK"/>
      <sheetName val="SUMMARY PANEN"/>
      <sheetName val="DATA INSENTIF "/>
      <sheetName val="OVT"/>
      <sheetName val="CHEKROLL MAINT"/>
      <sheetName val="OVT MAINTENANCE"/>
      <sheetName val="HK OPERATOR + OVT"/>
      <sheetName val="HARVESTING"/>
      <sheetName val="BHL HARVESTING"/>
      <sheetName val="MAINTENANCE "/>
      <sheetName val="OPERATOR"/>
      <sheetName val="REKENING"/>
      <sheetName val="REKONSILIASI"/>
      <sheetName val="REKON GAJI MANUAL VS PLANTW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T13">
            <v>166500</v>
          </cell>
          <cell r="W13">
            <v>80500</v>
          </cell>
          <cell r="Z13">
            <v>50500</v>
          </cell>
          <cell r="AJ13">
            <v>1508400</v>
          </cell>
          <cell r="AL13">
            <v>5840900</v>
          </cell>
          <cell r="AQ13">
            <v>163420</v>
          </cell>
          <cell r="BH13">
            <v>134500</v>
          </cell>
        </row>
        <row r="14">
          <cell r="T14">
            <v>172050</v>
          </cell>
          <cell r="W14">
            <v>60000</v>
          </cell>
          <cell r="Z14">
            <v>54000</v>
          </cell>
          <cell r="AJ14">
            <v>1849200</v>
          </cell>
          <cell r="AL14">
            <v>6304750</v>
          </cell>
          <cell r="AQ14">
            <v>163560</v>
          </cell>
          <cell r="BH14">
            <v>0</v>
          </cell>
        </row>
        <row r="15">
          <cell r="T15">
            <v>69750</v>
          </cell>
          <cell r="W15">
            <v>60000</v>
          </cell>
          <cell r="Z15">
            <v>5000</v>
          </cell>
          <cell r="AA15">
            <v>758020.25</v>
          </cell>
          <cell r="AJ15">
            <v>253000</v>
          </cell>
          <cell r="AL15">
            <v>5315270.25</v>
          </cell>
          <cell r="AQ15">
            <v>161600</v>
          </cell>
          <cell r="BH15">
            <v>0</v>
          </cell>
        </row>
        <row r="16">
          <cell r="T16">
            <v>144150</v>
          </cell>
          <cell r="Z16">
            <v>21000</v>
          </cell>
          <cell r="AD16">
            <v>184633</v>
          </cell>
          <cell r="AE16">
            <v>600250</v>
          </cell>
          <cell r="AF16">
            <v>527800</v>
          </cell>
          <cell r="AH16">
            <v>0</v>
          </cell>
          <cell r="AK16">
            <v>0</v>
          </cell>
          <cell r="AL16">
            <v>5647333</v>
          </cell>
          <cell r="AQ16">
            <v>162240</v>
          </cell>
          <cell r="BH16">
            <v>0</v>
          </cell>
        </row>
        <row r="17">
          <cell r="T17">
            <v>172050</v>
          </cell>
          <cell r="Z17">
            <v>21000</v>
          </cell>
          <cell r="AD17">
            <v>285549</v>
          </cell>
          <cell r="AE17">
            <v>817250</v>
          </cell>
          <cell r="AF17">
            <v>529100</v>
          </cell>
          <cell r="AH17">
            <v>150000</v>
          </cell>
          <cell r="AK17">
            <v>0</v>
          </cell>
          <cell r="AL17">
            <v>6144449</v>
          </cell>
          <cell r="AQ17">
            <v>162240</v>
          </cell>
          <cell r="BH17">
            <v>0</v>
          </cell>
        </row>
        <row r="18">
          <cell r="T18">
            <v>166500</v>
          </cell>
          <cell r="Z18">
            <v>27000</v>
          </cell>
          <cell r="AD18">
            <v>83985</v>
          </cell>
          <cell r="AE18">
            <v>274750</v>
          </cell>
          <cell r="AF18">
            <v>524550</v>
          </cell>
          <cell r="AH18">
            <v>0</v>
          </cell>
          <cell r="AK18">
            <v>129808.13953488372</v>
          </cell>
          <cell r="AL18">
            <v>4981976.8604651159</v>
          </cell>
          <cell r="AQ18">
            <v>162480</v>
          </cell>
          <cell r="BH18">
            <v>134500</v>
          </cell>
        </row>
        <row r="19">
          <cell r="T19">
            <v>114700</v>
          </cell>
          <cell r="Z19">
            <v>10000</v>
          </cell>
          <cell r="AD19">
            <v>152290</v>
          </cell>
          <cell r="AE19">
            <v>355250</v>
          </cell>
          <cell r="AF19">
            <v>525850</v>
          </cell>
          <cell r="AH19">
            <v>0</v>
          </cell>
          <cell r="AK19">
            <v>0</v>
          </cell>
          <cell r="AL19">
            <v>5327590</v>
          </cell>
          <cell r="AQ19">
            <v>161800</v>
          </cell>
          <cell r="BH19">
            <v>0</v>
          </cell>
        </row>
        <row r="20">
          <cell r="T20">
            <v>166500</v>
          </cell>
          <cell r="Z20">
            <v>10000</v>
          </cell>
          <cell r="AD20">
            <v>174078</v>
          </cell>
          <cell r="AE20">
            <v>477750</v>
          </cell>
          <cell r="AF20">
            <v>523250</v>
          </cell>
          <cell r="AH20">
            <v>0</v>
          </cell>
          <cell r="AK20">
            <v>131372.09302325582</v>
          </cell>
          <cell r="AL20">
            <v>5255205.9069767445</v>
          </cell>
          <cell r="AQ20">
            <v>161800</v>
          </cell>
          <cell r="BH20">
            <v>134500</v>
          </cell>
        </row>
        <row r="21">
          <cell r="T21">
            <v>172050</v>
          </cell>
          <cell r="Z21">
            <v>27000</v>
          </cell>
          <cell r="AD21">
            <v>135903</v>
          </cell>
          <cell r="AE21">
            <v>329000</v>
          </cell>
          <cell r="AF21">
            <v>525200</v>
          </cell>
          <cell r="AH21">
            <v>0</v>
          </cell>
          <cell r="AK21">
            <v>39098.837209302321</v>
          </cell>
          <cell r="AL21">
            <v>5319554.162790698</v>
          </cell>
          <cell r="AQ21">
            <v>162480</v>
          </cell>
          <cell r="BH21">
            <v>0</v>
          </cell>
        </row>
        <row r="22">
          <cell r="T22">
            <v>139500</v>
          </cell>
          <cell r="Z22">
            <v>27000</v>
          </cell>
          <cell r="AD22">
            <v>106890</v>
          </cell>
          <cell r="AE22">
            <v>274750</v>
          </cell>
          <cell r="AF22">
            <v>350350</v>
          </cell>
          <cell r="AH22">
            <v>0</v>
          </cell>
          <cell r="AK22">
            <v>0</v>
          </cell>
          <cell r="AL22">
            <v>4933490</v>
          </cell>
          <cell r="AQ22">
            <v>162480</v>
          </cell>
          <cell r="BH22">
            <v>134500</v>
          </cell>
        </row>
        <row r="23">
          <cell r="T23">
            <v>166500</v>
          </cell>
          <cell r="Z23">
            <v>27000</v>
          </cell>
          <cell r="AD23">
            <v>157281</v>
          </cell>
          <cell r="AE23">
            <v>323750</v>
          </cell>
          <cell r="AF23">
            <v>516750</v>
          </cell>
          <cell r="AH23">
            <v>0</v>
          </cell>
          <cell r="AK23">
            <v>96965.116279069771</v>
          </cell>
          <cell r="AL23">
            <v>5129315.8837209307</v>
          </cell>
          <cell r="AQ23">
            <v>162480</v>
          </cell>
          <cell r="BH23">
            <v>134500</v>
          </cell>
        </row>
        <row r="24">
          <cell r="T24">
            <v>172050</v>
          </cell>
          <cell r="Z24">
            <v>27000</v>
          </cell>
          <cell r="AD24">
            <v>138957</v>
          </cell>
          <cell r="AE24">
            <v>215250</v>
          </cell>
          <cell r="AF24">
            <v>518700</v>
          </cell>
          <cell r="AH24">
            <v>0</v>
          </cell>
          <cell r="AK24">
            <v>96965.116279069771</v>
          </cell>
          <cell r="AL24">
            <v>5144491.8837209307</v>
          </cell>
          <cell r="AQ24">
            <v>162480</v>
          </cell>
          <cell r="BH24">
            <v>0</v>
          </cell>
        </row>
        <row r="25">
          <cell r="T25">
            <v>111000</v>
          </cell>
          <cell r="Z25">
            <v>10000</v>
          </cell>
          <cell r="AD25">
            <v>74823</v>
          </cell>
          <cell r="AE25">
            <v>173250</v>
          </cell>
          <cell r="AF25">
            <v>521950</v>
          </cell>
          <cell r="AH25">
            <v>0</v>
          </cell>
          <cell r="AK25">
            <v>168906.97674418605</v>
          </cell>
          <cell r="AL25">
            <v>4757116.0232558139</v>
          </cell>
          <cell r="AQ25">
            <v>161800</v>
          </cell>
          <cell r="BH25">
            <v>134500</v>
          </cell>
        </row>
        <row r="26">
          <cell r="T26">
            <v>172050</v>
          </cell>
          <cell r="Z26">
            <v>21000</v>
          </cell>
          <cell r="AD26">
            <v>91620</v>
          </cell>
          <cell r="AE26">
            <v>201250</v>
          </cell>
          <cell r="AF26">
            <v>522600</v>
          </cell>
          <cell r="AH26">
            <v>0</v>
          </cell>
          <cell r="AK26">
            <v>117296.51162790698</v>
          </cell>
          <cell r="AL26">
            <v>5060723.4883720931</v>
          </cell>
          <cell r="AQ26">
            <v>162240</v>
          </cell>
          <cell r="BH26">
            <v>0</v>
          </cell>
        </row>
        <row r="27">
          <cell r="T27">
            <v>144150</v>
          </cell>
          <cell r="Z27">
            <v>21000</v>
          </cell>
          <cell r="AD27">
            <v>160335</v>
          </cell>
          <cell r="AE27">
            <v>290500</v>
          </cell>
          <cell r="AF27">
            <v>523900</v>
          </cell>
          <cell r="AH27">
            <v>0</v>
          </cell>
          <cell r="AK27">
            <v>28151.162790697679</v>
          </cell>
          <cell r="AL27">
            <v>5281233.837209302</v>
          </cell>
          <cell r="AQ27">
            <v>162240</v>
          </cell>
          <cell r="BH27">
            <v>0</v>
          </cell>
        </row>
        <row r="28">
          <cell r="T28">
            <v>60750</v>
          </cell>
          <cell r="Z28">
            <v>27000</v>
          </cell>
          <cell r="AD28">
            <v>0</v>
          </cell>
          <cell r="AE28">
            <v>385000</v>
          </cell>
          <cell r="AF28">
            <v>516100</v>
          </cell>
          <cell r="AH28">
            <v>0</v>
          </cell>
          <cell r="AK28">
            <v>107912.79069767443</v>
          </cell>
          <cell r="AL28">
            <v>4512437.2093023257</v>
          </cell>
          <cell r="AQ28">
            <v>162480</v>
          </cell>
          <cell r="BH28">
            <v>538000</v>
          </cell>
        </row>
        <row r="29">
          <cell r="T29">
            <v>99900</v>
          </cell>
          <cell r="Z29">
            <v>5000</v>
          </cell>
          <cell r="AD29">
            <v>0</v>
          </cell>
          <cell r="AE29">
            <v>295750</v>
          </cell>
          <cell r="AF29">
            <v>514150</v>
          </cell>
          <cell r="AH29">
            <v>0</v>
          </cell>
          <cell r="AK29">
            <v>107912.79069767441</v>
          </cell>
          <cell r="AL29">
            <v>4438387.2093023257</v>
          </cell>
          <cell r="AQ29">
            <v>161600</v>
          </cell>
          <cell r="BH29">
            <v>538000</v>
          </cell>
        </row>
        <row r="30">
          <cell r="T30">
            <v>69750</v>
          </cell>
          <cell r="Z30">
            <v>2500</v>
          </cell>
          <cell r="AA30">
            <v>209913.30000000002</v>
          </cell>
          <cell r="AD30">
            <v>164916</v>
          </cell>
          <cell r="AE30">
            <v>448000</v>
          </cell>
          <cell r="AF30">
            <v>526500</v>
          </cell>
          <cell r="AH30">
            <v>0</v>
          </cell>
          <cell r="AK30">
            <v>0</v>
          </cell>
          <cell r="AL30">
            <v>5591079.2999999998</v>
          </cell>
          <cell r="AQ30">
            <v>161500</v>
          </cell>
          <cell r="BH30">
            <v>0</v>
          </cell>
        </row>
        <row r="31">
          <cell r="T31">
            <v>69750</v>
          </cell>
          <cell r="Z31">
            <v>2500</v>
          </cell>
          <cell r="AD31">
            <v>142011</v>
          </cell>
          <cell r="AE31">
            <v>315000</v>
          </cell>
          <cell r="AF31">
            <v>513500</v>
          </cell>
          <cell r="AH31">
            <v>0</v>
          </cell>
          <cell r="AK31">
            <v>134500</v>
          </cell>
          <cell r="AL31">
            <v>5077761</v>
          </cell>
          <cell r="AQ31">
            <v>161500</v>
          </cell>
          <cell r="BH31">
            <v>0</v>
          </cell>
        </row>
        <row r="32">
          <cell r="T32">
            <v>172050</v>
          </cell>
          <cell r="Z32">
            <v>2500</v>
          </cell>
          <cell r="AA32">
            <v>128280.35</v>
          </cell>
          <cell r="AD32">
            <v>211010</v>
          </cell>
          <cell r="AE32">
            <v>439250</v>
          </cell>
          <cell r="AF32">
            <v>529100</v>
          </cell>
          <cell r="AH32">
            <v>150000</v>
          </cell>
          <cell r="AK32">
            <v>0</v>
          </cell>
          <cell r="AL32">
            <v>5801690.3499999996</v>
          </cell>
          <cell r="AQ32">
            <v>161500</v>
          </cell>
          <cell r="BH32">
            <v>0</v>
          </cell>
        </row>
        <row r="33">
          <cell r="T33">
            <v>172050</v>
          </cell>
          <cell r="Z33">
            <v>2500</v>
          </cell>
          <cell r="AA33">
            <v>209913.30000000002</v>
          </cell>
          <cell r="AD33">
            <v>140534</v>
          </cell>
          <cell r="AE33">
            <v>512750</v>
          </cell>
          <cell r="AF33">
            <v>523900</v>
          </cell>
          <cell r="AH33">
            <v>0</v>
          </cell>
          <cell r="AK33">
            <v>0</v>
          </cell>
          <cell r="AL33">
            <v>5731147.2999999998</v>
          </cell>
          <cell r="AQ33">
            <v>161500</v>
          </cell>
          <cell r="BH33">
            <v>0</v>
          </cell>
        </row>
        <row r="34">
          <cell r="T34">
            <v>172050</v>
          </cell>
          <cell r="Z34">
            <v>2500</v>
          </cell>
          <cell r="AD34">
            <v>157281</v>
          </cell>
          <cell r="AE34">
            <v>413000</v>
          </cell>
          <cell r="AF34">
            <v>523900</v>
          </cell>
          <cell r="AH34">
            <v>0</v>
          </cell>
          <cell r="AK34">
            <v>0</v>
          </cell>
          <cell r="AL34">
            <v>5438231</v>
          </cell>
          <cell r="AQ34">
            <v>161500</v>
          </cell>
          <cell r="BH34">
            <v>0</v>
          </cell>
        </row>
        <row r="35">
          <cell r="T35">
            <v>144150</v>
          </cell>
          <cell r="Z35">
            <v>18000</v>
          </cell>
          <cell r="AD35">
            <v>111471</v>
          </cell>
          <cell r="AE35">
            <v>486500</v>
          </cell>
          <cell r="AF35">
            <v>525200</v>
          </cell>
          <cell r="AH35">
            <v>0</v>
          </cell>
          <cell r="AK35">
            <v>0</v>
          </cell>
          <cell r="AL35">
            <v>5454821</v>
          </cell>
          <cell r="AQ35">
            <v>162120</v>
          </cell>
          <cell r="BH35">
            <v>0</v>
          </cell>
        </row>
        <row r="36">
          <cell r="T36">
            <v>172050</v>
          </cell>
          <cell r="Z36">
            <v>2500</v>
          </cell>
          <cell r="AD36">
            <v>92808</v>
          </cell>
          <cell r="AE36">
            <v>243250</v>
          </cell>
          <cell r="AF36">
            <v>0</v>
          </cell>
          <cell r="AH36">
            <v>0</v>
          </cell>
          <cell r="AK36">
            <v>95325.242718446607</v>
          </cell>
          <cell r="AL36">
            <v>4584782.757281553</v>
          </cell>
          <cell r="AQ36">
            <v>161500</v>
          </cell>
          <cell r="BH36">
            <v>0</v>
          </cell>
        </row>
        <row r="37">
          <cell r="T37">
            <v>166500</v>
          </cell>
          <cell r="Z37">
            <v>0</v>
          </cell>
          <cell r="AD37">
            <v>61080</v>
          </cell>
          <cell r="AE37">
            <v>273000</v>
          </cell>
          <cell r="AF37">
            <v>525200</v>
          </cell>
          <cell r="AH37">
            <v>0</v>
          </cell>
          <cell r="AK37">
            <v>96965.116279069756</v>
          </cell>
          <cell r="AL37">
            <v>4963814.8837209307</v>
          </cell>
          <cell r="AQ37">
            <v>161400</v>
          </cell>
          <cell r="BH37">
            <v>134500</v>
          </cell>
        </row>
        <row r="38">
          <cell r="T38">
            <v>172050</v>
          </cell>
          <cell r="Z38">
            <v>0</v>
          </cell>
          <cell r="AD38">
            <v>125214</v>
          </cell>
          <cell r="AE38">
            <v>586250</v>
          </cell>
          <cell r="AF38">
            <v>525200</v>
          </cell>
          <cell r="AH38">
            <v>0</v>
          </cell>
          <cell r="AK38">
            <v>0</v>
          </cell>
          <cell r="AL38">
            <v>5578214</v>
          </cell>
          <cell r="AQ38">
            <v>161400</v>
          </cell>
          <cell r="BH38">
            <v>0</v>
          </cell>
        </row>
        <row r="39">
          <cell r="T39">
            <v>67500</v>
          </cell>
          <cell r="Z39">
            <v>0</v>
          </cell>
          <cell r="AD39">
            <v>112998</v>
          </cell>
          <cell r="AE39">
            <v>141750</v>
          </cell>
          <cell r="AF39">
            <v>516750</v>
          </cell>
          <cell r="AH39">
            <v>0</v>
          </cell>
          <cell r="AK39">
            <v>215825.58139534883</v>
          </cell>
          <cell r="AL39">
            <v>4658172.4186046515</v>
          </cell>
          <cell r="AQ39">
            <v>161400</v>
          </cell>
          <cell r="BH39">
            <v>134500</v>
          </cell>
        </row>
        <row r="40">
          <cell r="T40">
            <v>114700</v>
          </cell>
          <cell r="Z40">
            <v>0</v>
          </cell>
          <cell r="AD40">
            <v>169497</v>
          </cell>
          <cell r="AE40">
            <v>456750</v>
          </cell>
          <cell r="AF40">
            <v>527800</v>
          </cell>
          <cell r="AH40">
            <v>0</v>
          </cell>
          <cell r="AK40">
            <v>0</v>
          </cell>
          <cell r="AL40">
            <v>5438247</v>
          </cell>
          <cell r="AQ40">
            <v>161400</v>
          </cell>
          <cell r="BH40">
            <v>0</v>
          </cell>
        </row>
        <row r="41">
          <cell r="T41">
            <v>144150</v>
          </cell>
          <cell r="Z41">
            <v>0</v>
          </cell>
          <cell r="AD41">
            <v>157281</v>
          </cell>
          <cell r="AE41">
            <v>386750</v>
          </cell>
          <cell r="AF41">
            <v>527800</v>
          </cell>
          <cell r="AH41">
            <v>0</v>
          </cell>
          <cell r="AK41">
            <v>0</v>
          </cell>
          <cell r="AL41">
            <v>5385481</v>
          </cell>
          <cell r="AQ41">
            <v>161400</v>
          </cell>
          <cell r="BH41">
            <v>0</v>
          </cell>
        </row>
        <row r="42">
          <cell r="T42">
            <v>172050</v>
          </cell>
          <cell r="Z42">
            <v>0</v>
          </cell>
          <cell r="AD42">
            <v>120633</v>
          </cell>
          <cell r="AE42">
            <v>554750</v>
          </cell>
          <cell r="AF42">
            <v>526500</v>
          </cell>
          <cell r="AH42">
            <v>0</v>
          </cell>
          <cell r="AK42">
            <v>0</v>
          </cell>
          <cell r="AL42">
            <v>5543433</v>
          </cell>
          <cell r="AQ42">
            <v>161400</v>
          </cell>
          <cell r="BH42">
            <v>0</v>
          </cell>
        </row>
        <row r="43">
          <cell r="T43">
            <v>4218950</v>
          </cell>
          <cell r="W43">
            <v>200500</v>
          </cell>
          <cell r="Z43">
            <v>423500</v>
          </cell>
          <cell r="AA43">
            <v>1306127.2000000002</v>
          </cell>
          <cell r="AD43">
            <v>3513078</v>
          </cell>
          <cell r="AE43">
            <v>10270750</v>
          </cell>
          <cell r="AF43">
            <v>13431600</v>
          </cell>
          <cell r="AH43">
            <v>300000</v>
          </cell>
          <cell r="AI43">
            <v>0</v>
          </cell>
          <cell r="AJ43">
            <v>3610600</v>
          </cell>
          <cell r="AK43">
            <v>1567005.4752765859</v>
          </cell>
          <cell r="AL43">
            <v>158641099.72472337</v>
          </cell>
          <cell r="AQ43">
            <v>4858940</v>
          </cell>
          <cell r="AV43">
            <v>118966</v>
          </cell>
          <cell r="BH43">
            <v>2152000</v>
          </cell>
        </row>
      </sheetData>
      <sheetData sheetId="10">
        <row r="11">
          <cell r="AC11">
            <v>0</v>
          </cell>
          <cell r="AD11">
            <v>267750</v>
          </cell>
          <cell r="AE11">
            <v>173550</v>
          </cell>
          <cell r="AF11">
            <v>0</v>
          </cell>
          <cell r="AJ11">
            <v>3400300</v>
          </cell>
          <cell r="AP11">
            <v>161400</v>
          </cell>
          <cell r="BF11">
            <v>0</v>
          </cell>
        </row>
        <row r="12">
          <cell r="AC12">
            <v>0</v>
          </cell>
          <cell r="AD12">
            <v>267750</v>
          </cell>
          <cell r="AE12">
            <v>173550</v>
          </cell>
          <cell r="AF12">
            <v>0</v>
          </cell>
          <cell r="AG12">
            <v>0</v>
          </cell>
          <cell r="AH12">
            <v>0</v>
          </cell>
          <cell r="AJ12">
            <v>3400300</v>
          </cell>
          <cell r="AP12">
            <v>161400</v>
          </cell>
          <cell r="AU12">
            <v>0</v>
          </cell>
          <cell r="BF12">
            <v>0</v>
          </cell>
        </row>
      </sheetData>
      <sheetData sheetId="11">
        <row r="13">
          <cell r="X13">
            <v>69750</v>
          </cell>
          <cell r="AA13">
            <v>84000</v>
          </cell>
          <cell r="AD13">
            <v>18000</v>
          </cell>
          <cell r="AF13">
            <v>1924205.25</v>
          </cell>
          <cell r="AK13">
            <v>6265455.25</v>
          </cell>
          <cell r="AP13">
            <v>162120</v>
          </cell>
          <cell r="BD13">
            <v>0</v>
          </cell>
        </row>
        <row r="14">
          <cell r="X14">
            <v>144150</v>
          </cell>
          <cell r="AD14">
            <v>54000</v>
          </cell>
          <cell r="AK14">
            <v>4367650</v>
          </cell>
          <cell r="AP14">
            <v>163560</v>
          </cell>
          <cell r="BD14">
            <v>0</v>
          </cell>
        </row>
        <row r="15">
          <cell r="X15">
            <v>69750</v>
          </cell>
          <cell r="AD15">
            <v>57500</v>
          </cell>
          <cell r="AK15">
            <v>4296750</v>
          </cell>
          <cell r="AP15">
            <v>163700</v>
          </cell>
          <cell r="BD15">
            <v>0</v>
          </cell>
        </row>
        <row r="16">
          <cell r="X16">
            <v>69750</v>
          </cell>
          <cell r="AD16">
            <v>54000</v>
          </cell>
          <cell r="AK16">
            <v>4293250</v>
          </cell>
          <cell r="AP16">
            <v>163560</v>
          </cell>
          <cell r="BD16">
            <v>0</v>
          </cell>
        </row>
        <row r="17">
          <cell r="X17">
            <v>69750</v>
          </cell>
          <cell r="AD17">
            <v>54000</v>
          </cell>
          <cell r="AK17">
            <v>4293250</v>
          </cell>
          <cell r="AP17">
            <v>163560</v>
          </cell>
          <cell r="BD17">
            <v>0</v>
          </cell>
        </row>
        <row r="18">
          <cell r="X18">
            <v>69750</v>
          </cell>
          <cell r="AD18">
            <v>54000</v>
          </cell>
          <cell r="AK18">
            <v>4293250</v>
          </cell>
          <cell r="AP18">
            <v>163560</v>
          </cell>
          <cell r="BD18">
            <v>0</v>
          </cell>
        </row>
        <row r="19">
          <cell r="X19">
            <v>69750</v>
          </cell>
          <cell r="AD19">
            <v>54000</v>
          </cell>
          <cell r="AK19">
            <v>4293250</v>
          </cell>
          <cell r="AP19">
            <v>163560</v>
          </cell>
          <cell r="BD19">
            <v>0</v>
          </cell>
        </row>
        <row r="20">
          <cell r="X20">
            <v>69750</v>
          </cell>
          <cell r="AD20">
            <v>54000</v>
          </cell>
          <cell r="AK20">
            <v>4293250</v>
          </cell>
          <cell r="AP20">
            <v>163560</v>
          </cell>
          <cell r="BD20">
            <v>0</v>
          </cell>
        </row>
        <row r="21">
          <cell r="X21">
            <v>172050</v>
          </cell>
          <cell r="AD21">
            <v>33000</v>
          </cell>
          <cell r="AK21">
            <v>4374550</v>
          </cell>
          <cell r="AP21">
            <v>162720</v>
          </cell>
          <cell r="BD21">
            <v>0</v>
          </cell>
        </row>
        <row r="22">
          <cell r="X22">
            <v>160950</v>
          </cell>
          <cell r="AD22">
            <v>33000</v>
          </cell>
          <cell r="AK22">
            <v>4094450</v>
          </cell>
          <cell r="AP22">
            <v>162720</v>
          </cell>
          <cell r="BD22">
            <v>269000</v>
          </cell>
        </row>
        <row r="23">
          <cell r="X23">
            <v>114700</v>
          </cell>
          <cell r="AD23">
            <v>92500</v>
          </cell>
          <cell r="AK23">
            <v>4376700</v>
          </cell>
          <cell r="AP23">
            <v>165100</v>
          </cell>
          <cell r="BD23">
            <v>0</v>
          </cell>
        </row>
        <row r="24">
          <cell r="X24">
            <v>69750</v>
          </cell>
          <cell r="AD24">
            <v>54000</v>
          </cell>
          <cell r="AK24">
            <v>4293250</v>
          </cell>
          <cell r="AP24">
            <v>163560</v>
          </cell>
          <cell r="BD24">
            <v>0</v>
          </cell>
        </row>
        <row r="25">
          <cell r="X25">
            <v>69750</v>
          </cell>
          <cell r="AD25">
            <v>54000</v>
          </cell>
          <cell r="AK25">
            <v>4293250</v>
          </cell>
          <cell r="AP25">
            <v>163560</v>
          </cell>
          <cell r="BD25">
            <v>0</v>
          </cell>
        </row>
        <row r="26">
          <cell r="X26">
            <v>69750</v>
          </cell>
          <cell r="AD26">
            <v>57500</v>
          </cell>
          <cell r="AK26">
            <v>4296750</v>
          </cell>
          <cell r="AP26">
            <v>163700</v>
          </cell>
          <cell r="BD26">
            <v>0</v>
          </cell>
        </row>
        <row r="27">
          <cell r="X27">
            <v>69750</v>
          </cell>
          <cell r="AD27">
            <v>57500</v>
          </cell>
          <cell r="AK27">
            <v>4296750</v>
          </cell>
          <cell r="AP27">
            <v>163700</v>
          </cell>
          <cell r="BD27">
            <v>0</v>
          </cell>
        </row>
        <row r="28">
          <cell r="X28">
            <v>139500</v>
          </cell>
          <cell r="AD28">
            <v>54000</v>
          </cell>
          <cell r="AK28">
            <v>4228500</v>
          </cell>
          <cell r="AP28">
            <v>163560</v>
          </cell>
          <cell r="BD28">
            <v>134500</v>
          </cell>
        </row>
        <row r="29">
          <cell r="X29">
            <v>69750</v>
          </cell>
          <cell r="AD29">
            <v>50500</v>
          </cell>
          <cell r="AK29">
            <v>4289750</v>
          </cell>
          <cell r="AP29">
            <v>163420</v>
          </cell>
          <cell r="BD29">
            <v>0</v>
          </cell>
        </row>
        <row r="30">
          <cell r="X30">
            <v>63000</v>
          </cell>
          <cell r="AD30">
            <v>50500</v>
          </cell>
          <cell r="AK30">
            <v>3879500</v>
          </cell>
          <cell r="AP30">
            <v>163420</v>
          </cell>
          <cell r="BD30">
            <v>403500</v>
          </cell>
        </row>
        <row r="31">
          <cell r="X31">
            <v>69750</v>
          </cell>
          <cell r="AD31">
            <v>50500</v>
          </cell>
          <cell r="AK31">
            <v>4289750</v>
          </cell>
          <cell r="AP31">
            <v>163420</v>
          </cell>
          <cell r="BD31">
            <v>0</v>
          </cell>
        </row>
        <row r="32">
          <cell r="X32">
            <v>166500</v>
          </cell>
          <cell r="AD32">
            <v>85500</v>
          </cell>
          <cell r="AK32">
            <v>4287000</v>
          </cell>
          <cell r="AP32">
            <v>164820</v>
          </cell>
          <cell r="BD32">
            <v>134500</v>
          </cell>
        </row>
        <row r="33">
          <cell r="X33">
            <v>139500</v>
          </cell>
          <cell r="AD33">
            <v>27000</v>
          </cell>
          <cell r="AK33">
            <v>4201500</v>
          </cell>
          <cell r="AP33">
            <v>162480</v>
          </cell>
          <cell r="BD33">
            <v>134500</v>
          </cell>
        </row>
        <row r="34">
          <cell r="X34">
            <v>139500</v>
          </cell>
          <cell r="AD34">
            <v>21000</v>
          </cell>
          <cell r="AK34">
            <v>4195500</v>
          </cell>
          <cell r="AP34">
            <v>162240</v>
          </cell>
          <cell r="BD34">
            <v>134500</v>
          </cell>
        </row>
        <row r="35">
          <cell r="X35">
            <v>2146600</v>
          </cell>
          <cell r="AA35">
            <v>84000</v>
          </cell>
          <cell r="AD35">
            <v>1120000</v>
          </cell>
          <cell r="AF35">
            <v>1924205.25</v>
          </cell>
          <cell r="AK35">
            <v>95793305.25</v>
          </cell>
          <cell r="AP35">
            <v>3595600</v>
          </cell>
          <cell r="AU35">
            <v>64616</v>
          </cell>
          <cell r="BD35">
            <v>1210500</v>
          </cell>
        </row>
      </sheetData>
      <sheetData sheetId="12">
        <row r="11">
          <cell r="T11">
            <v>144150</v>
          </cell>
          <cell r="W11">
            <v>87500</v>
          </cell>
          <cell r="Z11">
            <v>92500</v>
          </cell>
          <cell r="AB11">
            <v>653063.60000000009</v>
          </cell>
          <cell r="AG11">
            <v>5146713.5999999996</v>
          </cell>
          <cell r="AM11">
            <v>165100</v>
          </cell>
          <cell r="BC11">
            <v>0</v>
          </cell>
        </row>
        <row r="12">
          <cell r="T12">
            <v>144150</v>
          </cell>
          <cell r="W12">
            <v>62500</v>
          </cell>
          <cell r="Z12">
            <v>36500</v>
          </cell>
          <cell r="AB12">
            <v>653063.60000000009</v>
          </cell>
          <cell r="AG12">
            <v>5065713.5999999996</v>
          </cell>
          <cell r="AM12">
            <v>162860</v>
          </cell>
          <cell r="BC12">
            <v>0</v>
          </cell>
        </row>
        <row r="13">
          <cell r="T13">
            <v>100750</v>
          </cell>
          <cell r="W13">
            <v>84000</v>
          </cell>
          <cell r="Z13">
            <v>36500</v>
          </cell>
          <cell r="AB13">
            <v>1154523.1500000001</v>
          </cell>
          <cell r="AC13">
            <v>1565040</v>
          </cell>
          <cell r="AG13">
            <v>7110313.1500000004</v>
          </cell>
          <cell r="AM13">
            <v>162860</v>
          </cell>
          <cell r="BC13">
            <v>0</v>
          </cell>
        </row>
        <row r="14">
          <cell r="T14">
            <v>144150</v>
          </cell>
          <cell r="W14">
            <v>62500</v>
          </cell>
          <cell r="Z14">
            <v>12500</v>
          </cell>
          <cell r="AB14">
            <v>1422745.7000000002</v>
          </cell>
          <cell r="AC14">
            <v>1559205</v>
          </cell>
          <cell r="AG14">
            <v>7370600.7000000002</v>
          </cell>
          <cell r="AM14">
            <v>161900</v>
          </cell>
          <cell r="BC14">
            <v>0</v>
          </cell>
        </row>
        <row r="15">
          <cell r="T15">
            <v>172050</v>
          </cell>
          <cell r="W15">
            <v>87500</v>
          </cell>
          <cell r="Z15">
            <v>36500</v>
          </cell>
          <cell r="AB15">
            <v>1154523.1500000001</v>
          </cell>
          <cell r="AC15">
            <v>1192565</v>
          </cell>
          <cell r="AG15">
            <v>6812638.1500000004</v>
          </cell>
          <cell r="AM15">
            <v>162860</v>
          </cell>
          <cell r="BC15">
            <v>0</v>
          </cell>
        </row>
        <row r="16">
          <cell r="T16">
            <v>100750</v>
          </cell>
          <cell r="W16">
            <v>60000</v>
          </cell>
          <cell r="Z16">
            <v>36500</v>
          </cell>
          <cell r="AB16">
            <v>1072890.2</v>
          </cell>
          <cell r="AC16">
            <v>1247095</v>
          </cell>
          <cell r="AG16">
            <v>6686735.2000000002</v>
          </cell>
          <cell r="AM16">
            <v>162860</v>
          </cell>
          <cell r="BC16">
            <v>0</v>
          </cell>
        </row>
        <row r="17">
          <cell r="T17">
            <v>806000</v>
          </cell>
          <cell r="W17">
            <v>444000</v>
          </cell>
          <cell r="Z17">
            <v>251000</v>
          </cell>
          <cell r="AB17">
            <v>6110809.4000000013</v>
          </cell>
          <cell r="AC17">
            <v>5563905</v>
          </cell>
          <cell r="AG17">
            <v>38192714.400000006</v>
          </cell>
          <cell r="AM17">
            <v>978440</v>
          </cell>
          <cell r="AR17">
            <v>305627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F92"/>
  <sheetViews>
    <sheetView tabSelected="1" topLeftCell="A58" zoomScaleNormal="100" workbookViewId="0">
      <pane xSplit="3" topLeftCell="Z1" activePane="topRight" state="frozen"/>
      <selection activeCell="A43" sqref="A43"/>
      <selection pane="topRight" activeCell="AH12" sqref="AH12"/>
    </sheetView>
  </sheetViews>
  <sheetFormatPr defaultColWidth="9.28515625" defaultRowHeight="12.75" outlineLevelCol="1" x14ac:dyDescent="0.2"/>
  <cols>
    <col min="1" max="1" width="1.5703125" style="6" customWidth="1"/>
    <col min="2" max="2" width="5.7109375" style="1" customWidth="1"/>
    <col min="3" max="3" width="33.42578125" style="2" customWidth="1"/>
    <col min="4" max="4" width="18.5703125" style="72" customWidth="1" outlineLevel="1"/>
    <col min="5" max="5" width="21.85546875" style="3" customWidth="1" outlineLevel="1"/>
    <col min="6" max="6" width="57.28515625" style="2" customWidth="1" outlineLevel="1"/>
    <col min="7" max="7" width="21" style="4" customWidth="1" outlineLevel="1"/>
    <col min="8" max="8" width="6.140625" style="5" customWidth="1" outlineLevel="1"/>
    <col min="9" max="9" width="6.7109375" style="5" customWidth="1" outlineLevel="1"/>
    <col min="10" max="10" width="8.7109375" style="5" customWidth="1" outlineLevel="1"/>
    <col min="11" max="11" width="17.7109375" style="2" customWidth="1"/>
    <col min="12" max="12" width="14.7109375" style="2" customWidth="1"/>
    <col min="13" max="13" width="15.42578125" style="2" customWidth="1"/>
    <col min="14" max="14" width="12.7109375" style="2" hidden="1" customWidth="1"/>
    <col min="15" max="15" width="14.7109375" style="2" customWidth="1"/>
    <col min="16" max="16" width="12.7109375" style="2" customWidth="1"/>
    <col min="17" max="17" width="15.5703125" style="2" customWidth="1"/>
    <col min="18" max="21" width="14.140625" style="2" customWidth="1"/>
    <col min="22" max="22" width="16.7109375" style="2" customWidth="1"/>
    <col min="23" max="24" width="15.5703125" style="2" customWidth="1"/>
    <col min="25" max="25" width="14.140625" style="2" hidden="1" customWidth="1"/>
    <col min="26" max="26" width="14.140625" style="2" customWidth="1"/>
    <col min="27" max="27" width="15.5703125" style="2" customWidth="1"/>
    <col min="28" max="28" width="14.42578125" style="2" hidden="1" customWidth="1"/>
    <col min="29" max="29" width="12.7109375" style="2" hidden="1" customWidth="1"/>
    <col min="30" max="30" width="16.5703125" style="2" customWidth="1"/>
    <col min="31" max="31" width="17.28515625" style="2" hidden="1" customWidth="1"/>
    <col min="32" max="32" width="14" style="2" hidden="1" customWidth="1"/>
    <col min="33" max="33" width="17.42578125" style="2" customWidth="1" collapsed="1"/>
    <col min="34" max="34" width="7.7109375" style="75" customWidth="1"/>
    <col min="35" max="35" width="14.28515625" style="2" customWidth="1"/>
    <col min="36" max="36" width="14.28515625" style="1" customWidth="1"/>
    <col min="37" max="37" width="15" style="6" customWidth="1"/>
    <col min="38" max="38" width="15.140625" style="6" customWidth="1"/>
    <col min="39" max="39" width="14.5703125" style="6" customWidth="1"/>
    <col min="40" max="40" width="13.5703125" style="6" customWidth="1"/>
    <col min="41" max="41" width="10.28515625" style="6" bestFit="1" customWidth="1"/>
    <col min="42" max="16384" width="9.28515625" style="6"/>
  </cols>
  <sheetData>
    <row r="1" spans="2:41" x14ac:dyDescent="0.2">
      <c r="B1" s="1" t="s">
        <v>0</v>
      </c>
      <c r="AJ1" s="6"/>
    </row>
    <row r="2" spans="2:41" x14ac:dyDescent="0.2">
      <c r="B2" s="1" t="s">
        <v>261</v>
      </c>
      <c r="AJ2" s="6"/>
    </row>
    <row r="3" spans="2:41" x14ac:dyDescent="0.2">
      <c r="B3" s="1" t="s">
        <v>1</v>
      </c>
      <c r="AJ3" s="6"/>
    </row>
    <row r="4" spans="2:41" s="1" customFormat="1" ht="13.5" thickBot="1" x14ac:dyDescent="0.3">
      <c r="C4" s="7" t="s">
        <v>2</v>
      </c>
      <c r="D4" s="72"/>
      <c r="E4" s="3"/>
      <c r="F4" s="2"/>
      <c r="G4" s="4"/>
      <c r="H4" s="5"/>
      <c r="I4" s="5"/>
      <c r="J4" s="5"/>
      <c r="K4" s="2"/>
      <c r="L4" s="2"/>
      <c r="M4" s="2"/>
      <c r="N4" s="2"/>
      <c r="O4" s="2" t="s">
        <v>3</v>
      </c>
      <c r="P4" s="2" t="s">
        <v>4</v>
      </c>
      <c r="Q4" s="2" t="s">
        <v>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75"/>
      <c r="AI4" s="2"/>
    </row>
    <row r="5" spans="2:41" s="1" customFormat="1" ht="39" thickBot="1" x14ac:dyDescent="0.3">
      <c r="B5" s="61" t="s">
        <v>6</v>
      </c>
      <c r="C5" s="61" t="s">
        <v>7</v>
      </c>
      <c r="D5" s="62" t="s">
        <v>8</v>
      </c>
      <c r="E5" s="63" t="s">
        <v>9</v>
      </c>
      <c r="F5" s="61" t="s">
        <v>10</v>
      </c>
      <c r="G5" s="64" t="s">
        <v>11</v>
      </c>
      <c r="H5" s="65" t="s">
        <v>12</v>
      </c>
      <c r="I5" s="65" t="s">
        <v>13</v>
      </c>
      <c r="J5" s="65" t="s">
        <v>14</v>
      </c>
      <c r="K5" s="61" t="s">
        <v>15</v>
      </c>
      <c r="L5" s="66" t="s">
        <v>16</v>
      </c>
      <c r="M5" s="66" t="s">
        <v>17</v>
      </c>
      <c r="N5" s="66" t="s">
        <v>18</v>
      </c>
      <c r="O5" s="66" t="s">
        <v>19</v>
      </c>
      <c r="P5" s="67" t="s">
        <v>20</v>
      </c>
      <c r="Q5" s="66" t="s">
        <v>21</v>
      </c>
      <c r="R5" s="66" t="s">
        <v>256</v>
      </c>
      <c r="S5" s="67" t="s">
        <v>22</v>
      </c>
      <c r="T5" s="66" t="s">
        <v>23</v>
      </c>
      <c r="U5" s="66" t="s">
        <v>24</v>
      </c>
      <c r="V5" s="66" t="s">
        <v>25</v>
      </c>
      <c r="W5" s="66" t="s">
        <v>260</v>
      </c>
      <c r="X5" s="66" t="s">
        <v>234</v>
      </c>
      <c r="Y5" s="66" t="s">
        <v>235</v>
      </c>
      <c r="Z5" s="66" t="s">
        <v>26</v>
      </c>
      <c r="AA5" s="66" t="s">
        <v>223</v>
      </c>
      <c r="AB5" s="66" t="s">
        <v>236</v>
      </c>
      <c r="AC5" s="66" t="s">
        <v>224</v>
      </c>
      <c r="AD5" s="66" t="s">
        <v>27</v>
      </c>
      <c r="AE5" s="66" t="s">
        <v>28</v>
      </c>
      <c r="AF5" s="66" t="s">
        <v>29</v>
      </c>
      <c r="AG5" s="66" t="s">
        <v>30</v>
      </c>
      <c r="AH5" s="68" t="s">
        <v>31</v>
      </c>
      <c r="AI5" s="66" t="s">
        <v>262</v>
      </c>
      <c r="AJ5" s="1" t="s">
        <v>32</v>
      </c>
      <c r="AL5" s="5"/>
    </row>
    <row r="6" spans="2:41" s="1" customFormat="1" ht="23.25" customHeight="1" thickTop="1" x14ac:dyDescent="0.25">
      <c r="B6" s="27">
        <v>1</v>
      </c>
      <c r="C6" s="34" t="s">
        <v>36</v>
      </c>
      <c r="D6" s="22" t="s">
        <v>37</v>
      </c>
      <c r="E6" s="8" t="s">
        <v>38</v>
      </c>
      <c r="F6" s="20" t="s">
        <v>39</v>
      </c>
      <c r="G6" s="23" t="s">
        <v>40</v>
      </c>
      <c r="H6" s="43" t="s">
        <v>34</v>
      </c>
      <c r="I6" s="78" t="s">
        <v>83</v>
      </c>
      <c r="J6" s="58" t="str">
        <f>IF(ISBLANK(I6),"",IF(OR(I6="TK/0",I6="TK/1",I6="K/0"),"TER A",IF(I6="K/3","TER C","TER B")))</f>
        <v>TER C</v>
      </c>
      <c r="K6" s="59">
        <f>134500*31</f>
        <v>4169500</v>
      </c>
      <c r="L6" s="47">
        <f>(4035000+S6)*0.84%</f>
        <v>34318.199999999997</v>
      </c>
      <c r="M6" s="60">
        <f>[5]HARVESTING!AQ13</f>
        <v>163420</v>
      </c>
      <c r="N6" s="40"/>
      <c r="O6" s="60">
        <f>[5]HARVESTING!T13</f>
        <v>166500</v>
      </c>
      <c r="P6" s="60">
        <f>[5]HARVESTING!W13</f>
        <v>80500</v>
      </c>
      <c r="Q6" s="60"/>
      <c r="R6" s="40">
        <f>[5]HARVESTING!AJ13</f>
        <v>1508400</v>
      </c>
      <c r="S6" s="40">
        <f>[5]HARVESTING!Z13</f>
        <v>50500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>
        <f>-[5]HARVESTING!BH13</f>
        <v>-134500</v>
      </c>
      <c r="AE6" s="40"/>
      <c r="AF6" s="40"/>
      <c r="AG6" s="54">
        <f>ROUND(SUM(K6:AF6),0)</f>
        <v>6038638</v>
      </c>
      <c r="AH6" s="42">
        <f t="shared" ref="AH6:AH64" si="0">IF(J6="TER A",VLOOKUP(AG6,Ter_A,4,TRUE),IF(J6="TER B",VLOOKUP(AG6,Ter_B,4,TRUE),VLOOKUP(AG6,Ter_C,4,TRUE)))</f>
        <v>0</v>
      </c>
      <c r="AI6" s="69">
        <f>ROUND(IF(E6=0,AG6*120%,AG6*AH6),0)</f>
        <v>0</v>
      </c>
      <c r="AJ6" s="10">
        <f>[5]HARVESTING!AL13</f>
        <v>5840900</v>
      </c>
      <c r="AK6" s="56">
        <f>L6+M6</f>
        <v>197738.2</v>
      </c>
      <c r="AL6" s="9">
        <f>AJ6+AK6</f>
        <v>6038638.2000000002</v>
      </c>
      <c r="AM6" s="9">
        <f>AG6-AL6</f>
        <v>-0.20000000018626451</v>
      </c>
      <c r="AN6" s="9"/>
      <c r="AO6" s="9"/>
    </row>
    <row r="7" spans="2:41" s="1" customFormat="1" ht="23.25" customHeight="1" x14ac:dyDescent="0.25">
      <c r="B7" s="27">
        <v>2</v>
      </c>
      <c r="C7" s="34" t="s">
        <v>41</v>
      </c>
      <c r="D7" s="22" t="s">
        <v>42</v>
      </c>
      <c r="E7" s="8" t="s">
        <v>43</v>
      </c>
      <c r="F7" s="20" t="s">
        <v>44</v>
      </c>
      <c r="G7" s="23" t="s">
        <v>45</v>
      </c>
      <c r="H7" s="43" t="s">
        <v>34</v>
      </c>
      <c r="I7" s="44" t="s">
        <v>35</v>
      </c>
      <c r="J7" s="45" t="str">
        <f t="shared" ref="J7:J64" si="1">IF(ISBLANK(I7),"",IF(OR(I7="TK/0",I7="TK/1",I7="K/0"),"TER A",IF(I7="K/3","TER C","TER B")))</f>
        <v>TER B</v>
      </c>
      <c r="K7" s="46">
        <f>134500*31</f>
        <v>4169500</v>
      </c>
      <c r="L7" s="47">
        <f>(4035000+S7)*0.84%</f>
        <v>34347.599999999999</v>
      </c>
      <c r="M7" s="46">
        <f>[5]HARVESTING!AQ14</f>
        <v>163560</v>
      </c>
      <c r="N7" s="40"/>
      <c r="O7" s="46">
        <f>[5]HARVESTING!T14</f>
        <v>172050</v>
      </c>
      <c r="P7" s="46">
        <f>[5]HARVESTING!W14</f>
        <v>60000</v>
      </c>
      <c r="Q7" s="46"/>
      <c r="R7" s="40">
        <f>[5]HARVESTING!AJ14</f>
        <v>1849200</v>
      </c>
      <c r="S7" s="40">
        <f>[5]HARVESTING!Z14</f>
        <v>54000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>
        <f>-[5]HARVESTING!BH14</f>
        <v>0</v>
      </c>
      <c r="AE7" s="40"/>
      <c r="AF7" s="40"/>
      <c r="AG7" s="41">
        <f>ROUND(SUM(K7:AF7),0)</f>
        <v>6502658</v>
      </c>
      <c r="AH7" s="42">
        <f t="shared" si="0"/>
        <v>5.0000000000000001E-3</v>
      </c>
      <c r="AI7" s="70">
        <f>ROUND(IF(E7=0,AG7*120%,AG7*AH7),0)</f>
        <v>32513</v>
      </c>
      <c r="AJ7" s="10">
        <f>[5]HARVESTING!AL14</f>
        <v>6304750</v>
      </c>
      <c r="AK7" s="56">
        <f t="shared" ref="AK7:AK64" si="2">L7+M7</f>
        <v>197907.6</v>
      </c>
      <c r="AL7" s="9">
        <f t="shared" ref="AL7:AL64" si="3">AJ7+AK7</f>
        <v>6502657.5999999996</v>
      </c>
      <c r="AM7" s="9">
        <f t="shared" ref="AM7:AM64" si="4">AG7-AL7</f>
        <v>0.40000000037252903</v>
      </c>
      <c r="AN7" s="9"/>
      <c r="AO7" s="9"/>
    </row>
    <row r="8" spans="2:41" s="1" customFormat="1" ht="23.25" customHeight="1" x14ac:dyDescent="0.25">
      <c r="B8" s="27">
        <v>3</v>
      </c>
      <c r="C8" s="34" t="s">
        <v>108</v>
      </c>
      <c r="D8" s="24" t="s">
        <v>109</v>
      </c>
      <c r="E8" s="11" t="s">
        <v>46</v>
      </c>
      <c r="F8" s="12" t="s">
        <v>110</v>
      </c>
      <c r="G8" s="23" t="s">
        <v>45</v>
      </c>
      <c r="H8" s="49" t="s">
        <v>34</v>
      </c>
      <c r="I8" s="48" t="s">
        <v>61</v>
      </c>
      <c r="J8" s="45" t="str">
        <f>IF(ISBLANK(I8),"",IF(OR(I8="TK/0",I8="TK/1",I8="K/0"),"TER A",IF(I8="K/3","TER C","TER B")))</f>
        <v>TER A</v>
      </c>
      <c r="K8" s="46">
        <f t="shared" ref="K8:K64" si="5">134500*31</f>
        <v>4169500</v>
      </c>
      <c r="L8" s="47">
        <f t="shared" ref="L8:L64" si="6">(4035000+S8)*0.84%</f>
        <v>33936</v>
      </c>
      <c r="M8" s="46">
        <f>[5]HARVESTING!AQ15</f>
        <v>161600</v>
      </c>
      <c r="N8" s="46"/>
      <c r="O8" s="46">
        <f>[5]HARVESTING!T15</f>
        <v>69750</v>
      </c>
      <c r="P8" s="46">
        <f>[5]HARVESTING!W15</f>
        <v>60000</v>
      </c>
      <c r="Q8" s="46">
        <f>[5]HARVESTING!AA15</f>
        <v>758020.25</v>
      </c>
      <c r="R8" s="40">
        <f>[5]HARVESTING!AJ15</f>
        <v>253000</v>
      </c>
      <c r="S8" s="40">
        <f>[5]HARVESTING!Z15</f>
        <v>5000</v>
      </c>
      <c r="T8" s="46"/>
      <c r="U8" s="46"/>
      <c r="V8" s="46"/>
      <c r="W8" s="46"/>
      <c r="X8" s="46"/>
      <c r="Y8" s="46"/>
      <c r="Z8" s="46"/>
      <c r="AA8" s="46"/>
      <c r="AB8" s="40"/>
      <c r="AC8" s="46"/>
      <c r="AD8" s="40">
        <f>-[5]HARVESTING!BH15</f>
        <v>0</v>
      </c>
      <c r="AE8" s="46"/>
      <c r="AF8" s="46"/>
      <c r="AG8" s="41">
        <f t="shared" ref="AG8:AG64" si="7">ROUND(SUM(K8:AF8),0)</f>
        <v>5510806</v>
      </c>
      <c r="AH8" s="42">
        <f t="shared" si="0"/>
        <v>2.5000000000000001E-3</v>
      </c>
      <c r="AI8" s="70">
        <f t="shared" ref="AI8:AI64" si="8">ROUND(IF(E8=0,AG8*120%,AG8*AH8),0)</f>
        <v>13777</v>
      </c>
      <c r="AJ8" s="10">
        <f>[5]HARVESTING!AL15</f>
        <v>5315270.25</v>
      </c>
      <c r="AK8" s="56">
        <f t="shared" si="2"/>
        <v>195536</v>
      </c>
      <c r="AL8" s="9">
        <f t="shared" si="3"/>
        <v>5510806.25</v>
      </c>
      <c r="AM8" s="9">
        <f t="shared" si="4"/>
        <v>-0.25</v>
      </c>
      <c r="AN8" s="9"/>
      <c r="AO8" s="9"/>
    </row>
    <row r="9" spans="2:41" s="1" customFormat="1" ht="23.25" customHeight="1" x14ac:dyDescent="0.25">
      <c r="B9" s="27">
        <v>4</v>
      </c>
      <c r="C9" s="34" t="s">
        <v>48</v>
      </c>
      <c r="D9" s="22" t="s">
        <v>49</v>
      </c>
      <c r="E9" s="8" t="s">
        <v>46</v>
      </c>
      <c r="F9" s="20" t="s">
        <v>50</v>
      </c>
      <c r="G9" s="23" t="s">
        <v>47</v>
      </c>
      <c r="H9" s="43" t="s">
        <v>34</v>
      </c>
      <c r="I9" s="44" t="s">
        <v>51</v>
      </c>
      <c r="J9" s="45" t="str">
        <f t="shared" si="1"/>
        <v>TER B</v>
      </c>
      <c r="K9" s="46">
        <f t="shared" si="5"/>
        <v>4169500</v>
      </c>
      <c r="L9" s="47">
        <f t="shared" si="6"/>
        <v>34070.400000000001</v>
      </c>
      <c r="M9" s="46">
        <f>[5]HARVESTING!AQ16</f>
        <v>162240</v>
      </c>
      <c r="N9" s="40"/>
      <c r="O9" s="46">
        <f>[5]HARVESTING!T16</f>
        <v>144150</v>
      </c>
      <c r="P9" s="46"/>
      <c r="Q9" s="46">
        <f>[5]HARVESTING!AA16</f>
        <v>0</v>
      </c>
      <c r="R9" s="40"/>
      <c r="S9" s="40">
        <f>[5]HARVESTING!Z16</f>
        <v>21000</v>
      </c>
      <c r="T9" s="40">
        <f>[5]HARVESTING!AD16</f>
        <v>184633</v>
      </c>
      <c r="U9" s="40">
        <f>[5]HARVESTING!AE16</f>
        <v>600250</v>
      </c>
      <c r="V9" s="40">
        <f>[5]HARVESTING!AF16</f>
        <v>527800</v>
      </c>
      <c r="W9" s="40">
        <f>[5]HARVESTING!AI16</f>
        <v>0</v>
      </c>
      <c r="X9" s="40"/>
      <c r="Y9" s="40"/>
      <c r="Z9" s="40">
        <f>[5]HARVESTING!AH16</f>
        <v>0</v>
      </c>
      <c r="AA9" s="40">
        <f>-[5]HARVESTING!AK16</f>
        <v>0</v>
      </c>
      <c r="AB9" s="40"/>
      <c r="AC9" s="40"/>
      <c r="AD9" s="40">
        <f>-[5]HARVESTING!BH16</f>
        <v>0</v>
      </c>
      <c r="AE9" s="40"/>
      <c r="AF9" s="40"/>
      <c r="AG9" s="41">
        <f t="shared" si="7"/>
        <v>5843643</v>
      </c>
      <c r="AH9" s="42">
        <f t="shared" si="0"/>
        <v>0</v>
      </c>
      <c r="AI9" s="70">
        <f t="shared" si="8"/>
        <v>0</v>
      </c>
      <c r="AJ9" s="10">
        <f>[5]HARVESTING!AL16</f>
        <v>5647333</v>
      </c>
      <c r="AK9" s="56">
        <f t="shared" si="2"/>
        <v>196310.39999999999</v>
      </c>
      <c r="AL9" s="9">
        <f t="shared" si="3"/>
        <v>5843643.4000000004</v>
      </c>
      <c r="AM9" s="9">
        <f t="shared" si="4"/>
        <v>-0.40000000037252903</v>
      </c>
      <c r="AN9" s="9"/>
      <c r="AO9" s="9"/>
    </row>
    <row r="10" spans="2:41" s="1" customFormat="1" ht="23.25" customHeight="1" x14ac:dyDescent="0.25">
      <c r="B10" s="27">
        <v>5</v>
      </c>
      <c r="C10" s="34" t="s">
        <v>52</v>
      </c>
      <c r="D10" s="22" t="s">
        <v>53</v>
      </c>
      <c r="E10" s="8" t="s">
        <v>46</v>
      </c>
      <c r="F10" s="20" t="s">
        <v>54</v>
      </c>
      <c r="G10" s="23" t="s">
        <v>47</v>
      </c>
      <c r="H10" s="43" t="s">
        <v>34</v>
      </c>
      <c r="I10" s="44" t="s">
        <v>35</v>
      </c>
      <c r="J10" s="45" t="str">
        <f t="shared" si="1"/>
        <v>TER B</v>
      </c>
      <c r="K10" s="46">
        <f t="shared" si="5"/>
        <v>4169500</v>
      </c>
      <c r="L10" s="47">
        <f t="shared" si="6"/>
        <v>34070.400000000001</v>
      </c>
      <c r="M10" s="46">
        <f>[5]HARVESTING!AQ17</f>
        <v>162240</v>
      </c>
      <c r="N10" s="40"/>
      <c r="O10" s="46">
        <f>[5]HARVESTING!T17</f>
        <v>172050</v>
      </c>
      <c r="P10" s="46"/>
      <c r="Q10" s="46">
        <f>[5]HARVESTING!AA17</f>
        <v>0</v>
      </c>
      <c r="R10" s="40"/>
      <c r="S10" s="40">
        <f>[5]HARVESTING!Z17</f>
        <v>21000</v>
      </c>
      <c r="T10" s="40">
        <f>[5]HARVESTING!AD17</f>
        <v>285549</v>
      </c>
      <c r="U10" s="40">
        <f>[5]HARVESTING!AE17</f>
        <v>817250</v>
      </c>
      <c r="V10" s="40">
        <f>[5]HARVESTING!AF17</f>
        <v>529100</v>
      </c>
      <c r="W10" s="40">
        <f>[5]HARVESTING!AI17</f>
        <v>0</v>
      </c>
      <c r="X10" s="40"/>
      <c r="Y10" s="40"/>
      <c r="Z10" s="40">
        <f>[5]HARVESTING!AH17</f>
        <v>150000</v>
      </c>
      <c r="AA10" s="40">
        <f>-[5]HARVESTING!AK17</f>
        <v>0</v>
      </c>
      <c r="AB10" s="40"/>
      <c r="AC10" s="40"/>
      <c r="AD10" s="40">
        <f>-[5]HARVESTING!BH17</f>
        <v>0</v>
      </c>
      <c r="AE10" s="40"/>
      <c r="AF10" s="40"/>
      <c r="AG10" s="41">
        <f t="shared" si="7"/>
        <v>6340759</v>
      </c>
      <c r="AH10" s="42">
        <f t="shared" si="0"/>
        <v>2.5000000000000001E-3</v>
      </c>
      <c r="AI10" s="70">
        <f t="shared" si="8"/>
        <v>15852</v>
      </c>
      <c r="AJ10" s="10">
        <f>[5]HARVESTING!AL17</f>
        <v>6144449</v>
      </c>
      <c r="AK10" s="56">
        <f t="shared" si="2"/>
        <v>196310.39999999999</v>
      </c>
      <c r="AL10" s="9">
        <f t="shared" si="3"/>
        <v>6340759.4000000004</v>
      </c>
      <c r="AM10" s="9">
        <f t="shared" si="4"/>
        <v>-0.40000000037252903</v>
      </c>
      <c r="AN10" s="9"/>
      <c r="AO10" s="9"/>
    </row>
    <row r="11" spans="2:41" s="1" customFormat="1" ht="23.25" customHeight="1" x14ac:dyDescent="0.25">
      <c r="B11" s="27">
        <v>6</v>
      </c>
      <c r="C11" s="34" t="s">
        <v>55</v>
      </c>
      <c r="D11" s="22" t="s">
        <v>56</v>
      </c>
      <c r="E11" s="8" t="s">
        <v>46</v>
      </c>
      <c r="F11" s="20" t="s">
        <v>57</v>
      </c>
      <c r="G11" s="23" t="s">
        <v>47</v>
      </c>
      <c r="H11" s="43" t="s">
        <v>34</v>
      </c>
      <c r="I11" s="48" t="s">
        <v>35</v>
      </c>
      <c r="J11" s="45" t="str">
        <f t="shared" si="1"/>
        <v>TER B</v>
      </c>
      <c r="K11" s="46">
        <f t="shared" si="5"/>
        <v>4169500</v>
      </c>
      <c r="L11" s="47">
        <f t="shared" si="6"/>
        <v>34120.799999999996</v>
      </c>
      <c r="M11" s="46">
        <f>[5]HARVESTING!AQ18</f>
        <v>162480</v>
      </c>
      <c r="N11" s="40"/>
      <c r="O11" s="46">
        <f>[5]HARVESTING!T18</f>
        <v>166500</v>
      </c>
      <c r="P11" s="46"/>
      <c r="Q11" s="46">
        <f>[5]HARVESTING!AA18</f>
        <v>0</v>
      </c>
      <c r="R11" s="40"/>
      <c r="S11" s="40">
        <f>[5]HARVESTING!Z18</f>
        <v>27000</v>
      </c>
      <c r="T11" s="40">
        <f>[5]HARVESTING!AD18</f>
        <v>83985</v>
      </c>
      <c r="U11" s="40">
        <f>[5]HARVESTING!AE18</f>
        <v>274750</v>
      </c>
      <c r="V11" s="40">
        <f>[5]HARVESTING!AF18</f>
        <v>524550</v>
      </c>
      <c r="W11" s="40">
        <f>[5]HARVESTING!AI18</f>
        <v>0</v>
      </c>
      <c r="X11" s="40"/>
      <c r="Y11" s="40"/>
      <c r="Z11" s="40">
        <f>[5]HARVESTING!AH18</f>
        <v>0</v>
      </c>
      <c r="AA11" s="40">
        <f>-[5]HARVESTING!AK18</f>
        <v>-129808.13953488372</v>
      </c>
      <c r="AB11" s="40"/>
      <c r="AC11" s="40"/>
      <c r="AD11" s="40">
        <f>-[5]HARVESTING!BH18</f>
        <v>-134500</v>
      </c>
      <c r="AE11" s="40"/>
      <c r="AF11" s="40"/>
      <c r="AG11" s="41">
        <f t="shared" si="7"/>
        <v>5178578</v>
      </c>
      <c r="AH11" s="42">
        <f t="shared" si="0"/>
        <v>0</v>
      </c>
      <c r="AI11" s="70">
        <f t="shared" si="8"/>
        <v>0</v>
      </c>
      <c r="AJ11" s="10">
        <f>[5]HARVESTING!AL18</f>
        <v>4981976.8604651159</v>
      </c>
      <c r="AK11" s="56">
        <f t="shared" si="2"/>
        <v>196600.8</v>
      </c>
      <c r="AL11" s="9">
        <f t="shared" si="3"/>
        <v>5178577.6604651157</v>
      </c>
      <c r="AM11" s="9">
        <f t="shared" si="4"/>
        <v>0.33953488431870937</v>
      </c>
      <c r="AN11" s="9"/>
      <c r="AO11" s="9"/>
    </row>
    <row r="12" spans="2:41" s="1" customFormat="1" ht="23.25" customHeight="1" x14ac:dyDescent="0.25">
      <c r="B12" s="27">
        <v>7</v>
      </c>
      <c r="C12" s="34" t="s">
        <v>58</v>
      </c>
      <c r="D12" s="22" t="s">
        <v>59</v>
      </c>
      <c r="E12" s="8" t="s">
        <v>46</v>
      </c>
      <c r="F12" s="20" t="s">
        <v>60</v>
      </c>
      <c r="G12" s="23" t="s">
        <v>47</v>
      </c>
      <c r="H12" s="43" t="s">
        <v>34</v>
      </c>
      <c r="I12" s="77" t="s">
        <v>79</v>
      </c>
      <c r="J12" s="45" t="str">
        <f t="shared" si="1"/>
        <v>TER A</v>
      </c>
      <c r="K12" s="46">
        <f t="shared" si="5"/>
        <v>4169500</v>
      </c>
      <c r="L12" s="47">
        <f t="shared" si="6"/>
        <v>33978</v>
      </c>
      <c r="M12" s="46">
        <f>[5]HARVESTING!AQ19</f>
        <v>161800</v>
      </c>
      <c r="N12" s="40"/>
      <c r="O12" s="46">
        <f>[5]HARVESTING!T19</f>
        <v>114700</v>
      </c>
      <c r="P12" s="46"/>
      <c r="Q12" s="46">
        <f>[5]HARVESTING!AA19</f>
        <v>0</v>
      </c>
      <c r="R12" s="40"/>
      <c r="S12" s="40">
        <f>[5]HARVESTING!Z19</f>
        <v>10000</v>
      </c>
      <c r="T12" s="40">
        <f>[5]HARVESTING!AD19</f>
        <v>152290</v>
      </c>
      <c r="U12" s="40">
        <f>[5]HARVESTING!AE19</f>
        <v>355250</v>
      </c>
      <c r="V12" s="40">
        <f>[5]HARVESTING!AF19</f>
        <v>525850</v>
      </c>
      <c r="W12" s="40">
        <f>[5]HARVESTING!AI19</f>
        <v>0</v>
      </c>
      <c r="X12" s="40"/>
      <c r="Y12" s="40"/>
      <c r="Z12" s="40">
        <f>[5]HARVESTING!AH19</f>
        <v>0</v>
      </c>
      <c r="AA12" s="40">
        <f>-[5]HARVESTING!AK19</f>
        <v>0</v>
      </c>
      <c r="AB12" s="40"/>
      <c r="AC12" s="40"/>
      <c r="AD12" s="40">
        <f>-[5]HARVESTING!BH19</f>
        <v>0</v>
      </c>
      <c r="AE12" s="40"/>
      <c r="AF12" s="40"/>
      <c r="AG12" s="41">
        <f t="shared" si="7"/>
        <v>5523368</v>
      </c>
      <c r="AH12" s="42">
        <f t="shared" si="0"/>
        <v>2.5000000000000001E-3</v>
      </c>
      <c r="AI12" s="70">
        <f t="shared" si="8"/>
        <v>13808</v>
      </c>
      <c r="AJ12" s="10">
        <f>[5]HARVESTING!AL19</f>
        <v>5327590</v>
      </c>
      <c r="AK12" s="56">
        <f t="shared" si="2"/>
        <v>195778</v>
      </c>
      <c r="AL12" s="9">
        <f t="shared" si="3"/>
        <v>5523368</v>
      </c>
      <c r="AM12" s="9">
        <f t="shared" si="4"/>
        <v>0</v>
      </c>
      <c r="AN12" s="9"/>
      <c r="AO12" s="9"/>
    </row>
    <row r="13" spans="2:41" s="1" customFormat="1" ht="23.25" customHeight="1" x14ac:dyDescent="0.25">
      <c r="B13" s="27">
        <v>8</v>
      </c>
      <c r="C13" s="34" t="s">
        <v>62</v>
      </c>
      <c r="D13" s="22" t="s">
        <v>63</v>
      </c>
      <c r="E13" s="8" t="s">
        <v>46</v>
      </c>
      <c r="F13" s="20" t="s">
        <v>64</v>
      </c>
      <c r="G13" s="23" t="s">
        <v>47</v>
      </c>
      <c r="H13" s="43" t="s">
        <v>34</v>
      </c>
      <c r="I13" s="77" t="s">
        <v>35</v>
      </c>
      <c r="J13" s="45" t="str">
        <f t="shared" si="1"/>
        <v>TER B</v>
      </c>
      <c r="K13" s="46">
        <f t="shared" si="5"/>
        <v>4169500</v>
      </c>
      <c r="L13" s="47">
        <f t="shared" si="6"/>
        <v>33978</v>
      </c>
      <c r="M13" s="46">
        <f>[5]HARVESTING!AQ20</f>
        <v>161800</v>
      </c>
      <c r="N13" s="40"/>
      <c r="O13" s="46">
        <f>[5]HARVESTING!T20</f>
        <v>166500</v>
      </c>
      <c r="P13" s="46"/>
      <c r="Q13" s="46">
        <f>[5]HARVESTING!AA20</f>
        <v>0</v>
      </c>
      <c r="R13" s="40"/>
      <c r="S13" s="40">
        <f>[5]HARVESTING!Z20</f>
        <v>10000</v>
      </c>
      <c r="T13" s="40">
        <f>[5]HARVESTING!AD20</f>
        <v>174078</v>
      </c>
      <c r="U13" s="40">
        <f>[5]HARVESTING!AE20</f>
        <v>477750</v>
      </c>
      <c r="V13" s="40">
        <f>[5]HARVESTING!AF20</f>
        <v>523250</v>
      </c>
      <c r="W13" s="40">
        <f>[5]HARVESTING!AI20</f>
        <v>0</v>
      </c>
      <c r="X13" s="40"/>
      <c r="Y13" s="40"/>
      <c r="Z13" s="40">
        <f>[5]HARVESTING!AH20</f>
        <v>0</v>
      </c>
      <c r="AA13" s="40">
        <f>-[5]HARVESTING!AK20</f>
        <v>-131372.09302325582</v>
      </c>
      <c r="AB13" s="40"/>
      <c r="AC13" s="40"/>
      <c r="AD13" s="40">
        <f>-[5]HARVESTING!BH20</f>
        <v>-134500</v>
      </c>
      <c r="AE13" s="40"/>
      <c r="AF13" s="40"/>
      <c r="AG13" s="41">
        <f t="shared" si="7"/>
        <v>5450984</v>
      </c>
      <c r="AH13" s="42">
        <f t="shared" si="0"/>
        <v>0</v>
      </c>
      <c r="AI13" s="70">
        <f t="shared" si="8"/>
        <v>0</v>
      </c>
      <c r="AJ13" s="10">
        <f>[5]HARVESTING!AL20</f>
        <v>5255205.9069767445</v>
      </c>
      <c r="AK13" s="56">
        <f t="shared" si="2"/>
        <v>195778</v>
      </c>
      <c r="AL13" s="9">
        <f t="shared" si="3"/>
        <v>5450983.9069767445</v>
      </c>
      <c r="AM13" s="9">
        <f t="shared" si="4"/>
        <v>9.3023255467414856E-2</v>
      </c>
      <c r="AN13" s="9"/>
      <c r="AO13" s="9"/>
    </row>
    <row r="14" spans="2:41" s="1" customFormat="1" ht="23.25" customHeight="1" x14ac:dyDescent="0.25">
      <c r="B14" s="27">
        <v>9</v>
      </c>
      <c r="C14" s="34" t="s">
        <v>65</v>
      </c>
      <c r="D14" s="22" t="s">
        <v>66</v>
      </c>
      <c r="E14" s="8" t="s">
        <v>46</v>
      </c>
      <c r="F14" s="20" t="s">
        <v>67</v>
      </c>
      <c r="G14" s="23" t="s">
        <v>47</v>
      </c>
      <c r="H14" s="43" t="s">
        <v>34</v>
      </c>
      <c r="I14" s="48" t="s">
        <v>35</v>
      </c>
      <c r="J14" s="45" t="str">
        <f t="shared" si="1"/>
        <v>TER B</v>
      </c>
      <c r="K14" s="46">
        <f t="shared" si="5"/>
        <v>4169500</v>
      </c>
      <c r="L14" s="47">
        <f t="shared" si="6"/>
        <v>34120.799999999996</v>
      </c>
      <c r="M14" s="46">
        <f>[5]HARVESTING!AQ21</f>
        <v>162480</v>
      </c>
      <c r="N14" s="40"/>
      <c r="O14" s="46">
        <f>[5]HARVESTING!T21</f>
        <v>172050</v>
      </c>
      <c r="P14" s="46"/>
      <c r="Q14" s="46">
        <f>[5]HARVESTING!AA21</f>
        <v>0</v>
      </c>
      <c r="R14" s="40"/>
      <c r="S14" s="40">
        <f>[5]HARVESTING!Z21</f>
        <v>27000</v>
      </c>
      <c r="T14" s="40">
        <f>[5]HARVESTING!AD21</f>
        <v>135903</v>
      </c>
      <c r="U14" s="40">
        <f>[5]HARVESTING!AE21</f>
        <v>329000</v>
      </c>
      <c r="V14" s="40">
        <f>[5]HARVESTING!AF21</f>
        <v>525200</v>
      </c>
      <c r="W14" s="40">
        <f>[5]HARVESTING!AI21</f>
        <v>0</v>
      </c>
      <c r="X14" s="40"/>
      <c r="Y14" s="40"/>
      <c r="Z14" s="40">
        <f>[5]HARVESTING!AH21</f>
        <v>0</v>
      </c>
      <c r="AA14" s="40">
        <f>-[5]HARVESTING!AK21</f>
        <v>-39098.837209302321</v>
      </c>
      <c r="AB14" s="40"/>
      <c r="AC14" s="40"/>
      <c r="AD14" s="40">
        <f>-[5]HARVESTING!BH21</f>
        <v>0</v>
      </c>
      <c r="AE14" s="40"/>
      <c r="AF14" s="40"/>
      <c r="AG14" s="41">
        <f t="shared" si="7"/>
        <v>5516155</v>
      </c>
      <c r="AH14" s="42">
        <f t="shared" si="0"/>
        <v>0</v>
      </c>
      <c r="AI14" s="70">
        <f t="shared" si="8"/>
        <v>0</v>
      </c>
      <c r="AJ14" s="10">
        <f>[5]HARVESTING!AL21</f>
        <v>5319554.162790698</v>
      </c>
      <c r="AK14" s="56">
        <f t="shared" si="2"/>
        <v>196600.8</v>
      </c>
      <c r="AL14" s="9">
        <f t="shared" si="3"/>
        <v>5516154.9627906978</v>
      </c>
      <c r="AM14" s="9">
        <f t="shared" si="4"/>
        <v>3.7209302186965942E-2</v>
      </c>
      <c r="AN14" s="9"/>
      <c r="AO14" s="9"/>
    </row>
    <row r="15" spans="2:41" s="1" customFormat="1" ht="23.25" customHeight="1" x14ac:dyDescent="0.25">
      <c r="B15" s="27">
        <v>10</v>
      </c>
      <c r="C15" s="34" t="s">
        <v>68</v>
      </c>
      <c r="D15" s="22" t="s">
        <v>69</v>
      </c>
      <c r="E15" s="8" t="s">
        <v>46</v>
      </c>
      <c r="F15" s="20" t="s">
        <v>70</v>
      </c>
      <c r="G15" s="23" t="s">
        <v>47</v>
      </c>
      <c r="H15" s="43" t="s">
        <v>34</v>
      </c>
      <c r="I15" s="48" t="s">
        <v>51</v>
      </c>
      <c r="J15" s="45" t="str">
        <f t="shared" si="1"/>
        <v>TER B</v>
      </c>
      <c r="K15" s="46">
        <f t="shared" si="5"/>
        <v>4169500</v>
      </c>
      <c r="L15" s="47">
        <f t="shared" si="6"/>
        <v>34120.799999999996</v>
      </c>
      <c r="M15" s="46">
        <f>[5]HARVESTING!AQ22</f>
        <v>162480</v>
      </c>
      <c r="N15" s="40"/>
      <c r="O15" s="46">
        <f>[5]HARVESTING!T22</f>
        <v>139500</v>
      </c>
      <c r="P15" s="46"/>
      <c r="Q15" s="46">
        <f>[5]HARVESTING!AA22</f>
        <v>0</v>
      </c>
      <c r="R15" s="40"/>
      <c r="S15" s="40">
        <f>[5]HARVESTING!Z22</f>
        <v>27000</v>
      </c>
      <c r="T15" s="40">
        <f>[5]HARVESTING!AD22</f>
        <v>106890</v>
      </c>
      <c r="U15" s="40">
        <f>[5]HARVESTING!AE22</f>
        <v>274750</v>
      </c>
      <c r="V15" s="40">
        <f>[5]HARVESTING!AF22</f>
        <v>350350</v>
      </c>
      <c r="W15" s="40">
        <f>[5]HARVESTING!AI22</f>
        <v>0</v>
      </c>
      <c r="X15" s="40"/>
      <c r="Y15" s="40"/>
      <c r="Z15" s="40">
        <f>[5]HARVESTING!AH22</f>
        <v>0</v>
      </c>
      <c r="AA15" s="40">
        <f>-[5]HARVESTING!AK22</f>
        <v>0</v>
      </c>
      <c r="AB15" s="40"/>
      <c r="AC15" s="40"/>
      <c r="AD15" s="40">
        <f>-[5]HARVESTING!BH22</f>
        <v>-134500</v>
      </c>
      <c r="AE15" s="40"/>
      <c r="AF15" s="40"/>
      <c r="AG15" s="41">
        <f t="shared" si="7"/>
        <v>5130091</v>
      </c>
      <c r="AH15" s="42">
        <f t="shared" si="0"/>
        <v>0</v>
      </c>
      <c r="AI15" s="70">
        <f t="shared" si="8"/>
        <v>0</v>
      </c>
      <c r="AJ15" s="10">
        <f>[5]HARVESTING!AL22</f>
        <v>4933490</v>
      </c>
      <c r="AK15" s="56">
        <f t="shared" si="2"/>
        <v>196600.8</v>
      </c>
      <c r="AL15" s="9">
        <f t="shared" si="3"/>
        <v>5130090.8</v>
      </c>
      <c r="AM15" s="9">
        <f t="shared" si="4"/>
        <v>0.20000000018626451</v>
      </c>
      <c r="AN15" s="9"/>
      <c r="AO15" s="9"/>
    </row>
    <row r="16" spans="2:41" s="1" customFormat="1" ht="23.25" customHeight="1" x14ac:dyDescent="0.25">
      <c r="B16" s="27">
        <v>11</v>
      </c>
      <c r="C16" s="34" t="s">
        <v>71</v>
      </c>
      <c r="D16" s="22" t="s">
        <v>72</v>
      </c>
      <c r="E16" s="8" t="s">
        <v>46</v>
      </c>
      <c r="F16" s="20" t="s">
        <v>73</v>
      </c>
      <c r="G16" s="23" t="s">
        <v>47</v>
      </c>
      <c r="H16" s="43" t="s">
        <v>34</v>
      </c>
      <c r="I16" s="77" t="s">
        <v>35</v>
      </c>
      <c r="J16" s="45" t="str">
        <f t="shared" si="1"/>
        <v>TER B</v>
      </c>
      <c r="K16" s="46">
        <f t="shared" si="5"/>
        <v>4169500</v>
      </c>
      <c r="L16" s="47">
        <f t="shared" si="6"/>
        <v>34120.799999999996</v>
      </c>
      <c r="M16" s="46">
        <f>[5]HARVESTING!AQ23</f>
        <v>162480</v>
      </c>
      <c r="N16" s="40"/>
      <c r="O16" s="46">
        <f>[5]HARVESTING!T23</f>
        <v>166500</v>
      </c>
      <c r="P16" s="46"/>
      <c r="Q16" s="46">
        <f>[5]HARVESTING!AA23</f>
        <v>0</v>
      </c>
      <c r="R16" s="40"/>
      <c r="S16" s="40">
        <f>[5]HARVESTING!Z23</f>
        <v>27000</v>
      </c>
      <c r="T16" s="40">
        <f>[5]HARVESTING!AD23</f>
        <v>157281</v>
      </c>
      <c r="U16" s="40">
        <f>[5]HARVESTING!AE23</f>
        <v>323750</v>
      </c>
      <c r="V16" s="40">
        <f>[5]HARVESTING!AF23</f>
        <v>516750</v>
      </c>
      <c r="W16" s="40">
        <f>[5]HARVESTING!AI23</f>
        <v>0</v>
      </c>
      <c r="X16" s="40"/>
      <c r="Y16" s="40"/>
      <c r="Z16" s="40">
        <f>[5]HARVESTING!AH23</f>
        <v>0</v>
      </c>
      <c r="AA16" s="40">
        <f>-[5]HARVESTING!AK23</f>
        <v>-96965.116279069771</v>
      </c>
      <c r="AB16" s="40"/>
      <c r="AC16" s="40"/>
      <c r="AD16" s="40">
        <f>-[5]HARVESTING!BH23</f>
        <v>-134500</v>
      </c>
      <c r="AE16" s="40"/>
      <c r="AF16" s="40"/>
      <c r="AG16" s="41">
        <f t="shared" si="7"/>
        <v>5325917</v>
      </c>
      <c r="AH16" s="42">
        <f t="shared" si="0"/>
        <v>0</v>
      </c>
      <c r="AI16" s="70">
        <f t="shared" si="8"/>
        <v>0</v>
      </c>
      <c r="AJ16" s="10">
        <f>[5]HARVESTING!AL23</f>
        <v>5129315.8837209307</v>
      </c>
      <c r="AK16" s="56">
        <f t="shared" si="2"/>
        <v>196600.8</v>
      </c>
      <c r="AL16" s="9">
        <f t="shared" si="3"/>
        <v>5325916.6837209305</v>
      </c>
      <c r="AM16" s="9">
        <f t="shared" si="4"/>
        <v>0.31627906952053308</v>
      </c>
      <c r="AN16" s="9"/>
      <c r="AO16" s="9"/>
    </row>
    <row r="17" spans="2:41" s="1" customFormat="1" ht="23.25" customHeight="1" x14ac:dyDescent="0.25">
      <c r="B17" s="27">
        <v>12</v>
      </c>
      <c r="C17" s="34" t="s">
        <v>74</v>
      </c>
      <c r="D17" s="22" t="s">
        <v>75</v>
      </c>
      <c r="E17" s="8" t="s">
        <v>46</v>
      </c>
      <c r="F17" s="20" t="s">
        <v>60</v>
      </c>
      <c r="G17" s="23" t="s">
        <v>47</v>
      </c>
      <c r="H17" s="43" t="s">
        <v>34</v>
      </c>
      <c r="I17" s="48" t="s">
        <v>35</v>
      </c>
      <c r="J17" s="45" t="str">
        <f t="shared" si="1"/>
        <v>TER B</v>
      </c>
      <c r="K17" s="46">
        <f t="shared" si="5"/>
        <v>4169500</v>
      </c>
      <c r="L17" s="47">
        <f t="shared" si="6"/>
        <v>34120.799999999996</v>
      </c>
      <c r="M17" s="46">
        <f>[5]HARVESTING!AQ24</f>
        <v>162480</v>
      </c>
      <c r="N17" s="46"/>
      <c r="O17" s="46">
        <f>[5]HARVESTING!T24</f>
        <v>172050</v>
      </c>
      <c r="P17" s="46"/>
      <c r="Q17" s="46">
        <f>[5]HARVESTING!AA24</f>
        <v>0</v>
      </c>
      <c r="R17" s="40"/>
      <c r="S17" s="40">
        <f>[5]HARVESTING!Z24</f>
        <v>27000</v>
      </c>
      <c r="T17" s="40">
        <f>[5]HARVESTING!AD24</f>
        <v>138957</v>
      </c>
      <c r="U17" s="40">
        <f>[5]HARVESTING!AE24</f>
        <v>215250</v>
      </c>
      <c r="V17" s="40">
        <f>[5]HARVESTING!AF24</f>
        <v>518700</v>
      </c>
      <c r="W17" s="40">
        <f>[5]HARVESTING!AI24</f>
        <v>0</v>
      </c>
      <c r="X17" s="40"/>
      <c r="Y17" s="40"/>
      <c r="Z17" s="40">
        <f>[5]HARVESTING!AH24</f>
        <v>0</v>
      </c>
      <c r="AA17" s="40">
        <f>-[5]HARVESTING!AK24</f>
        <v>-96965.116279069771</v>
      </c>
      <c r="AB17" s="40"/>
      <c r="AC17" s="40"/>
      <c r="AD17" s="40">
        <f>-[5]HARVESTING!BH24</f>
        <v>0</v>
      </c>
      <c r="AE17" s="40"/>
      <c r="AF17" s="40"/>
      <c r="AG17" s="41">
        <f t="shared" si="7"/>
        <v>5341093</v>
      </c>
      <c r="AH17" s="42">
        <f t="shared" si="0"/>
        <v>0</v>
      </c>
      <c r="AI17" s="70">
        <f t="shared" si="8"/>
        <v>0</v>
      </c>
      <c r="AJ17" s="10">
        <f>[5]HARVESTING!AL24</f>
        <v>5144491.8837209307</v>
      </c>
      <c r="AK17" s="56">
        <f t="shared" si="2"/>
        <v>196600.8</v>
      </c>
      <c r="AL17" s="9">
        <f t="shared" si="3"/>
        <v>5341092.6837209305</v>
      </c>
      <c r="AM17" s="9">
        <f t="shared" si="4"/>
        <v>0.31627906952053308</v>
      </c>
      <c r="AN17" s="9"/>
      <c r="AO17" s="9"/>
    </row>
    <row r="18" spans="2:41" s="1" customFormat="1" ht="23.25" customHeight="1" x14ac:dyDescent="0.25">
      <c r="B18" s="27">
        <v>13</v>
      </c>
      <c r="C18" s="34" t="s">
        <v>76</v>
      </c>
      <c r="D18" s="22" t="s">
        <v>77</v>
      </c>
      <c r="E18" s="8" t="s">
        <v>46</v>
      </c>
      <c r="F18" s="20" t="s">
        <v>78</v>
      </c>
      <c r="G18" s="23" t="s">
        <v>47</v>
      </c>
      <c r="H18" s="43" t="s">
        <v>34</v>
      </c>
      <c r="I18" s="48" t="s">
        <v>79</v>
      </c>
      <c r="J18" s="45" t="str">
        <f t="shared" si="1"/>
        <v>TER A</v>
      </c>
      <c r="K18" s="46">
        <f t="shared" si="5"/>
        <v>4169500</v>
      </c>
      <c r="L18" s="47">
        <f t="shared" si="6"/>
        <v>33978</v>
      </c>
      <c r="M18" s="46">
        <f>[5]HARVESTING!AQ25</f>
        <v>161800</v>
      </c>
      <c r="N18" s="46"/>
      <c r="O18" s="46">
        <f>[5]HARVESTING!T25</f>
        <v>111000</v>
      </c>
      <c r="P18" s="46"/>
      <c r="Q18" s="46">
        <f>[5]HARVESTING!AA25</f>
        <v>0</v>
      </c>
      <c r="R18" s="40"/>
      <c r="S18" s="40">
        <f>[5]HARVESTING!Z25</f>
        <v>10000</v>
      </c>
      <c r="T18" s="40">
        <f>[5]HARVESTING!AD25</f>
        <v>74823</v>
      </c>
      <c r="U18" s="40">
        <f>[5]HARVESTING!AE25</f>
        <v>173250</v>
      </c>
      <c r="V18" s="40">
        <f>[5]HARVESTING!AF25</f>
        <v>521950</v>
      </c>
      <c r="W18" s="40">
        <f>[5]HARVESTING!AI25</f>
        <v>0</v>
      </c>
      <c r="X18" s="40"/>
      <c r="Y18" s="40"/>
      <c r="Z18" s="40">
        <f>[5]HARVESTING!AH25</f>
        <v>0</v>
      </c>
      <c r="AA18" s="40">
        <f>-[5]HARVESTING!AK25</f>
        <v>-168906.97674418605</v>
      </c>
      <c r="AB18" s="40"/>
      <c r="AC18" s="40"/>
      <c r="AD18" s="40">
        <f>-[5]HARVESTING!BH25</f>
        <v>-134500</v>
      </c>
      <c r="AE18" s="40"/>
      <c r="AF18" s="40"/>
      <c r="AG18" s="41">
        <f t="shared" si="7"/>
        <v>4952894</v>
      </c>
      <c r="AH18" s="42">
        <f t="shared" si="0"/>
        <v>0</v>
      </c>
      <c r="AI18" s="70">
        <f t="shared" si="8"/>
        <v>0</v>
      </c>
      <c r="AJ18" s="10">
        <f>[5]HARVESTING!AL25</f>
        <v>4757116.0232558139</v>
      </c>
      <c r="AK18" s="56">
        <f t="shared" si="2"/>
        <v>195778</v>
      </c>
      <c r="AL18" s="9">
        <f t="shared" si="3"/>
        <v>4952894.0232558139</v>
      </c>
      <c r="AM18" s="9">
        <f t="shared" si="4"/>
        <v>-2.3255813866853714E-2</v>
      </c>
      <c r="AN18" s="9"/>
      <c r="AO18" s="9"/>
    </row>
    <row r="19" spans="2:41" s="1" customFormat="1" ht="23.25" customHeight="1" x14ac:dyDescent="0.25">
      <c r="B19" s="27">
        <v>14</v>
      </c>
      <c r="C19" s="34" t="s">
        <v>80</v>
      </c>
      <c r="D19" s="22" t="s">
        <v>81</v>
      </c>
      <c r="E19" s="8" t="s">
        <v>46</v>
      </c>
      <c r="F19" s="20" t="s">
        <v>82</v>
      </c>
      <c r="G19" s="23" t="s">
        <v>47</v>
      </c>
      <c r="H19" s="43" t="s">
        <v>34</v>
      </c>
      <c r="I19" s="48" t="s">
        <v>35</v>
      </c>
      <c r="J19" s="45" t="str">
        <f t="shared" si="1"/>
        <v>TER B</v>
      </c>
      <c r="K19" s="46">
        <f t="shared" si="5"/>
        <v>4169500</v>
      </c>
      <c r="L19" s="47">
        <f t="shared" si="6"/>
        <v>34070.400000000001</v>
      </c>
      <c r="M19" s="46">
        <f>[5]HARVESTING!AQ26</f>
        <v>162240</v>
      </c>
      <c r="N19" s="46"/>
      <c r="O19" s="46">
        <f>[5]HARVESTING!T26</f>
        <v>172050</v>
      </c>
      <c r="P19" s="46"/>
      <c r="Q19" s="46">
        <f>[5]HARVESTING!AA26</f>
        <v>0</v>
      </c>
      <c r="R19" s="40"/>
      <c r="S19" s="40">
        <f>[5]HARVESTING!Z26</f>
        <v>21000</v>
      </c>
      <c r="T19" s="40">
        <f>[5]HARVESTING!AD26</f>
        <v>91620</v>
      </c>
      <c r="U19" s="40">
        <f>[5]HARVESTING!AE26</f>
        <v>201250</v>
      </c>
      <c r="V19" s="40">
        <f>[5]HARVESTING!AF26</f>
        <v>522600</v>
      </c>
      <c r="W19" s="40">
        <f>[5]HARVESTING!AI26</f>
        <v>0</v>
      </c>
      <c r="X19" s="40"/>
      <c r="Y19" s="40"/>
      <c r="Z19" s="40">
        <f>[5]HARVESTING!AH26</f>
        <v>0</v>
      </c>
      <c r="AA19" s="40">
        <f>-[5]HARVESTING!AK26</f>
        <v>-117296.51162790698</v>
      </c>
      <c r="AB19" s="40"/>
      <c r="AC19" s="40"/>
      <c r="AD19" s="40">
        <f>-[5]HARVESTING!BH26</f>
        <v>0</v>
      </c>
      <c r="AE19" s="40"/>
      <c r="AF19" s="40"/>
      <c r="AG19" s="41">
        <f t="shared" si="7"/>
        <v>5257034</v>
      </c>
      <c r="AH19" s="42">
        <f t="shared" si="0"/>
        <v>0</v>
      </c>
      <c r="AI19" s="70">
        <f t="shared" si="8"/>
        <v>0</v>
      </c>
      <c r="AJ19" s="10">
        <f>[5]HARVESTING!AL26</f>
        <v>5060723.4883720931</v>
      </c>
      <c r="AK19" s="56">
        <f t="shared" si="2"/>
        <v>196310.39999999999</v>
      </c>
      <c r="AL19" s="9">
        <f t="shared" si="3"/>
        <v>5257033.8883720934</v>
      </c>
      <c r="AM19" s="9">
        <f t="shared" si="4"/>
        <v>0.11162790656089783</v>
      </c>
      <c r="AN19" s="9"/>
      <c r="AO19" s="9"/>
    </row>
    <row r="20" spans="2:41" s="1" customFormat="1" ht="23.25" customHeight="1" x14ac:dyDescent="0.25">
      <c r="B20" s="27">
        <v>15</v>
      </c>
      <c r="C20" s="34" t="s">
        <v>84</v>
      </c>
      <c r="D20" s="24" t="s">
        <v>85</v>
      </c>
      <c r="E20" s="11" t="s">
        <v>46</v>
      </c>
      <c r="F20" s="12" t="s">
        <v>86</v>
      </c>
      <c r="G20" s="23" t="s">
        <v>47</v>
      </c>
      <c r="H20" s="43" t="s">
        <v>34</v>
      </c>
      <c r="I20" s="48" t="s">
        <v>51</v>
      </c>
      <c r="J20" s="45" t="str">
        <f t="shared" si="1"/>
        <v>TER B</v>
      </c>
      <c r="K20" s="46">
        <f t="shared" si="5"/>
        <v>4169500</v>
      </c>
      <c r="L20" s="47">
        <f t="shared" si="6"/>
        <v>34070.400000000001</v>
      </c>
      <c r="M20" s="46">
        <f>[5]HARVESTING!AQ27</f>
        <v>162240</v>
      </c>
      <c r="N20" s="46"/>
      <c r="O20" s="46">
        <f>[5]HARVESTING!T27</f>
        <v>144150</v>
      </c>
      <c r="P20" s="46"/>
      <c r="Q20" s="46">
        <f>[5]HARVESTING!AA27</f>
        <v>0</v>
      </c>
      <c r="R20" s="46"/>
      <c r="S20" s="40">
        <f>[5]HARVESTING!Z27</f>
        <v>21000</v>
      </c>
      <c r="T20" s="40">
        <f>[5]HARVESTING!AD27</f>
        <v>160335</v>
      </c>
      <c r="U20" s="40">
        <f>[5]HARVESTING!AE27</f>
        <v>290500</v>
      </c>
      <c r="V20" s="40">
        <f>[5]HARVESTING!AF27</f>
        <v>523900</v>
      </c>
      <c r="W20" s="40">
        <f>[5]HARVESTING!AI27</f>
        <v>0</v>
      </c>
      <c r="X20" s="46"/>
      <c r="Y20" s="46"/>
      <c r="Z20" s="40">
        <f>[5]HARVESTING!AH27</f>
        <v>0</v>
      </c>
      <c r="AA20" s="40">
        <f>-[5]HARVESTING!AK27</f>
        <v>-28151.162790697679</v>
      </c>
      <c r="AB20" s="40"/>
      <c r="AC20" s="46"/>
      <c r="AD20" s="40">
        <f>-[5]HARVESTING!BH27</f>
        <v>0</v>
      </c>
      <c r="AE20" s="40"/>
      <c r="AF20" s="46"/>
      <c r="AG20" s="41">
        <f t="shared" si="7"/>
        <v>5477544</v>
      </c>
      <c r="AH20" s="42">
        <f t="shared" si="0"/>
        <v>0</v>
      </c>
      <c r="AI20" s="70">
        <f t="shared" si="8"/>
        <v>0</v>
      </c>
      <c r="AJ20" s="10">
        <f>[5]HARVESTING!AL27</f>
        <v>5281233.837209302</v>
      </c>
      <c r="AK20" s="56">
        <f t="shared" si="2"/>
        <v>196310.39999999999</v>
      </c>
      <c r="AL20" s="9">
        <f t="shared" si="3"/>
        <v>5477544.2372093024</v>
      </c>
      <c r="AM20" s="9">
        <f t="shared" si="4"/>
        <v>-0.23720930237323046</v>
      </c>
      <c r="AN20" s="9"/>
      <c r="AO20" s="9"/>
    </row>
    <row r="21" spans="2:41" s="1" customFormat="1" ht="23.25" customHeight="1" x14ac:dyDescent="0.25">
      <c r="B21" s="27">
        <v>16</v>
      </c>
      <c r="C21" s="34" t="s">
        <v>87</v>
      </c>
      <c r="D21" s="24" t="s">
        <v>88</v>
      </c>
      <c r="E21" s="8" t="s">
        <v>46</v>
      </c>
      <c r="F21" s="12" t="s">
        <v>89</v>
      </c>
      <c r="G21" s="23" t="s">
        <v>47</v>
      </c>
      <c r="H21" s="43" t="s">
        <v>34</v>
      </c>
      <c r="I21" s="77" t="s">
        <v>61</v>
      </c>
      <c r="J21" s="45" t="str">
        <f t="shared" si="1"/>
        <v>TER A</v>
      </c>
      <c r="K21" s="46">
        <f t="shared" si="5"/>
        <v>4169500</v>
      </c>
      <c r="L21" s="47">
        <f t="shared" si="6"/>
        <v>34120.799999999996</v>
      </c>
      <c r="M21" s="46">
        <f>[5]HARVESTING!AQ28</f>
        <v>162480</v>
      </c>
      <c r="N21" s="46"/>
      <c r="O21" s="46">
        <f>[5]HARVESTING!T28</f>
        <v>60750</v>
      </c>
      <c r="P21" s="46"/>
      <c r="Q21" s="46">
        <f>[5]HARVESTING!AA28</f>
        <v>0</v>
      </c>
      <c r="R21" s="46"/>
      <c r="S21" s="40">
        <f>[5]HARVESTING!Z28</f>
        <v>27000</v>
      </c>
      <c r="T21" s="40">
        <f>[5]HARVESTING!AD28</f>
        <v>0</v>
      </c>
      <c r="U21" s="40">
        <f>[5]HARVESTING!AE28</f>
        <v>385000</v>
      </c>
      <c r="V21" s="40">
        <f>[5]HARVESTING!AF28</f>
        <v>516100</v>
      </c>
      <c r="W21" s="40">
        <f>[5]HARVESTING!AI28</f>
        <v>0</v>
      </c>
      <c r="X21" s="46"/>
      <c r="Y21" s="46"/>
      <c r="Z21" s="40">
        <f>[5]HARVESTING!AH28</f>
        <v>0</v>
      </c>
      <c r="AA21" s="40">
        <f>-[5]HARVESTING!AK28</f>
        <v>-107912.79069767443</v>
      </c>
      <c r="AB21" s="40"/>
      <c r="AC21" s="46"/>
      <c r="AD21" s="40">
        <f>-[5]HARVESTING!BH28</f>
        <v>-538000</v>
      </c>
      <c r="AE21" s="40"/>
      <c r="AF21" s="46"/>
      <c r="AG21" s="41">
        <f t="shared" si="7"/>
        <v>4709038</v>
      </c>
      <c r="AH21" s="42">
        <f t="shared" si="0"/>
        <v>0</v>
      </c>
      <c r="AI21" s="70">
        <f t="shared" si="8"/>
        <v>0</v>
      </c>
      <c r="AJ21" s="10">
        <f>[5]HARVESTING!AL28</f>
        <v>4512437.2093023257</v>
      </c>
      <c r="AK21" s="56">
        <f t="shared" si="2"/>
        <v>196600.8</v>
      </c>
      <c r="AL21" s="9">
        <f t="shared" si="3"/>
        <v>4709038.0093023255</v>
      </c>
      <c r="AM21" s="9">
        <f t="shared" si="4"/>
        <v>-9.3023255467414856E-3</v>
      </c>
      <c r="AN21" s="9"/>
      <c r="AO21" s="9"/>
    </row>
    <row r="22" spans="2:41" s="1" customFormat="1" ht="23.25" customHeight="1" x14ac:dyDescent="0.25">
      <c r="B22" s="27">
        <v>17</v>
      </c>
      <c r="C22" s="34" t="s">
        <v>90</v>
      </c>
      <c r="D22" s="24" t="s">
        <v>91</v>
      </c>
      <c r="E22" s="11" t="s">
        <v>46</v>
      </c>
      <c r="F22" s="12" t="s">
        <v>92</v>
      </c>
      <c r="G22" s="23" t="s">
        <v>47</v>
      </c>
      <c r="H22" s="43" t="s">
        <v>34</v>
      </c>
      <c r="I22" s="77" t="s">
        <v>79</v>
      </c>
      <c r="J22" s="45" t="str">
        <f t="shared" si="1"/>
        <v>TER A</v>
      </c>
      <c r="K22" s="46">
        <f t="shared" si="5"/>
        <v>4169500</v>
      </c>
      <c r="L22" s="47">
        <f t="shared" si="6"/>
        <v>33936</v>
      </c>
      <c r="M22" s="46">
        <f>[5]HARVESTING!AQ29</f>
        <v>161600</v>
      </c>
      <c r="N22" s="46"/>
      <c r="O22" s="46">
        <f>[5]HARVESTING!T29</f>
        <v>99900</v>
      </c>
      <c r="P22" s="46"/>
      <c r="Q22" s="46">
        <f>[5]HARVESTING!AA29</f>
        <v>0</v>
      </c>
      <c r="R22" s="46"/>
      <c r="S22" s="40">
        <f>[5]HARVESTING!Z29</f>
        <v>5000</v>
      </c>
      <c r="T22" s="40">
        <f>[5]HARVESTING!AD29</f>
        <v>0</v>
      </c>
      <c r="U22" s="40">
        <f>[5]HARVESTING!AE29</f>
        <v>295750</v>
      </c>
      <c r="V22" s="40">
        <f>[5]HARVESTING!AF29</f>
        <v>514150</v>
      </c>
      <c r="W22" s="40">
        <f>[5]HARVESTING!AI29</f>
        <v>0</v>
      </c>
      <c r="X22" s="46"/>
      <c r="Y22" s="46"/>
      <c r="Z22" s="40">
        <f>[5]HARVESTING!AH29</f>
        <v>0</v>
      </c>
      <c r="AA22" s="40">
        <f>-[5]HARVESTING!AK29</f>
        <v>-107912.79069767441</v>
      </c>
      <c r="AB22" s="40"/>
      <c r="AC22" s="46"/>
      <c r="AD22" s="40">
        <f>-[5]HARVESTING!BH29</f>
        <v>-538000</v>
      </c>
      <c r="AE22" s="40"/>
      <c r="AF22" s="46"/>
      <c r="AG22" s="41">
        <f t="shared" si="7"/>
        <v>4633923</v>
      </c>
      <c r="AH22" s="42">
        <f t="shared" si="0"/>
        <v>0</v>
      </c>
      <c r="AI22" s="70">
        <f t="shared" si="8"/>
        <v>0</v>
      </c>
      <c r="AJ22" s="10">
        <f>[5]HARVESTING!AL29</f>
        <v>4438387.2093023257</v>
      </c>
      <c r="AK22" s="56">
        <f t="shared" si="2"/>
        <v>195536</v>
      </c>
      <c r="AL22" s="9">
        <f t="shared" si="3"/>
        <v>4633923.2093023257</v>
      </c>
      <c r="AM22" s="9">
        <f t="shared" si="4"/>
        <v>-0.209302325733006</v>
      </c>
      <c r="AN22" s="9"/>
      <c r="AO22" s="9"/>
    </row>
    <row r="23" spans="2:41" s="1" customFormat="1" ht="23.25" customHeight="1" x14ac:dyDescent="0.25">
      <c r="B23" s="27">
        <v>18</v>
      </c>
      <c r="C23" s="34" t="s">
        <v>93</v>
      </c>
      <c r="D23" s="24" t="s">
        <v>94</v>
      </c>
      <c r="E23" s="8" t="s">
        <v>46</v>
      </c>
      <c r="F23" s="12" t="s">
        <v>95</v>
      </c>
      <c r="G23" s="23" t="s">
        <v>47</v>
      </c>
      <c r="H23" s="43" t="s">
        <v>34</v>
      </c>
      <c r="I23" s="48" t="s">
        <v>61</v>
      </c>
      <c r="J23" s="45" t="str">
        <f t="shared" si="1"/>
        <v>TER A</v>
      </c>
      <c r="K23" s="46">
        <f t="shared" si="5"/>
        <v>4169500</v>
      </c>
      <c r="L23" s="47">
        <f t="shared" si="6"/>
        <v>33915</v>
      </c>
      <c r="M23" s="46">
        <f>[5]HARVESTING!AQ30</f>
        <v>161500</v>
      </c>
      <c r="N23" s="46"/>
      <c r="O23" s="46">
        <f>[5]HARVESTING!T30</f>
        <v>69750</v>
      </c>
      <c r="P23" s="46"/>
      <c r="Q23" s="46">
        <f>[5]HARVESTING!AA30</f>
        <v>209913.30000000002</v>
      </c>
      <c r="R23" s="46"/>
      <c r="S23" s="40">
        <f>[5]HARVESTING!Z30</f>
        <v>2500</v>
      </c>
      <c r="T23" s="40">
        <f>[5]HARVESTING!AD30</f>
        <v>164916</v>
      </c>
      <c r="U23" s="40">
        <f>[5]HARVESTING!AE30</f>
        <v>448000</v>
      </c>
      <c r="V23" s="40">
        <f>[5]HARVESTING!AF30</f>
        <v>526500</v>
      </c>
      <c r="W23" s="40">
        <f>[5]HARVESTING!AI30</f>
        <v>0</v>
      </c>
      <c r="X23" s="46"/>
      <c r="Y23" s="46"/>
      <c r="Z23" s="40">
        <f>[5]HARVESTING!AH30</f>
        <v>0</v>
      </c>
      <c r="AA23" s="40">
        <f>-[5]HARVESTING!AK30</f>
        <v>0</v>
      </c>
      <c r="AB23" s="40"/>
      <c r="AC23" s="46"/>
      <c r="AD23" s="40">
        <f>-[5]HARVESTING!BH30</f>
        <v>0</v>
      </c>
      <c r="AE23" s="40"/>
      <c r="AF23" s="46"/>
      <c r="AG23" s="41">
        <f t="shared" si="7"/>
        <v>5786494</v>
      </c>
      <c r="AH23" s="42">
        <f t="shared" si="0"/>
        <v>5.0000000000000001E-3</v>
      </c>
      <c r="AI23" s="70">
        <f t="shared" si="8"/>
        <v>28932</v>
      </c>
      <c r="AJ23" s="10">
        <f>[5]HARVESTING!AL30</f>
        <v>5591079.2999999998</v>
      </c>
      <c r="AK23" s="56">
        <f t="shared" si="2"/>
        <v>195415</v>
      </c>
      <c r="AL23" s="9">
        <f t="shared" si="3"/>
        <v>5786494.2999999998</v>
      </c>
      <c r="AM23" s="9">
        <f t="shared" si="4"/>
        <v>-0.29999999981373549</v>
      </c>
      <c r="AN23" s="9"/>
      <c r="AO23" s="9"/>
    </row>
    <row r="24" spans="2:41" s="1" customFormat="1" ht="23.25" customHeight="1" x14ac:dyDescent="0.25">
      <c r="B24" s="27">
        <v>19</v>
      </c>
      <c r="C24" s="34" t="s">
        <v>96</v>
      </c>
      <c r="D24" s="24" t="s">
        <v>97</v>
      </c>
      <c r="E24" s="11" t="s">
        <v>46</v>
      </c>
      <c r="F24" s="12" t="s">
        <v>98</v>
      </c>
      <c r="G24" s="23" t="s">
        <v>47</v>
      </c>
      <c r="H24" s="43" t="s">
        <v>34</v>
      </c>
      <c r="I24" s="48" t="s">
        <v>35</v>
      </c>
      <c r="J24" s="45" t="str">
        <f t="shared" si="1"/>
        <v>TER B</v>
      </c>
      <c r="K24" s="46">
        <f t="shared" si="5"/>
        <v>4169500</v>
      </c>
      <c r="L24" s="47">
        <f t="shared" si="6"/>
        <v>33915</v>
      </c>
      <c r="M24" s="46">
        <f>[5]HARVESTING!AQ31</f>
        <v>161500</v>
      </c>
      <c r="N24" s="46"/>
      <c r="O24" s="46">
        <f>[5]HARVESTING!T31</f>
        <v>69750</v>
      </c>
      <c r="P24" s="46"/>
      <c r="Q24" s="46">
        <f>[5]HARVESTING!AA31</f>
        <v>0</v>
      </c>
      <c r="R24" s="46"/>
      <c r="S24" s="40">
        <f>[5]HARVESTING!Z31</f>
        <v>2500</v>
      </c>
      <c r="T24" s="40">
        <f>[5]HARVESTING!AD31</f>
        <v>142011</v>
      </c>
      <c r="U24" s="40">
        <f>[5]HARVESTING!AE31</f>
        <v>315000</v>
      </c>
      <c r="V24" s="40">
        <f>[5]HARVESTING!AF31</f>
        <v>513500</v>
      </c>
      <c r="W24" s="40">
        <f>[5]HARVESTING!AI31</f>
        <v>0</v>
      </c>
      <c r="X24" s="46"/>
      <c r="Y24" s="46"/>
      <c r="Z24" s="40">
        <f>[5]HARVESTING!AH31</f>
        <v>0</v>
      </c>
      <c r="AA24" s="40">
        <f>-[5]HARVESTING!AK31</f>
        <v>-134500</v>
      </c>
      <c r="AB24" s="40"/>
      <c r="AC24" s="46"/>
      <c r="AD24" s="40">
        <f>-[5]HARVESTING!BH31</f>
        <v>0</v>
      </c>
      <c r="AE24" s="40"/>
      <c r="AF24" s="46"/>
      <c r="AG24" s="41">
        <f t="shared" si="7"/>
        <v>5273176</v>
      </c>
      <c r="AH24" s="42">
        <f t="shared" si="0"/>
        <v>0</v>
      </c>
      <c r="AI24" s="70">
        <f t="shared" si="8"/>
        <v>0</v>
      </c>
      <c r="AJ24" s="10">
        <f>[5]HARVESTING!AL31</f>
        <v>5077761</v>
      </c>
      <c r="AK24" s="56">
        <f t="shared" si="2"/>
        <v>195415</v>
      </c>
      <c r="AL24" s="9">
        <f t="shared" si="3"/>
        <v>5273176</v>
      </c>
      <c r="AM24" s="9">
        <f t="shared" si="4"/>
        <v>0</v>
      </c>
      <c r="AN24" s="9"/>
      <c r="AO24" s="9"/>
    </row>
    <row r="25" spans="2:41" s="1" customFormat="1" ht="23.25" customHeight="1" x14ac:dyDescent="0.25">
      <c r="B25" s="27">
        <v>20</v>
      </c>
      <c r="C25" s="34" t="s">
        <v>99</v>
      </c>
      <c r="D25" s="24" t="s">
        <v>100</v>
      </c>
      <c r="E25" s="11" t="s">
        <v>46</v>
      </c>
      <c r="F25" s="12" t="s">
        <v>101</v>
      </c>
      <c r="G25" s="23" t="s">
        <v>47</v>
      </c>
      <c r="H25" s="43" t="s">
        <v>34</v>
      </c>
      <c r="I25" s="48" t="s">
        <v>35</v>
      </c>
      <c r="J25" s="45" t="str">
        <f t="shared" si="1"/>
        <v>TER B</v>
      </c>
      <c r="K25" s="46">
        <f t="shared" si="5"/>
        <v>4169500</v>
      </c>
      <c r="L25" s="47">
        <f t="shared" si="6"/>
        <v>33915</v>
      </c>
      <c r="M25" s="46">
        <f>[5]HARVESTING!AQ32</f>
        <v>161500</v>
      </c>
      <c r="N25" s="46"/>
      <c r="O25" s="46">
        <f>[5]HARVESTING!T32</f>
        <v>172050</v>
      </c>
      <c r="P25" s="46"/>
      <c r="Q25" s="46">
        <f>[5]HARVESTING!AA32</f>
        <v>128280.35</v>
      </c>
      <c r="R25" s="46"/>
      <c r="S25" s="40">
        <f>[5]HARVESTING!Z32</f>
        <v>2500</v>
      </c>
      <c r="T25" s="40">
        <f>[5]HARVESTING!AD32</f>
        <v>211010</v>
      </c>
      <c r="U25" s="40">
        <f>[5]HARVESTING!AE32</f>
        <v>439250</v>
      </c>
      <c r="V25" s="40">
        <f>[5]HARVESTING!AF32</f>
        <v>529100</v>
      </c>
      <c r="W25" s="40">
        <f>[5]HARVESTING!AI32</f>
        <v>0</v>
      </c>
      <c r="X25" s="46"/>
      <c r="Y25" s="46"/>
      <c r="Z25" s="40">
        <f>[5]HARVESTING!AH32</f>
        <v>150000</v>
      </c>
      <c r="AA25" s="40">
        <f>-[5]HARVESTING!AK32</f>
        <v>0</v>
      </c>
      <c r="AB25" s="40"/>
      <c r="AC25" s="46"/>
      <c r="AD25" s="40">
        <f>-[5]HARVESTING!BH32</f>
        <v>0</v>
      </c>
      <c r="AE25" s="40"/>
      <c r="AF25" s="46"/>
      <c r="AG25" s="41">
        <f t="shared" si="7"/>
        <v>5997105</v>
      </c>
      <c r="AH25" s="42">
        <f t="shared" si="0"/>
        <v>0</v>
      </c>
      <c r="AI25" s="70">
        <f t="shared" si="8"/>
        <v>0</v>
      </c>
      <c r="AJ25" s="10">
        <f>[5]HARVESTING!AL32</f>
        <v>5801690.3499999996</v>
      </c>
      <c r="AK25" s="56">
        <f t="shared" si="2"/>
        <v>195415</v>
      </c>
      <c r="AL25" s="9">
        <f t="shared" si="3"/>
        <v>5997105.3499999996</v>
      </c>
      <c r="AM25" s="9">
        <f t="shared" si="4"/>
        <v>-0.34999999962747097</v>
      </c>
      <c r="AN25" s="9"/>
      <c r="AO25" s="9"/>
    </row>
    <row r="26" spans="2:41" s="1" customFormat="1" ht="23.25" customHeight="1" x14ac:dyDescent="0.25">
      <c r="B26" s="27">
        <v>21</v>
      </c>
      <c r="C26" s="34" t="s">
        <v>102</v>
      </c>
      <c r="D26" s="24" t="s">
        <v>103</v>
      </c>
      <c r="E26" s="11" t="s">
        <v>46</v>
      </c>
      <c r="F26" s="12" t="s">
        <v>104</v>
      </c>
      <c r="G26" s="23" t="s">
        <v>47</v>
      </c>
      <c r="H26" s="43" t="s">
        <v>34</v>
      </c>
      <c r="I26" s="48" t="s">
        <v>35</v>
      </c>
      <c r="J26" s="45" t="str">
        <f t="shared" si="1"/>
        <v>TER B</v>
      </c>
      <c r="K26" s="46">
        <f t="shared" si="5"/>
        <v>4169500</v>
      </c>
      <c r="L26" s="47">
        <f t="shared" si="6"/>
        <v>33915</v>
      </c>
      <c r="M26" s="46">
        <f>[5]HARVESTING!AQ33</f>
        <v>161500</v>
      </c>
      <c r="N26" s="46"/>
      <c r="O26" s="46">
        <f>[5]HARVESTING!T33</f>
        <v>172050</v>
      </c>
      <c r="P26" s="46"/>
      <c r="Q26" s="46">
        <f>[5]HARVESTING!AA33</f>
        <v>209913.30000000002</v>
      </c>
      <c r="R26" s="46"/>
      <c r="S26" s="40">
        <f>[5]HARVESTING!Z33</f>
        <v>2500</v>
      </c>
      <c r="T26" s="40">
        <f>[5]HARVESTING!AD33</f>
        <v>140534</v>
      </c>
      <c r="U26" s="40">
        <f>[5]HARVESTING!AE33</f>
        <v>512750</v>
      </c>
      <c r="V26" s="40">
        <f>[5]HARVESTING!AF33</f>
        <v>523900</v>
      </c>
      <c r="W26" s="40">
        <f>[5]HARVESTING!AI33</f>
        <v>0</v>
      </c>
      <c r="X26" s="46"/>
      <c r="Y26" s="46"/>
      <c r="Z26" s="40">
        <f>[5]HARVESTING!AH33</f>
        <v>0</v>
      </c>
      <c r="AA26" s="40">
        <f>-[5]HARVESTING!AK33</f>
        <v>0</v>
      </c>
      <c r="AB26" s="40"/>
      <c r="AC26" s="46"/>
      <c r="AD26" s="40">
        <f>-[5]HARVESTING!BH33</f>
        <v>0</v>
      </c>
      <c r="AE26" s="40"/>
      <c r="AF26" s="46"/>
      <c r="AG26" s="41">
        <f t="shared" si="7"/>
        <v>5926562</v>
      </c>
      <c r="AH26" s="42">
        <f t="shared" si="0"/>
        <v>0</v>
      </c>
      <c r="AI26" s="70">
        <f t="shared" si="8"/>
        <v>0</v>
      </c>
      <c r="AJ26" s="10">
        <f>[5]HARVESTING!AL33</f>
        <v>5731147.2999999998</v>
      </c>
      <c r="AK26" s="56">
        <f t="shared" si="2"/>
        <v>195415</v>
      </c>
      <c r="AL26" s="9">
        <f t="shared" si="3"/>
        <v>5926562.2999999998</v>
      </c>
      <c r="AM26" s="9">
        <f t="shared" si="4"/>
        <v>-0.29999999981373549</v>
      </c>
      <c r="AN26" s="9"/>
      <c r="AO26" s="9"/>
    </row>
    <row r="27" spans="2:41" s="1" customFormat="1" ht="23.25" customHeight="1" x14ac:dyDescent="0.25">
      <c r="B27" s="27">
        <v>22</v>
      </c>
      <c r="C27" s="34" t="s">
        <v>105</v>
      </c>
      <c r="D27" s="24" t="s">
        <v>106</v>
      </c>
      <c r="E27" s="11" t="s">
        <v>46</v>
      </c>
      <c r="F27" s="12" t="s">
        <v>107</v>
      </c>
      <c r="G27" s="23" t="s">
        <v>47</v>
      </c>
      <c r="H27" s="43" t="s">
        <v>34</v>
      </c>
      <c r="I27" s="48" t="s">
        <v>83</v>
      </c>
      <c r="J27" s="45" t="str">
        <f t="shared" si="1"/>
        <v>TER C</v>
      </c>
      <c r="K27" s="46">
        <f t="shared" si="5"/>
        <v>4169500</v>
      </c>
      <c r="L27" s="47">
        <f t="shared" si="6"/>
        <v>33915</v>
      </c>
      <c r="M27" s="46">
        <f>[5]HARVESTING!AQ34</f>
        <v>161500</v>
      </c>
      <c r="N27" s="46"/>
      <c r="O27" s="46">
        <f>[5]HARVESTING!T34</f>
        <v>172050</v>
      </c>
      <c r="P27" s="46"/>
      <c r="Q27" s="46">
        <f>[5]HARVESTING!AA34</f>
        <v>0</v>
      </c>
      <c r="R27" s="46"/>
      <c r="S27" s="40">
        <f>[5]HARVESTING!Z34</f>
        <v>2500</v>
      </c>
      <c r="T27" s="40">
        <f>[5]HARVESTING!AD34</f>
        <v>157281</v>
      </c>
      <c r="U27" s="40">
        <f>[5]HARVESTING!AE34</f>
        <v>413000</v>
      </c>
      <c r="V27" s="40">
        <f>[5]HARVESTING!AF34</f>
        <v>523900</v>
      </c>
      <c r="W27" s="40">
        <f>[5]HARVESTING!AI34</f>
        <v>0</v>
      </c>
      <c r="X27" s="46"/>
      <c r="Y27" s="46"/>
      <c r="Z27" s="40">
        <f>[5]HARVESTING!AH34</f>
        <v>0</v>
      </c>
      <c r="AA27" s="40">
        <f>-[5]HARVESTING!AK34</f>
        <v>0</v>
      </c>
      <c r="AB27" s="40"/>
      <c r="AC27" s="46"/>
      <c r="AD27" s="40">
        <f>-[5]HARVESTING!BH34</f>
        <v>0</v>
      </c>
      <c r="AE27" s="40"/>
      <c r="AF27" s="46"/>
      <c r="AG27" s="41">
        <f t="shared" si="7"/>
        <v>5633646</v>
      </c>
      <c r="AH27" s="42">
        <f t="shared" si="0"/>
        <v>0</v>
      </c>
      <c r="AI27" s="70">
        <f t="shared" si="8"/>
        <v>0</v>
      </c>
      <c r="AJ27" s="10">
        <f>[5]HARVESTING!AL34</f>
        <v>5438231</v>
      </c>
      <c r="AK27" s="56">
        <f t="shared" si="2"/>
        <v>195415</v>
      </c>
      <c r="AL27" s="9">
        <f t="shared" si="3"/>
        <v>5633646</v>
      </c>
      <c r="AM27" s="9">
        <f t="shared" si="4"/>
        <v>0</v>
      </c>
      <c r="AN27" s="9"/>
      <c r="AO27" s="9"/>
    </row>
    <row r="28" spans="2:41" s="1" customFormat="1" ht="23.25" customHeight="1" x14ac:dyDescent="0.25">
      <c r="B28" s="27">
        <v>23</v>
      </c>
      <c r="C28" s="34" t="s">
        <v>238</v>
      </c>
      <c r="D28" s="24" t="s">
        <v>239</v>
      </c>
      <c r="E28" s="11" t="s">
        <v>46</v>
      </c>
      <c r="F28" s="12" t="s">
        <v>240</v>
      </c>
      <c r="G28" s="23" t="s">
        <v>47</v>
      </c>
      <c r="H28" s="43" t="s">
        <v>34</v>
      </c>
      <c r="I28" s="77" t="s">
        <v>35</v>
      </c>
      <c r="J28" s="45" t="str">
        <f t="shared" si="1"/>
        <v>TER B</v>
      </c>
      <c r="K28" s="46">
        <f t="shared" si="5"/>
        <v>4169500</v>
      </c>
      <c r="L28" s="47">
        <f t="shared" si="6"/>
        <v>34045.199999999997</v>
      </c>
      <c r="M28" s="46">
        <f>[5]HARVESTING!AQ35</f>
        <v>162120</v>
      </c>
      <c r="N28" s="46"/>
      <c r="O28" s="46">
        <f>[5]HARVESTING!T35</f>
        <v>144150</v>
      </c>
      <c r="P28" s="46"/>
      <c r="Q28" s="46">
        <f>[5]HARVESTING!AA35</f>
        <v>0</v>
      </c>
      <c r="R28" s="46"/>
      <c r="S28" s="40">
        <f>[5]HARVESTING!Z35</f>
        <v>18000</v>
      </c>
      <c r="T28" s="40">
        <f>[5]HARVESTING!AD35</f>
        <v>111471</v>
      </c>
      <c r="U28" s="40">
        <f>[5]HARVESTING!AE35</f>
        <v>486500</v>
      </c>
      <c r="V28" s="40">
        <f>[5]HARVESTING!AF35</f>
        <v>525200</v>
      </c>
      <c r="W28" s="40">
        <f>[5]HARVESTING!AI35</f>
        <v>0</v>
      </c>
      <c r="X28" s="46"/>
      <c r="Y28" s="46"/>
      <c r="Z28" s="40">
        <f>[5]HARVESTING!AH35</f>
        <v>0</v>
      </c>
      <c r="AA28" s="40">
        <f>-[5]HARVESTING!AK35</f>
        <v>0</v>
      </c>
      <c r="AB28" s="40"/>
      <c r="AC28" s="46"/>
      <c r="AD28" s="40">
        <f>-[5]HARVESTING!BH35</f>
        <v>0</v>
      </c>
      <c r="AE28" s="40"/>
      <c r="AF28" s="46"/>
      <c r="AG28" s="41">
        <f t="shared" si="7"/>
        <v>5650986</v>
      </c>
      <c r="AH28" s="42">
        <f t="shared" si="0"/>
        <v>0</v>
      </c>
      <c r="AI28" s="70">
        <f t="shared" si="8"/>
        <v>0</v>
      </c>
      <c r="AJ28" s="10">
        <f>[5]HARVESTING!AL35</f>
        <v>5454821</v>
      </c>
      <c r="AK28" s="56">
        <f t="shared" si="2"/>
        <v>196165.2</v>
      </c>
      <c r="AL28" s="9">
        <f t="shared" si="3"/>
        <v>5650986.2000000002</v>
      </c>
      <c r="AM28" s="9">
        <f t="shared" si="4"/>
        <v>-0.20000000018626451</v>
      </c>
      <c r="AN28" s="9"/>
      <c r="AO28" s="9"/>
    </row>
    <row r="29" spans="2:41" s="1" customFormat="1" ht="23.25" customHeight="1" x14ac:dyDescent="0.25">
      <c r="B29" s="27">
        <v>24</v>
      </c>
      <c r="C29" s="34" t="s">
        <v>212</v>
      </c>
      <c r="D29" s="24" t="s">
        <v>213</v>
      </c>
      <c r="E29" s="11" t="s">
        <v>46</v>
      </c>
      <c r="F29" s="12" t="s">
        <v>214</v>
      </c>
      <c r="G29" s="23" t="s">
        <v>47</v>
      </c>
      <c r="H29" s="43" t="s">
        <v>34</v>
      </c>
      <c r="I29" s="48" t="s">
        <v>35</v>
      </c>
      <c r="J29" s="45" t="str">
        <f t="shared" si="1"/>
        <v>TER B</v>
      </c>
      <c r="K29" s="46">
        <f t="shared" si="5"/>
        <v>4169500</v>
      </c>
      <c r="L29" s="47">
        <f t="shared" si="6"/>
        <v>33915</v>
      </c>
      <c r="M29" s="46">
        <f>[5]HARVESTING!AQ36</f>
        <v>161500</v>
      </c>
      <c r="N29" s="46"/>
      <c r="O29" s="46">
        <f>[5]HARVESTING!T36</f>
        <v>172050</v>
      </c>
      <c r="P29" s="46"/>
      <c r="Q29" s="46">
        <f>[5]HARVESTING!AA36</f>
        <v>0</v>
      </c>
      <c r="R29" s="46"/>
      <c r="S29" s="40">
        <f>[5]HARVESTING!Z36</f>
        <v>2500</v>
      </c>
      <c r="T29" s="40">
        <f>[5]HARVESTING!AD36</f>
        <v>92808</v>
      </c>
      <c r="U29" s="40">
        <f>[5]HARVESTING!AE36</f>
        <v>243250</v>
      </c>
      <c r="V29" s="40">
        <f>[5]HARVESTING!AF36</f>
        <v>0</v>
      </c>
      <c r="W29" s="40">
        <f>[5]HARVESTING!AI36</f>
        <v>0</v>
      </c>
      <c r="X29" s="46"/>
      <c r="Y29" s="46"/>
      <c r="Z29" s="40">
        <f>[5]HARVESTING!AH36</f>
        <v>0</v>
      </c>
      <c r="AA29" s="40">
        <f>-[5]HARVESTING!AK36</f>
        <v>-95325.242718446607</v>
      </c>
      <c r="AB29" s="46"/>
      <c r="AC29" s="46"/>
      <c r="AD29" s="40">
        <f>-[5]HARVESTING!BH36</f>
        <v>0</v>
      </c>
      <c r="AE29" s="46"/>
      <c r="AF29" s="46"/>
      <c r="AG29" s="41">
        <f t="shared" si="7"/>
        <v>4780198</v>
      </c>
      <c r="AH29" s="42">
        <f t="shared" si="0"/>
        <v>0</v>
      </c>
      <c r="AI29" s="70">
        <f t="shared" si="8"/>
        <v>0</v>
      </c>
      <c r="AJ29" s="10">
        <f>[5]HARVESTING!AL36</f>
        <v>4584782.757281553</v>
      </c>
      <c r="AK29" s="56">
        <f t="shared" si="2"/>
        <v>195415</v>
      </c>
      <c r="AL29" s="9">
        <f t="shared" si="3"/>
        <v>4780197.757281553</v>
      </c>
      <c r="AM29" s="9">
        <f t="shared" si="4"/>
        <v>0.24271844699978828</v>
      </c>
      <c r="AN29" s="9"/>
      <c r="AO29" s="9"/>
    </row>
    <row r="30" spans="2:41" s="1" customFormat="1" ht="23.25" customHeight="1" x14ac:dyDescent="0.25">
      <c r="B30" s="27">
        <v>25</v>
      </c>
      <c r="C30" s="34" t="s">
        <v>229</v>
      </c>
      <c r="D30" s="25" t="s">
        <v>230</v>
      </c>
      <c r="E30" s="11" t="s">
        <v>46</v>
      </c>
      <c r="F30" s="12" t="s">
        <v>231</v>
      </c>
      <c r="G30" s="23" t="s">
        <v>47</v>
      </c>
      <c r="H30" s="43" t="s">
        <v>34</v>
      </c>
      <c r="I30" s="48" t="s">
        <v>35</v>
      </c>
      <c r="J30" s="45" t="str">
        <f t="shared" si="1"/>
        <v>TER B</v>
      </c>
      <c r="K30" s="46">
        <f t="shared" si="5"/>
        <v>4169500</v>
      </c>
      <c r="L30" s="47">
        <f t="shared" si="6"/>
        <v>33894</v>
      </c>
      <c r="M30" s="46">
        <f>[5]HARVESTING!AQ37</f>
        <v>161400</v>
      </c>
      <c r="N30" s="46"/>
      <c r="O30" s="46">
        <f>[5]HARVESTING!T37</f>
        <v>166500</v>
      </c>
      <c r="P30" s="46"/>
      <c r="Q30" s="46">
        <f>[5]HARVESTING!AA37</f>
        <v>0</v>
      </c>
      <c r="R30" s="46"/>
      <c r="S30" s="40">
        <f>[5]HARVESTING!Z37</f>
        <v>0</v>
      </c>
      <c r="T30" s="40">
        <f>[5]HARVESTING!AD37</f>
        <v>61080</v>
      </c>
      <c r="U30" s="40">
        <f>[5]HARVESTING!AE37</f>
        <v>273000</v>
      </c>
      <c r="V30" s="40">
        <f>[5]HARVESTING!AF37</f>
        <v>525200</v>
      </c>
      <c r="W30" s="40">
        <f>[5]HARVESTING!AI37</f>
        <v>0</v>
      </c>
      <c r="X30" s="46"/>
      <c r="Y30" s="46"/>
      <c r="Z30" s="40">
        <f>[5]HARVESTING!AH37</f>
        <v>0</v>
      </c>
      <c r="AA30" s="40">
        <f>-[5]HARVESTING!AK37</f>
        <v>-96965.116279069756</v>
      </c>
      <c r="AB30" s="46"/>
      <c r="AC30" s="46"/>
      <c r="AD30" s="40">
        <f>-[5]HARVESTING!BH37</f>
        <v>-134500</v>
      </c>
      <c r="AE30" s="46"/>
      <c r="AF30" s="46"/>
      <c r="AG30" s="41">
        <f t="shared" si="7"/>
        <v>5159109</v>
      </c>
      <c r="AH30" s="42">
        <f t="shared" si="0"/>
        <v>0</v>
      </c>
      <c r="AI30" s="70">
        <f t="shared" si="8"/>
        <v>0</v>
      </c>
      <c r="AJ30" s="10">
        <f>[5]HARVESTING!AL37</f>
        <v>4963814.8837209307</v>
      </c>
      <c r="AK30" s="56">
        <f t="shared" si="2"/>
        <v>195294</v>
      </c>
      <c r="AL30" s="9">
        <f t="shared" si="3"/>
        <v>5159108.8837209307</v>
      </c>
      <c r="AM30" s="9">
        <f t="shared" si="4"/>
        <v>0.11627906933426857</v>
      </c>
      <c r="AN30" s="9"/>
      <c r="AO30" s="9"/>
    </row>
    <row r="31" spans="2:41" s="1" customFormat="1" ht="23.25" customHeight="1" x14ac:dyDescent="0.25">
      <c r="B31" s="27">
        <v>26</v>
      </c>
      <c r="C31" s="34" t="s">
        <v>241</v>
      </c>
      <c r="D31" s="25" t="s">
        <v>242</v>
      </c>
      <c r="E31" s="11" t="s">
        <v>46</v>
      </c>
      <c r="F31" s="12" t="s">
        <v>254</v>
      </c>
      <c r="G31" s="23" t="s">
        <v>47</v>
      </c>
      <c r="H31" s="43" t="s">
        <v>34</v>
      </c>
      <c r="I31" s="48" t="s">
        <v>83</v>
      </c>
      <c r="J31" s="45" t="str">
        <f t="shared" si="1"/>
        <v>TER C</v>
      </c>
      <c r="K31" s="46">
        <f t="shared" si="5"/>
        <v>4169500</v>
      </c>
      <c r="L31" s="47">
        <f t="shared" si="6"/>
        <v>33894</v>
      </c>
      <c r="M31" s="46">
        <f>[5]HARVESTING!AQ38</f>
        <v>161400</v>
      </c>
      <c r="N31" s="46"/>
      <c r="O31" s="46">
        <f>[5]HARVESTING!T38</f>
        <v>172050</v>
      </c>
      <c r="P31" s="46"/>
      <c r="Q31" s="46">
        <f>[5]HARVESTING!AA38</f>
        <v>0</v>
      </c>
      <c r="R31" s="46"/>
      <c r="S31" s="40">
        <f>[5]HARVESTING!Z38</f>
        <v>0</v>
      </c>
      <c r="T31" s="40">
        <f>[5]HARVESTING!AD38</f>
        <v>125214</v>
      </c>
      <c r="U31" s="40">
        <f>[5]HARVESTING!AE38</f>
        <v>586250</v>
      </c>
      <c r="V31" s="40">
        <f>[5]HARVESTING!AF38</f>
        <v>525200</v>
      </c>
      <c r="W31" s="40">
        <f>[5]HARVESTING!AI38</f>
        <v>0</v>
      </c>
      <c r="X31" s="46"/>
      <c r="Y31" s="46"/>
      <c r="Z31" s="40">
        <f>[5]HARVESTING!AH38</f>
        <v>0</v>
      </c>
      <c r="AA31" s="40">
        <f>-[5]HARVESTING!AK38</f>
        <v>0</v>
      </c>
      <c r="AB31" s="46"/>
      <c r="AC31" s="46"/>
      <c r="AD31" s="40">
        <f>-[5]HARVESTING!BH38</f>
        <v>0</v>
      </c>
      <c r="AE31" s="46"/>
      <c r="AF31" s="46"/>
      <c r="AG31" s="41">
        <f t="shared" si="7"/>
        <v>5773508</v>
      </c>
      <c r="AH31" s="42">
        <f t="shared" si="0"/>
        <v>0</v>
      </c>
      <c r="AI31" s="70">
        <f t="shared" si="8"/>
        <v>0</v>
      </c>
      <c r="AJ31" s="10">
        <f>[5]HARVESTING!AL38</f>
        <v>5578214</v>
      </c>
      <c r="AK31" s="56">
        <f t="shared" si="2"/>
        <v>195294</v>
      </c>
      <c r="AL31" s="9">
        <f t="shared" si="3"/>
        <v>5773508</v>
      </c>
      <c r="AM31" s="9">
        <f t="shared" si="4"/>
        <v>0</v>
      </c>
      <c r="AN31" s="9"/>
      <c r="AO31" s="9"/>
    </row>
    <row r="32" spans="2:41" s="1" customFormat="1" ht="23.25" customHeight="1" x14ac:dyDescent="0.25">
      <c r="B32" s="27">
        <v>27</v>
      </c>
      <c r="C32" s="34" t="s">
        <v>243</v>
      </c>
      <c r="D32" s="25" t="s">
        <v>247</v>
      </c>
      <c r="E32" s="11" t="s">
        <v>46</v>
      </c>
      <c r="F32" s="12" t="s">
        <v>248</v>
      </c>
      <c r="G32" s="23" t="s">
        <v>47</v>
      </c>
      <c r="H32" s="43" t="s">
        <v>34</v>
      </c>
      <c r="I32" s="48" t="s">
        <v>61</v>
      </c>
      <c r="J32" s="45" t="str">
        <f t="shared" si="1"/>
        <v>TER A</v>
      </c>
      <c r="K32" s="46">
        <f t="shared" si="5"/>
        <v>4169500</v>
      </c>
      <c r="L32" s="47">
        <f t="shared" si="6"/>
        <v>33894</v>
      </c>
      <c r="M32" s="46">
        <f>[5]HARVESTING!AQ39</f>
        <v>161400</v>
      </c>
      <c r="N32" s="46"/>
      <c r="O32" s="46">
        <f>[5]HARVESTING!T39</f>
        <v>67500</v>
      </c>
      <c r="P32" s="46"/>
      <c r="Q32" s="46">
        <f>[5]HARVESTING!AA39</f>
        <v>0</v>
      </c>
      <c r="R32" s="46"/>
      <c r="S32" s="40">
        <f>[5]HARVESTING!Z39</f>
        <v>0</v>
      </c>
      <c r="T32" s="40">
        <f>[5]HARVESTING!AD39</f>
        <v>112998</v>
      </c>
      <c r="U32" s="40">
        <f>[5]HARVESTING!AE39</f>
        <v>141750</v>
      </c>
      <c r="V32" s="40">
        <f>[5]HARVESTING!AF39</f>
        <v>516750</v>
      </c>
      <c r="W32" s="40">
        <f>[5]HARVESTING!AI39</f>
        <v>0</v>
      </c>
      <c r="X32" s="46"/>
      <c r="Y32" s="46"/>
      <c r="Z32" s="40">
        <f>[5]HARVESTING!AH39</f>
        <v>0</v>
      </c>
      <c r="AA32" s="40">
        <f>-[5]HARVESTING!AK39</f>
        <v>-215825.58139534883</v>
      </c>
      <c r="AB32" s="46"/>
      <c r="AC32" s="46"/>
      <c r="AD32" s="40">
        <f>-[5]HARVESTING!BH39</f>
        <v>-134500</v>
      </c>
      <c r="AE32" s="46"/>
      <c r="AF32" s="46"/>
      <c r="AG32" s="41">
        <f t="shared" si="7"/>
        <v>4853466</v>
      </c>
      <c r="AH32" s="42">
        <f t="shared" si="0"/>
        <v>0</v>
      </c>
      <c r="AI32" s="70">
        <f t="shared" si="8"/>
        <v>0</v>
      </c>
      <c r="AJ32" s="10">
        <f>[5]HARVESTING!AL39</f>
        <v>4658172.4186046515</v>
      </c>
      <c r="AK32" s="56">
        <f t="shared" si="2"/>
        <v>195294</v>
      </c>
      <c r="AL32" s="9">
        <f t="shared" si="3"/>
        <v>4853466.4186046515</v>
      </c>
      <c r="AM32" s="9">
        <f t="shared" si="4"/>
        <v>-0.418604651466012</v>
      </c>
      <c r="AN32" s="9"/>
      <c r="AO32" s="9"/>
    </row>
    <row r="33" spans="2:41" s="1" customFormat="1" ht="23.25" customHeight="1" x14ac:dyDescent="0.25">
      <c r="B33" s="27">
        <v>28</v>
      </c>
      <c r="C33" s="34" t="s">
        <v>244</v>
      </c>
      <c r="D33" s="25" t="s">
        <v>249</v>
      </c>
      <c r="E33" s="11" t="s">
        <v>46</v>
      </c>
      <c r="F33" s="12" t="s">
        <v>252</v>
      </c>
      <c r="G33" s="23" t="s">
        <v>47</v>
      </c>
      <c r="H33" s="43" t="s">
        <v>34</v>
      </c>
      <c r="I33" s="48" t="s">
        <v>79</v>
      </c>
      <c r="J33" s="45" t="str">
        <f t="shared" si="1"/>
        <v>TER A</v>
      </c>
      <c r="K33" s="46">
        <f t="shared" si="5"/>
        <v>4169500</v>
      </c>
      <c r="L33" s="47">
        <f t="shared" si="6"/>
        <v>33894</v>
      </c>
      <c r="M33" s="46">
        <f>[5]HARVESTING!AQ40</f>
        <v>161400</v>
      </c>
      <c r="N33" s="46"/>
      <c r="O33" s="46">
        <f>[5]HARVESTING!T40</f>
        <v>114700</v>
      </c>
      <c r="P33" s="46"/>
      <c r="Q33" s="46">
        <f>[5]HARVESTING!AA40</f>
        <v>0</v>
      </c>
      <c r="R33" s="46"/>
      <c r="S33" s="40">
        <f>[5]HARVESTING!Z40</f>
        <v>0</v>
      </c>
      <c r="T33" s="40">
        <f>[5]HARVESTING!AD40</f>
        <v>169497</v>
      </c>
      <c r="U33" s="40">
        <f>[5]HARVESTING!AE40</f>
        <v>456750</v>
      </c>
      <c r="V33" s="40">
        <f>[5]HARVESTING!AF40</f>
        <v>527800</v>
      </c>
      <c r="W33" s="40">
        <f>[5]HARVESTING!AI40</f>
        <v>0</v>
      </c>
      <c r="X33" s="46"/>
      <c r="Y33" s="46"/>
      <c r="Z33" s="40">
        <f>[5]HARVESTING!AH40</f>
        <v>0</v>
      </c>
      <c r="AA33" s="40">
        <f>-[5]HARVESTING!AK40</f>
        <v>0</v>
      </c>
      <c r="AB33" s="46"/>
      <c r="AC33" s="46"/>
      <c r="AD33" s="40">
        <f>-[5]HARVESTING!BH40</f>
        <v>0</v>
      </c>
      <c r="AE33" s="46"/>
      <c r="AF33" s="46"/>
      <c r="AG33" s="41">
        <f t="shared" si="7"/>
        <v>5633541</v>
      </c>
      <c r="AH33" s="42">
        <f t="shared" si="0"/>
        <v>2.5000000000000001E-3</v>
      </c>
      <c r="AI33" s="70">
        <f t="shared" si="8"/>
        <v>14084</v>
      </c>
      <c r="AJ33" s="10">
        <f>[5]HARVESTING!AL40</f>
        <v>5438247</v>
      </c>
      <c r="AK33" s="56">
        <f t="shared" si="2"/>
        <v>195294</v>
      </c>
      <c r="AL33" s="9">
        <f t="shared" si="3"/>
        <v>5633541</v>
      </c>
      <c r="AM33" s="9">
        <f t="shared" si="4"/>
        <v>0</v>
      </c>
      <c r="AN33" s="9"/>
      <c r="AO33" s="9"/>
    </row>
    <row r="34" spans="2:41" s="1" customFormat="1" ht="23.25" customHeight="1" x14ac:dyDescent="0.25">
      <c r="B34" s="27">
        <v>29</v>
      </c>
      <c r="C34" s="34" t="s">
        <v>245</v>
      </c>
      <c r="D34" s="25" t="s">
        <v>250</v>
      </c>
      <c r="E34" s="11" t="s">
        <v>46</v>
      </c>
      <c r="F34" s="12" t="s">
        <v>253</v>
      </c>
      <c r="G34" s="23" t="s">
        <v>47</v>
      </c>
      <c r="H34" s="43" t="s">
        <v>34</v>
      </c>
      <c r="I34" s="48" t="s">
        <v>51</v>
      </c>
      <c r="J34" s="45" t="str">
        <f t="shared" si="1"/>
        <v>TER B</v>
      </c>
      <c r="K34" s="46">
        <f t="shared" si="5"/>
        <v>4169500</v>
      </c>
      <c r="L34" s="47">
        <f t="shared" si="6"/>
        <v>33894</v>
      </c>
      <c r="M34" s="46">
        <f>[5]HARVESTING!AQ41</f>
        <v>161400</v>
      </c>
      <c r="N34" s="46"/>
      <c r="O34" s="46">
        <f>[5]HARVESTING!T41</f>
        <v>144150</v>
      </c>
      <c r="P34" s="46"/>
      <c r="Q34" s="46">
        <f>[5]HARVESTING!AA41</f>
        <v>0</v>
      </c>
      <c r="R34" s="46"/>
      <c r="S34" s="40">
        <f>[5]HARVESTING!Z41</f>
        <v>0</v>
      </c>
      <c r="T34" s="40">
        <f>[5]HARVESTING!AD41</f>
        <v>157281</v>
      </c>
      <c r="U34" s="40">
        <f>[5]HARVESTING!AE41</f>
        <v>386750</v>
      </c>
      <c r="V34" s="40">
        <f>[5]HARVESTING!AF41</f>
        <v>527800</v>
      </c>
      <c r="W34" s="40">
        <f>[5]HARVESTING!AI41</f>
        <v>0</v>
      </c>
      <c r="X34" s="46"/>
      <c r="Y34" s="46"/>
      <c r="Z34" s="40">
        <f>[5]HARVESTING!AH41</f>
        <v>0</v>
      </c>
      <c r="AA34" s="40">
        <f>-[5]HARVESTING!AK41</f>
        <v>0</v>
      </c>
      <c r="AB34" s="46"/>
      <c r="AC34" s="46"/>
      <c r="AD34" s="40">
        <f>-[5]HARVESTING!BH41</f>
        <v>0</v>
      </c>
      <c r="AE34" s="46"/>
      <c r="AF34" s="46"/>
      <c r="AG34" s="41">
        <f t="shared" si="7"/>
        <v>5580775</v>
      </c>
      <c r="AH34" s="42">
        <f t="shared" si="0"/>
        <v>0</v>
      </c>
      <c r="AI34" s="70">
        <f t="shared" si="8"/>
        <v>0</v>
      </c>
      <c r="AJ34" s="10">
        <f>[5]HARVESTING!AL41</f>
        <v>5385481</v>
      </c>
      <c r="AK34" s="56">
        <f t="shared" si="2"/>
        <v>195294</v>
      </c>
      <c r="AL34" s="9">
        <f t="shared" si="3"/>
        <v>5580775</v>
      </c>
      <c r="AM34" s="9">
        <f t="shared" si="4"/>
        <v>0</v>
      </c>
      <c r="AN34" s="9"/>
      <c r="AO34" s="9"/>
    </row>
    <row r="35" spans="2:41" s="1" customFormat="1" ht="23.25" customHeight="1" x14ac:dyDescent="0.25">
      <c r="B35" s="27">
        <v>30</v>
      </c>
      <c r="C35" s="34" t="s">
        <v>246</v>
      </c>
      <c r="D35" s="25" t="s">
        <v>251</v>
      </c>
      <c r="E35" s="11" t="s">
        <v>46</v>
      </c>
      <c r="F35" s="12" t="s">
        <v>255</v>
      </c>
      <c r="G35" s="23" t="s">
        <v>47</v>
      </c>
      <c r="H35" s="43" t="s">
        <v>34</v>
      </c>
      <c r="I35" s="48" t="s">
        <v>35</v>
      </c>
      <c r="J35" s="45" t="str">
        <f t="shared" si="1"/>
        <v>TER B</v>
      </c>
      <c r="K35" s="46">
        <f t="shared" si="5"/>
        <v>4169500</v>
      </c>
      <c r="L35" s="47">
        <f t="shared" si="6"/>
        <v>33894</v>
      </c>
      <c r="M35" s="46">
        <f>[5]HARVESTING!AQ42</f>
        <v>161400</v>
      </c>
      <c r="N35" s="46"/>
      <c r="O35" s="46">
        <f>[5]HARVESTING!T42</f>
        <v>172050</v>
      </c>
      <c r="P35" s="46"/>
      <c r="Q35" s="46">
        <f>[5]HARVESTING!AA42</f>
        <v>0</v>
      </c>
      <c r="R35" s="46"/>
      <c r="S35" s="40">
        <f>[5]HARVESTING!Z42</f>
        <v>0</v>
      </c>
      <c r="T35" s="40">
        <f>[5]HARVESTING!AD42</f>
        <v>120633</v>
      </c>
      <c r="U35" s="40">
        <f>[5]HARVESTING!AE42</f>
        <v>554750</v>
      </c>
      <c r="V35" s="40">
        <f>[5]HARVESTING!AF42</f>
        <v>526500</v>
      </c>
      <c r="W35" s="40">
        <f>[5]HARVESTING!AI42</f>
        <v>0</v>
      </c>
      <c r="X35" s="46"/>
      <c r="Y35" s="46"/>
      <c r="Z35" s="40">
        <f>[5]HARVESTING!AH42</f>
        <v>0</v>
      </c>
      <c r="AA35" s="40">
        <f>-[5]HARVESTING!AK42</f>
        <v>0</v>
      </c>
      <c r="AB35" s="46"/>
      <c r="AC35" s="46"/>
      <c r="AD35" s="40">
        <f>-[5]HARVESTING!BH42</f>
        <v>0</v>
      </c>
      <c r="AE35" s="46"/>
      <c r="AF35" s="46"/>
      <c r="AG35" s="41">
        <f t="shared" si="7"/>
        <v>5738727</v>
      </c>
      <c r="AH35" s="42">
        <f t="shared" si="0"/>
        <v>0</v>
      </c>
      <c r="AI35" s="70">
        <f t="shared" si="8"/>
        <v>0</v>
      </c>
      <c r="AJ35" s="10">
        <f>[5]HARVESTING!AL42</f>
        <v>5543433</v>
      </c>
      <c r="AK35" s="56">
        <f t="shared" si="2"/>
        <v>195294</v>
      </c>
      <c r="AL35" s="9">
        <f t="shared" si="3"/>
        <v>5738727</v>
      </c>
      <c r="AM35" s="9">
        <f t="shared" si="4"/>
        <v>0</v>
      </c>
      <c r="AN35" s="9"/>
      <c r="AO35" s="9"/>
    </row>
    <row r="36" spans="2:41" s="1" customFormat="1" ht="23.25" customHeight="1" x14ac:dyDescent="0.25">
      <c r="B36" s="27">
        <v>31</v>
      </c>
      <c r="C36" s="35" t="s">
        <v>264</v>
      </c>
      <c r="D36" s="25" t="s">
        <v>265</v>
      </c>
      <c r="E36" s="11" t="s">
        <v>46</v>
      </c>
      <c r="F36" s="12" t="s">
        <v>266</v>
      </c>
      <c r="G36" s="23" t="s">
        <v>47</v>
      </c>
      <c r="H36" s="43" t="s">
        <v>34</v>
      </c>
      <c r="I36" s="48" t="s">
        <v>35</v>
      </c>
      <c r="J36" s="45" t="str">
        <f t="shared" si="1"/>
        <v>TER B</v>
      </c>
      <c r="K36" s="46">
        <f>134500*22</f>
        <v>2959000</v>
      </c>
      <c r="L36" s="47">
        <f t="shared" si="6"/>
        <v>33894</v>
      </c>
      <c r="M36" s="46">
        <f>'[5]BHL HARVESTING'!AP11</f>
        <v>161400</v>
      </c>
      <c r="N36" s="46"/>
      <c r="O36" s="46"/>
      <c r="P36" s="46"/>
      <c r="Q36" s="46"/>
      <c r="R36" s="46"/>
      <c r="S36" s="40"/>
      <c r="T36" s="40">
        <f>'[5]BHL HARVESTING'!AC11</f>
        <v>0</v>
      </c>
      <c r="U36" s="40">
        <f>'[5]BHL HARVESTING'!AD11</f>
        <v>267750</v>
      </c>
      <c r="V36" s="40">
        <f>'[5]BHL HARVESTING'!$AE$11</f>
        <v>173550</v>
      </c>
      <c r="W36" s="40">
        <f>'[5]BHL HARVESTING'!$AG$11</f>
        <v>0</v>
      </c>
      <c r="X36" s="46"/>
      <c r="Y36" s="46"/>
      <c r="Z36" s="40">
        <f>'[5]BHL HARVESTING'!$AF$11</f>
        <v>0</v>
      </c>
      <c r="AA36" s="40">
        <f>-'[5]BHL HARVESTING'!$AH$11</f>
        <v>0</v>
      </c>
      <c r="AB36" s="46"/>
      <c r="AC36" s="46"/>
      <c r="AD36" s="40">
        <f>-'[5]BHL HARVESTING'!$BF$11</f>
        <v>0</v>
      </c>
      <c r="AE36" s="46"/>
      <c r="AF36" s="46"/>
      <c r="AG36" s="41">
        <f t="shared" si="7"/>
        <v>3595594</v>
      </c>
      <c r="AH36" s="42">
        <f t="shared" si="0"/>
        <v>0</v>
      </c>
      <c r="AI36" s="70">
        <f t="shared" si="8"/>
        <v>0</v>
      </c>
      <c r="AJ36" s="10">
        <f>'[5]BHL HARVESTING'!AJ11</f>
        <v>3400300</v>
      </c>
      <c r="AK36" s="56">
        <f t="shared" si="2"/>
        <v>195294</v>
      </c>
      <c r="AL36" s="9">
        <f t="shared" si="3"/>
        <v>3595594</v>
      </c>
      <c r="AM36" s="9">
        <f t="shared" si="4"/>
        <v>0</v>
      </c>
      <c r="AN36" s="9"/>
      <c r="AO36" s="9"/>
    </row>
    <row r="37" spans="2:41" s="1" customFormat="1" ht="23.25" customHeight="1" x14ac:dyDescent="0.25">
      <c r="B37" s="27">
        <v>32</v>
      </c>
      <c r="C37" s="36" t="s">
        <v>111</v>
      </c>
      <c r="D37" s="24" t="s">
        <v>112</v>
      </c>
      <c r="E37" s="11" t="s">
        <v>113</v>
      </c>
      <c r="F37" s="12" t="s">
        <v>114</v>
      </c>
      <c r="G37" s="23" t="s">
        <v>115</v>
      </c>
      <c r="H37" s="49" t="s">
        <v>116</v>
      </c>
      <c r="I37" s="48" t="s">
        <v>61</v>
      </c>
      <c r="J37" s="45" t="str">
        <f t="shared" si="1"/>
        <v>TER A</v>
      </c>
      <c r="K37" s="46">
        <f t="shared" si="5"/>
        <v>4169500</v>
      </c>
      <c r="L37" s="47">
        <f t="shared" si="6"/>
        <v>34045.199999999997</v>
      </c>
      <c r="M37" s="46">
        <f>'[5]MAINTENANCE '!AP13</f>
        <v>162120</v>
      </c>
      <c r="N37" s="46"/>
      <c r="O37" s="46">
        <f>'[5]MAINTENANCE '!X13</f>
        <v>69750</v>
      </c>
      <c r="P37" s="46">
        <f>'[5]MAINTENANCE '!AA13</f>
        <v>84000</v>
      </c>
      <c r="Q37" s="46">
        <f>'[5]MAINTENANCE '!AF13</f>
        <v>1924205.25</v>
      </c>
      <c r="R37" s="46"/>
      <c r="S37" s="46">
        <f>'[5]MAINTENANCE '!AD13</f>
        <v>18000</v>
      </c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>
        <f>-'[5]MAINTENANCE '!BD13</f>
        <v>0</v>
      </c>
      <c r="AE37" s="46"/>
      <c r="AF37" s="46"/>
      <c r="AG37" s="41">
        <f t="shared" si="7"/>
        <v>6461620</v>
      </c>
      <c r="AH37" s="42">
        <f t="shared" si="0"/>
        <v>0.01</v>
      </c>
      <c r="AI37" s="70">
        <f t="shared" si="8"/>
        <v>64616</v>
      </c>
      <c r="AJ37" s="10">
        <f>'[5]MAINTENANCE '!AK13</f>
        <v>6265455.25</v>
      </c>
      <c r="AK37" s="56">
        <f t="shared" si="2"/>
        <v>196165.2</v>
      </c>
      <c r="AL37" s="9">
        <f t="shared" si="3"/>
        <v>6461620.4500000002</v>
      </c>
      <c r="AM37" s="9">
        <f t="shared" si="4"/>
        <v>-0.45000000018626451</v>
      </c>
      <c r="AN37" s="9"/>
      <c r="AO37" s="9"/>
    </row>
    <row r="38" spans="2:41" s="1" customFormat="1" ht="23.25" customHeight="1" x14ac:dyDescent="0.25">
      <c r="B38" s="27">
        <v>33</v>
      </c>
      <c r="C38" s="34" t="s">
        <v>117</v>
      </c>
      <c r="D38" s="24" t="s">
        <v>118</v>
      </c>
      <c r="E38" s="11" t="s">
        <v>119</v>
      </c>
      <c r="F38" s="12" t="s">
        <v>33</v>
      </c>
      <c r="G38" s="23" t="s">
        <v>120</v>
      </c>
      <c r="H38" s="49" t="s">
        <v>34</v>
      </c>
      <c r="I38" s="48" t="s">
        <v>51</v>
      </c>
      <c r="J38" s="45" t="str">
        <f t="shared" si="1"/>
        <v>TER B</v>
      </c>
      <c r="K38" s="46">
        <f t="shared" si="5"/>
        <v>4169500</v>
      </c>
      <c r="L38" s="47">
        <f t="shared" si="6"/>
        <v>34347.599999999999</v>
      </c>
      <c r="M38" s="46">
        <f>'[5]MAINTENANCE '!AP14</f>
        <v>163560</v>
      </c>
      <c r="N38" s="46"/>
      <c r="O38" s="46">
        <f>'[5]MAINTENANCE '!X14</f>
        <v>144150</v>
      </c>
      <c r="P38" s="46"/>
      <c r="Q38" s="46"/>
      <c r="R38" s="46"/>
      <c r="S38" s="46">
        <f>'[5]MAINTENANCE '!AD14</f>
        <v>54000</v>
      </c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>
        <f>-'[5]MAINTENANCE '!BD14</f>
        <v>0</v>
      </c>
      <c r="AE38" s="46"/>
      <c r="AF38" s="46"/>
      <c r="AG38" s="41">
        <f t="shared" si="7"/>
        <v>4565558</v>
      </c>
      <c r="AH38" s="42">
        <f t="shared" si="0"/>
        <v>0</v>
      </c>
      <c r="AI38" s="70">
        <f t="shared" si="8"/>
        <v>0</v>
      </c>
      <c r="AJ38" s="10">
        <f>'[5]MAINTENANCE '!AK14</f>
        <v>4367650</v>
      </c>
      <c r="AK38" s="56">
        <f t="shared" si="2"/>
        <v>197907.6</v>
      </c>
      <c r="AL38" s="9">
        <f t="shared" si="3"/>
        <v>4565557.5999999996</v>
      </c>
      <c r="AM38" s="9">
        <f t="shared" si="4"/>
        <v>0.40000000037252903</v>
      </c>
      <c r="AN38" s="9"/>
      <c r="AO38" s="9"/>
    </row>
    <row r="39" spans="2:41" s="1" customFormat="1" ht="23.25" customHeight="1" x14ac:dyDescent="0.25">
      <c r="B39" s="27">
        <v>34</v>
      </c>
      <c r="C39" s="34" t="s">
        <v>121</v>
      </c>
      <c r="D39" s="24" t="s">
        <v>122</v>
      </c>
      <c r="E39" s="11" t="s">
        <v>123</v>
      </c>
      <c r="F39" s="12" t="s">
        <v>124</v>
      </c>
      <c r="G39" s="23" t="s">
        <v>120</v>
      </c>
      <c r="H39" s="49" t="s">
        <v>116</v>
      </c>
      <c r="I39" s="48" t="s">
        <v>61</v>
      </c>
      <c r="J39" s="45" t="str">
        <f t="shared" si="1"/>
        <v>TER A</v>
      </c>
      <c r="K39" s="46">
        <f t="shared" si="5"/>
        <v>4169500</v>
      </c>
      <c r="L39" s="47">
        <f t="shared" si="6"/>
        <v>34377</v>
      </c>
      <c r="M39" s="46">
        <f>'[5]MAINTENANCE '!AP15</f>
        <v>163700</v>
      </c>
      <c r="N39" s="46"/>
      <c r="O39" s="46">
        <f>'[5]MAINTENANCE '!X15</f>
        <v>69750</v>
      </c>
      <c r="P39" s="46"/>
      <c r="Q39" s="46"/>
      <c r="R39" s="46"/>
      <c r="S39" s="46">
        <f>'[5]MAINTENANCE '!AD15</f>
        <v>57500</v>
      </c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>
        <f>-'[5]MAINTENANCE '!BD15</f>
        <v>0</v>
      </c>
      <c r="AE39" s="46"/>
      <c r="AF39" s="46"/>
      <c r="AG39" s="41">
        <f t="shared" si="7"/>
        <v>4494827</v>
      </c>
      <c r="AH39" s="42">
        <f t="shared" si="0"/>
        <v>0</v>
      </c>
      <c r="AI39" s="70">
        <f t="shared" si="8"/>
        <v>0</v>
      </c>
      <c r="AJ39" s="10">
        <f>'[5]MAINTENANCE '!AK15</f>
        <v>4296750</v>
      </c>
      <c r="AK39" s="56">
        <f t="shared" si="2"/>
        <v>198077</v>
      </c>
      <c r="AL39" s="9">
        <f t="shared" si="3"/>
        <v>4494827</v>
      </c>
      <c r="AM39" s="9">
        <f t="shared" si="4"/>
        <v>0</v>
      </c>
      <c r="AN39" s="9"/>
      <c r="AO39" s="9"/>
    </row>
    <row r="40" spans="2:41" s="1" customFormat="1" ht="23.25" customHeight="1" x14ac:dyDescent="0.25">
      <c r="B40" s="27">
        <v>35</v>
      </c>
      <c r="C40" s="34" t="s">
        <v>125</v>
      </c>
      <c r="D40" s="24" t="s">
        <v>126</v>
      </c>
      <c r="E40" s="11" t="s">
        <v>127</v>
      </c>
      <c r="F40" s="12" t="s">
        <v>128</v>
      </c>
      <c r="G40" s="23" t="s">
        <v>120</v>
      </c>
      <c r="H40" s="49" t="s">
        <v>116</v>
      </c>
      <c r="I40" s="48" t="s">
        <v>61</v>
      </c>
      <c r="J40" s="45" t="str">
        <f t="shared" si="1"/>
        <v>TER A</v>
      </c>
      <c r="K40" s="46">
        <f t="shared" si="5"/>
        <v>4169500</v>
      </c>
      <c r="L40" s="47">
        <f t="shared" si="6"/>
        <v>34347.599999999999</v>
      </c>
      <c r="M40" s="46">
        <f>'[5]MAINTENANCE '!AP16</f>
        <v>163560</v>
      </c>
      <c r="N40" s="46"/>
      <c r="O40" s="46">
        <f>'[5]MAINTENANCE '!X16</f>
        <v>69750</v>
      </c>
      <c r="P40" s="46"/>
      <c r="Q40" s="46"/>
      <c r="R40" s="46"/>
      <c r="S40" s="46">
        <f>'[5]MAINTENANCE '!AD16</f>
        <v>54000</v>
      </c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>
        <f>-'[5]MAINTENANCE '!BD16</f>
        <v>0</v>
      </c>
      <c r="AE40" s="46"/>
      <c r="AF40" s="46"/>
      <c r="AG40" s="41">
        <f t="shared" si="7"/>
        <v>4491158</v>
      </c>
      <c r="AH40" s="42">
        <f t="shared" si="0"/>
        <v>0</v>
      </c>
      <c r="AI40" s="70">
        <f t="shared" si="8"/>
        <v>0</v>
      </c>
      <c r="AJ40" s="10">
        <f>'[5]MAINTENANCE '!AK16</f>
        <v>4293250</v>
      </c>
      <c r="AK40" s="56">
        <f t="shared" si="2"/>
        <v>197907.6</v>
      </c>
      <c r="AL40" s="9">
        <f t="shared" si="3"/>
        <v>4491157.5999999996</v>
      </c>
      <c r="AM40" s="9">
        <f t="shared" si="4"/>
        <v>0.40000000037252903</v>
      </c>
      <c r="AN40" s="9"/>
      <c r="AO40" s="9"/>
    </row>
    <row r="41" spans="2:41" s="1" customFormat="1" ht="23.25" customHeight="1" x14ac:dyDescent="0.25">
      <c r="B41" s="27">
        <v>36</v>
      </c>
      <c r="C41" s="34" t="s">
        <v>129</v>
      </c>
      <c r="D41" s="24" t="s">
        <v>130</v>
      </c>
      <c r="E41" s="11" t="s">
        <v>131</v>
      </c>
      <c r="F41" s="12" t="s">
        <v>132</v>
      </c>
      <c r="G41" s="23" t="s">
        <v>120</v>
      </c>
      <c r="H41" s="49" t="s">
        <v>116</v>
      </c>
      <c r="I41" s="48" t="s">
        <v>61</v>
      </c>
      <c r="J41" s="45" t="str">
        <f t="shared" si="1"/>
        <v>TER A</v>
      </c>
      <c r="K41" s="46">
        <f t="shared" si="5"/>
        <v>4169500</v>
      </c>
      <c r="L41" s="47">
        <f t="shared" si="6"/>
        <v>34347.599999999999</v>
      </c>
      <c r="M41" s="46">
        <f>'[5]MAINTENANCE '!AP17</f>
        <v>163560</v>
      </c>
      <c r="N41" s="46"/>
      <c r="O41" s="46">
        <f>'[5]MAINTENANCE '!X17</f>
        <v>69750</v>
      </c>
      <c r="P41" s="46"/>
      <c r="Q41" s="46"/>
      <c r="R41" s="46"/>
      <c r="S41" s="46">
        <f>'[5]MAINTENANCE '!AD17</f>
        <v>54000</v>
      </c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>
        <f>-'[5]MAINTENANCE '!BD17</f>
        <v>0</v>
      </c>
      <c r="AE41" s="46"/>
      <c r="AF41" s="46"/>
      <c r="AG41" s="41">
        <f t="shared" si="7"/>
        <v>4491158</v>
      </c>
      <c r="AH41" s="42">
        <f t="shared" si="0"/>
        <v>0</v>
      </c>
      <c r="AI41" s="70">
        <f t="shared" si="8"/>
        <v>0</v>
      </c>
      <c r="AJ41" s="10">
        <f>'[5]MAINTENANCE '!AK17</f>
        <v>4293250</v>
      </c>
      <c r="AK41" s="56">
        <f t="shared" si="2"/>
        <v>197907.6</v>
      </c>
      <c r="AL41" s="9">
        <f t="shared" si="3"/>
        <v>4491157.5999999996</v>
      </c>
      <c r="AM41" s="9">
        <f t="shared" si="4"/>
        <v>0.40000000037252903</v>
      </c>
      <c r="AN41" s="9"/>
      <c r="AO41" s="9"/>
    </row>
    <row r="42" spans="2:41" s="1" customFormat="1" ht="23.25" customHeight="1" x14ac:dyDescent="0.25">
      <c r="B42" s="27">
        <v>37</v>
      </c>
      <c r="C42" s="34" t="s">
        <v>133</v>
      </c>
      <c r="D42" s="24" t="s">
        <v>134</v>
      </c>
      <c r="E42" s="11" t="s">
        <v>135</v>
      </c>
      <c r="F42" s="12" t="s">
        <v>136</v>
      </c>
      <c r="G42" s="23" t="s">
        <v>120</v>
      </c>
      <c r="H42" s="49" t="s">
        <v>116</v>
      </c>
      <c r="I42" s="48" t="s">
        <v>61</v>
      </c>
      <c r="J42" s="45" t="str">
        <f t="shared" si="1"/>
        <v>TER A</v>
      </c>
      <c r="K42" s="46">
        <f t="shared" si="5"/>
        <v>4169500</v>
      </c>
      <c r="L42" s="47">
        <f t="shared" si="6"/>
        <v>34347.599999999999</v>
      </c>
      <c r="M42" s="46">
        <f>'[5]MAINTENANCE '!AP18</f>
        <v>163560</v>
      </c>
      <c r="N42" s="46"/>
      <c r="O42" s="46">
        <f>'[5]MAINTENANCE '!X18</f>
        <v>69750</v>
      </c>
      <c r="P42" s="46"/>
      <c r="Q42" s="46"/>
      <c r="R42" s="46"/>
      <c r="S42" s="46">
        <f>'[5]MAINTENANCE '!AD18</f>
        <v>54000</v>
      </c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>
        <f>-'[5]MAINTENANCE '!BD18</f>
        <v>0</v>
      </c>
      <c r="AE42" s="46"/>
      <c r="AF42" s="46"/>
      <c r="AG42" s="41">
        <f t="shared" si="7"/>
        <v>4491158</v>
      </c>
      <c r="AH42" s="42">
        <f t="shared" si="0"/>
        <v>0</v>
      </c>
      <c r="AI42" s="70">
        <f t="shared" si="8"/>
        <v>0</v>
      </c>
      <c r="AJ42" s="10">
        <f>'[5]MAINTENANCE '!AK18</f>
        <v>4293250</v>
      </c>
      <c r="AK42" s="56">
        <f t="shared" si="2"/>
        <v>197907.6</v>
      </c>
      <c r="AL42" s="9">
        <f t="shared" si="3"/>
        <v>4491157.5999999996</v>
      </c>
      <c r="AM42" s="9">
        <f t="shared" si="4"/>
        <v>0.40000000037252903</v>
      </c>
      <c r="AN42" s="9"/>
      <c r="AO42" s="9"/>
    </row>
    <row r="43" spans="2:41" s="1" customFormat="1" ht="23.25" customHeight="1" x14ac:dyDescent="0.25">
      <c r="B43" s="27">
        <v>38</v>
      </c>
      <c r="C43" s="34" t="s">
        <v>137</v>
      </c>
      <c r="D43" s="24" t="s">
        <v>138</v>
      </c>
      <c r="E43" s="11" t="s">
        <v>139</v>
      </c>
      <c r="F43" s="12" t="s">
        <v>143</v>
      </c>
      <c r="G43" s="23" t="s">
        <v>120</v>
      </c>
      <c r="H43" s="49" t="s">
        <v>116</v>
      </c>
      <c r="I43" s="48" t="s">
        <v>61</v>
      </c>
      <c r="J43" s="45" t="str">
        <f t="shared" si="1"/>
        <v>TER A</v>
      </c>
      <c r="K43" s="46">
        <f t="shared" si="5"/>
        <v>4169500</v>
      </c>
      <c r="L43" s="47">
        <f t="shared" si="6"/>
        <v>34347.599999999999</v>
      </c>
      <c r="M43" s="46">
        <f>'[5]MAINTENANCE '!AP19</f>
        <v>163560</v>
      </c>
      <c r="N43" s="46"/>
      <c r="O43" s="46">
        <f>'[5]MAINTENANCE '!X19</f>
        <v>69750</v>
      </c>
      <c r="P43" s="46"/>
      <c r="Q43" s="46"/>
      <c r="R43" s="46"/>
      <c r="S43" s="46">
        <f>'[5]MAINTENANCE '!AD19</f>
        <v>54000</v>
      </c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>
        <f>-'[5]MAINTENANCE '!BD19</f>
        <v>0</v>
      </c>
      <c r="AE43" s="46"/>
      <c r="AF43" s="46"/>
      <c r="AG43" s="41">
        <f t="shared" si="7"/>
        <v>4491158</v>
      </c>
      <c r="AH43" s="42">
        <f t="shared" si="0"/>
        <v>0</v>
      </c>
      <c r="AI43" s="70">
        <f t="shared" si="8"/>
        <v>0</v>
      </c>
      <c r="AJ43" s="10">
        <f>'[5]MAINTENANCE '!AK19</f>
        <v>4293250</v>
      </c>
      <c r="AK43" s="56">
        <f t="shared" si="2"/>
        <v>197907.6</v>
      </c>
      <c r="AL43" s="9">
        <f t="shared" si="3"/>
        <v>4491157.5999999996</v>
      </c>
      <c r="AM43" s="9">
        <f t="shared" si="4"/>
        <v>0.40000000037252903</v>
      </c>
      <c r="AN43" s="9"/>
      <c r="AO43" s="9"/>
    </row>
    <row r="44" spans="2:41" s="1" customFormat="1" ht="23.25" customHeight="1" x14ac:dyDescent="0.25">
      <c r="B44" s="27">
        <v>39</v>
      </c>
      <c r="C44" s="34" t="s">
        <v>140</v>
      </c>
      <c r="D44" s="24" t="s">
        <v>141</v>
      </c>
      <c r="E44" s="11" t="s">
        <v>142</v>
      </c>
      <c r="F44" s="12" t="s">
        <v>132</v>
      </c>
      <c r="G44" s="23" t="s">
        <v>120</v>
      </c>
      <c r="H44" s="49" t="s">
        <v>116</v>
      </c>
      <c r="I44" s="48" t="s">
        <v>61</v>
      </c>
      <c r="J44" s="45" t="str">
        <f t="shared" si="1"/>
        <v>TER A</v>
      </c>
      <c r="K44" s="46">
        <f t="shared" si="5"/>
        <v>4169500</v>
      </c>
      <c r="L44" s="47">
        <f t="shared" si="6"/>
        <v>34347.599999999999</v>
      </c>
      <c r="M44" s="46">
        <f>'[5]MAINTENANCE '!AP20</f>
        <v>163560</v>
      </c>
      <c r="N44" s="46"/>
      <c r="O44" s="46">
        <f>'[5]MAINTENANCE '!X20</f>
        <v>69750</v>
      </c>
      <c r="P44" s="46"/>
      <c r="Q44" s="46"/>
      <c r="R44" s="46"/>
      <c r="S44" s="46">
        <f>'[5]MAINTENANCE '!AD20</f>
        <v>54000</v>
      </c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>
        <f>-'[5]MAINTENANCE '!BD20</f>
        <v>0</v>
      </c>
      <c r="AE44" s="46"/>
      <c r="AF44" s="46"/>
      <c r="AG44" s="41">
        <f t="shared" si="7"/>
        <v>4491158</v>
      </c>
      <c r="AH44" s="42">
        <f t="shared" si="0"/>
        <v>0</v>
      </c>
      <c r="AI44" s="70">
        <f t="shared" si="8"/>
        <v>0</v>
      </c>
      <c r="AJ44" s="10">
        <f>'[5]MAINTENANCE '!AK20</f>
        <v>4293250</v>
      </c>
      <c r="AK44" s="56">
        <f t="shared" si="2"/>
        <v>197907.6</v>
      </c>
      <c r="AL44" s="9">
        <f t="shared" si="3"/>
        <v>4491157.5999999996</v>
      </c>
      <c r="AM44" s="9">
        <f t="shared" si="4"/>
        <v>0.40000000037252903</v>
      </c>
      <c r="AN44" s="9"/>
      <c r="AO44" s="9"/>
    </row>
    <row r="45" spans="2:41" s="1" customFormat="1" ht="23.25" customHeight="1" x14ac:dyDescent="0.25">
      <c r="B45" s="27">
        <v>40</v>
      </c>
      <c r="C45" s="34" t="s">
        <v>144</v>
      </c>
      <c r="D45" s="24" t="s">
        <v>145</v>
      </c>
      <c r="E45" s="11" t="s">
        <v>146</v>
      </c>
      <c r="F45" s="12" t="s">
        <v>147</v>
      </c>
      <c r="G45" s="23" t="s">
        <v>120</v>
      </c>
      <c r="H45" s="49" t="s">
        <v>34</v>
      </c>
      <c r="I45" s="77" t="s">
        <v>35</v>
      </c>
      <c r="J45" s="45" t="str">
        <f t="shared" si="1"/>
        <v>TER B</v>
      </c>
      <c r="K45" s="46">
        <f t="shared" si="5"/>
        <v>4169500</v>
      </c>
      <c r="L45" s="47">
        <f t="shared" si="6"/>
        <v>34171.199999999997</v>
      </c>
      <c r="M45" s="46">
        <f>'[5]MAINTENANCE '!AP21</f>
        <v>162720</v>
      </c>
      <c r="N45" s="46"/>
      <c r="O45" s="46">
        <f>'[5]MAINTENANCE '!X21</f>
        <v>172050</v>
      </c>
      <c r="P45" s="46"/>
      <c r="Q45" s="46"/>
      <c r="R45" s="46"/>
      <c r="S45" s="46">
        <f>'[5]MAINTENANCE '!AD21</f>
        <v>33000</v>
      </c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>
        <f>-'[5]MAINTENANCE '!BD21</f>
        <v>0</v>
      </c>
      <c r="AE45" s="46"/>
      <c r="AF45" s="46"/>
      <c r="AG45" s="41">
        <f t="shared" si="7"/>
        <v>4571441</v>
      </c>
      <c r="AH45" s="42">
        <f t="shared" si="0"/>
        <v>0</v>
      </c>
      <c r="AI45" s="70">
        <f t="shared" si="8"/>
        <v>0</v>
      </c>
      <c r="AJ45" s="10">
        <f>'[5]MAINTENANCE '!AK21</f>
        <v>4374550</v>
      </c>
      <c r="AK45" s="56">
        <f t="shared" si="2"/>
        <v>196891.2</v>
      </c>
      <c r="AL45" s="9">
        <f t="shared" si="3"/>
        <v>4571441.2</v>
      </c>
      <c r="AM45" s="9">
        <f t="shared" si="4"/>
        <v>-0.20000000018626451</v>
      </c>
      <c r="AN45" s="9"/>
      <c r="AO45" s="9"/>
    </row>
    <row r="46" spans="2:41" s="1" customFormat="1" ht="23.25" customHeight="1" x14ac:dyDescent="0.25">
      <c r="B46" s="27">
        <v>41</v>
      </c>
      <c r="C46" s="34" t="s">
        <v>148</v>
      </c>
      <c r="D46" s="24" t="s">
        <v>149</v>
      </c>
      <c r="E46" s="11" t="s">
        <v>150</v>
      </c>
      <c r="F46" s="12" t="s">
        <v>151</v>
      </c>
      <c r="G46" s="23" t="s">
        <v>120</v>
      </c>
      <c r="H46" s="49" t="s">
        <v>34</v>
      </c>
      <c r="I46" s="48" t="s">
        <v>35</v>
      </c>
      <c r="J46" s="45" t="str">
        <f t="shared" si="1"/>
        <v>TER B</v>
      </c>
      <c r="K46" s="46">
        <f t="shared" si="5"/>
        <v>4169500</v>
      </c>
      <c r="L46" s="47">
        <f t="shared" si="6"/>
        <v>34171.199999999997</v>
      </c>
      <c r="M46" s="46">
        <f>'[5]MAINTENANCE '!AP22</f>
        <v>162720</v>
      </c>
      <c r="N46" s="46"/>
      <c r="O46" s="46">
        <f>'[5]MAINTENANCE '!X22</f>
        <v>160950</v>
      </c>
      <c r="P46" s="46"/>
      <c r="Q46" s="46"/>
      <c r="R46" s="46"/>
      <c r="S46" s="46">
        <f>'[5]MAINTENANCE '!AD22</f>
        <v>33000</v>
      </c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>
        <f>-'[5]MAINTENANCE '!BD22</f>
        <v>-269000</v>
      </c>
      <c r="AE46" s="46"/>
      <c r="AF46" s="46"/>
      <c r="AG46" s="41">
        <f t="shared" si="7"/>
        <v>4291341</v>
      </c>
      <c r="AH46" s="42">
        <f t="shared" si="0"/>
        <v>0</v>
      </c>
      <c r="AI46" s="70">
        <f t="shared" si="8"/>
        <v>0</v>
      </c>
      <c r="AJ46" s="10">
        <f>'[5]MAINTENANCE '!AK22</f>
        <v>4094450</v>
      </c>
      <c r="AK46" s="56">
        <f t="shared" si="2"/>
        <v>196891.2</v>
      </c>
      <c r="AL46" s="9">
        <f t="shared" si="3"/>
        <v>4291341.2</v>
      </c>
      <c r="AM46" s="9">
        <f t="shared" si="4"/>
        <v>-0.20000000018626451</v>
      </c>
      <c r="AN46" s="9"/>
      <c r="AO46" s="9"/>
    </row>
    <row r="47" spans="2:41" s="1" customFormat="1" ht="23.25" customHeight="1" x14ac:dyDescent="0.25">
      <c r="B47" s="27">
        <v>42</v>
      </c>
      <c r="C47" s="34" t="s">
        <v>152</v>
      </c>
      <c r="D47" s="24" t="s">
        <v>153</v>
      </c>
      <c r="E47" s="11" t="s">
        <v>154</v>
      </c>
      <c r="F47" s="12" t="s">
        <v>155</v>
      </c>
      <c r="G47" s="23" t="s">
        <v>120</v>
      </c>
      <c r="H47" s="49" t="s">
        <v>34</v>
      </c>
      <c r="I47" s="77" t="s">
        <v>79</v>
      </c>
      <c r="J47" s="45" t="str">
        <f t="shared" si="1"/>
        <v>TER A</v>
      </c>
      <c r="K47" s="46">
        <f t="shared" si="5"/>
        <v>4169500</v>
      </c>
      <c r="L47" s="47">
        <f t="shared" si="6"/>
        <v>34671</v>
      </c>
      <c r="M47" s="46">
        <f>'[5]MAINTENANCE '!AP23</f>
        <v>165100</v>
      </c>
      <c r="N47" s="46"/>
      <c r="O47" s="46">
        <f>'[5]MAINTENANCE '!X23</f>
        <v>114700</v>
      </c>
      <c r="P47" s="46"/>
      <c r="Q47" s="46"/>
      <c r="R47" s="46"/>
      <c r="S47" s="46">
        <f>'[5]MAINTENANCE '!AD23</f>
        <v>92500</v>
      </c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>
        <f>-'[5]MAINTENANCE '!BD23</f>
        <v>0</v>
      </c>
      <c r="AE47" s="46"/>
      <c r="AF47" s="46"/>
      <c r="AG47" s="41">
        <f t="shared" si="7"/>
        <v>4576471</v>
      </c>
      <c r="AH47" s="42">
        <f t="shared" si="0"/>
        <v>0</v>
      </c>
      <c r="AI47" s="70">
        <f t="shared" si="8"/>
        <v>0</v>
      </c>
      <c r="AJ47" s="10">
        <f>'[5]MAINTENANCE '!AK23</f>
        <v>4376700</v>
      </c>
      <c r="AK47" s="56">
        <f t="shared" si="2"/>
        <v>199771</v>
      </c>
      <c r="AL47" s="9">
        <f t="shared" si="3"/>
        <v>4576471</v>
      </c>
      <c r="AM47" s="9">
        <f t="shared" si="4"/>
        <v>0</v>
      </c>
      <c r="AN47" s="9"/>
      <c r="AO47" s="9"/>
    </row>
    <row r="48" spans="2:41" s="1" customFormat="1" ht="23.25" customHeight="1" x14ac:dyDescent="0.25">
      <c r="B48" s="27">
        <v>43</v>
      </c>
      <c r="C48" s="34" t="s">
        <v>156</v>
      </c>
      <c r="D48" s="24" t="s">
        <v>157</v>
      </c>
      <c r="E48" s="11" t="s">
        <v>158</v>
      </c>
      <c r="F48" s="12" t="s">
        <v>159</v>
      </c>
      <c r="G48" s="23" t="s">
        <v>120</v>
      </c>
      <c r="H48" s="49" t="s">
        <v>116</v>
      </c>
      <c r="I48" s="48" t="s">
        <v>61</v>
      </c>
      <c r="J48" s="45" t="str">
        <f t="shared" si="1"/>
        <v>TER A</v>
      </c>
      <c r="K48" s="46">
        <f t="shared" si="5"/>
        <v>4169500</v>
      </c>
      <c r="L48" s="47">
        <f t="shared" si="6"/>
        <v>34347.599999999999</v>
      </c>
      <c r="M48" s="46">
        <f>'[5]MAINTENANCE '!AP24</f>
        <v>163560</v>
      </c>
      <c r="N48" s="46"/>
      <c r="O48" s="46">
        <f>'[5]MAINTENANCE '!X24</f>
        <v>69750</v>
      </c>
      <c r="P48" s="46"/>
      <c r="Q48" s="46"/>
      <c r="R48" s="46"/>
      <c r="S48" s="46">
        <f>'[5]MAINTENANCE '!AD24</f>
        <v>54000</v>
      </c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>
        <f>-'[5]MAINTENANCE '!BD24</f>
        <v>0</v>
      </c>
      <c r="AE48" s="46"/>
      <c r="AF48" s="46"/>
      <c r="AG48" s="41">
        <f t="shared" si="7"/>
        <v>4491158</v>
      </c>
      <c r="AH48" s="42">
        <f t="shared" si="0"/>
        <v>0</v>
      </c>
      <c r="AI48" s="70">
        <f t="shared" si="8"/>
        <v>0</v>
      </c>
      <c r="AJ48" s="10">
        <f>'[5]MAINTENANCE '!AK24</f>
        <v>4293250</v>
      </c>
      <c r="AK48" s="56">
        <f t="shared" si="2"/>
        <v>197907.6</v>
      </c>
      <c r="AL48" s="9">
        <f t="shared" si="3"/>
        <v>4491157.5999999996</v>
      </c>
      <c r="AM48" s="9">
        <f t="shared" si="4"/>
        <v>0.40000000037252903</v>
      </c>
      <c r="AN48" s="9"/>
      <c r="AO48" s="9"/>
    </row>
    <row r="49" spans="2:41" s="1" customFormat="1" ht="23.25" customHeight="1" x14ac:dyDescent="0.25">
      <c r="B49" s="27">
        <v>44</v>
      </c>
      <c r="C49" s="34" t="s">
        <v>160</v>
      </c>
      <c r="D49" s="24" t="s">
        <v>161</v>
      </c>
      <c r="E49" s="11" t="s">
        <v>162</v>
      </c>
      <c r="F49" s="12" t="s">
        <v>163</v>
      </c>
      <c r="G49" s="23" t="s">
        <v>120</v>
      </c>
      <c r="H49" s="49" t="s">
        <v>116</v>
      </c>
      <c r="I49" s="48" t="s">
        <v>61</v>
      </c>
      <c r="J49" s="45" t="str">
        <f t="shared" si="1"/>
        <v>TER A</v>
      </c>
      <c r="K49" s="46">
        <f t="shared" si="5"/>
        <v>4169500</v>
      </c>
      <c r="L49" s="47">
        <f t="shared" si="6"/>
        <v>34347.599999999999</v>
      </c>
      <c r="M49" s="46">
        <f>'[5]MAINTENANCE '!AP25</f>
        <v>163560</v>
      </c>
      <c r="N49" s="46"/>
      <c r="O49" s="46">
        <f>'[5]MAINTENANCE '!X25</f>
        <v>69750</v>
      </c>
      <c r="P49" s="46"/>
      <c r="Q49" s="46"/>
      <c r="R49" s="46"/>
      <c r="S49" s="46">
        <f>'[5]MAINTENANCE '!AD25</f>
        <v>54000</v>
      </c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>
        <f>-'[5]MAINTENANCE '!BD25</f>
        <v>0</v>
      </c>
      <c r="AE49" s="46"/>
      <c r="AF49" s="46"/>
      <c r="AG49" s="41">
        <f t="shared" si="7"/>
        <v>4491158</v>
      </c>
      <c r="AH49" s="42">
        <f t="shared" si="0"/>
        <v>0</v>
      </c>
      <c r="AI49" s="70">
        <f t="shared" si="8"/>
        <v>0</v>
      </c>
      <c r="AJ49" s="10">
        <f>'[5]MAINTENANCE '!AK25</f>
        <v>4293250</v>
      </c>
      <c r="AK49" s="56">
        <f t="shared" si="2"/>
        <v>197907.6</v>
      </c>
      <c r="AL49" s="9">
        <f t="shared" si="3"/>
        <v>4491157.5999999996</v>
      </c>
      <c r="AM49" s="9">
        <f t="shared" si="4"/>
        <v>0.40000000037252903</v>
      </c>
      <c r="AN49" s="9"/>
      <c r="AO49" s="9"/>
    </row>
    <row r="50" spans="2:41" s="1" customFormat="1" ht="23.25" customHeight="1" x14ac:dyDescent="0.25">
      <c r="B50" s="27">
        <v>45</v>
      </c>
      <c r="C50" s="34" t="s">
        <v>164</v>
      </c>
      <c r="D50" s="24" t="s">
        <v>165</v>
      </c>
      <c r="E50" s="11" t="s">
        <v>166</v>
      </c>
      <c r="F50" s="12" t="s">
        <v>167</v>
      </c>
      <c r="G50" s="23" t="s">
        <v>120</v>
      </c>
      <c r="H50" s="49" t="s">
        <v>116</v>
      </c>
      <c r="I50" s="48" t="s">
        <v>61</v>
      </c>
      <c r="J50" s="45" t="str">
        <f t="shared" si="1"/>
        <v>TER A</v>
      </c>
      <c r="K50" s="46">
        <f t="shared" si="5"/>
        <v>4169500</v>
      </c>
      <c r="L50" s="47">
        <f t="shared" si="6"/>
        <v>34377</v>
      </c>
      <c r="M50" s="46">
        <f>'[5]MAINTENANCE '!AP26</f>
        <v>163700</v>
      </c>
      <c r="N50" s="46"/>
      <c r="O50" s="46">
        <f>'[5]MAINTENANCE '!X26</f>
        <v>69750</v>
      </c>
      <c r="P50" s="46"/>
      <c r="Q50" s="46"/>
      <c r="R50" s="46"/>
      <c r="S50" s="46">
        <f>'[5]MAINTENANCE '!AD26</f>
        <v>57500</v>
      </c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>
        <f>-'[5]MAINTENANCE '!BD26</f>
        <v>0</v>
      </c>
      <c r="AE50" s="46"/>
      <c r="AF50" s="46"/>
      <c r="AG50" s="41">
        <f t="shared" si="7"/>
        <v>4494827</v>
      </c>
      <c r="AH50" s="42">
        <f t="shared" si="0"/>
        <v>0</v>
      </c>
      <c r="AI50" s="70">
        <f t="shared" si="8"/>
        <v>0</v>
      </c>
      <c r="AJ50" s="10">
        <f>'[5]MAINTENANCE '!AK26</f>
        <v>4296750</v>
      </c>
      <c r="AK50" s="56">
        <f t="shared" si="2"/>
        <v>198077</v>
      </c>
      <c r="AL50" s="9">
        <f t="shared" si="3"/>
        <v>4494827</v>
      </c>
      <c r="AM50" s="9">
        <f t="shared" si="4"/>
        <v>0</v>
      </c>
      <c r="AN50" s="9"/>
      <c r="AO50" s="9"/>
    </row>
    <row r="51" spans="2:41" s="1" customFormat="1" ht="23.25" customHeight="1" x14ac:dyDescent="0.25">
      <c r="B51" s="27">
        <v>46</v>
      </c>
      <c r="C51" s="34" t="s">
        <v>168</v>
      </c>
      <c r="D51" s="24" t="s">
        <v>169</v>
      </c>
      <c r="E51" s="11" t="s">
        <v>170</v>
      </c>
      <c r="F51" s="12" t="s">
        <v>171</v>
      </c>
      <c r="G51" s="23" t="s">
        <v>120</v>
      </c>
      <c r="H51" s="49" t="s">
        <v>116</v>
      </c>
      <c r="I51" s="44" t="s">
        <v>61</v>
      </c>
      <c r="J51" s="45" t="str">
        <f t="shared" si="1"/>
        <v>TER A</v>
      </c>
      <c r="K51" s="46">
        <f t="shared" si="5"/>
        <v>4169500</v>
      </c>
      <c r="L51" s="47">
        <f t="shared" si="6"/>
        <v>34377</v>
      </c>
      <c r="M51" s="46">
        <f>'[5]MAINTENANCE '!AP27</f>
        <v>163700</v>
      </c>
      <c r="N51" s="46"/>
      <c r="O51" s="46">
        <f>'[5]MAINTENANCE '!X27</f>
        <v>69750</v>
      </c>
      <c r="P51" s="46"/>
      <c r="Q51" s="46"/>
      <c r="R51" s="46"/>
      <c r="S51" s="46">
        <f>'[5]MAINTENANCE '!AD27</f>
        <v>57500</v>
      </c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>
        <f>-'[5]MAINTENANCE '!BD27</f>
        <v>0</v>
      </c>
      <c r="AE51" s="46"/>
      <c r="AF51" s="46"/>
      <c r="AG51" s="41">
        <f t="shared" si="7"/>
        <v>4494827</v>
      </c>
      <c r="AH51" s="42">
        <f t="shared" si="0"/>
        <v>0</v>
      </c>
      <c r="AI51" s="70">
        <f t="shared" si="8"/>
        <v>0</v>
      </c>
      <c r="AJ51" s="10">
        <f>'[5]MAINTENANCE '!AK27</f>
        <v>4296750</v>
      </c>
      <c r="AK51" s="56">
        <f t="shared" si="2"/>
        <v>198077</v>
      </c>
      <c r="AL51" s="9">
        <f t="shared" si="3"/>
        <v>4494827</v>
      </c>
      <c r="AM51" s="9">
        <f t="shared" si="4"/>
        <v>0</v>
      </c>
      <c r="AN51" s="9"/>
      <c r="AO51" s="9"/>
    </row>
    <row r="52" spans="2:41" s="1" customFormat="1" ht="23.25" customHeight="1" x14ac:dyDescent="0.25">
      <c r="B52" s="27">
        <v>47</v>
      </c>
      <c r="C52" s="34" t="s">
        <v>172</v>
      </c>
      <c r="D52" s="24" t="s">
        <v>173</v>
      </c>
      <c r="E52" s="11" t="s">
        <v>174</v>
      </c>
      <c r="F52" s="12" t="s">
        <v>175</v>
      </c>
      <c r="G52" s="23" t="s">
        <v>120</v>
      </c>
      <c r="H52" s="49" t="s">
        <v>34</v>
      </c>
      <c r="I52" s="44" t="s">
        <v>51</v>
      </c>
      <c r="J52" s="45" t="str">
        <f t="shared" si="1"/>
        <v>TER B</v>
      </c>
      <c r="K52" s="46">
        <f t="shared" si="5"/>
        <v>4169500</v>
      </c>
      <c r="L52" s="47">
        <f t="shared" si="6"/>
        <v>34347.599999999999</v>
      </c>
      <c r="M52" s="46">
        <f>'[5]MAINTENANCE '!AP28</f>
        <v>163560</v>
      </c>
      <c r="N52" s="46"/>
      <c r="O52" s="46">
        <f>'[5]MAINTENANCE '!X28</f>
        <v>139500</v>
      </c>
      <c r="P52" s="46"/>
      <c r="Q52" s="46"/>
      <c r="R52" s="46"/>
      <c r="S52" s="46">
        <f>'[5]MAINTENANCE '!AD28</f>
        <v>54000</v>
      </c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>
        <f>-'[5]MAINTENANCE '!BD28</f>
        <v>-134500</v>
      </c>
      <c r="AE52" s="46"/>
      <c r="AF52" s="46"/>
      <c r="AG52" s="41">
        <f t="shared" si="7"/>
        <v>4426408</v>
      </c>
      <c r="AH52" s="42">
        <f t="shared" si="0"/>
        <v>0</v>
      </c>
      <c r="AI52" s="70">
        <f t="shared" si="8"/>
        <v>0</v>
      </c>
      <c r="AJ52" s="10">
        <f>'[5]MAINTENANCE '!AK28</f>
        <v>4228500</v>
      </c>
      <c r="AK52" s="56">
        <f t="shared" si="2"/>
        <v>197907.6</v>
      </c>
      <c r="AL52" s="9">
        <f t="shared" si="3"/>
        <v>4426407.5999999996</v>
      </c>
      <c r="AM52" s="9">
        <f t="shared" si="4"/>
        <v>0.40000000037252903</v>
      </c>
      <c r="AN52" s="9"/>
      <c r="AO52" s="9"/>
    </row>
    <row r="53" spans="2:41" s="1" customFormat="1" ht="23.25" customHeight="1" x14ac:dyDescent="0.25">
      <c r="B53" s="27">
        <v>48</v>
      </c>
      <c r="C53" s="34" t="s">
        <v>176</v>
      </c>
      <c r="D53" s="25" t="s">
        <v>177</v>
      </c>
      <c r="E53" s="11" t="s">
        <v>178</v>
      </c>
      <c r="F53" s="12" t="s">
        <v>179</v>
      </c>
      <c r="G53" s="23" t="s">
        <v>120</v>
      </c>
      <c r="H53" s="49" t="s">
        <v>116</v>
      </c>
      <c r="I53" s="44" t="s">
        <v>61</v>
      </c>
      <c r="J53" s="45" t="str">
        <f t="shared" si="1"/>
        <v>TER A</v>
      </c>
      <c r="K53" s="46">
        <f t="shared" si="5"/>
        <v>4169500</v>
      </c>
      <c r="L53" s="47">
        <f t="shared" si="6"/>
        <v>34318.199999999997</v>
      </c>
      <c r="M53" s="46">
        <f>'[5]MAINTENANCE '!AP29</f>
        <v>163420</v>
      </c>
      <c r="N53" s="46"/>
      <c r="O53" s="46">
        <f>'[5]MAINTENANCE '!X29</f>
        <v>69750</v>
      </c>
      <c r="P53" s="46"/>
      <c r="Q53" s="46"/>
      <c r="R53" s="46"/>
      <c r="S53" s="46">
        <f>'[5]MAINTENANCE '!AD29</f>
        <v>50500</v>
      </c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>
        <f>-'[5]MAINTENANCE '!BD29</f>
        <v>0</v>
      </c>
      <c r="AE53" s="46"/>
      <c r="AF53" s="46"/>
      <c r="AG53" s="41">
        <f t="shared" si="7"/>
        <v>4487488</v>
      </c>
      <c r="AH53" s="42">
        <f t="shared" si="0"/>
        <v>0</v>
      </c>
      <c r="AI53" s="70">
        <f t="shared" si="8"/>
        <v>0</v>
      </c>
      <c r="AJ53" s="10">
        <f>'[5]MAINTENANCE '!AK29</f>
        <v>4289750</v>
      </c>
      <c r="AK53" s="56">
        <f t="shared" si="2"/>
        <v>197738.2</v>
      </c>
      <c r="AL53" s="9">
        <f t="shared" si="3"/>
        <v>4487488.2</v>
      </c>
      <c r="AM53" s="9">
        <f t="shared" si="4"/>
        <v>-0.20000000018626451</v>
      </c>
      <c r="AN53" s="9"/>
      <c r="AO53" s="9"/>
    </row>
    <row r="54" spans="2:41" s="1" customFormat="1" ht="23.25" customHeight="1" x14ac:dyDescent="0.25">
      <c r="B54" s="27">
        <v>49</v>
      </c>
      <c r="C54" s="34" t="s">
        <v>180</v>
      </c>
      <c r="D54" s="25" t="s">
        <v>181</v>
      </c>
      <c r="E54" s="11" t="s">
        <v>182</v>
      </c>
      <c r="F54" s="12" t="s">
        <v>167</v>
      </c>
      <c r="G54" s="23" t="s">
        <v>120</v>
      </c>
      <c r="H54" s="49" t="s">
        <v>116</v>
      </c>
      <c r="I54" s="44" t="s">
        <v>61</v>
      </c>
      <c r="J54" s="45" t="str">
        <f t="shared" si="1"/>
        <v>TER A</v>
      </c>
      <c r="K54" s="46">
        <f t="shared" si="5"/>
        <v>4169500</v>
      </c>
      <c r="L54" s="47">
        <f t="shared" si="6"/>
        <v>34318.199999999997</v>
      </c>
      <c r="M54" s="46">
        <f>'[5]MAINTENANCE '!AP30</f>
        <v>163420</v>
      </c>
      <c r="N54" s="46"/>
      <c r="O54" s="46">
        <f>'[5]MAINTENANCE '!X30</f>
        <v>63000</v>
      </c>
      <c r="P54" s="46"/>
      <c r="Q54" s="46"/>
      <c r="R54" s="46"/>
      <c r="S54" s="46">
        <f>'[5]MAINTENANCE '!AD30</f>
        <v>50500</v>
      </c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>
        <f>-'[5]MAINTENANCE '!BD30</f>
        <v>-403500</v>
      </c>
      <c r="AE54" s="46"/>
      <c r="AF54" s="46"/>
      <c r="AG54" s="41">
        <f t="shared" si="7"/>
        <v>4077238</v>
      </c>
      <c r="AH54" s="42">
        <f t="shared" si="0"/>
        <v>0</v>
      </c>
      <c r="AI54" s="70">
        <f t="shared" si="8"/>
        <v>0</v>
      </c>
      <c r="AJ54" s="10">
        <f>'[5]MAINTENANCE '!AK30</f>
        <v>3879500</v>
      </c>
      <c r="AK54" s="56">
        <f t="shared" si="2"/>
        <v>197738.2</v>
      </c>
      <c r="AL54" s="9">
        <f t="shared" si="3"/>
        <v>4077238.2</v>
      </c>
      <c r="AM54" s="9">
        <f t="shared" si="4"/>
        <v>-0.20000000018626451</v>
      </c>
      <c r="AN54" s="9"/>
      <c r="AO54" s="9"/>
    </row>
    <row r="55" spans="2:41" s="29" customFormat="1" ht="23.25" customHeight="1" x14ac:dyDescent="0.25">
      <c r="B55" s="27">
        <v>50</v>
      </c>
      <c r="C55" s="37" t="s">
        <v>186</v>
      </c>
      <c r="D55" s="25" t="s">
        <v>187</v>
      </c>
      <c r="E55" s="11" t="s">
        <v>188</v>
      </c>
      <c r="F55" s="12" t="s">
        <v>189</v>
      </c>
      <c r="G55" s="30" t="s">
        <v>120</v>
      </c>
      <c r="H55" s="49" t="s">
        <v>116</v>
      </c>
      <c r="I55" s="48" t="s">
        <v>61</v>
      </c>
      <c r="J55" s="45" t="str">
        <f t="shared" si="1"/>
        <v>TER A</v>
      </c>
      <c r="K55" s="46">
        <f t="shared" si="5"/>
        <v>4169500</v>
      </c>
      <c r="L55" s="47">
        <f t="shared" si="6"/>
        <v>34318.199999999997</v>
      </c>
      <c r="M55" s="46">
        <f>'[5]MAINTENANCE '!AP31</f>
        <v>163420</v>
      </c>
      <c r="N55" s="46"/>
      <c r="O55" s="46">
        <f>'[5]MAINTENANCE '!X31</f>
        <v>69750</v>
      </c>
      <c r="P55" s="46"/>
      <c r="Q55" s="46"/>
      <c r="R55" s="46"/>
      <c r="S55" s="46">
        <f>'[5]MAINTENANCE '!AD31</f>
        <v>50500</v>
      </c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>
        <f>-'[5]MAINTENANCE '!BD31</f>
        <v>0</v>
      </c>
      <c r="AE55" s="46"/>
      <c r="AF55" s="46"/>
      <c r="AG55" s="41">
        <f t="shared" si="7"/>
        <v>4487488</v>
      </c>
      <c r="AH55" s="42">
        <f t="shared" si="0"/>
        <v>0</v>
      </c>
      <c r="AI55" s="70">
        <f t="shared" si="8"/>
        <v>0</v>
      </c>
      <c r="AJ55" s="10">
        <f>'[5]MAINTENANCE '!AK31</f>
        <v>4289750</v>
      </c>
      <c r="AK55" s="56">
        <f t="shared" si="2"/>
        <v>197738.2</v>
      </c>
      <c r="AL55" s="9">
        <f t="shared" si="3"/>
        <v>4487488.2</v>
      </c>
      <c r="AM55" s="9">
        <f t="shared" si="4"/>
        <v>-0.20000000018626451</v>
      </c>
      <c r="AN55" s="9"/>
      <c r="AO55" s="9"/>
    </row>
    <row r="56" spans="2:41" s="29" customFormat="1" ht="23.25" customHeight="1" x14ac:dyDescent="0.25">
      <c r="B56" s="27">
        <v>51</v>
      </c>
      <c r="C56" s="37" t="s">
        <v>190</v>
      </c>
      <c r="D56" s="25" t="s">
        <v>191</v>
      </c>
      <c r="E56" s="11" t="s">
        <v>192</v>
      </c>
      <c r="F56" s="12" t="s">
        <v>189</v>
      </c>
      <c r="G56" s="30" t="s">
        <v>120</v>
      </c>
      <c r="H56" s="49" t="s">
        <v>34</v>
      </c>
      <c r="I56" s="48" t="s">
        <v>35</v>
      </c>
      <c r="J56" s="45" t="str">
        <f t="shared" si="1"/>
        <v>TER B</v>
      </c>
      <c r="K56" s="46">
        <f t="shared" si="5"/>
        <v>4169500</v>
      </c>
      <c r="L56" s="47">
        <f t="shared" si="6"/>
        <v>34612.199999999997</v>
      </c>
      <c r="M56" s="46">
        <f>'[5]MAINTENANCE '!AP32</f>
        <v>164820</v>
      </c>
      <c r="N56" s="46"/>
      <c r="O56" s="46">
        <f>'[5]MAINTENANCE '!X32</f>
        <v>166500</v>
      </c>
      <c r="P56" s="46"/>
      <c r="Q56" s="46"/>
      <c r="R56" s="46"/>
      <c r="S56" s="46">
        <f>'[5]MAINTENANCE '!AD32</f>
        <v>85500</v>
      </c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>
        <f>-'[5]MAINTENANCE '!BD32</f>
        <v>-134500</v>
      </c>
      <c r="AE56" s="46"/>
      <c r="AF56" s="46"/>
      <c r="AG56" s="41">
        <f t="shared" si="7"/>
        <v>4486432</v>
      </c>
      <c r="AH56" s="42">
        <f t="shared" si="0"/>
        <v>0</v>
      </c>
      <c r="AI56" s="70">
        <f t="shared" si="8"/>
        <v>0</v>
      </c>
      <c r="AJ56" s="10">
        <f>'[5]MAINTENANCE '!AK32</f>
        <v>4287000</v>
      </c>
      <c r="AK56" s="56">
        <f t="shared" si="2"/>
        <v>199432.2</v>
      </c>
      <c r="AL56" s="9">
        <f t="shared" si="3"/>
        <v>4486432.2</v>
      </c>
      <c r="AM56" s="9">
        <f t="shared" si="4"/>
        <v>-0.20000000018626451</v>
      </c>
      <c r="AN56" s="9"/>
      <c r="AO56" s="9"/>
    </row>
    <row r="57" spans="2:41" s="29" customFormat="1" ht="23.25" customHeight="1" x14ac:dyDescent="0.25">
      <c r="B57" s="27">
        <v>52</v>
      </c>
      <c r="C57" s="37" t="s">
        <v>193</v>
      </c>
      <c r="D57" s="25" t="s">
        <v>194</v>
      </c>
      <c r="E57" s="11" t="s">
        <v>46</v>
      </c>
      <c r="F57" s="12" t="s">
        <v>195</v>
      </c>
      <c r="G57" s="30" t="s">
        <v>120</v>
      </c>
      <c r="H57" s="49" t="s">
        <v>34</v>
      </c>
      <c r="I57" s="48" t="s">
        <v>51</v>
      </c>
      <c r="J57" s="45" t="str">
        <f t="shared" si="1"/>
        <v>TER B</v>
      </c>
      <c r="K57" s="46">
        <f t="shared" si="5"/>
        <v>4169500</v>
      </c>
      <c r="L57" s="47">
        <f t="shared" si="6"/>
        <v>34120.799999999996</v>
      </c>
      <c r="M57" s="46">
        <f>'[5]MAINTENANCE '!AP33</f>
        <v>162480</v>
      </c>
      <c r="N57" s="46"/>
      <c r="O57" s="46">
        <f>'[5]MAINTENANCE '!X33</f>
        <v>139500</v>
      </c>
      <c r="P57" s="46"/>
      <c r="Q57" s="46"/>
      <c r="R57" s="46"/>
      <c r="S57" s="46">
        <f>'[5]MAINTENANCE '!AD33</f>
        <v>27000</v>
      </c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>
        <f>-'[5]MAINTENANCE '!BD33</f>
        <v>-134500</v>
      </c>
      <c r="AE57" s="46"/>
      <c r="AF57" s="46"/>
      <c r="AG57" s="41">
        <f t="shared" si="7"/>
        <v>4398101</v>
      </c>
      <c r="AH57" s="42">
        <f t="shared" si="0"/>
        <v>0</v>
      </c>
      <c r="AI57" s="70">
        <f t="shared" si="8"/>
        <v>0</v>
      </c>
      <c r="AJ57" s="10">
        <f>'[5]MAINTENANCE '!AK33</f>
        <v>4201500</v>
      </c>
      <c r="AK57" s="56">
        <f t="shared" si="2"/>
        <v>196600.8</v>
      </c>
      <c r="AL57" s="9">
        <f t="shared" si="3"/>
        <v>4398100.8</v>
      </c>
      <c r="AM57" s="9">
        <f t="shared" si="4"/>
        <v>0.20000000018626451</v>
      </c>
      <c r="AN57" s="9"/>
      <c r="AO57" s="9"/>
    </row>
    <row r="58" spans="2:41" s="29" customFormat="1" ht="23.25" customHeight="1" x14ac:dyDescent="0.25">
      <c r="B58" s="27">
        <v>53</v>
      </c>
      <c r="C58" s="34" t="s">
        <v>183</v>
      </c>
      <c r="D58" s="25" t="s">
        <v>184</v>
      </c>
      <c r="E58" s="11" t="s">
        <v>46</v>
      </c>
      <c r="F58" s="12" t="s">
        <v>185</v>
      </c>
      <c r="G58" s="33" t="s">
        <v>205</v>
      </c>
      <c r="H58" s="49" t="s">
        <v>34</v>
      </c>
      <c r="I58" s="48" t="s">
        <v>51</v>
      </c>
      <c r="J58" s="45" t="str">
        <f>IF(ISBLANK(I58),"",IF(OR(I58="TK/0",I58="TK/1",I58="K/0"),"TER A",IF(I58="K/3","TER C","TER B")))</f>
        <v>TER B</v>
      </c>
      <c r="K58" s="46">
        <f t="shared" si="5"/>
        <v>4169500</v>
      </c>
      <c r="L58" s="47">
        <f>(4035000+S58)*0.84%</f>
        <v>34070.400000000001</v>
      </c>
      <c r="M58" s="46">
        <f>'[5]MAINTENANCE '!AP34</f>
        <v>162240</v>
      </c>
      <c r="N58" s="46"/>
      <c r="O58" s="46">
        <f>'[5]MAINTENANCE '!X34</f>
        <v>139500</v>
      </c>
      <c r="P58" s="46"/>
      <c r="Q58" s="46"/>
      <c r="R58" s="46"/>
      <c r="S58" s="46">
        <f>'[5]MAINTENANCE '!AD34</f>
        <v>21000</v>
      </c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>
        <f>-'[5]MAINTENANCE '!BD34</f>
        <v>-134500</v>
      </c>
      <c r="AE58" s="46"/>
      <c r="AF58" s="46"/>
      <c r="AG58" s="41">
        <f t="shared" si="7"/>
        <v>4391810</v>
      </c>
      <c r="AH58" s="42">
        <f t="shared" si="0"/>
        <v>0</v>
      </c>
      <c r="AI58" s="70">
        <f t="shared" si="8"/>
        <v>0</v>
      </c>
      <c r="AJ58" s="10">
        <f>'[5]MAINTENANCE '!AK34</f>
        <v>4195500</v>
      </c>
      <c r="AK58" s="56">
        <f t="shared" si="2"/>
        <v>196310.39999999999</v>
      </c>
      <c r="AL58" s="9">
        <f t="shared" si="3"/>
        <v>4391810.4000000004</v>
      </c>
      <c r="AM58" s="9">
        <f t="shared" si="4"/>
        <v>-0.40000000037252903</v>
      </c>
      <c r="AN58" s="9"/>
      <c r="AO58" s="9"/>
    </row>
    <row r="59" spans="2:41" s="29" customFormat="1" ht="23.25" customHeight="1" x14ac:dyDescent="0.25">
      <c r="B59" s="27">
        <v>54</v>
      </c>
      <c r="C59" s="38" t="s">
        <v>196</v>
      </c>
      <c r="D59" s="25" t="s">
        <v>197</v>
      </c>
      <c r="E59" s="11" t="s">
        <v>198</v>
      </c>
      <c r="F59" s="12" t="s">
        <v>199</v>
      </c>
      <c r="G59" s="30" t="s">
        <v>200</v>
      </c>
      <c r="H59" s="49" t="s">
        <v>34</v>
      </c>
      <c r="I59" s="77" t="s">
        <v>51</v>
      </c>
      <c r="J59" s="45" t="str">
        <f t="shared" si="1"/>
        <v>TER B</v>
      </c>
      <c r="K59" s="46">
        <f t="shared" si="5"/>
        <v>4169500</v>
      </c>
      <c r="L59" s="47">
        <f t="shared" si="6"/>
        <v>34671</v>
      </c>
      <c r="M59" s="46">
        <f>[5]OPERATOR!AM11</f>
        <v>165100</v>
      </c>
      <c r="N59" s="46"/>
      <c r="O59" s="46">
        <f>[5]OPERATOR!T11</f>
        <v>144150</v>
      </c>
      <c r="P59" s="46">
        <f>[5]OPERATOR!W11</f>
        <v>87500</v>
      </c>
      <c r="Q59" s="46">
        <f>[5]OPERATOR!AB11</f>
        <v>653063.60000000009</v>
      </c>
      <c r="R59" s="46"/>
      <c r="S59" s="46">
        <f>[5]OPERATOR!Z11</f>
        <v>92500</v>
      </c>
      <c r="T59" s="46"/>
      <c r="U59" s="46"/>
      <c r="V59" s="46"/>
      <c r="W59" s="46"/>
      <c r="X59" s="46">
        <f>[5]OPERATOR!AC11</f>
        <v>0</v>
      </c>
      <c r="Y59" s="46"/>
      <c r="Z59" s="46"/>
      <c r="AA59" s="46"/>
      <c r="AB59" s="46"/>
      <c r="AC59" s="46"/>
      <c r="AD59" s="46">
        <f>-[5]OPERATOR!BC11</f>
        <v>0</v>
      </c>
      <c r="AE59" s="46"/>
      <c r="AF59" s="46"/>
      <c r="AG59" s="41">
        <f t="shared" si="7"/>
        <v>5346485</v>
      </c>
      <c r="AH59" s="42">
        <f t="shared" si="0"/>
        <v>0</v>
      </c>
      <c r="AI59" s="70">
        <f t="shared" si="8"/>
        <v>0</v>
      </c>
      <c r="AJ59" s="10">
        <f>[5]OPERATOR!AG11</f>
        <v>5146713.5999999996</v>
      </c>
      <c r="AK59" s="56">
        <f t="shared" si="2"/>
        <v>199771</v>
      </c>
      <c r="AL59" s="9">
        <f t="shared" si="3"/>
        <v>5346484.5999999996</v>
      </c>
      <c r="AM59" s="9">
        <f t="shared" si="4"/>
        <v>0.40000000037252903</v>
      </c>
      <c r="AN59" s="9"/>
      <c r="AO59" s="9"/>
    </row>
    <row r="60" spans="2:41" s="29" customFormat="1" ht="23.25" customHeight="1" x14ac:dyDescent="0.25">
      <c r="B60" s="27">
        <v>55</v>
      </c>
      <c r="C60" s="39" t="s">
        <v>201</v>
      </c>
      <c r="D60" s="31" t="s">
        <v>202</v>
      </c>
      <c r="E60" s="21" t="s">
        <v>203</v>
      </c>
      <c r="F60" s="32" t="s">
        <v>204</v>
      </c>
      <c r="G60" s="33" t="s">
        <v>205</v>
      </c>
      <c r="H60" s="49" t="s">
        <v>34</v>
      </c>
      <c r="I60" s="50" t="s">
        <v>51</v>
      </c>
      <c r="J60" s="45" t="str">
        <f t="shared" si="1"/>
        <v>TER B</v>
      </c>
      <c r="K60" s="46">
        <f t="shared" si="5"/>
        <v>4169500</v>
      </c>
      <c r="L60" s="47">
        <f t="shared" si="6"/>
        <v>34200.6</v>
      </c>
      <c r="M60" s="46">
        <f>[5]OPERATOR!AM12</f>
        <v>162860</v>
      </c>
      <c r="N60" s="51"/>
      <c r="O60" s="46">
        <f>[5]OPERATOR!T12</f>
        <v>144150</v>
      </c>
      <c r="P60" s="46">
        <f>[5]OPERATOR!W12</f>
        <v>62500</v>
      </c>
      <c r="Q60" s="46">
        <f>[5]OPERATOR!AB12</f>
        <v>653063.60000000009</v>
      </c>
      <c r="R60" s="51"/>
      <c r="S60" s="46">
        <f>[5]OPERATOR!Z12</f>
        <v>36500</v>
      </c>
      <c r="T60" s="46"/>
      <c r="U60" s="46"/>
      <c r="V60" s="46"/>
      <c r="W60" s="46"/>
      <c r="X60" s="46">
        <f>[5]OPERATOR!AC12</f>
        <v>0</v>
      </c>
      <c r="Y60" s="51"/>
      <c r="Z60" s="46"/>
      <c r="AA60" s="46"/>
      <c r="AB60" s="46"/>
      <c r="AC60" s="46"/>
      <c r="AD60" s="46">
        <f>-[5]OPERATOR!BC12</f>
        <v>0</v>
      </c>
      <c r="AE60" s="46"/>
      <c r="AF60" s="51"/>
      <c r="AG60" s="41">
        <f t="shared" si="7"/>
        <v>5262774</v>
      </c>
      <c r="AH60" s="42">
        <f t="shared" si="0"/>
        <v>0</v>
      </c>
      <c r="AI60" s="70">
        <f t="shared" si="8"/>
        <v>0</v>
      </c>
      <c r="AJ60" s="10">
        <f>[5]OPERATOR!AG12</f>
        <v>5065713.5999999996</v>
      </c>
      <c r="AK60" s="56">
        <f t="shared" si="2"/>
        <v>197060.6</v>
      </c>
      <c r="AL60" s="9">
        <f t="shared" si="3"/>
        <v>5262774.1999999993</v>
      </c>
      <c r="AM60" s="9">
        <f t="shared" si="4"/>
        <v>-0.19999999925494194</v>
      </c>
      <c r="AN60" s="9"/>
      <c r="AO60" s="9"/>
    </row>
    <row r="61" spans="2:41" s="29" customFormat="1" ht="23.25" customHeight="1" x14ac:dyDescent="0.25">
      <c r="B61" s="27">
        <v>56</v>
      </c>
      <c r="C61" s="37" t="s">
        <v>206</v>
      </c>
      <c r="D61" s="25" t="s">
        <v>207</v>
      </c>
      <c r="E61" s="21" t="s">
        <v>208</v>
      </c>
      <c r="F61" s="12" t="s">
        <v>209</v>
      </c>
      <c r="G61" s="30" t="s">
        <v>200</v>
      </c>
      <c r="H61" s="49" t="s">
        <v>34</v>
      </c>
      <c r="I61" s="48" t="s">
        <v>263</v>
      </c>
      <c r="J61" s="45" t="str">
        <f t="shared" si="1"/>
        <v>TER A</v>
      </c>
      <c r="K61" s="46">
        <f t="shared" si="5"/>
        <v>4169500</v>
      </c>
      <c r="L61" s="47">
        <f t="shared" si="6"/>
        <v>34200.6</v>
      </c>
      <c r="M61" s="46">
        <f>[5]OPERATOR!AM13</f>
        <v>162860</v>
      </c>
      <c r="N61" s="46"/>
      <c r="O61" s="46">
        <f>[5]OPERATOR!T13</f>
        <v>100750</v>
      </c>
      <c r="P61" s="46">
        <f>[5]OPERATOR!W13</f>
        <v>84000</v>
      </c>
      <c r="Q61" s="46">
        <f>[5]OPERATOR!AB13</f>
        <v>1154523.1500000001</v>
      </c>
      <c r="R61" s="46"/>
      <c r="S61" s="46">
        <f>[5]OPERATOR!Z13</f>
        <v>36500</v>
      </c>
      <c r="T61" s="46"/>
      <c r="U61" s="46"/>
      <c r="V61" s="46"/>
      <c r="W61" s="46"/>
      <c r="X61" s="46">
        <f>[5]OPERATOR!AC13</f>
        <v>1565040</v>
      </c>
      <c r="Y61" s="46"/>
      <c r="Z61" s="46"/>
      <c r="AA61" s="46"/>
      <c r="AB61" s="46"/>
      <c r="AC61" s="46"/>
      <c r="AD61" s="46">
        <f>-[5]OPERATOR!BC13</f>
        <v>0</v>
      </c>
      <c r="AE61" s="46"/>
      <c r="AF61" s="46"/>
      <c r="AG61" s="41">
        <f t="shared" si="7"/>
        <v>7307374</v>
      </c>
      <c r="AH61" s="42">
        <f t="shared" si="0"/>
        <v>1.2500000000000001E-2</v>
      </c>
      <c r="AI61" s="70">
        <f t="shared" si="8"/>
        <v>91342</v>
      </c>
      <c r="AJ61" s="10">
        <f>[5]OPERATOR!AG13</f>
        <v>7110313.1500000004</v>
      </c>
      <c r="AK61" s="56">
        <f t="shared" si="2"/>
        <v>197060.6</v>
      </c>
      <c r="AL61" s="9">
        <f t="shared" si="3"/>
        <v>7307373.75</v>
      </c>
      <c r="AM61" s="9">
        <f t="shared" si="4"/>
        <v>0.25</v>
      </c>
      <c r="AN61" s="9"/>
      <c r="AO61" s="9"/>
    </row>
    <row r="62" spans="2:41" s="29" customFormat="1" ht="23.25" customHeight="1" x14ac:dyDescent="0.25">
      <c r="B62" s="27">
        <v>57</v>
      </c>
      <c r="C62" s="37" t="s">
        <v>267</v>
      </c>
      <c r="D62" s="25" t="s">
        <v>268</v>
      </c>
      <c r="E62" s="21" t="s">
        <v>46</v>
      </c>
      <c r="F62" s="12" t="s">
        <v>269</v>
      </c>
      <c r="G62" s="30" t="s">
        <v>205</v>
      </c>
      <c r="H62" s="49" t="s">
        <v>34</v>
      </c>
      <c r="I62" s="48" t="s">
        <v>51</v>
      </c>
      <c r="J62" s="45" t="str">
        <f t="shared" si="1"/>
        <v>TER B</v>
      </c>
      <c r="K62" s="46">
        <f t="shared" si="5"/>
        <v>4169500</v>
      </c>
      <c r="L62" s="47">
        <f t="shared" si="6"/>
        <v>33999</v>
      </c>
      <c r="M62" s="46">
        <f>[5]OPERATOR!AM14</f>
        <v>161900</v>
      </c>
      <c r="N62" s="46"/>
      <c r="O62" s="46">
        <f>[5]OPERATOR!T14</f>
        <v>144150</v>
      </c>
      <c r="P62" s="46">
        <f>[5]OPERATOR!W14</f>
        <v>62500</v>
      </c>
      <c r="Q62" s="46">
        <f>[5]OPERATOR!AB14</f>
        <v>1422745.7000000002</v>
      </c>
      <c r="R62" s="46"/>
      <c r="S62" s="46">
        <f>[5]OPERATOR!Z14</f>
        <v>12500</v>
      </c>
      <c r="T62" s="46"/>
      <c r="U62" s="46"/>
      <c r="V62" s="46"/>
      <c r="W62" s="46"/>
      <c r="X62" s="46">
        <f>[5]OPERATOR!AC14</f>
        <v>1559205</v>
      </c>
      <c r="Y62" s="46"/>
      <c r="Z62" s="46"/>
      <c r="AA62" s="46"/>
      <c r="AB62" s="46"/>
      <c r="AC62" s="46"/>
      <c r="AD62" s="46">
        <f>-[5]OPERATOR!BC14</f>
        <v>0</v>
      </c>
      <c r="AE62" s="46"/>
      <c r="AF62" s="46"/>
      <c r="AG62" s="41">
        <f t="shared" si="7"/>
        <v>7566500</v>
      </c>
      <c r="AH62" s="42">
        <f t="shared" si="0"/>
        <v>0.01</v>
      </c>
      <c r="AI62" s="70">
        <f t="shared" si="8"/>
        <v>75665</v>
      </c>
      <c r="AJ62" s="10">
        <f>[5]OPERATOR!AG14</f>
        <v>7370600.7000000002</v>
      </c>
      <c r="AK62" s="56">
        <f t="shared" si="2"/>
        <v>195899</v>
      </c>
      <c r="AL62" s="9">
        <f t="shared" si="3"/>
        <v>7566499.7000000002</v>
      </c>
      <c r="AM62" s="9">
        <f t="shared" si="4"/>
        <v>0.29999999981373549</v>
      </c>
      <c r="AN62" s="9"/>
      <c r="AO62" s="9"/>
    </row>
    <row r="63" spans="2:41" s="29" customFormat="1" ht="23.25" customHeight="1" x14ac:dyDescent="0.25">
      <c r="B63" s="27">
        <v>58</v>
      </c>
      <c r="C63" s="37" t="s">
        <v>215</v>
      </c>
      <c r="D63" s="25" t="s">
        <v>217</v>
      </c>
      <c r="E63" s="11" t="s">
        <v>218</v>
      </c>
      <c r="F63" s="12" t="s">
        <v>221</v>
      </c>
      <c r="G63" s="30" t="s">
        <v>200</v>
      </c>
      <c r="H63" s="49" t="s">
        <v>34</v>
      </c>
      <c r="I63" s="48" t="s">
        <v>35</v>
      </c>
      <c r="J63" s="45" t="str">
        <f t="shared" si="1"/>
        <v>TER B</v>
      </c>
      <c r="K63" s="46">
        <f t="shared" si="5"/>
        <v>4169500</v>
      </c>
      <c r="L63" s="47">
        <f t="shared" si="6"/>
        <v>34200.6</v>
      </c>
      <c r="M63" s="46">
        <f>[5]OPERATOR!AM15</f>
        <v>162860</v>
      </c>
      <c r="N63" s="46"/>
      <c r="O63" s="46">
        <f>[5]OPERATOR!T15</f>
        <v>172050</v>
      </c>
      <c r="P63" s="46">
        <f>[5]OPERATOR!W15</f>
        <v>87500</v>
      </c>
      <c r="Q63" s="46">
        <f>[5]OPERATOR!AB15</f>
        <v>1154523.1500000001</v>
      </c>
      <c r="R63" s="46"/>
      <c r="S63" s="46">
        <f>[5]OPERATOR!Z15</f>
        <v>36500</v>
      </c>
      <c r="T63" s="46"/>
      <c r="U63" s="46"/>
      <c r="V63" s="46"/>
      <c r="W63" s="46"/>
      <c r="X63" s="46">
        <f>[5]OPERATOR!AC15</f>
        <v>1192565</v>
      </c>
      <c r="Y63" s="46"/>
      <c r="Z63" s="46"/>
      <c r="AA63" s="46"/>
      <c r="AB63" s="46"/>
      <c r="AC63" s="46"/>
      <c r="AD63" s="46">
        <f>-[5]OPERATOR!BC15</f>
        <v>0</v>
      </c>
      <c r="AE63" s="46"/>
      <c r="AF63" s="46"/>
      <c r="AG63" s="41">
        <f t="shared" si="7"/>
        <v>7009699</v>
      </c>
      <c r="AH63" s="42">
        <f t="shared" si="0"/>
        <v>7.4999999999999997E-3</v>
      </c>
      <c r="AI63" s="70">
        <f t="shared" si="8"/>
        <v>52573</v>
      </c>
      <c r="AJ63" s="10">
        <f>[5]OPERATOR!AG15</f>
        <v>6812638.1500000004</v>
      </c>
      <c r="AK63" s="56">
        <f t="shared" si="2"/>
        <v>197060.6</v>
      </c>
      <c r="AL63" s="9">
        <f t="shared" si="3"/>
        <v>7009698.75</v>
      </c>
      <c r="AM63" s="9">
        <f t="shared" si="4"/>
        <v>0.25</v>
      </c>
      <c r="AN63" s="9"/>
      <c r="AO63" s="9"/>
    </row>
    <row r="64" spans="2:41" s="29" customFormat="1" ht="23.25" customHeight="1" thickBot="1" x14ac:dyDescent="0.3">
      <c r="B64" s="27">
        <v>59</v>
      </c>
      <c r="C64" s="37" t="s">
        <v>216</v>
      </c>
      <c r="D64" s="25" t="s">
        <v>219</v>
      </c>
      <c r="E64" s="11" t="s">
        <v>220</v>
      </c>
      <c r="F64" s="12" t="s">
        <v>222</v>
      </c>
      <c r="G64" s="30" t="s">
        <v>205</v>
      </c>
      <c r="H64" s="49" t="s">
        <v>34</v>
      </c>
      <c r="I64" s="77" t="s">
        <v>263</v>
      </c>
      <c r="J64" s="45" t="str">
        <f t="shared" si="1"/>
        <v>TER A</v>
      </c>
      <c r="K64" s="46">
        <f t="shared" si="5"/>
        <v>4169500</v>
      </c>
      <c r="L64" s="47">
        <f t="shared" si="6"/>
        <v>34200.6</v>
      </c>
      <c r="M64" s="46">
        <f>[5]OPERATOR!AM16</f>
        <v>162860</v>
      </c>
      <c r="N64" s="46"/>
      <c r="O64" s="46">
        <f>[5]OPERATOR!T16</f>
        <v>100750</v>
      </c>
      <c r="P64" s="46">
        <f>[5]OPERATOR!W16</f>
        <v>60000</v>
      </c>
      <c r="Q64" s="46">
        <f>[5]OPERATOR!AB16</f>
        <v>1072890.2</v>
      </c>
      <c r="R64" s="46"/>
      <c r="S64" s="46">
        <f>[5]OPERATOR!Z16</f>
        <v>36500</v>
      </c>
      <c r="T64" s="46"/>
      <c r="U64" s="46"/>
      <c r="V64" s="46"/>
      <c r="W64" s="46"/>
      <c r="X64" s="46">
        <f>[5]OPERATOR!AC16</f>
        <v>1247095</v>
      </c>
      <c r="Y64" s="46"/>
      <c r="Z64" s="46"/>
      <c r="AA64" s="46"/>
      <c r="AB64" s="46"/>
      <c r="AC64" s="46"/>
      <c r="AD64" s="46">
        <f>-[5]OPERATOR!BC16</f>
        <v>0</v>
      </c>
      <c r="AE64" s="46"/>
      <c r="AF64" s="46"/>
      <c r="AG64" s="41">
        <f t="shared" si="7"/>
        <v>6883796</v>
      </c>
      <c r="AH64" s="42">
        <f t="shared" si="0"/>
        <v>1.2500000000000001E-2</v>
      </c>
      <c r="AI64" s="70">
        <f t="shared" si="8"/>
        <v>86047</v>
      </c>
      <c r="AJ64" s="10">
        <f>[5]OPERATOR!AG16</f>
        <v>6686735.2000000002</v>
      </c>
      <c r="AK64" s="56">
        <f t="shared" si="2"/>
        <v>197060.6</v>
      </c>
      <c r="AL64" s="9">
        <f t="shared" si="3"/>
        <v>6883795.7999999998</v>
      </c>
      <c r="AM64" s="9">
        <f t="shared" si="4"/>
        <v>0.20000000018626451</v>
      </c>
      <c r="AN64" s="9"/>
      <c r="AO64" s="9"/>
    </row>
    <row r="65" spans="2:58" s="15" customFormat="1" ht="35.25" customHeight="1" thickBot="1" x14ac:dyDescent="0.25">
      <c r="B65" s="13"/>
      <c r="C65" s="14"/>
      <c r="D65" s="14"/>
      <c r="E65" s="14"/>
      <c r="F65" s="14"/>
      <c r="G65" s="14"/>
      <c r="H65" s="14"/>
      <c r="I65" s="14"/>
      <c r="J65" s="14"/>
      <c r="K65" s="52">
        <f t="shared" ref="K65:AJ65" si="9">SUM(K6:K64)</f>
        <v>244790000</v>
      </c>
      <c r="L65" s="52">
        <f t="shared" si="9"/>
        <v>2014819.8000000007</v>
      </c>
      <c r="M65" s="52">
        <f t="shared" si="9"/>
        <v>9594380</v>
      </c>
      <c r="N65" s="52">
        <f t="shared" si="9"/>
        <v>0</v>
      </c>
      <c r="O65" s="52">
        <f t="shared" si="9"/>
        <v>7171550</v>
      </c>
      <c r="P65" s="52">
        <f t="shared" si="9"/>
        <v>728500</v>
      </c>
      <c r="Q65" s="52">
        <f t="shared" si="9"/>
        <v>9341141.8500000015</v>
      </c>
      <c r="R65" s="52">
        <f t="shared" si="9"/>
        <v>3610600</v>
      </c>
      <c r="S65" s="52">
        <f t="shared" si="9"/>
        <v>1794500</v>
      </c>
      <c r="T65" s="52">
        <f t="shared" si="9"/>
        <v>3513078</v>
      </c>
      <c r="U65" s="52">
        <f t="shared" si="9"/>
        <v>10538500</v>
      </c>
      <c r="V65" s="52">
        <f t="shared" si="9"/>
        <v>13605150</v>
      </c>
      <c r="W65" s="52">
        <f t="shared" si="9"/>
        <v>0</v>
      </c>
      <c r="X65" s="52">
        <f t="shared" si="9"/>
        <v>5563905</v>
      </c>
      <c r="Y65" s="52">
        <f t="shared" si="9"/>
        <v>0</v>
      </c>
      <c r="Z65" s="52">
        <f t="shared" si="9"/>
        <v>300000</v>
      </c>
      <c r="AA65" s="52">
        <f t="shared" si="9"/>
        <v>-1567005.4752765859</v>
      </c>
      <c r="AB65" s="52">
        <f t="shared" si="9"/>
        <v>0</v>
      </c>
      <c r="AC65" s="52">
        <f t="shared" si="9"/>
        <v>0</v>
      </c>
      <c r="AD65" s="52">
        <f t="shared" si="9"/>
        <v>-3362500</v>
      </c>
      <c r="AE65" s="52">
        <f t="shared" si="9"/>
        <v>0</v>
      </c>
      <c r="AF65" s="52">
        <f t="shared" si="9"/>
        <v>0</v>
      </c>
      <c r="AG65" s="52">
        <f t="shared" si="9"/>
        <v>307636621</v>
      </c>
      <c r="AH65" s="52">
        <f t="shared" si="9"/>
        <v>7.2499999999999995E-2</v>
      </c>
      <c r="AI65" s="52">
        <f t="shared" si="9"/>
        <v>489209</v>
      </c>
      <c r="AJ65" s="28">
        <f t="shared" si="9"/>
        <v>296027419.37472332</v>
      </c>
      <c r="AK65" s="28">
        <f t="shared" ref="AK65" si="10">SUM(AK6:AK64)</f>
        <v>11609199.799999993</v>
      </c>
      <c r="AL65" s="28">
        <f t="shared" ref="AL65" si="11">SUM(AL6:AL64)</f>
        <v>307636619.17472327</v>
      </c>
      <c r="AM65" s="28">
        <f t="shared" ref="AM65" si="12">SUM(AM6:AM64)</f>
        <v>1.8252765880897641</v>
      </c>
      <c r="AN65" s="28"/>
      <c r="AO65" s="28"/>
    </row>
    <row r="66" spans="2:58" ht="22.5" customHeight="1" x14ac:dyDescent="0.2">
      <c r="M66" s="53">
        <f>[5]HARVESTING!$AQ$43+'[5]BHL HARVESTING'!$AP$12+'[5]MAINTENANCE '!$AP$35+[5]OPERATOR!$AM$17</f>
        <v>9594380</v>
      </c>
      <c r="N66" s="53"/>
      <c r="O66" s="53">
        <f>[5]HARVESTING!$T$43+'[5]MAINTENANCE '!$X$35+[5]OPERATOR!$T$17</f>
        <v>7171550</v>
      </c>
      <c r="P66" s="53">
        <f>[5]HARVESTING!$W$43+'[5]MAINTENANCE '!$AA$35+[5]OPERATOR!$W$17</f>
        <v>728500</v>
      </c>
      <c r="Q66" s="53">
        <f>[5]HARVESTING!$AA$43+'[5]MAINTENANCE '!$AF$35+[5]OPERATOR!$AB$17</f>
        <v>9341141.8500000015</v>
      </c>
      <c r="R66" s="53">
        <f>[5]HARVESTING!$AJ$43</f>
        <v>3610600</v>
      </c>
      <c r="S66" s="53">
        <f>[5]HARVESTING!$Z$43+'[5]MAINTENANCE '!$AD$35+[5]OPERATOR!$Z$17</f>
        <v>1794500</v>
      </c>
      <c r="T66" s="53">
        <f>[5]HARVESTING!$AD$43+'[5]BHL HARVESTING'!$AC$12</f>
        <v>3513078</v>
      </c>
      <c r="U66" s="53">
        <f>[5]HARVESTING!$AE$43+'[5]BHL HARVESTING'!$AD$12</f>
        <v>10538500</v>
      </c>
      <c r="V66" s="53">
        <f>[5]HARVESTING!$AF$43+'[5]BHL HARVESTING'!$AE$12</f>
        <v>13605150</v>
      </c>
      <c r="W66" s="53">
        <f>[5]HARVESTING!$AI$43+'[5]BHL HARVESTING'!$AG$12</f>
        <v>0</v>
      </c>
      <c r="X66" s="53">
        <f>[5]OPERATOR!$AC$17</f>
        <v>5563905</v>
      </c>
      <c r="Y66" s="53"/>
      <c r="Z66" s="53">
        <f>[5]HARVESTING!$AH$43+'[5]BHL HARVESTING'!$AF$12</f>
        <v>300000</v>
      </c>
      <c r="AA66" s="53">
        <f>[5]HARVESTING!$AK$43+'[5]BHL HARVESTING'!$AH$12</f>
        <v>1567005.4752765859</v>
      </c>
      <c r="AB66" s="53"/>
      <c r="AC66" s="53"/>
      <c r="AD66" s="53">
        <f>[5]HARVESTING!$BH$43+'[5]BHL HARVESTING'!$BF$12+'[5]MAINTENANCE '!$BD$35</f>
        <v>3362500</v>
      </c>
      <c r="AE66" s="53"/>
      <c r="AF66" s="53"/>
      <c r="AG66" s="53"/>
      <c r="AH66" s="55"/>
      <c r="AI66" s="53">
        <f>[5]HARVESTING!$AV$43+'[5]BHL HARVESTING'!$AU$12+'[5]MAINTENANCE '!$AU$35+[5]OPERATOR!$AR$17</f>
        <v>489209</v>
      </c>
      <c r="AJ66" s="10">
        <f>[5]HARVESTING!$AL$43+'[5]BHL HARVESTING'!$AJ$12+'[5]MAINTENANCE '!$AK$35+[5]OPERATOR!$AG$17</f>
        <v>296027419.37472337</v>
      </c>
    </row>
    <row r="67" spans="2:58" x14ac:dyDescent="0.2">
      <c r="M67" s="57"/>
      <c r="N67" s="19"/>
      <c r="O67" s="19"/>
      <c r="P67" s="19"/>
      <c r="Q67" s="19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71"/>
      <c r="AI67" s="18"/>
      <c r="AM67" s="26"/>
    </row>
    <row r="68" spans="2:58" s="17" customFormat="1" ht="15" hidden="1" customHeight="1" x14ac:dyDescent="0.2">
      <c r="B68" s="1"/>
      <c r="C68" s="2"/>
      <c r="D68" s="72"/>
      <c r="E68" s="3"/>
      <c r="F68" s="2"/>
      <c r="G68" s="4"/>
      <c r="H68" s="5"/>
      <c r="I68" s="5"/>
      <c r="J68" s="5"/>
      <c r="K68" s="2"/>
      <c r="L68" s="2"/>
      <c r="M68" s="16"/>
      <c r="N68" s="16"/>
      <c r="O68" s="16"/>
      <c r="P68" s="16"/>
      <c r="Q68" s="1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75"/>
      <c r="AI68" s="2"/>
      <c r="AJ68" s="1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</row>
    <row r="69" spans="2:58" s="17" customFormat="1" ht="15" hidden="1" customHeight="1" x14ac:dyDescent="0.2">
      <c r="B69" s="1"/>
      <c r="C69" s="2"/>
      <c r="D69" s="72"/>
      <c r="E69" s="3"/>
      <c r="F69" s="2"/>
      <c r="G69" s="4"/>
      <c r="H69" s="5"/>
      <c r="I69" s="5"/>
      <c r="J69" s="5"/>
      <c r="K69" s="2"/>
      <c r="L69" s="2"/>
      <c r="M69" s="16"/>
      <c r="N69" s="16"/>
      <c r="O69" s="16"/>
      <c r="P69" s="16"/>
      <c r="Q69" s="16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75"/>
      <c r="AI69" s="2"/>
      <c r="AJ69" s="1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2:58" s="17" customFormat="1" ht="15" hidden="1" customHeight="1" x14ac:dyDescent="0.2">
      <c r="B70" s="1"/>
      <c r="C70" s="2"/>
      <c r="D70" s="72"/>
      <c r="E70" s="3"/>
      <c r="F70" s="2"/>
      <c r="G70" s="4"/>
      <c r="H70" s="5"/>
      <c r="I70" s="5"/>
      <c r="J70" s="5"/>
      <c r="K70" s="2"/>
      <c r="L70" s="2"/>
      <c r="M70" s="16"/>
      <c r="N70" s="16"/>
      <c r="O70" s="16"/>
      <c r="P70" s="16"/>
      <c r="Q70" s="16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75"/>
      <c r="AI70" s="2"/>
      <c r="AJ70" s="1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2:58" s="17" customFormat="1" ht="15" hidden="1" customHeight="1" x14ac:dyDescent="0.2">
      <c r="B71" s="1"/>
      <c r="C71" s="2"/>
      <c r="D71" s="72"/>
      <c r="E71" s="3"/>
      <c r="F71" s="2"/>
      <c r="G71" s="4"/>
      <c r="H71" s="5"/>
      <c r="I71" s="5"/>
      <c r="J71" s="5"/>
      <c r="K71" s="2"/>
      <c r="L71" s="2"/>
      <c r="M71" s="16"/>
      <c r="N71" s="16"/>
      <c r="O71" s="16"/>
      <c r="P71" s="16"/>
      <c r="Q71" s="16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75"/>
      <c r="AI71" s="2"/>
      <c r="AJ71" s="1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  <row r="72" spans="2:58" s="17" customFormat="1" ht="15" hidden="1" customHeight="1" x14ac:dyDescent="0.2">
      <c r="B72" s="1"/>
      <c r="C72" s="2"/>
      <c r="D72" s="72"/>
      <c r="E72" s="3"/>
      <c r="F72" s="2"/>
      <c r="G72" s="4"/>
      <c r="H72" s="5"/>
      <c r="I72" s="5"/>
      <c r="J72" s="5"/>
      <c r="K72" s="2"/>
      <c r="L72" s="2"/>
      <c r="M72" s="16"/>
      <c r="N72" s="16"/>
      <c r="O72" s="16"/>
      <c r="P72" s="16"/>
      <c r="Q72" s="16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75"/>
      <c r="AI72" s="2"/>
      <c r="AJ72" s="1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</row>
    <row r="73" spans="2:58" s="17" customFormat="1" ht="15" hidden="1" customHeight="1" x14ac:dyDescent="0.2">
      <c r="B73" s="1"/>
      <c r="C73" s="2"/>
      <c r="D73" s="72"/>
      <c r="E73" s="3"/>
      <c r="F73" s="2"/>
      <c r="G73" s="4"/>
      <c r="H73" s="5"/>
      <c r="I73" s="5"/>
      <c r="J73" s="5"/>
      <c r="K73" s="2"/>
      <c r="L73" s="2"/>
      <c r="M73" s="16"/>
      <c r="N73" s="16"/>
      <c r="O73" s="16"/>
      <c r="P73" s="16"/>
      <c r="Q73" s="16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75"/>
      <c r="AI73" s="2"/>
      <c r="AJ73" s="1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</row>
    <row r="74" spans="2:58" s="17" customFormat="1" ht="15" hidden="1" customHeight="1" x14ac:dyDescent="0.2">
      <c r="B74" s="1"/>
      <c r="C74" s="2"/>
      <c r="D74" s="72"/>
      <c r="E74" s="3"/>
      <c r="F74" s="2"/>
      <c r="G74" s="4"/>
      <c r="H74" s="5"/>
      <c r="I74" s="5"/>
      <c r="J74" s="5"/>
      <c r="K74" s="2"/>
      <c r="L74" s="2"/>
      <c r="M74" s="16"/>
      <c r="N74" s="16"/>
      <c r="O74" s="16"/>
      <c r="P74" s="16"/>
      <c r="Q74" s="1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75"/>
      <c r="AI74" s="2"/>
      <c r="AJ74" s="1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</row>
    <row r="75" spans="2:58" s="17" customFormat="1" ht="15" hidden="1" customHeight="1" x14ac:dyDescent="0.2">
      <c r="B75" s="1"/>
      <c r="C75" s="2"/>
      <c r="D75" s="72"/>
      <c r="E75" s="3"/>
      <c r="F75" s="2"/>
      <c r="G75" s="4"/>
      <c r="H75" s="5"/>
      <c r="I75" s="5"/>
      <c r="J75" s="5"/>
      <c r="K75" s="2"/>
      <c r="L75" s="2"/>
      <c r="M75" s="16"/>
      <c r="N75" s="16"/>
      <c r="O75" s="16"/>
      <c r="P75" s="16"/>
      <c r="Q75" s="16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75"/>
      <c r="AI75" s="2"/>
      <c r="AJ75" s="1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</row>
    <row r="76" spans="2:58" s="17" customFormat="1" ht="15" hidden="1" customHeight="1" x14ac:dyDescent="0.2">
      <c r="B76" s="1"/>
      <c r="C76" s="2"/>
      <c r="D76" s="72"/>
      <c r="E76" s="3"/>
      <c r="F76" s="2"/>
      <c r="G76" s="4"/>
      <c r="H76" s="5"/>
      <c r="I76" s="5"/>
      <c r="J76" s="5"/>
      <c r="K76" s="2"/>
      <c r="L76" s="2"/>
      <c r="M76" s="16"/>
      <c r="N76" s="16"/>
      <c r="O76" s="16"/>
      <c r="P76" s="16"/>
      <c r="Q76" s="1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75"/>
      <c r="AI76" s="2"/>
      <c r="AJ76" s="1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</row>
    <row r="77" spans="2:58" s="17" customFormat="1" ht="15" customHeight="1" x14ac:dyDescent="0.2">
      <c r="B77" s="1"/>
      <c r="C77" s="2"/>
      <c r="D77" s="72" t="s">
        <v>228</v>
      </c>
      <c r="E77" s="3"/>
      <c r="F77" s="2"/>
      <c r="G77" s="4"/>
      <c r="H77" s="5"/>
      <c r="I77" s="5"/>
      <c r="J77" s="79"/>
      <c r="K77" s="79"/>
      <c r="L77" s="79"/>
      <c r="M77" s="85" t="s">
        <v>257</v>
      </c>
      <c r="N77" s="85"/>
      <c r="O77" s="85"/>
      <c r="P77" s="16"/>
      <c r="Q77" s="16"/>
      <c r="R77" s="2"/>
      <c r="S77" s="79"/>
      <c r="T77" s="79"/>
      <c r="U77" s="79" t="s">
        <v>210</v>
      </c>
      <c r="V77" s="79"/>
      <c r="W77" s="79"/>
      <c r="X77" s="72"/>
      <c r="Y77" s="79"/>
      <c r="Z77" s="79"/>
      <c r="AA77" s="2"/>
      <c r="AB77" s="2"/>
      <c r="AC77" s="2"/>
      <c r="AD77" s="2"/>
      <c r="AE77" s="2"/>
      <c r="AF77" s="2"/>
      <c r="AG77" s="79" t="s">
        <v>237</v>
      </c>
      <c r="AH77" s="79"/>
      <c r="AI77" s="79"/>
      <c r="AJ77" s="1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</row>
    <row r="78" spans="2:58" x14ac:dyDescent="0.2">
      <c r="J78" s="2"/>
    </row>
    <row r="79" spans="2:58" x14ac:dyDescent="0.2">
      <c r="D79" s="2"/>
      <c r="J79" s="2"/>
    </row>
    <row r="80" spans="2:58" x14ac:dyDescent="0.2">
      <c r="D80" s="2"/>
      <c r="J80" s="2"/>
    </row>
    <row r="81" spans="2:36" x14ac:dyDescent="0.2">
      <c r="D81" s="2"/>
      <c r="J81" s="2"/>
    </row>
    <row r="82" spans="2:36" ht="15" x14ac:dyDescent="0.2">
      <c r="D82" s="76" t="s">
        <v>226</v>
      </c>
      <c r="J82" s="80"/>
      <c r="K82" s="80"/>
      <c r="L82" s="80"/>
      <c r="M82" s="81" t="s">
        <v>258</v>
      </c>
      <c r="N82" s="81"/>
      <c r="O82" s="81"/>
      <c r="U82" s="82" t="s">
        <v>225</v>
      </c>
      <c r="V82" s="82"/>
      <c r="W82" s="82"/>
      <c r="X82" s="74"/>
      <c r="Y82" s="83"/>
      <c r="Z82" s="83"/>
      <c r="AF82" s="81" t="s">
        <v>232</v>
      </c>
      <c r="AG82" s="81"/>
      <c r="AH82" s="81"/>
      <c r="AI82" s="81"/>
    </row>
    <row r="83" spans="2:36" ht="18.600000000000001" customHeight="1" x14ac:dyDescent="0.2">
      <c r="D83" s="72" t="s">
        <v>227</v>
      </c>
      <c r="J83" s="84"/>
      <c r="K83" s="84"/>
      <c r="L83" s="84"/>
      <c r="M83" s="79" t="s">
        <v>259</v>
      </c>
      <c r="N83" s="79"/>
      <c r="O83" s="79"/>
      <c r="S83" s="84"/>
      <c r="T83" s="84"/>
      <c r="U83" s="84" t="s">
        <v>211</v>
      </c>
      <c r="V83" s="84"/>
      <c r="W83" s="84"/>
      <c r="X83" s="73"/>
      <c r="Y83" s="79"/>
      <c r="Z83" s="79"/>
      <c r="AF83" s="79" t="s">
        <v>233</v>
      </c>
      <c r="AG83" s="79"/>
      <c r="AH83" s="79"/>
      <c r="AI83" s="79"/>
    </row>
    <row r="84" spans="2:36" ht="18.600000000000001" customHeight="1" x14ac:dyDescent="0.2">
      <c r="J84" s="73"/>
      <c r="K84" s="73"/>
      <c r="L84" s="73"/>
      <c r="M84" s="72"/>
      <c r="N84" s="72"/>
      <c r="O84" s="72"/>
      <c r="S84" s="73"/>
      <c r="T84" s="73"/>
      <c r="U84" s="73"/>
      <c r="V84" s="73"/>
      <c r="W84" s="73"/>
      <c r="X84" s="73"/>
      <c r="Y84" s="72"/>
      <c r="Z84" s="72"/>
      <c r="AF84" s="72"/>
      <c r="AG84" s="72"/>
      <c r="AH84" s="72"/>
      <c r="AI84" s="72"/>
    </row>
    <row r="85" spans="2:36" x14ac:dyDescent="0.2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2:36" x14ac:dyDescent="0.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2:36" x14ac:dyDescent="0.2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2:36" x14ac:dyDescent="0.2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2:36" x14ac:dyDescent="0.2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2:36" x14ac:dyDescent="0.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2:36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2:36" x14ac:dyDescent="0.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</sheetData>
  <mergeCells count="17">
    <mergeCell ref="AG77:AI77"/>
    <mergeCell ref="J77:L77"/>
    <mergeCell ref="M77:O77"/>
    <mergeCell ref="S77:T77"/>
    <mergeCell ref="U77:W77"/>
    <mergeCell ref="Y77:Z77"/>
    <mergeCell ref="AF83:AI83"/>
    <mergeCell ref="J82:L82"/>
    <mergeCell ref="M82:O82"/>
    <mergeCell ref="U82:W82"/>
    <mergeCell ref="Y82:Z82"/>
    <mergeCell ref="AF82:AI82"/>
    <mergeCell ref="J83:L83"/>
    <mergeCell ref="M83:O83"/>
    <mergeCell ref="S83:T83"/>
    <mergeCell ref="U83:W83"/>
    <mergeCell ref="Y83:Z83"/>
  </mergeCells>
  <dataValidations count="2">
    <dataValidation type="list" allowBlank="1" showInputMessage="1" showErrorMessage="1" sqref="I6:I64">
      <formula1>"TK/0,TK/1,TK/2,TK/3,K/0,K/1,K/2,K/3"</formula1>
    </dataValidation>
    <dataValidation type="list" allowBlank="1" showInputMessage="1" showErrorMessage="1" sqref="H6:H64">
      <formula1>"L,P"</formula1>
    </dataValidation>
  </dataValidations>
  <pageMargins left="0" right="0" top="0" bottom="0" header="0.31496062992125984" footer="0.31496062992125984"/>
  <pageSetup paperSize="10000" scale="3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P2B</dc:creator>
  <cp:lastModifiedBy>PGE2A</cp:lastModifiedBy>
  <cp:lastPrinted>2025-12-03T08:27:30Z</cp:lastPrinted>
  <dcterms:created xsi:type="dcterms:W3CDTF">2008-12-31T20:56:47Z</dcterms:created>
  <dcterms:modified xsi:type="dcterms:W3CDTF">2026-02-03T01:00:32Z</dcterms:modified>
</cp:coreProperties>
</file>