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480" windowWidth="15600" windowHeight="11160" tabRatio="499" firstSheet="1" activeTab="1"/>
  </bookViews>
  <sheets>
    <sheet name="TARIF" sheetId="1" state="hidden" r:id="rId1"/>
    <sheet name="Des" sheetId="3" r:id="rId2"/>
    <sheet name="PPH EXGRATIA" sheetId="32" state="hidden" r:id="rId3"/>
    <sheet name="PERBULAN" sheetId="33" state="hidden" r:id="rId4"/>
    <sheet name="SETAHUN" sheetId="34" state="hidden" r:id="rId5"/>
    <sheet name="PAJAK JAN-NOV" sheetId="36" state="hidden" r:id="rId6"/>
    <sheet name="BPJS" sheetId="35" state="hidden" r:id="rId7"/>
    <sheet name="ASTEK-DIISI SMPAI DES" sheetId="37" r:id="rId8"/>
  </sheets>
  <externalReferences>
    <externalReference r:id="rId9"/>
    <externalReference r:id="rId10"/>
    <externalReference r:id="rId11"/>
    <externalReference r:id="rId12"/>
  </externalReferences>
  <definedNames>
    <definedName name="februari" localSheetId="2">TARIF!#REF!</definedName>
    <definedName name="februari">TARIF!#REF!</definedName>
    <definedName name="PH" localSheetId="2">[1]TARIF!#REF!</definedName>
    <definedName name="PH">TARIF!#REF!</definedName>
    <definedName name="_xlnm.Print_Area" localSheetId="1">Des!$A$1:$AJ$112</definedName>
    <definedName name="PTKP" localSheetId="2">[1]TARIF!#REF!</definedName>
    <definedName name="PTKP">TARIF!#REF!</definedName>
    <definedName name="TARIF">[2]TARIF!$S$18:$U$25</definedName>
    <definedName name="Ter_A" localSheetId="2">[1]TARIF!$B$3:$E$46</definedName>
    <definedName name="Ter_A">TARIF!$B$3:$E$46</definedName>
    <definedName name="Ter_B" localSheetId="2">[1]TARIF!$H$3:$K$42</definedName>
    <definedName name="Ter_B">TARIF!$H$3:$K$42</definedName>
    <definedName name="Ter_C" localSheetId="2">[1]TARIF!$N$3:$Q$43</definedName>
    <definedName name="Ter_C">TARIF!$N$3:$Q$43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66" i="3" l="1"/>
  <c r="O58" i="3" l="1"/>
  <c r="O59" i="3"/>
  <c r="O60" i="3"/>
  <c r="O61" i="3"/>
  <c r="O62" i="3"/>
  <c r="O63" i="3"/>
  <c r="O64" i="3"/>
  <c r="O65" i="3"/>
  <c r="O6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6" i="3"/>
  <c r="M60" i="3"/>
  <c r="M61" i="3"/>
  <c r="M62" i="3"/>
  <c r="M63" i="3"/>
  <c r="M64" i="3"/>
  <c r="M59" i="3"/>
  <c r="N65" i="3"/>
  <c r="M65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34" i="3"/>
  <c r="N33" i="3"/>
  <c r="N32" i="3"/>
  <c r="M33" i="3"/>
  <c r="M32" i="3"/>
  <c r="M8" i="3"/>
  <c r="M28" i="3"/>
  <c r="M12" i="3" l="1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9" i="3"/>
  <c r="M30" i="3"/>
  <c r="M31" i="3"/>
  <c r="M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11" i="3"/>
  <c r="M7" i="3" l="1"/>
  <c r="M9" i="3"/>
  <c r="M10" i="3"/>
  <c r="M6" i="3"/>
  <c r="AI66" i="3" l="1"/>
  <c r="R14" i="33" l="1"/>
  <c r="A56" i="37" l="1"/>
  <c r="A57" i="37"/>
  <c r="A58" i="37"/>
  <c r="A59" i="37"/>
  <c r="A60" i="37"/>
  <c r="A61" i="37"/>
  <c r="A62" i="37"/>
  <c r="A63" i="37"/>
  <c r="A64" i="37"/>
  <c r="A65" i="37"/>
  <c r="A66" i="37"/>
  <c r="A67" i="37"/>
  <c r="A68" i="37"/>
  <c r="A69" i="37"/>
  <c r="A70" i="37"/>
  <c r="A71" i="37"/>
  <c r="A72" i="37"/>
  <c r="A73" i="37"/>
  <c r="A74" i="37"/>
  <c r="A75" i="37"/>
  <c r="A76" i="37"/>
  <c r="A77" i="37"/>
  <c r="A78" i="37"/>
  <c r="A79" i="37"/>
  <c r="A80" i="37"/>
  <c r="A81" i="37"/>
  <c r="A82" i="37"/>
  <c r="A83" i="37"/>
  <c r="A84" i="37"/>
  <c r="A85" i="37"/>
  <c r="A86" i="37"/>
  <c r="A87" i="37"/>
  <c r="A88" i="37"/>
  <c r="A89" i="37"/>
  <c r="A90" i="37"/>
  <c r="A91" i="37"/>
  <c r="A92" i="37"/>
  <c r="A93" i="37"/>
  <c r="A94" i="37"/>
  <c r="A95" i="37"/>
  <c r="A96" i="37"/>
  <c r="A97" i="37"/>
  <c r="A98" i="37"/>
  <c r="A99" i="37"/>
  <c r="A100" i="37"/>
  <c r="A101" i="37"/>
  <c r="A102" i="37"/>
  <c r="A103" i="37"/>
  <c r="A104" i="37"/>
  <c r="A105" i="37"/>
  <c r="A106" i="37"/>
  <c r="A107" i="37"/>
  <c r="A108" i="37"/>
  <c r="A109" i="37"/>
  <c r="A56" i="35"/>
  <c r="A57" i="35"/>
  <c r="A58" i="35"/>
  <c r="A59" i="35"/>
  <c r="A60" i="35"/>
  <c r="A61" i="35"/>
  <c r="A62" i="35"/>
  <c r="A63" i="35"/>
  <c r="A64" i="35"/>
  <c r="A65" i="35"/>
  <c r="A66" i="35"/>
  <c r="A67" i="35"/>
  <c r="A68" i="35"/>
  <c r="A69" i="35"/>
  <c r="A70" i="35"/>
  <c r="A71" i="35"/>
  <c r="A72" i="35"/>
  <c r="A73" i="35"/>
  <c r="A74" i="35"/>
  <c r="A75" i="35"/>
  <c r="A76" i="35"/>
  <c r="A77" i="35"/>
  <c r="A78" i="35"/>
  <c r="A79" i="35"/>
  <c r="A80" i="35"/>
  <c r="A81" i="35"/>
  <c r="A82" i="35"/>
  <c r="A83" i="35"/>
  <c r="A84" i="35"/>
  <c r="A85" i="35"/>
  <c r="A86" i="35"/>
  <c r="A87" i="35"/>
  <c r="A88" i="35"/>
  <c r="A89" i="35"/>
  <c r="A90" i="35"/>
  <c r="A91" i="35"/>
  <c r="A92" i="35"/>
  <c r="A93" i="35"/>
  <c r="A94" i="35"/>
  <c r="A95" i="35"/>
  <c r="A96" i="35"/>
  <c r="A97" i="35"/>
  <c r="A98" i="35"/>
  <c r="A99" i="35"/>
  <c r="A100" i="35"/>
  <c r="A101" i="35"/>
  <c r="A102" i="35"/>
  <c r="A103" i="35"/>
  <c r="A104" i="35"/>
  <c r="A105" i="35"/>
  <c r="A106" i="35"/>
  <c r="A107" i="35"/>
  <c r="A108" i="35"/>
  <c r="A109" i="35"/>
  <c r="H145" i="37" l="1"/>
  <c r="G145" i="37"/>
  <c r="F145" i="37"/>
  <c r="E145" i="37"/>
  <c r="D145" i="37"/>
  <c r="C145" i="37"/>
  <c r="H30" i="37" l="1"/>
  <c r="G30" i="37"/>
  <c r="F30" i="37"/>
  <c r="E30" i="37"/>
  <c r="D30" i="37"/>
  <c r="C30" i="37"/>
  <c r="H151" i="35"/>
  <c r="G151" i="35"/>
  <c r="F151" i="35"/>
  <c r="E151" i="35"/>
  <c r="D151" i="35"/>
  <c r="C151" i="35"/>
  <c r="H183" i="37" l="1"/>
  <c r="G183" i="37"/>
  <c r="F183" i="37"/>
  <c r="E183" i="37"/>
  <c r="D183" i="37"/>
  <c r="C183" i="37"/>
  <c r="H182" i="37"/>
  <c r="G182" i="37"/>
  <c r="F182" i="37"/>
  <c r="E182" i="37"/>
  <c r="D182" i="37"/>
  <c r="C182" i="37"/>
  <c r="H181" i="37"/>
  <c r="G181" i="37"/>
  <c r="F181" i="37"/>
  <c r="E181" i="37"/>
  <c r="D181" i="37"/>
  <c r="C181" i="37"/>
  <c r="H180" i="37"/>
  <c r="G180" i="37"/>
  <c r="F180" i="37"/>
  <c r="E180" i="37"/>
  <c r="D180" i="37"/>
  <c r="C180" i="37"/>
  <c r="H179" i="37"/>
  <c r="G179" i="37"/>
  <c r="F179" i="37"/>
  <c r="E179" i="37"/>
  <c r="D179" i="37"/>
  <c r="C179" i="37"/>
  <c r="H178" i="37"/>
  <c r="G178" i="37"/>
  <c r="F178" i="37"/>
  <c r="E178" i="37"/>
  <c r="D178" i="37"/>
  <c r="C178" i="37"/>
  <c r="H177" i="37"/>
  <c r="G177" i="37"/>
  <c r="F177" i="37"/>
  <c r="E177" i="37"/>
  <c r="D177" i="37"/>
  <c r="C177" i="37"/>
  <c r="H176" i="37"/>
  <c r="G176" i="37"/>
  <c r="F176" i="37"/>
  <c r="E176" i="37"/>
  <c r="D176" i="37"/>
  <c r="C176" i="37"/>
  <c r="H175" i="37"/>
  <c r="G175" i="37"/>
  <c r="F175" i="37"/>
  <c r="E175" i="37"/>
  <c r="D175" i="37"/>
  <c r="C175" i="37"/>
  <c r="H174" i="37"/>
  <c r="G174" i="37"/>
  <c r="F174" i="37"/>
  <c r="E174" i="37"/>
  <c r="D174" i="37"/>
  <c r="C174" i="37"/>
  <c r="H173" i="37"/>
  <c r="G173" i="37"/>
  <c r="F173" i="37"/>
  <c r="E173" i="37"/>
  <c r="D173" i="37"/>
  <c r="C173" i="37"/>
  <c r="H172" i="37"/>
  <c r="G172" i="37"/>
  <c r="F172" i="37"/>
  <c r="E172" i="37"/>
  <c r="D172" i="37"/>
  <c r="C172" i="37"/>
  <c r="H230" i="37"/>
  <c r="G230" i="37"/>
  <c r="F230" i="37"/>
  <c r="E230" i="37"/>
  <c r="D230" i="37"/>
  <c r="C230" i="37"/>
  <c r="H171" i="37"/>
  <c r="G171" i="37"/>
  <c r="F171" i="37"/>
  <c r="E171" i="37"/>
  <c r="D171" i="37"/>
  <c r="C171" i="37"/>
  <c r="H229" i="37"/>
  <c r="G229" i="37"/>
  <c r="F229" i="37"/>
  <c r="E229" i="37"/>
  <c r="D229" i="37"/>
  <c r="C229" i="37"/>
  <c r="H170" i="37"/>
  <c r="G170" i="37"/>
  <c r="F170" i="37"/>
  <c r="E170" i="37"/>
  <c r="D170" i="37"/>
  <c r="C170" i="37"/>
  <c r="H169" i="37"/>
  <c r="G169" i="37"/>
  <c r="F169" i="37"/>
  <c r="E169" i="37"/>
  <c r="D169" i="37"/>
  <c r="C169" i="37"/>
  <c r="H168" i="37"/>
  <c r="G168" i="37"/>
  <c r="F168" i="37"/>
  <c r="E168" i="37"/>
  <c r="D168" i="37"/>
  <c r="C168" i="37"/>
  <c r="H167" i="37"/>
  <c r="G167" i="37"/>
  <c r="F167" i="37"/>
  <c r="E167" i="37"/>
  <c r="D167" i="37"/>
  <c r="C167" i="37"/>
  <c r="H166" i="37"/>
  <c r="G166" i="37"/>
  <c r="F166" i="37"/>
  <c r="E166" i="37"/>
  <c r="D166" i="37"/>
  <c r="C166" i="37"/>
  <c r="H165" i="37"/>
  <c r="G165" i="37"/>
  <c r="F165" i="37"/>
  <c r="E165" i="37"/>
  <c r="D165" i="37"/>
  <c r="C165" i="37"/>
  <c r="H164" i="37"/>
  <c r="G164" i="37"/>
  <c r="F164" i="37"/>
  <c r="E164" i="37"/>
  <c r="D164" i="37"/>
  <c r="C164" i="37"/>
  <c r="H163" i="37"/>
  <c r="G163" i="37"/>
  <c r="F163" i="37"/>
  <c r="E163" i="37"/>
  <c r="D163" i="37"/>
  <c r="C163" i="37"/>
  <c r="H162" i="37"/>
  <c r="G162" i="37"/>
  <c r="F162" i="37"/>
  <c r="E162" i="37"/>
  <c r="D162" i="37"/>
  <c r="C162" i="37"/>
  <c r="H161" i="37"/>
  <c r="G161" i="37"/>
  <c r="F161" i="37"/>
  <c r="E161" i="37"/>
  <c r="D161" i="37"/>
  <c r="C161" i="37"/>
  <c r="H160" i="37"/>
  <c r="G160" i="37"/>
  <c r="F160" i="37"/>
  <c r="E160" i="37"/>
  <c r="D160" i="37"/>
  <c r="C160" i="37"/>
  <c r="H159" i="37"/>
  <c r="G159" i="37"/>
  <c r="F159" i="37"/>
  <c r="E159" i="37"/>
  <c r="D159" i="37"/>
  <c r="C159" i="37"/>
  <c r="H158" i="37"/>
  <c r="G158" i="37"/>
  <c r="F158" i="37"/>
  <c r="E158" i="37"/>
  <c r="D158" i="37"/>
  <c r="C158" i="37"/>
  <c r="H157" i="37"/>
  <c r="G157" i="37"/>
  <c r="F157" i="37"/>
  <c r="E157" i="37"/>
  <c r="D157" i="37"/>
  <c r="C157" i="37"/>
  <c r="H156" i="37"/>
  <c r="G156" i="37"/>
  <c r="F156" i="37"/>
  <c r="E156" i="37"/>
  <c r="D156" i="37"/>
  <c r="C156" i="37"/>
  <c r="H155" i="37"/>
  <c r="G155" i="37"/>
  <c r="F155" i="37"/>
  <c r="E155" i="37"/>
  <c r="D155" i="37"/>
  <c r="C155" i="37"/>
  <c r="H154" i="37"/>
  <c r="G154" i="37"/>
  <c r="F154" i="37"/>
  <c r="E154" i="37"/>
  <c r="D154" i="37"/>
  <c r="C154" i="37"/>
  <c r="H153" i="37"/>
  <c r="G153" i="37"/>
  <c r="F153" i="37"/>
  <c r="E153" i="37"/>
  <c r="D153" i="37"/>
  <c r="C153" i="37"/>
  <c r="H152" i="37"/>
  <c r="G152" i="37"/>
  <c r="F152" i="37"/>
  <c r="E152" i="37"/>
  <c r="D152" i="37"/>
  <c r="C152" i="37"/>
  <c r="H151" i="37"/>
  <c r="G151" i="37"/>
  <c r="F151" i="37"/>
  <c r="E151" i="37"/>
  <c r="D151" i="37"/>
  <c r="C151" i="37"/>
  <c r="H150" i="37"/>
  <c r="G150" i="37"/>
  <c r="F150" i="37"/>
  <c r="E150" i="37"/>
  <c r="D150" i="37"/>
  <c r="C150" i="37"/>
  <c r="H149" i="37"/>
  <c r="G149" i="37"/>
  <c r="F149" i="37"/>
  <c r="E149" i="37"/>
  <c r="D149" i="37"/>
  <c r="C149" i="37"/>
  <c r="H148" i="37"/>
  <c r="G148" i="37"/>
  <c r="F148" i="37"/>
  <c r="E148" i="37"/>
  <c r="D148" i="37"/>
  <c r="C148" i="37"/>
  <c r="H147" i="37"/>
  <c r="G147" i="37"/>
  <c r="F147" i="37"/>
  <c r="E147" i="37"/>
  <c r="D147" i="37"/>
  <c r="C147" i="37"/>
  <c r="H146" i="37"/>
  <c r="G146" i="37"/>
  <c r="F146" i="37"/>
  <c r="E146" i="37"/>
  <c r="D146" i="37"/>
  <c r="C146" i="37"/>
  <c r="H144" i="37"/>
  <c r="G144" i="37"/>
  <c r="F144" i="37"/>
  <c r="E144" i="37"/>
  <c r="D144" i="37"/>
  <c r="C144" i="37"/>
  <c r="H143" i="37"/>
  <c r="G143" i="37"/>
  <c r="F143" i="37"/>
  <c r="E143" i="37"/>
  <c r="D143" i="37"/>
  <c r="C143" i="37"/>
  <c r="H142" i="37"/>
  <c r="G142" i="37"/>
  <c r="F142" i="37"/>
  <c r="E142" i="37"/>
  <c r="D142" i="37"/>
  <c r="C142" i="37"/>
  <c r="H141" i="37"/>
  <c r="G141" i="37"/>
  <c r="F141" i="37"/>
  <c r="E141" i="37"/>
  <c r="D141" i="37"/>
  <c r="C141" i="37"/>
  <c r="H140" i="37"/>
  <c r="G140" i="37"/>
  <c r="F140" i="37"/>
  <c r="E140" i="37"/>
  <c r="D140" i="37"/>
  <c r="C140" i="37"/>
  <c r="H139" i="37"/>
  <c r="G139" i="37"/>
  <c r="F139" i="37"/>
  <c r="E139" i="37"/>
  <c r="D139" i="37"/>
  <c r="C139" i="37"/>
  <c r="H138" i="37"/>
  <c r="G138" i="37"/>
  <c r="F138" i="37"/>
  <c r="E138" i="37"/>
  <c r="D138" i="37"/>
  <c r="C138" i="37"/>
  <c r="H137" i="37"/>
  <c r="G137" i="37"/>
  <c r="F137" i="37"/>
  <c r="E137" i="37"/>
  <c r="D137" i="37"/>
  <c r="C137" i="37"/>
  <c r="H136" i="37"/>
  <c r="G136" i="37"/>
  <c r="F136" i="37"/>
  <c r="E136" i="37"/>
  <c r="D136" i="37"/>
  <c r="C136" i="37"/>
  <c r="H135" i="37"/>
  <c r="G135" i="37"/>
  <c r="F135" i="37"/>
  <c r="E135" i="37"/>
  <c r="D135" i="37"/>
  <c r="C135" i="37"/>
  <c r="H134" i="37"/>
  <c r="G134" i="37"/>
  <c r="F134" i="37"/>
  <c r="E134" i="37"/>
  <c r="D134" i="37"/>
  <c r="C134" i="37"/>
  <c r="H133" i="37"/>
  <c r="G133" i="37"/>
  <c r="F133" i="37"/>
  <c r="E133" i="37"/>
  <c r="D133" i="37"/>
  <c r="C133" i="37"/>
  <c r="H132" i="37"/>
  <c r="G132" i="37"/>
  <c r="F132" i="37"/>
  <c r="E132" i="37"/>
  <c r="D132" i="37"/>
  <c r="C132" i="37"/>
  <c r="H131" i="37"/>
  <c r="G131" i="37"/>
  <c r="F131" i="37"/>
  <c r="E131" i="37"/>
  <c r="D131" i="37"/>
  <c r="C131" i="37"/>
  <c r="H130" i="37"/>
  <c r="G130" i="37"/>
  <c r="F130" i="37"/>
  <c r="E130" i="37"/>
  <c r="D130" i="37"/>
  <c r="C130" i="37"/>
  <c r="H129" i="37"/>
  <c r="G129" i="37"/>
  <c r="F129" i="37"/>
  <c r="E129" i="37"/>
  <c r="D129" i="37"/>
  <c r="C129" i="37"/>
  <c r="H128" i="37"/>
  <c r="G128" i="37"/>
  <c r="F128" i="37"/>
  <c r="E128" i="37"/>
  <c r="D128" i="37"/>
  <c r="C128" i="37"/>
  <c r="H127" i="37"/>
  <c r="G127" i="37"/>
  <c r="F127" i="37"/>
  <c r="E127" i="37"/>
  <c r="D127" i="37"/>
  <c r="C127" i="37"/>
  <c r="H126" i="37"/>
  <c r="G126" i="37"/>
  <c r="F126" i="37"/>
  <c r="E126" i="37"/>
  <c r="D126" i="37"/>
  <c r="C126" i="37"/>
  <c r="H125" i="37"/>
  <c r="G125" i="37"/>
  <c r="F125" i="37"/>
  <c r="E125" i="37"/>
  <c r="D125" i="37"/>
  <c r="C125" i="37"/>
  <c r="H124" i="37"/>
  <c r="G124" i="37"/>
  <c r="F124" i="37"/>
  <c r="E124" i="37"/>
  <c r="D124" i="37"/>
  <c r="C124" i="37"/>
  <c r="H123" i="37"/>
  <c r="G123" i="37"/>
  <c r="F123" i="37"/>
  <c r="E123" i="37"/>
  <c r="D123" i="37"/>
  <c r="C123" i="37"/>
  <c r="H68" i="37"/>
  <c r="G68" i="37"/>
  <c r="F68" i="37"/>
  <c r="E68" i="37"/>
  <c r="D68" i="37"/>
  <c r="C68" i="37"/>
  <c r="H67" i="37"/>
  <c r="G67" i="37"/>
  <c r="F67" i="37"/>
  <c r="E67" i="37"/>
  <c r="D67" i="37"/>
  <c r="C67" i="37"/>
  <c r="H66" i="37"/>
  <c r="G66" i="37"/>
  <c r="F66" i="37"/>
  <c r="E66" i="37"/>
  <c r="D66" i="37"/>
  <c r="C66" i="37"/>
  <c r="H65" i="37"/>
  <c r="G65" i="37"/>
  <c r="F65" i="37"/>
  <c r="E65" i="37"/>
  <c r="D65" i="37"/>
  <c r="C65" i="37"/>
  <c r="H64" i="37"/>
  <c r="G64" i="37"/>
  <c r="F64" i="37"/>
  <c r="E64" i="37"/>
  <c r="D64" i="37"/>
  <c r="C64" i="37"/>
  <c r="H63" i="37"/>
  <c r="G63" i="37"/>
  <c r="F63" i="37"/>
  <c r="E63" i="37"/>
  <c r="D63" i="37"/>
  <c r="C63" i="37"/>
  <c r="H62" i="37"/>
  <c r="G62" i="37"/>
  <c r="F62" i="37"/>
  <c r="E62" i="37"/>
  <c r="D62" i="37"/>
  <c r="C62" i="37"/>
  <c r="H61" i="37"/>
  <c r="G61" i="37"/>
  <c r="F61" i="37"/>
  <c r="E61" i="37"/>
  <c r="D61" i="37"/>
  <c r="C61" i="37"/>
  <c r="H60" i="37"/>
  <c r="G60" i="37"/>
  <c r="F60" i="37"/>
  <c r="E60" i="37"/>
  <c r="D60" i="37"/>
  <c r="C60" i="37"/>
  <c r="H59" i="37"/>
  <c r="G59" i="37"/>
  <c r="F59" i="37"/>
  <c r="E59" i="37"/>
  <c r="D59" i="37"/>
  <c r="C59" i="37"/>
  <c r="H58" i="37"/>
  <c r="G58" i="37"/>
  <c r="F58" i="37"/>
  <c r="E58" i="37"/>
  <c r="D58" i="37"/>
  <c r="C58" i="37"/>
  <c r="H57" i="37"/>
  <c r="G57" i="37"/>
  <c r="F57" i="37"/>
  <c r="E57" i="37"/>
  <c r="D57" i="37"/>
  <c r="C57" i="37"/>
  <c r="H114" i="37"/>
  <c r="G114" i="37"/>
  <c r="F114" i="37"/>
  <c r="E114" i="37"/>
  <c r="D114" i="37"/>
  <c r="C114" i="37"/>
  <c r="H56" i="37"/>
  <c r="G56" i="37"/>
  <c r="F56" i="37"/>
  <c r="E56" i="37"/>
  <c r="D56" i="37"/>
  <c r="C56" i="37"/>
  <c r="H113" i="37"/>
  <c r="G113" i="37"/>
  <c r="F113" i="37"/>
  <c r="E113" i="37"/>
  <c r="D113" i="37"/>
  <c r="C113" i="37"/>
  <c r="H55" i="37"/>
  <c r="G55" i="37"/>
  <c r="F55" i="37"/>
  <c r="E55" i="37"/>
  <c r="D55" i="37"/>
  <c r="C55" i="37"/>
  <c r="H54" i="37"/>
  <c r="G54" i="37"/>
  <c r="F54" i="37"/>
  <c r="E54" i="37"/>
  <c r="D54" i="37"/>
  <c r="C54" i="37"/>
  <c r="H53" i="37"/>
  <c r="G53" i="37"/>
  <c r="F53" i="37"/>
  <c r="E53" i="37"/>
  <c r="D53" i="37"/>
  <c r="C53" i="37"/>
  <c r="H52" i="37"/>
  <c r="G52" i="37"/>
  <c r="F52" i="37"/>
  <c r="E52" i="37"/>
  <c r="D52" i="37"/>
  <c r="C52" i="37"/>
  <c r="H51" i="37"/>
  <c r="G51" i="37"/>
  <c r="F51" i="37"/>
  <c r="E51" i="37"/>
  <c r="D51" i="37"/>
  <c r="C51" i="37"/>
  <c r="H50" i="37"/>
  <c r="G50" i="37"/>
  <c r="F50" i="37"/>
  <c r="E50" i="37"/>
  <c r="D50" i="37"/>
  <c r="C50" i="37"/>
  <c r="H49" i="37"/>
  <c r="G49" i="37"/>
  <c r="F49" i="37"/>
  <c r="E49" i="37"/>
  <c r="D49" i="37"/>
  <c r="C49" i="37"/>
  <c r="H48" i="37"/>
  <c r="G48" i="37"/>
  <c r="F48" i="37"/>
  <c r="E48" i="37"/>
  <c r="D48" i="37"/>
  <c r="C48" i="37"/>
  <c r="H47" i="37"/>
  <c r="G47" i="37"/>
  <c r="F47" i="37"/>
  <c r="E47" i="37"/>
  <c r="D47" i="37"/>
  <c r="C47" i="37"/>
  <c r="H46" i="37"/>
  <c r="G46" i="37"/>
  <c r="F46" i="37"/>
  <c r="E46" i="37"/>
  <c r="D46" i="37"/>
  <c r="C46" i="37"/>
  <c r="H45" i="37"/>
  <c r="G45" i="37"/>
  <c r="F45" i="37"/>
  <c r="E45" i="37"/>
  <c r="D45" i="37"/>
  <c r="C45" i="37"/>
  <c r="H44" i="37"/>
  <c r="G44" i="37"/>
  <c r="F44" i="37"/>
  <c r="E44" i="37"/>
  <c r="D44" i="37"/>
  <c r="C44" i="37"/>
  <c r="H43" i="37"/>
  <c r="G43" i="37"/>
  <c r="F43" i="37"/>
  <c r="E43" i="37"/>
  <c r="D43" i="37"/>
  <c r="C43" i="37"/>
  <c r="H42" i="37"/>
  <c r="G42" i="37"/>
  <c r="F42" i="37"/>
  <c r="E42" i="37"/>
  <c r="D42" i="37"/>
  <c r="C42" i="37"/>
  <c r="H41" i="37"/>
  <c r="G41" i="37"/>
  <c r="F41" i="37"/>
  <c r="E41" i="37"/>
  <c r="D41" i="37"/>
  <c r="C41" i="37"/>
  <c r="H40" i="37"/>
  <c r="G40" i="37"/>
  <c r="F40" i="37"/>
  <c r="E40" i="37"/>
  <c r="D40" i="37"/>
  <c r="C40" i="37"/>
  <c r="H39" i="37"/>
  <c r="G39" i="37"/>
  <c r="F39" i="37"/>
  <c r="E39" i="37"/>
  <c r="D39" i="37"/>
  <c r="C39" i="37"/>
  <c r="H38" i="37"/>
  <c r="G38" i="37"/>
  <c r="F38" i="37"/>
  <c r="E38" i="37"/>
  <c r="D38" i="37"/>
  <c r="C38" i="37"/>
  <c r="H37" i="37"/>
  <c r="G37" i="37"/>
  <c r="F37" i="37"/>
  <c r="E37" i="37"/>
  <c r="D37" i="37"/>
  <c r="C37" i="37"/>
  <c r="H36" i="37"/>
  <c r="G36" i="37"/>
  <c r="F36" i="37"/>
  <c r="E36" i="37"/>
  <c r="D36" i="37"/>
  <c r="C36" i="37"/>
  <c r="H35" i="37"/>
  <c r="G35" i="37"/>
  <c r="F35" i="37"/>
  <c r="E35" i="37"/>
  <c r="D35" i="37"/>
  <c r="C35" i="37"/>
  <c r="H34" i="37"/>
  <c r="G34" i="37"/>
  <c r="F34" i="37"/>
  <c r="E34" i="37"/>
  <c r="D34" i="37"/>
  <c r="C34" i="37"/>
  <c r="H33" i="37"/>
  <c r="G33" i="37"/>
  <c r="F33" i="37"/>
  <c r="E33" i="37"/>
  <c r="D33" i="37"/>
  <c r="C33" i="37"/>
  <c r="H32" i="37"/>
  <c r="G32" i="37"/>
  <c r="F32" i="37"/>
  <c r="E32" i="37"/>
  <c r="D32" i="37"/>
  <c r="C32" i="37"/>
  <c r="H31" i="37"/>
  <c r="G31" i="37"/>
  <c r="F31" i="37"/>
  <c r="E31" i="37"/>
  <c r="D31" i="37"/>
  <c r="C31" i="37"/>
  <c r="O30" i="37"/>
  <c r="H29" i="37"/>
  <c r="G29" i="37"/>
  <c r="F29" i="37"/>
  <c r="E29" i="37"/>
  <c r="D29" i="37"/>
  <c r="C29" i="37"/>
  <c r="H28" i="37"/>
  <c r="G28" i="37"/>
  <c r="F28" i="37"/>
  <c r="E28" i="37"/>
  <c r="D28" i="37"/>
  <c r="C28" i="37"/>
  <c r="H27" i="37"/>
  <c r="G27" i="37"/>
  <c r="F27" i="37"/>
  <c r="E27" i="37"/>
  <c r="D27" i="37"/>
  <c r="C27" i="37"/>
  <c r="H26" i="37"/>
  <c r="G26" i="37"/>
  <c r="F26" i="37"/>
  <c r="E26" i="37"/>
  <c r="D26" i="37"/>
  <c r="C26" i="37"/>
  <c r="H25" i="37"/>
  <c r="G25" i="37"/>
  <c r="F25" i="37"/>
  <c r="E25" i="37"/>
  <c r="D25" i="37"/>
  <c r="C25" i="37"/>
  <c r="H24" i="37"/>
  <c r="G24" i="37"/>
  <c r="F24" i="37"/>
  <c r="E24" i="37"/>
  <c r="D24" i="37"/>
  <c r="C24" i="37"/>
  <c r="H23" i="37"/>
  <c r="G23" i="37"/>
  <c r="F23" i="37"/>
  <c r="E23" i="37"/>
  <c r="D23" i="37"/>
  <c r="C23" i="37"/>
  <c r="H22" i="37"/>
  <c r="G22" i="37"/>
  <c r="F22" i="37"/>
  <c r="E22" i="37"/>
  <c r="D22" i="37"/>
  <c r="C22" i="37"/>
  <c r="H21" i="37"/>
  <c r="G21" i="37"/>
  <c r="F21" i="37"/>
  <c r="E21" i="37"/>
  <c r="D21" i="37"/>
  <c r="C21" i="37"/>
  <c r="H20" i="37"/>
  <c r="G20" i="37"/>
  <c r="F20" i="37"/>
  <c r="E20" i="37"/>
  <c r="D20" i="37"/>
  <c r="C20" i="37"/>
  <c r="H19" i="37"/>
  <c r="G19" i="37"/>
  <c r="F19" i="37"/>
  <c r="E19" i="37"/>
  <c r="D19" i="37"/>
  <c r="C19" i="37"/>
  <c r="H18" i="37"/>
  <c r="G18" i="37"/>
  <c r="F18" i="37"/>
  <c r="E18" i="37"/>
  <c r="D18" i="37"/>
  <c r="C18" i="37"/>
  <c r="H17" i="37"/>
  <c r="G17" i="37"/>
  <c r="F17" i="37"/>
  <c r="E17" i="37"/>
  <c r="D17" i="37"/>
  <c r="C17" i="37"/>
  <c r="H16" i="37"/>
  <c r="G16" i="37"/>
  <c r="F16" i="37"/>
  <c r="E16" i="37"/>
  <c r="D16" i="37"/>
  <c r="C16" i="37"/>
  <c r="H15" i="37"/>
  <c r="G15" i="37"/>
  <c r="F15" i="37"/>
  <c r="E15" i="37"/>
  <c r="D15" i="37"/>
  <c r="C15" i="37"/>
  <c r="H14" i="37"/>
  <c r="G14" i="37"/>
  <c r="F14" i="37"/>
  <c r="E14" i="37"/>
  <c r="D14" i="37"/>
  <c r="C14" i="37"/>
  <c r="H13" i="37"/>
  <c r="G13" i="37"/>
  <c r="F13" i="37"/>
  <c r="E13" i="37"/>
  <c r="D13" i="37"/>
  <c r="C13" i="37"/>
  <c r="H12" i="37"/>
  <c r="G12" i="37"/>
  <c r="F12" i="37"/>
  <c r="E12" i="37"/>
  <c r="D12" i="37"/>
  <c r="C12" i="37"/>
  <c r="H11" i="37"/>
  <c r="G11" i="37"/>
  <c r="F11" i="37"/>
  <c r="E11" i="37"/>
  <c r="D11" i="37"/>
  <c r="C11" i="37"/>
  <c r="H10" i="37"/>
  <c r="G10" i="37"/>
  <c r="F10" i="37"/>
  <c r="E10" i="37"/>
  <c r="D10" i="37"/>
  <c r="C10" i="37"/>
  <c r="H9" i="37"/>
  <c r="G9" i="37"/>
  <c r="F9" i="37"/>
  <c r="E9" i="37"/>
  <c r="D9" i="37"/>
  <c r="C9" i="37"/>
  <c r="H8" i="37"/>
  <c r="G8" i="37"/>
  <c r="F8" i="37"/>
  <c r="E8" i="37"/>
  <c r="D8" i="37"/>
  <c r="C8" i="37"/>
  <c r="H189" i="35"/>
  <c r="G189" i="35"/>
  <c r="F189" i="35"/>
  <c r="E189" i="35"/>
  <c r="D189" i="35"/>
  <c r="C189" i="35"/>
  <c r="H188" i="35"/>
  <c r="G188" i="35"/>
  <c r="F188" i="35"/>
  <c r="E188" i="35"/>
  <c r="D188" i="35"/>
  <c r="C188" i="35"/>
  <c r="H187" i="35"/>
  <c r="G187" i="35"/>
  <c r="F187" i="35"/>
  <c r="E187" i="35"/>
  <c r="D187" i="35"/>
  <c r="C187" i="35"/>
  <c r="H186" i="35"/>
  <c r="G186" i="35"/>
  <c r="F186" i="35"/>
  <c r="E186" i="35"/>
  <c r="D186" i="35"/>
  <c r="C186" i="35"/>
  <c r="H185" i="35"/>
  <c r="G185" i="35"/>
  <c r="F185" i="35"/>
  <c r="E185" i="35"/>
  <c r="D185" i="35"/>
  <c r="C185" i="35"/>
  <c r="H184" i="35"/>
  <c r="G184" i="35"/>
  <c r="F184" i="35"/>
  <c r="E184" i="35"/>
  <c r="D184" i="35"/>
  <c r="C184" i="35"/>
  <c r="H183" i="35"/>
  <c r="G183" i="35"/>
  <c r="F183" i="35"/>
  <c r="E183" i="35"/>
  <c r="D183" i="35"/>
  <c r="C183" i="35"/>
  <c r="H182" i="35"/>
  <c r="G182" i="35"/>
  <c r="F182" i="35"/>
  <c r="E182" i="35"/>
  <c r="D182" i="35"/>
  <c r="C182" i="35"/>
  <c r="H181" i="35"/>
  <c r="G181" i="35"/>
  <c r="F181" i="35"/>
  <c r="E181" i="35"/>
  <c r="D181" i="35"/>
  <c r="C181" i="35"/>
  <c r="H180" i="35"/>
  <c r="G180" i="35"/>
  <c r="F180" i="35"/>
  <c r="E180" i="35"/>
  <c r="D180" i="35"/>
  <c r="C180" i="35"/>
  <c r="H179" i="35"/>
  <c r="G179" i="35"/>
  <c r="F179" i="35"/>
  <c r="E179" i="35"/>
  <c r="D179" i="35"/>
  <c r="C179" i="35"/>
  <c r="H178" i="35"/>
  <c r="G178" i="35"/>
  <c r="F178" i="35"/>
  <c r="E178" i="35"/>
  <c r="D178" i="35"/>
  <c r="C178" i="35"/>
  <c r="H236" i="35"/>
  <c r="G236" i="35"/>
  <c r="F236" i="35"/>
  <c r="E236" i="35"/>
  <c r="D236" i="35"/>
  <c r="C236" i="35"/>
  <c r="H177" i="35"/>
  <c r="G177" i="35"/>
  <c r="F177" i="35"/>
  <c r="E177" i="35"/>
  <c r="D177" i="35"/>
  <c r="C177" i="35"/>
  <c r="H235" i="35"/>
  <c r="G235" i="35"/>
  <c r="F235" i="35"/>
  <c r="E235" i="35"/>
  <c r="D235" i="35"/>
  <c r="C235" i="35"/>
  <c r="H176" i="35"/>
  <c r="G176" i="35"/>
  <c r="F176" i="35"/>
  <c r="E176" i="35"/>
  <c r="D176" i="35"/>
  <c r="C176" i="35"/>
  <c r="H175" i="35"/>
  <c r="G175" i="35"/>
  <c r="F175" i="35"/>
  <c r="E175" i="35"/>
  <c r="D175" i="35"/>
  <c r="C175" i="35"/>
  <c r="H174" i="35"/>
  <c r="G174" i="35"/>
  <c r="F174" i="35"/>
  <c r="E174" i="35"/>
  <c r="D174" i="35"/>
  <c r="C174" i="35"/>
  <c r="H173" i="35"/>
  <c r="G173" i="35"/>
  <c r="F173" i="35"/>
  <c r="E173" i="35"/>
  <c r="D173" i="35"/>
  <c r="C173" i="35"/>
  <c r="H172" i="35"/>
  <c r="G172" i="35"/>
  <c r="F172" i="35"/>
  <c r="E172" i="35"/>
  <c r="D172" i="35"/>
  <c r="C172" i="35"/>
  <c r="H171" i="35"/>
  <c r="G171" i="35"/>
  <c r="F171" i="35"/>
  <c r="E171" i="35"/>
  <c r="D171" i="35"/>
  <c r="C171" i="35"/>
  <c r="H170" i="35"/>
  <c r="G170" i="35"/>
  <c r="F170" i="35"/>
  <c r="E170" i="35"/>
  <c r="D170" i="35"/>
  <c r="C170" i="35"/>
  <c r="H169" i="35"/>
  <c r="G169" i="35"/>
  <c r="F169" i="35"/>
  <c r="E169" i="35"/>
  <c r="D169" i="35"/>
  <c r="C169" i="35"/>
  <c r="H168" i="35"/>
  <c r="G168" i="35"/>
  <c r="F168" i="35"/>
  <c r="E168" i="35"/>
  <c r="D168" i="35"/>
  <c r="C168" i="35"/>
  <c r="H167" i="35"/>
  <c r="G167" i="35"/>
  <c r="F167" i="35"/>
  <c r="E167" i="35"/>
  <c r="D167" i="35"/>
  <c r="C167" i="35"/>
  <c r="H166" i="35"/>
  <c r="G166" i="35"/>
  <c r="F166" i="35"/>
  <c r="E166" i="35"/>
  <c r="D166" i="35"/>
  <c r="C166" i="35"/>
  <c r="H165" i="35"/>
  <c r="G165" i="35"/>
  <c r="F165" i="35"/>
  <c r="E165" i="35"/>
  <c r="D165" i="35"/>
  <c r="C165" i="35"/>
  <c r="H164" i="35"/>
  <c r="G164" i="35"/>
  <c r="F164" i="35"/>
  <c r="E164" i="35"/>
  <c r="D164" i="35"/>
  <c r="C164" i="35"/>
  <c r="H163" i="35"/>
  <c r="G163" i="35"/>
  <c r="F163" i="35"/>
  <c r="E163" i="35"/>
  <c r="D163" i="35"/>
  <c r="C163" i="35"/>
  <c r="H162" i="35"/>
  <c r="G162" i="35"/>
  <c r="F162" i="35"/>
  <c r="E162" i="35"/>
  <c r="D162" i="35"/>
  <c r="C162" i="35"/>
  <c r="H161" i="35"/>
  <c r="G161" i="35"/>
  <c r="F161" i="35"/>
  <c r="E161" i="35"/>
  <c r="D161" i="35"/>
  <c r="C161" i="35"/>
  <c r="H160" i="35"/>
  <c r="G160" i="35"/>
  <c r="F160" i="35"/>
  <c r="E160" i="35"/>
  <c r="D160" i="35"/>
  <c r="C160" i="35"/>
  <c r="H159" i="35"/>
  <c r="G159" i="35"/>
  <c r="F159" i="35"/>
  <c r="E159" i="35"/>
  <c r="D159" i="35"/>
  <c r="C159" i="35"/>
  <c r="H158" i="35"/>
  <c r="G158" i="35"/>
  <c r="F158" i="35"/>
  <c r="E158" i="35"/>
  <c r="D158" i="35"/>
  <c r="C158" i="35"/>
  <c r="H157" i="35"/>
  <c r="G157" i="35"/>
  <c r="F157" i="35"/>
  <c r="E157" i="35"/>
  <c r="D157" i="35"/>
  <c r="C157" i="35"/>
  <c r="H156" i="35"/>
  <c r="G156" i="35"/>
  <c r="F156" i="35"/>
  <c r="E156" i="35"/>
  <c r="D156" i="35"/>
  <c r="C156" i="35"/>
  <c r="H155" i="35"/>
  <c r="G155" i="35"/>
  <c r="F155" i="35"/>
  <c r="E155" i="35"/>
  <c r="D155" i="35"/>
  <c r="C155" i="35"/>
  <c r="H154" i="35"/>
  <c r="G154" i="35"/>
  <c r="F154" i="35"/>
  <c r="E154" i="35"/>
  <c r="D154" i="35"/>
  <c r="C154" i="35"/>
  <c r="H153" i="35"/>
  <c r="G153" i="35"/>
  <c r="F153" i="35"/>
  <c r="E153" i="35"/>
  <c r="D153" i="35"/>
  <c r="C153" i="35"/>
  <c r="H152" i="35"/>
  <c r="G152" i="35"/>
  <c r="F152" i="35"/>
  <c r="E152" i="35"/>
  <c r="D152" i="35"/>
  <c r="C152" i="35"/>
  <c r="H150" i="35"/>
  <c r="G150" i="35"/>
  <c r="F150" i="35"/>
  <c r="E150" i="35"/>
  <c r="D150" i="35"/>
  <c r="C150" i="35"/>
  <c r="H149" i="35"/>
  <c r="G149" i="35"/>
  <c r="F149" i="35"/>
  <c r="E149" i="35"/>
  <c r="D149" i="35"/>
  <c r="C149" i="35"/>
  <c r="H148" i="35"/>
  <c r="G148" i="35"/>
  <c r="F148" i="35"/>
  <c r="E148" i="35"/>
  <c r="D148" i="35"/>
  <c r="C148" i="35"/>
  <c r="H147" i="35"/>
  <c r="G147" i="35"/>
  <c r="F147" i="35"/>
  <c r="E147" i="35"/>
  <c r="D147" i="35"/>
  <c r="C147" i="35"/>
  <c r="H146" i="35"/>
  <c r="G146" i="35"/>
  <c r="F146" i="35"/>
  <c r="E146" i="35"/>
  <c r="D146" i="35"/>
  <c r="C146" i="35"/>
  <c r="H145" i="35"/>
  <c r="G145" i="35"/>
  <c r="F145" i="35"/>
  <c r="E145" i="35"/>
  <c r="D145" i="35"/>
  <c r="C145" i="35"/>
  <c r="H144" i="35"/>
  <c r="G144" i="35"/>
  <c r="F144" i="35"/>
  <c r="E144" i="35"/>
  <c r="D144" i="35"/>
  <c r="C144" i="35"/>
  <c r="H143" i="35"/>
  <c r="G143" i="35"/>
  <c r="F143" i="35"/>
  <c r="E143" i="35"/>
  <c r="D143" i="35"/>
  <c r="C143" i="35"/>
  <c r="H142" i="35"/>
  <c r="G142" i="35"/>
  <c r="F142" i="35"/>
  <c r="E142" i="35"/>
  <c r="D142" i="35"/>
  <c r="C142" i="35"/>
  <c r="H141" i="35"/>
  <c r="G141" i="35"/>
  <c r="F141" i="35"/>
  <c r="E141" i="35"/>
  <c r="D141" i="35"/>
  <c r="C141" i="35"/>
  <c r="H140" i="35"/>
  <c r="G140" i="35"/>
  <c r="F140" i="35"/>
  <c r="E140" i="35"/>
  <c r="D140" i="35"/>
  <c r="C140" i="35"/>
  <c r="H139" i="35"/>
  <c r="G139" i="35"/>
  <c r="F139" i="35"/>
  <c r="E139" i="35"/>
  <c r="D139" i="35"/>
  <c r="C139" i="35"/>
  <c r="H138" i="35"/>
  <c r="G138" i="35"/>
  <c r="F138" i="35"/>
  <c r="E138" i="35"/>
  <c r="D138" i="35"/>
  <c r="C138" i="35"/>
  <c r="H137" i="35"/>
  <c r="G137" i="35"/>
  <c r="F137" i="35"/>
  <c r="E137" i="35"/>
  <c r="D137" i="35"/>
  <c r="C137" i="35"/>
  <c r="H136" i="35"/>
  <c r="G136" i="35"/>
  <c r="F136" i="35"/>
  <c r="E136" i="35"/>
  <c r="D136" i="35"/>
  <c r="C136" i="35"/>
  <c r="H135" i="35"/>
  <c r="G135" i="35"/>
  <c r="F135" i="35"/>
  <c r="E135" i="35"/>
  <c r="D135" i="35"/>
  <c r="C135" i="35"/>
  <c r="H134" i="35"/>
  <c r="G134" i="35"/>
  <c r="F134" i="35"/>
  <c r="E134" i="35"/>
  <c r="D134" i="35"/>
  <c r="C134" i="35"/>
  <c r="H133" i="35"/>
  <c r="G133" i="35"/>
  <c r="F133" i="35"/>
  <c r="E133" i="35"/>
  <c r="D133" i="35"/>
  <c r="C133" i="35"/>
  <c r="H132" i="35"/>
  <c r="G132" i="35"/>
  <c r="F132" i="35"/>
  <c r="E132" i="35"/>
  <c r="D132" i="35"/>
  <c r="C132" i="35"/>
  <c r="H131" i="35"/>
  <c r="G131" i="35"/>
  <c r="F131" i="35"/>
  <c r="E131" i="35"/>
  <c r="D131" i="35"/>
  <c r="C131" i="35"/>
  <c r="H130" i="35"/>
  <c r="G130" i="35"/>
  <c r="F130" i="35"/>
  <c r="E130" i="35"/>
  <c r="D130" i="35"/>
  <c r="C130" i="35"/>
  <c r="H129" i="35"/>
  <c r="G129" i="35"/>
  <c r="F129" i="35"/>
  <c r="E129" i="35"/>
  <c r="D129" i="35"/>
  <c r="C129" i="35"/>
  <c r="N225" i="37"/>
  <c r="M225" i="37"/>
  <c r="L225" i="37"/>
  <c r="K225" i="37"/>
  <c r="J225" i="37"/>
  <c r="I225" i="37"/>
  <c r="O224" i="37"/>
  <c r="O109" i="34" s="1"/>
  <c r="O223" i="37"/>
  <c r="O108" i="34" s="1"/>
  <c r="O222" i="37"/>
  <c r="O107" i="34" s="1"/>
  <c r="O221" i="37"/>
  <c r="O106" i="34" s="1"/>
  <c r="O220" i="37"/>
  <c r="O105" i="34" s="1"/>
  <c r="O219" i="37"/>
  <c r="O104" i="34" s="1"/>
  <c r="O218" i="37"/>
  <c r="O103" i="34" s="1"/>
  <c r="O217" i="37"/>
  <c r="O102" i="34" s="1"/>
  <c r="O216" i="37"/>
  <c r="O101" i="34" s="1"/>
  <c r="O215" i="37"/>
  <c r="O100" i="34" s="1"/>
  <c r="O214" i="37"/>
  <c r="O99" i="34" s="1"/>
  <c r="O213" i="37"/>
  <c r="O98" i="34" s="1"/>
  <c r="O212" i="37"/>
  <c r="O97" i="34" s="1"/>
  <c r="O211" i="37"/>
  <c r="O96" i="34" s="1"/>
  <c r="O210" i="37"/>
  <c r="O95" i="34" s="1"/>
  <c r="O209" i="37"/>
  <c r="O94" i="34" s="1"/>
  <c r="O208" i="37"/>
  <c r="O93" i="34" s="1"/>
  <c r="O207" i="37"/>
  <c r="O92" i="34" s="1"/>
  <c r="O206" i="37"/>
  <c r="O91" i="34" s="1"/>
  <c r="O205" i="37"/>
  <c r="O90" i="34" s="1"/>
  <c r="O204" i="37"/>
  <c r="O89" i="34" s="1"/>
  <c r="O203" i="37"/>
  <c r="O88" i="34" s="1"/>
  <c r="O202" i="37"/>
  <c r="O87" i="34" s="1"/>
  <c r="O201" i="37"/>
  <c r="O86" i="34" s="1"/>
  <c r="O200" i="37"/>
  <c r="O85" i="34" s="1"/>
  <c r="O199" i="37"/>
  <c r="O84" i="34" s="1"/>
  <c r="O198" i="37"/>
  <c r="O83" i="34" s="1"/>
  <c r="O197" i="37"/>
  <c r="O82" i="34" s="1"/>
  <c r="O196" i="37"/>
  <c r="O81" i="34" s="1"/>
  <c r="O195" i="37"/>
  <c r="O80" i="34" s="1"/>
  <c r="O194" i="37"/>
  <c r="O79" i="34" s="1"/>
  <c r="O193" i="37"/>
  <c r="O78" i="34" s="1"/>
  <c r="O192" i="37"/>
  <c r="O77" i="34" s="1"/>
  <c r="O191" i="37"/>
  <c r="O76" i="34" s="1"/>
  <c r="O190" i="37"/>
  <c r="O75" i="34" s="1"/>
  <c r="O189" i="37"/>
  <c r="O74" i="34" s="1"/>
  <c r="O188" i="37"/>
  <c r="O73" i="34" s="1"/>
  <c r="O187" i="37"/>
  <c r="O72" i="34" s="1"/>
  <c r="O186" i="37"/>
  <c r="O71" i="34" s="1"/>
  <c r="O185" i="37"/>
  <c r="O70" i="34" s="1"/>
  <c r="O184" i="37"/>
  <c r="O69" i="34" s="1"/>
  <c r="O145" i="37"/>
  <c r="O30" i="34" s="1"/>
  <c r="N231" i="35"/>
  <c r="M231" i="35"/>
  <c r="L231" i="35"/>
  <c r="K231" i="35"/>
  <c r="J231" i="35"/>
  <c r="I231" i="35"/>
  <c r="O230" i="35"/>
  <c r="H109" i="34" s="1"/>
  <c r="O229" i="35"/>
  <c r="H108" i="34" s="1"/>
  <c r="O228" i="35"/>
  <c r="H107" i="34" s="1"/>
  <c r="O227" i="35"/>
  <c r="H106" i="34" s="1"/>
  <c r="O226" i="35"/>
  <c r="H105" i="34" s="1"/>
  <c r="O225" i="35"/>
  <c r="H104" i="34" s="1"/>
  <c r="O224" i="35"/>
  <c r="H103" i="34" s="1"/>
  <c r="O223" i="35"/>
  <c r="H102" i="34" s="1"/>
  <c r="O222" i="35"/>
  <c r="H101" i="34" s="1"/>
  <c r="O221" i="35"/>
  <c r="H100" i="34" s="1"/>
  <c r="O220" i="35"/>
  <c r="H99" i="34" s="1"/>
  <c r="O219" i="35"/>
  <c r="H98" i="34" s="1"/>
  <c r="O218" i="35"/>
  <c r="H97" i="34" s="1"/>
  <c r="O217" i="35"/>
  <c r="H96" i="34" s="1"/>
  <c r="O216" i="35"/>
  <c r="H95" i="34" s="1"/>
  <c r="O215" i="35"/>
  <c r="H94" i="34" s="1"/>
  <c r="O214" i="35"/>
  <c r="H93" i="34" s="1"/>
  <c r="O213" i="35"/>
  <c r="H92" i="34" s="1"/>
  <c r="O212" i="35"/>
  <c r="H91" i="34" s="1"/>
  <c r="O211" i="35"/>
  <c r="H90" i="34" s="1"/>
  <c r="O210" i="35"/>
  <c r="H89" i="34" s="1"/>
  <c r="O209" i="35"/>
  <c r="H88" i="34" s="1"/>
  <c r="O208" i="35"/>
  <c r="H87" i="34" s="1"/>
  <c r="O207" i="35"/>
  <c r="H86" i="34" s="1"/>
  <c r="O206" i="35"/>
  <c r="H85" i="34" s="1"/>
  <c r="O205" i="35"/>
  <c r="H84" i="34" s="1"/>
  <c r="O204" i="35"/>
  <c r="H83" i="34" s="1"/>
  <c r="O203" i="35"/>
  <c r="H82" i="34" s="1"/>
  <c r="O202" i="35"/>
  <c r="H81" i="34" s="1"/>
  <c r="O201" i="35"/>
  <c r="H80" i="34" s="1"/>
  <c r="O200" i="35"/>
  <c r="H79" i="34" s="1"/>
  <c r="O199" i="35"/>
  <c r="H78" i="34" s="1"/>
  <c r="O198" i="35"/>
  <c r="H77" i="34" s="1"/>
  <c r="O197" i="35"/>
  <c r="H76" i="34" s="1"/>
  <c r="O196" i="35"/>
  <c r="H75" i="34" s="1"/>
  <c r="O195" i="35"/>
  <c r="H74" i="34" s="1"/>
  <c r="O194" i="35"/>
  <c r="H73" i="34" s="1"/>
  <c r="O193" i="35"/>
  <c r="H72" i="34" s="1"/>
  <c r="O192" i="35"/>
  <c r="H71" i="34" s="1"/>
  <c r="O191" i="35"/>
  <c r="H70" i="34" s="1"/>
  <c r="O190" i="35"/>
  <c r="H69" i="34" s="1"/>
  <c r="O151" i="35"/>
  <c r="H30" i="34" s="1"/>
  <c r="N110" i="37"/>
  <c r="M110" i="37"/>
  <c r="L110" i="37"/>
  <c r="K110" i="37"/>
  <c r="J110" i="37"/>
  <c r="I110" i="37"/>
  <c r="O109" i="37"/>
  <c r="N109" i="34" s="1"/>
  <c r="B109" i="37"/>
  <c r="B224" i="37" s="1"/>
  <c r="O108" i="37"/>
  <c r="N108" i="34" s="1"/>
  <c r="B108" i="37"/>
  <c r="B223" i="37" s="1"/>
  <c r="O107" i="37"/>
  <c r="N107" i="34" s="1"/>
  <c r="B107" i="37"/>
  <c r="B222" i="37" s="1"/>
  <c r="O106" i="37"/>
  <c r="N106" i="34" s="1"/>
  <c r="B106" i="37"/>
  <c r="B221" i="37" s="1"/>
  <c r="O105" i="37"/>
  <c r="N105" i="34" s="1"/>
  <c r="B105" i="37"/>
  <c r="B220" i="37" s="1"/>
  <c r="O104" i="37"/>
  <c r="N104" i="34" s="1"/>
  <c r="B104" i="37"/>
  <c r="B219" i="37" s="1"/>
  <c r="O103" i="37"/>
  <c r="N103" i="34" s="1"/>
  <c r="B103" i="37"/>
  <c r="B218" i="37" s="1"/>
  <c r="O102" i="37"/>
  <c r="N102" i="34" s="1"/>
  <c r="B102" i="37"/>
  <c r="B217" i="37" s="1"/>
  <c r="O101" i="37"/>
  <c r="N101" i="34" s="1"/>
  <c r="B101" i="37"/>
  <c r="B216" i="37" s="1"/>
  <c r="O100" i="37"/>
  <c r="N100" i="34" s="1"/>
  <c r="B100" i="37"/>
  <c r="B215" i="37" s="1"/>
  <c r="O99" i="37"/>
  <c r="N99" i="34" s="1"/>
  <c r="B99" i="37"/>
  <c r="B214" i="37" s="1"/>
  <c r="O98" i="37"/>
  <c r="N98" i="34" s="1"/>
  <c r="B98" i="37"/>
  <c r="B213" i="37" s="1"/>
  <c r="O97" i="37"/>
  <c r="N97" i="34" s="1"/>
  <c r="B97" i="37"/>
  <c r="B212" i="37" s="1"/>
  <c r="O96" i="37"/>
  <c r="N96" i="34" s="1"/>
  <c r="B96" i="37"/>
  <c r="B211" i="37" s="1"/>
  <c r="O95" i="37"/>
  <c r="N95" i="34" s="1"/>
  <c r="B95" i="37"/>
  <c r="B210" i="37" s="1"/>
  <c r="O94" i="37"/>
  <c r="B94" i="37"/>
  <c r="B209" i="37" s="1"/>
  <c r="O93" i="37"/>
  <c r="B93" i="37"/>
  <c r="B208" i="37" s="1"/>
  <c r="O92" i="37"/>
  <c r="N92" i="34" s="1"/>
  <c r="B92" i="37"/>
  <c r="B207" i="37" s="1"/>
  <c r="O91" i="37"/>
  <c r="B91" i="37"/>
  <c r="B206" i="37" s="1"/>
  <c r="O90" i="37"/>
  <c r="B90" i="37"/>
  <c r="B205" i="37" s="1"/>
  <c r="O89" i="37"/>
  <c r="B89" i="37"/>
  <c r="B204" i="37" s="1"/>
  <c r="O88" i="37"/>
  <c r="B88" i="37"/>
  <c r="B203" i="37" s="1"/>
  <c r="O87" i="37"/>
  <c r="B87" i="37"/>
  <c r="B202" i="37" s="1"/>
  <c r="O86" i="37"/>
  <c r="B86" i="37"/>
  <c r="B201" i="37" s="1"/>
  <c r="O85" i="37"/>
  <c r="B85" i="37"/>
  <c r="B200" i="37" s="1"/>
  <c r="O84" i="37"/>
  <c r="N84" i="34" s="1"/>
  <c r="B84" i="37"/>
  <c r="B199" i="37" s="1"/>
  <c r="O83" i="37"/>
  <c r="B83" i="37"/>
  <c r="B198" i="37" s="1"/>
  <c r="O82" i="37"/>
  <c r="N82" i="34" s="1"/>
  <c r="B82" i="37"/>
  <c r="B197" i="37" s="1"/>
  <c r="O81" i="37"/>
  <c r="B81" i="37"/>
  <c r="B196" i="37" s="1"/>
  <c r="O80" i="37"/>
  <c r="B80" i="37"/>
  <c r="B195" i="37" s="1"/>
  <c r="O79" i="37"/>
  <c r="B79" i="37"/>
  <c r="B194" i="37" s="1"/>
  <c r="O78" i="37"/>
  <c r="B78" i="37"/>
  <c r="B193" i="37" s="1"/>
  <c r="O77" i="37"/>
  <c r="B77" i="37"/>
  <c r="B192" i="37" s="1"/>
  <c r="O76" i="37"/>
  <c r="N76" i="34" s="1"/>
  <c r="B76" i="37"/>
  <c r="B191" i="37" s="1"/>
  <c r="O75" i="37"/>
  <c r="B75" i="37"/>
  <c r="B190" i="37" s="1"/>
  <c r="O74" i="37"/>
  <c r="N74" i="34" s="1"/>
  <c r="B74" i="37"/>
  <c r="B189" i="37" s="1"/>
  <c r="O73" i="37"/>
  <c r="B73" i="37"/>
  <c r="B188" i="37" s="1"/>
  <c r="O72" i="37"/>
  <c r="B72" i="37"/>
  <c r="B187" i="37" s="1"/>
  <c r="O71" i="37"/>
  <c r="B71" i="37"/>
  <c r="B186" i="37" s="1"/>
  <c r="O70" i="37"/>
  <c r="B70" i="37"/>
  <c r="B185" i="37" s="1"/>
  <c r="O69" i="37"/>
  <c r="B69" i="37"/>
  <c r="B184" i="37" s="1"/>
  <c r="B68" i="37"/>
  <c r="B183" i="37" s="1"/>
  <c r="B67" i="37"/>
  <c r="B182" i="37" s="1"/>
  <c r="B66" i="37"/>
  <c r="B181" i="37" s="1"/>
  <c r="B65" i="37"/>
  <c r="B180" i="37" s="1"/>
  <c r="B64" i="37"/>
  <c r="B179" i="37" s="1"/>
  <c r="B63" i="37"/>
  <c r="B178" i="37" s="1"/>
  <c r="B62" i="37"/>
  <c r="B177" i="37" s="1"/>
  <c r="B61" i="37"/>
  <c r="B176" i="37" s="1"/>
  <c r="B60" i="37"/>
  <c r="B175" i="37" s="1"/>
  <c r="B59" i="37"/>
  <c r="B174" i="37" s="1"/>
  <c r="B58" i="37"/>
  <c r="B173" i="37" s="1"/>
  <c r="B57" i="37"/>
  <c r="B172" i="37" s="1"/>
  <c r="B114" i="37"/>
  <c r="B230" i="37" s="1"/>
  <c r="A114" i="37"/>
  <c r="B56" i="37"/>
  <c r="B171" i="37" s="1"/>
  <c r="B113" i="37"/>
  <c r="B229" i="37" s="1"/>
  <c r="A113" i="37"/>
  <c r="B55" i="37"/>
  <c r="B170" i="37" s="1"/>
  <c r="A55" i="37"/>
  <c r="B54" i="37"/>
  <c r="B169" i="37" s="1"/>
  <c r="A54" i="37"/>
  <c r="B53" i="37"/>
  <c r="B168" i="37" s="1"/>
  <c r="A53" i="37"/>
  <c r="B52" i="37"/>
  <c r="B167" i="37" s="1"/>
  <c r="A52" i="37"/>
  <c r="B51" i="37"/>
  <c r="B166" i="37" s="1"/>
  <c r="A51" i="37"/>
  <c r="B50" i="37"/>
  <c r="B165" i="37" s="1"/>
  <c r="A50" i="37"/>
  <c r="B49" i="37"/>
  <c r="B164" i="37" s="1"/>
  <c r="A49" i="37"/>
  <c r="B48" i="37"/>
  <c r="B163" i="37" s="1"/>
  <c r="A48" i="37"/>
  <c r="B47" i="37"/>
  <c r="B162" i="37" s="1"/>
  <c r="A47" i="37"/>
  <c r="B46" i="37"/>
  <c r="B161" i="37" s="1"/>
  <c r="A46" i="37"/>
  <c r="B45" i="37"/>
  <c r="B160" i="37" s="1"/>
  <c r="A45" i="37"/>
  <c r="B44" i="37"/>
  <c r="B159" i="37" s="1"/>
  <c r="A44" i="37"/>
  <c r="B43" i="37"/>
  <c r="B158" i="37" s="1"/>
  <c r="A43" i="37"/>
  <c r="B42" i="37"/>
  <c r="B157" i="37" s="1"/>
  <c r="A42" i="37"/>
  <c r="B41" i="37"/>
  <c r="B156" i="37" s="1"/>
  <c r="A41" i="37"/>
  <c r="B40" i="37"/>
  <c r="B155" i="37" s="1"/>
  <c r="A40" i="37"/>
  <c r="B39" i="37"/>
  <c r="B154" i="37" s="1"/>
  <c r="A39" i="37"/>
  <c r="B38" i="37"/>
  <c r="B153" i="37" s="1"/>
  <c r="A38" i="37"/>
  <c r="B37" i="37"/>
  <c r="B152" i="37" s="1"/>
  <c r="A37" i="37"/>
  <c r="B36" i="37"/>
  <c r="B151" i="37" s="1"/>
  <c r="A36" i="37"/>
  <c r="B35" i="37"/>
  <c r="B150" i="37" s="1"/>
  <c r="A35" i="37"/>
  <c r="B34" i="37"/>
  <c r="B149" i="37" s="1"/>
  <c r="A34" i="37"/>
  <c r="B33" i="37"/>
  <c r="B148" i="37" s="1"/>
  <c r="A33" i="37"/>
  <c r="B32" i="37"/>
  <c r="B147" i="37" s="1"/>
  <c r="A32" i="37"/>
  <c r="B31" i="37"/>
  <c r="B146" i="37" s="1"/>
  <c r="A31" i="37"/>
  <c r="B30" i="37"/>
  <c r="B145" i="37" s="1"/>
  <c r="A30" i="37"/>
  <c r="B29" i="37"/>
  <c r="B144" i="37" s="1"/>
  <c r="A29" i="37"/>
  <c r="B28" i="37"/>
  <c r="B143" i="37" s="1"/>
  <c r="A28" i="37"/>
  <c r="B27" i="37"/>
  <c r="B142" i="37" s="1"/>
  <c r="A27" i="37"/>
  <c r="B26" i="37"/>
  <c r="B141" i="37" s="1"/>
  <c r="A26" i="37"/>
  <c r="B25" i="37"/>
  <c r="B140" i="37" s="1"/>
  <c r="A25" i="37"/>
  <c r="B24" i="37"/>
  <c r="B139" i="37" s="1"/>
  <c r="A24" i="37"/>
  <c r="B23" i="37"/>
  <c r="B138" i="37" s="1"/>
  <c r="A23" i="37"/>
  <c r="B22" i="37"/>
  <c r="B137" i="37" s="1"/>
  <c r="A22" i="37"/>
  <c r="B21" i="37"/>
  <c r="B136" i="37" s="1"/>
  <c r="A21" i="37"/>
  <c r="B20" i="37"/>
  <c r="B135" i="37" s="1"/>
  <c r="A20" i="37"/>
  <c r="B19" i="37"/>
  <c r="B134" i="37" s="1"/>
  <c r="A19" i="37"/>
  <c r="B18" i="37"/>
  <c r="B133" i="37" s="1"/>
  <c r="A18" i="37"/>
  <c r="B17" i="37"/>
  <c r="B132" i="37" s="1"/>
  <c r="A17" i="37"/>
  <c r="B16" i="37"/>
  <c r="B131" i="37" s="1"/>
  <c r="A16" i="37"/>
  <c r="B15" i="37"/>
  <c r="B130" i="37" s="1"/>
  <c r="A15" i="37"/>
  <c r="B14" i="37"/>
  <c r="B129" i="37" s="1"/>
  <c r="A14" i="37"/>
  <c r="B13" i="37"/>
  <c r="B128" i="37" s="1"/>
  <c r="A13" i="37"/>
  <c r="B12" i="37"/>
  <c r="B127" i="37" s="1"/>
  <c r="A12" i="37"/>
  <c r="B11" i="37"/>
  <c r="B126" i="37" s="1"/>
  <c r="A11" i="37"/>
  <c r="B10" i="37"/>
  <c r="B125" i="37" s="1"/>
  <c r="A10" i="37"/>
  <c r="B9" i="37"/>
  <c r="B124" i="37" s="1"/>
  <c r="A9" i="37"/>
  <c r="B8" i="37"/>
  <c r="B123" i="37" s="1"/>
  <c r="A8" i="37"/>
  <c r="O179" i="37" l="1"/>
  <c r="O64" i="34" s="1"/>
  <c r="O167" i="35"/>
  <c r="H46" i="34" s="1"/>
  <c r="O47" i="37"/>
  <c r="N47" i="34" s="1"/>
  <c r="AC78" i="3"/>
  <c r="AC86" i="3"/>
  <c r="AC70" i="3"/>
  <c r="O15" i="37"/>
  <c r="N15" i="34" s="1"/>
  <c r="O23" i="37"/>
  <c r="N23" i="34" s="1"/>
  <c r="O31" i="37"/>
  <c r="N31" i="34" s="1"/>
  <c r="O55" i="37"/>
  <c r="N55" i="34" s="1"/>
  <c r="O61" i="37"/>
  <c r="N61" i="34" s="1"/>
  <c r="F225" i="37"/>
  <c r="O125" i="37"/>
  <c r="O10" i="34" s="1"/>
  <c r="O141" i="37"/>
  <c r="O149" i="37"/>
  <c r="O34" i="34" s="1"/>
  <c r="O165" i="37"/>
  <c r="O50" i="34" s="1"/>
  <c r="AC68" i="3"/>
  <c r="AC72" i="3"/>
  <c r="AC76" i="3"/>
  <c r="AC80" i="3"/>
  <c r="AC84" i="3"/>
  <c r="AC88" i="3"/>
  <c r="AC92" i="3"/>
  <c r="G225" i="37"/>
  <c r="O230" i="37"/>
  <c r="O250" i="34" s="1"/>
  <c r="N90" i="34"/>
  <c r="AC74" i="3"/>
  <c r="AC90" i="3"/>
  <c r="AC82" i="3"/>
  <c r="F110" i="37"/>
  <c r="D110" i="37"/>
  <c r="O11" i="37"/>
  <c r="N11" i="34" s="1"/>
  <c r="O19" i="37"/>
  <c r="N19" i="34" s="1"/>
  <c r="O27" i="37"/>
  <c r="N27" i="34" s="1"/>
  <c r="O124" i="37"/>
  <c r="O9" i="34" s="1"/>
  <c r="O126" i="37"/>
  <c r="O11" i="34" s="1"/>
  <c r="O127" i="37"/>
  <c r="O12" i="34" s="1"/>
  <c r="O128" i="37"/>
  <c r="O13" i="34" s="1"/>
  <c r="O130" i="37"/>
  <c r="O15" i="34" s="1"/>
  <c r="O131" i="37"/>
  <c r="O16" i="34" s="1"/>
  <c r="O132" i="37"/>
  <c r="O17" i="34" s="1"/>
  <c r="O134" i="37"/>
  <c r="O135" i="37"/>
  <c r="O20" i="34" s="1"/>
  <c r="O136" i="37"/>
  <c r="O21" i="34" s="1"/>
  <c r="O138" i="37"/>
  <c r="O139" i="37"/>
  <c r="O24" i="34" s="1"/>
  <c r="O140" i="37"/>
  <c r="O25" i="34" s="1"/>
  <c r="O142" i="37"/>
  <c r="O27" i="34" s="1"/>
  <c r="O143" i="37"/>
  <c r="O28" i="34" s="1"/>
  <c r="O144" i="37"/>
  <c r="O29" i="34" s="1"/>
  <c r="O153" i="37"/>
  <c r="O38" i="34" s="1"/>
  <c r="O161" i="37"/>
  <c r="O46" i="34" s="1"/>
  <c r="O169" i="37"/>
  <c r="O54" i="34" s="1"/>
  <c r="O175" i="37"/>
  <c r="O60" i="34" s="1"/>
  <c r="O183" i="37"/>
  <c r="O68" i="34" s="1"/>
  <c r="N88" i="34"/>
  <c r="N80" i="34"/>
  <c r="N72" i="34"/>
  <c r="N94" i="34"/>
  <c r="N86" i="34"/>
  <c r="N78" i="34"/>
  <c r="N70" i="34"/>
  <c r="O39" i="37"/>
  <c r="N39" i="34" s="1"/>
  <c r="O133" i="37"/>
  <c r="O18" i="34" s="1"/>
  <c r="O148" i="37"/>
  <c r="O33" i="34" s="1"/>
  <c r="O150" i="37"/>
  <c r="O151" i="37"/>
  <c r="O36" i="34" s="1"/>
  <c r="O152" i="37"/>
  <c r="O37" i="34" s="1"/>
  <c r="O154" i="37"/>
  <c r="O39" i="34" s="1"/>
  <c r="O155" i="37"/>
  <c r="O40" i="34" s="1"/>
  <c r="O156" i="37"/>
  <c r="O41" i="34" s="1"/>
  <c r="O157" i="37"/>
  <c r="O42" i="34" s="1"/>
  <c r="O158" i="37"/>
  <c r="O43" i="34" s="1"/>
  <c r="O159" i="37"/>
  <c r="O160" i="37"/>
  <c r="O45" i="34" s="1"/>
  <c r="O162" i="37"/>
  <c r="O47" i="34" s="1"/>
  <c r="O163" i="37"/>
  <c r="O48" i="34" s="1"/>
  <c r="O164" i="37"/>
  <c r="O49" i="34" s="1"/>
  <c r="O166" i="37"/>
  <c r="O51" i="34" s="1"/>
  <c r="O167" i="37"/>
  <c r="O52" i="34" s="1"/>
  <c r="O168" i="37"/>
  <c r="O53" i="34" s="1"/>
  <c r="O170" i="37"/>
  <c r="AC53" i="3" s="1"/>
  <c r="O229" i="37"/>
  <c r="O249" i="34" s="1"/>
  <c r="O171" i="37"/>
  <c r="O56" i="34" s="1"/>
  <c r="O172" i="37"/>
  <c r="O57" i="34" s="1"/>
  <c r="O173" i="37"/>
  <c r="O58" i="34" s="1"/>
  <c r="O174" i="37"/>
  <c r="O59" i="34" s="1"/>
  <c r="O176" i="37"/>
  <c r="O61" i="34" s="1"/>
  <c r="O177" i="37"/>
  <c r="O62" i="34" s="1"/>
  <c r="O178" i="37"/>
  <c r="O63" i="34" s="1"/>
  <c r="O180" i="37"/>
  <c r="O65" i="34" s="1"/>
  <c r="O181" i="37"/>
  <c r="O66" i="34" s="1"/>
  <c r="O182" i="37"/>
  <c r="O67" i="34" s="1"/>
  <c r="AC69" i="3"/>
  <c r="N71" i="34"/>
  <c r="AC73" i="3"/>
  <c r="N75" i="34"/>
  <c r="AC81" i="3"/>
  <c r="N83" i="34"/>
  <c r="AC89" i="3"/>
  <c r="N91" i="34"/>
  <c r="O123" i="37"/>
  <c r="O8" i="34" s="1"/>
  <c r="E225" i="37"/>
  <c r="AC67" i="3"/>
  <c r="N69" i="34"/>
  <c r="AC71" i="3"/>
  <c r="N73" i="34"/>
  <c r="AC75" i="3"/>
  <c r="N77" i="34"/>
  <c r="AC79" i="3"/>
  <c r="N81" i="34"/>
  <c r="AC83" i="3"/>
  <c r="N85" i="34"/>
  <c r="AC87" i="3"/>
  <c r="N89" i="34"/>
  <c r="AC91" i="3"/>
  <c r="N93" i="34"/>
  <c r="AC77" i="3"/>
  <c r="N79" i="34"/>
  <c r="AC85" i="3"/>
  <c r="N87" i="34"/>
  <c r="H110" i="37"/>
  <c r="O32" i="37"/>
  <c r="N32" i="34" s="1"/>
  <c r="O33" i="37"/>
  <c r="O34" i="37"/>
  <c r="N34" i="34" s="1"/>
  <c r="O35" i="37"/>
  <c r="N35" i="34" s="1"/>
  <c r="O36" i="37"/>
  <c r="O37" i="37"/>
  <c r="O38" i="37"/>
  <c r="N38" i="34" s="1"/>
  <c r="O40" i="37"/>
  <c r="N40" i="34" s="1"/>
  <c r="O41" i="37"/>
  <c r="O42" i="37"/>
  <c r="N42" i="34" s="1"/>
  <c r="O43" i="37"/>
  <c r="N43" i="34" s="1"/>
  <c r="O44" i="37"/>
  <c r="N44" i="34" s="1"/>
  <c r="O45" i="37"/>
  <c r="O46" i="37"/>
  <c r="N46" i="34" s="1"/>
  <c r="O48" i="37"/>
  <c r="O49" i="37"/>
  <c r="O50" i="37"/>
  <c r="N50" i="34" s="1"/>
  <c r="O51" i="37"/>
  <c r="O52" i="37"/>
  <c r="N52" i="34" s="1"/>
  <c r="O53" i="37"/>
  <c r="O54" i="37"/>
  <c r="N54" i="34" s="1"/>
  <c r="O113" i="37"/>
  <c r="O56" i="37"/>
  <c r="O114" i="37"/>
  <c r="N250" i="34" s="1"/>
  <c r="O57" i="37"/>
  <c r="N57" i="34" s="1"/>
  <c r="O58" i="37"/>
  <c r="O59" i="37"/>
  <c r="O60" i="37"/>
  <c r="N60" i="34" s="1"/>
  <c r="O62" i="37"/>
  <c r="O63" i="37"/>
  <c r="O64" i="37"/>
  <c r="N64" i="34" s="1"/>
  <c r="O65" i="37"/>
  <c r="N65" i="34" s="1"/>
  <c r="O66" i="37"/>
  <c r="O67" i="37"/>
  <c r="O68" i="37"/>
  <c r="N68" i="34" s="1"/>
  <c r="O129" i="37"/>
  <c r="O14" i="34" s="1"/>
  <c r="O137" i="37"/>
  <c r="O22" i="34" s="1"/>
  <c r="O146" i="37"/>
  <c r="O31" i="34" s="1"/>
  <c r="O147" i="37"/>
  <c r="O35" i="34"/>
  <c r="D225" i="37"/>
  <c r="H225" i="37"/>
  <c r="O8" i="37"/>
  <c r="N8" i="34" s="1"/>
  <c r="O9" i="37"/>
  <c r="G110" i="37"/>
  <c r="O10" i="37"/>
  <c r="O12" i="37"/>
  <c r="N12" i="34" s="1"/>
  <c r="O13" i="37"/>
  <c r="N13" i="34" s="1"/>
  <c r="O14" i="37"/>
  <c r="N14" i="34" s="1"/>
  <c r="O16" i="37"/>
  <c r="N16" i="34" s="1"/>
  <c r="O17" i="37"/>
  <c r="N17" i="34" s="1"/>
  <c r="O18" i="37"/>
  <c r="N18" i="34" s="1"/>
  <c r="O20" i="37"/>
  <c r="N20" i="34" s="1"/>
  <c r="O21" i="37"/>
  <c r="N21" i="34" s="1"/>
  <c r="O22" i="37"/>
  <c r="O24" i="37"/>
  <c r="N24" i="34" s="1"/>
  <c r="O25" i="37"/>
  <c r="N25" i="34" s="1"/>
  <c r="O26" i="37"/>
  <c r="N26" i="34" s="1"/>
  <c r="O28" i="37"/>
  <c r="N28" i="34" s="1"/>
  <c r="O29" i="37"/>
  <c r="N29" i="34" s="1"/>
  <c r="E231" i="35"/>
  <c r="O135" i="35"/>
  <c r="H14" i="34" s="1"/>
  <c r="O181" i="35"/>
  <c r="H60" i="34" s="1"/>
  <c r="F231" i="35"/>
  <c r="D231" i="35"/>
  <c r="H231" i="35"/>
  <c r="O155" i="35"/>
  <c r="H34" i="34" s="1"/>
  <c r="O159" i="35"/>
  <c r="H38" i="34" s="1"/>
  <c r="O163" i="35"/>
  <c r="H42" i="34" s="1"/>
  <c r="O171" i="35"/>
  <c r="H50" i="34" s="1"/>
  <c r="O175" i="35"/>
  <c r="H54" i="34" s="1"/>
  <c r="O236" i="35"/>
  <c r="H250" i="34" s="1"/>
  <c r="O185" i="35"/>
  <c r="H64" i="34" s="1"/>
  <c r="O189" i="35"/>
  <c r="H68" i="34" s="1"/>
  <c r="O139" i="35"/>
  <c r="H18" i="34" s="1"/>
  <c r="O131" i="35"/>
  <c r="H10" i="34" s="1"/>
  <c r="O143" i="35"/>
  <c r="H22" i="34" s="1"/>
  <c r="O147" i="35"/>
  <c r="H26" i="34" s="1"/>
  <c r="O152" i="35"/>
  <c r="H31" i="34" s="1"/>
  <c r="O154" i="35"/>
  <c r="H33" i="34" s="1"/>
  <c r="O157" i="35"/>
  <c r="H36" i="34" s="1"/>
  <c r="O161" i="35"/>
  <c r="H40" i="34" s="1"/>
  <c r="O164" i="35"/>
  <c r="H43" i="34" s="1"/>
  <c r="O165" i="35"/>
  <c r="H44" i="34" s="1"/>
  <c r="O168" i="35"/>
  <c r="H47" i="34" s="1"/>
  <c r="O170" i="35"/>
  <c r="H49" i="34" s="1"/>
  <c r="O173" i="35"/>
  <c r="H52" i="34" s="1"/>
  <c r="O174" i="35"/>
  <c r="H53" i="34" s="1"/>
  <c r="O235" i="35"/>
  <c r="H249" i="34" s="1"/>
  <c r="O177" i="35"/>
  <c r="H56" i="34" s="1"/>
  <c r="O178" i="35"/>
  <c r="H57" i="34" s="1"/>
  <c r="O179" i="35"/>
  <c r="H58" i="34" s="1"/>
  <c r="O180" i="35"/>
  <c r="H59" i="34" s="1"/>
  <c r="O182" i="35"/>
  <c r="H61" i="34" s="1"/>
  <c r="O183" i="35"/>
  <c r="H62" i="34" s="1"/>
  <c r="O184" i="35"/>
  <c r="H63" i="34" s="1"/>
  <c r="O186" i="35"/>
  <c r="H65" i="34" s="1"/>
  <c r="O187" i="35"/>
  <c r="H66" i="34" s="1"/>
  <c r="O188" i="35"/>
  <c r="H67" i="34" s="1"/>
  <c r="O133" i="35"/>
  <c r="H12" i="34" s="1"/>
  <c r="O137" i="35"/>
  <c r="H16" i="34" s="1"/>
  <c r="O141" i="35"/>
  <c r="H20" i="34" s="1"/>
  <c r="O153" i="35"/>
  <c r="H32" i="34" s="1"/>
  <c r="O156" i="35"/>
  <c r="H35" i="34" s="1"/>
  <c r="O158" i="35"/>
  <c r="H37" i="34" s="1"/>
  <c r="O160" i="35"/>
  <c r="H39" i="34" s="1"/>
  <c r="O162" i="35"/>
  <c r="H41" i="34" s="1"/>
  <c r="O166" i="35"/>
  <c r="H45" i="34" s="1"/>
  <c r="O169" i="35"/>
  <c r="H48" i="34" s="1"/>
  <c r="O172" i="35"/>
  <c r="H51" i="34" s="1"/>
  <c r="O176" i="35"/>
  <c r="H55" i="34" s="1"/>
  <c r="O129" i="35"/>
  <c r="H8" i="34" s="1"/>
  <c r="O130" i="35"/>
  <c r="H9" i="34" s="1"/>
  <c r="G231" i="35"/>
  <c r="O132" i="35"/>
  <c r="H11" i="34" s="1"/>
  <c r="O134" i="35"/>
  <c r="H13" i="34" s="1"/>
  <c r="O136" i="35"/>
  <c r="H15" i="34" s="1"/>
  <c r="O138" i="35"/>
  <c r="H17" i="34" s="1"/>
  <c r="O140" i="35"/>
  <c r="H19" i="34" s="1"/>
  <c r="O142" i="35"/>
  <c r="H21" i="34" s="1"/>
  <c r="O144" i="35"/>
  <c r="H23" i="34" s="1"/>
  <c r="O145" i="35"/>
  <c r="H24" i="34" s="1"/>
  <c r="O146" i="35"/>
  <c r="H25" i="34" s="1"/>
  <c r="O148" i="35"/>
  <c r="H27" i="34" s="1"/>
  <c r="O149" i="35"/>
  <c r="H28" i="34" s="1"/>
  <c r="O150" i="35"/>
  <c r="H29" i="34" s="1"/>
  <c r="O23" i="34"/>
  <c r="O26" i="34"/>
  <c r="AC28" i="3"/>
  <c r="N30" i="34"/>
  <c r="C225" i="37"/>
  <c r="C110" i="37"/>
  <c r="E110" i="37"/>
  <c r="C231" i="35"/>
  <c r="AC45" i="3" l="1"/>
  <c r="AC44" i="3"/>
  <c r="AC60" i="3"/>
  <c r="AC17" i="3"/>
  <c r="AC59" i="3"/>
  <c r="AC15" i="3"/>
  <c r="AC116" i="3"/>
  <c r="AC27" i="3"/>
  <c r="AC38" i="3"/>
  <c r="AC64" i="3"/>
  <c r="AC21" i="3"/>
  <c r="AC9" i="3"/>
  <c r="O110" i="37"/>
  <c r="N66" i="34"/>
  <c r="AC13" i="3"/>
  <c r="AC37" i="3"/>
  <c r="AC42" i="3"/>
  <c r="AC33" i="3"/>
  <c r="AC25" i="3"/>
  <c r="AC6" i="3"/>
  <c r="AC26" i="3"/>
  <c r="AC58" i="3"/>
  <c r="O44" i="34"/>
  <c r="O225" i="37"/>
  <c r="AC36" i="3"/>
  <c r="AC62" i="3"/>
  <c r="AC52" i="3"/>
  <c r="AC10" i="3"/>
  <c r="O55" i="34"/>
  <c r="AC29" i="3"/>
  <c r="AC18" i="3"/>
  <c r="AC23" i="3"/>
  <c r="AC63" i="3"/>
  <c r="AC48" i="3"/>
  <c r="O19" i="34"/>
  <c r="N10" i="34"/>
  <c r="AC8" i="3"/>
  <c r="AC30" i="3"/>
  <c r="O32" i="34"/>
  <c r="AC19" i="3"/>
  <c r="AC7" i="3"/>
  <c r="N9" i="34"/>
  <c r="AC43" i="3"/>
  <c r="N45" i="34"/>
  <c r="AC39" i="3"/>
  <c r="N41" i="34"/>
  <c r="N36" i="34"/>
  <c r="AC34" i="3"/>
  <c r="AC55" i="3"/>
  <c r="N62" i="34"/>
  <c r="AC40" i="3"/>
  <c r="AC22" i="3"/>
  <c r="N22" i="34"/>
  <c r="AC20" i="3"/>
  <c r="AC12" i="3"/>
  <c r="AC51" i="3"/>
  <c r="N53" i="34"/>
  <c r="AC47" i="3"/>
  <c r="N49" i="34"/>
  <c r="AC66" i="3"/>
  <c r="AC16" i="3"/>
  <c r="AC57" i="3"/>
  <c r="N59" i="34"/>
  <c r="AC54" i="3"/>
  <c r="N56" i="34"/>
  <c r="N48" i="34"/>
  <c r="AC46" i="3"/>
  <c r="AC24" i="3"/>
  <c r="AC41" i="3"/>
  <c r="AC32" i="3"/>
  <c r="AC11" i="3"/>
  <c r="AC14" i="3"/>
  <c r="AC50" i="3"/>
  <c r="AC65" i="3"/>
  <c r="N67" i="34"/>
  <c r="AC61" i="3"/>
  <c r="N63" i="34"/>
  <c r="N58" i="34"/>
  <c r="AC56" i="3"/>
  <c r="N249" i="34"/>
  <c r="AC115" i="3"/>
  <c r="N51" i="34"/>
  <c r="AC49" i="3"/>
  <c r="AC35" i="3"/>
  <c r="N37" i="34"/>
  <c r="AC31" i="3"/>
  <c r="N33" i="34"/>
  <c r="O231" i="35"/>
  <c r="A11" i="35"/>
  <c r="A12" i="35"/>
  <c r="A13" i="35"/>
  <c r="A14" i="35"/>
  <c r="A15" i="35"/>
  <c r="A16" i="35"/>
  <c r="A17" i="35"/>
  <c r="A18" i="35"/>
  <c r="A19" i="35"/>
  <c r="A20" i="35"/>
  <c r="A21" i="35"/>
  <c r="A22" i="35"/>
  <c r="A23" i="35"/>
  <c r="A24" i="35"/>
  <c r="A25" i="35"/>
  <c r="A26" i="35"/>
  <c r="A27" i="35"/>
  <c r="A28" i="35"/>
  <c r="A29" i="35"/>
  <c r="A30" i="35"/>
  <c r="A31" i="35"/>
  <c r="A32" i="35"/>
  <c r="A33" i="35"/>
  <c r="A34" i="35"/>
  <c r="A35" i="35"/>
  <c r="A36" i="35"/>
  <c r="A37" i="35"/>
  <c r="A38" i="35"/>
  <c r="A39" i="35"/>
  <c r="A40" i="35"/>
  <c r="A41" i="35"/>
  <c r="A42" i="35"/>
  <c r="A43" i="35"/>
  <c r="A44" i="35"/>
  <c r="A45" i="35"/>
  <c r="A46" i="35"/>
  <c r="A47" i="35"/>
  <c r="A48" i="35"/>
  <c r="A49" i="35"/>
  <c r="A50" i="35"/>
  <c r="A51" i="35"/>
  <c r="A52" i="35"/>
  <c r="A53" i="35"/>
  <c r="A54" i="35"/>
  <c r="A55" i="35"/>
  <c r="A117" i="35"/>
  <c r="A118" i="35"/>
  <c r="P110" i="37" l="1"/>
  <c r="J9" i="34"/>
  <c r="S7" i="3" s="1"/>
  <c r="J10" i="34"/>
  <c r="S8" i="3" s="1"/>
  <c r="J248" i="34"/>
  <c r="S114" i="3" s="1"/>
  <c r="J11" i="34"/>
  <c r="S9" i="3" s="1"/>
  <c r="J12" i="34"/>
  <c r="S10" i="3" s="1"/>
  <c r="J13" i="34"/>
  <c r="S11" i="3" s="1"/>
  <c r="J14" i="34"/>
  <c r="S12" i="3" s="1"/>
  <c r="J15" i="34"/>
  <c r="S13" i="3" s="1"/>
  <c r="J16" i="34"/>
  <c r="S14" i="3" s="1"/>
  <c r="J17" i="34"/>
  <c r="S15" i="3" s="1"/>
  <c r="J18" i="34"/>
  <c r="S16" i="3" s="1"/>
  <c r="J19" i="34"/>
  <c r="S17" i="3" s="1"/>
  <c r="J20" i="34"/>
  <c r="S18" i="3" s="1"/>
  <c r="J21" i="34"/>
  <c r="S19" i="3" s="1"/>
  <c r="J22" i="34"/>
  <c r="S20" i="3" s="1"/>
  <c r="J23" i="34"/>
  <c r="S21" i="3" s="1"/>
  <c r="J24" i="34"/>
  <c r="S22" i="3" s="1"/>
  <c r="J25" i="34"/>
  <c r="S23" i="3" s="1"/>
  <c r="J26" i="34"/>
  <c r="S24" i="3" s="1"/>
  <c r="J27" i="34"/>
  <c r="S25" i="3" s="1"/>
  <c r="J28" i="34"/>
  <c r="S26" i="3" s="1"/>
  <c r="J29" i="34"/>
  <c r="S27" i="3" s="1"/>
  <c r="J30" i="34"/>
  <c r="S28" i="3" s="1"/>
  <c r="J31" i="34"/>
  <c r="S29" i="3" s="1"/>
  <c r="J32" i="34"/>
  <c r="S30" i="3" s="1"/>
  <c r="J33" i="34"/>
  <c r="S31" i="3" s="1"/>
  <c r="J34" i="34"/>
  <c r="S32" i="3" s="1"/>
  <c r="J35" i="34"/>
  <c r="S33" i="3" s="1"/>
  <c r="J36" i="34"/>
  <c r="S34" i="3" s="1"/>
  <c r="J37" i="34"/>
  <c r="S35" i="3" s="1"/>
  <c r="J38" i="34"/>
  <c r="S36" i="3" s="1"/>
  <c r="J39" i="34"/>
  <c r="S37" i="3" s="1"/>
  <c r="J40" i="34"/>
  <c r="S38" i="3" s="1"/>
  <c r="J41" i="34"/>
  <c r="S39" i="3" s="1"/>
  <c r="J42" i="34"/>
  <c r="S40" i="3" s="1"/>
  <c r="J43" i="34"/>
  <c r="S41" i="3" s="1"/>
  <c r="J44" i="34"/>
  <c r="S42" i="3" s="1"/>
  <c r="J45" i="34"/>
  <c r="S43" i="3" s="1"/>
  <c r="J46" i="34"/>
  <c r="S44" i="3" s="1"/>
  <c r="J47" i="34"/>
  <c r="S45" i="3" s="1"/>
  <c r="J48" i="34"/>
  <c r="S46" i="3" s="1"/>
  <c r="J49" i="34"/>
  <c r="S47" i="3" s="1"/>
  <c r="J50" i="34"/>
  <c r="S48" i="3" s="1"/>
  <c r="J51" i="34"/>
  <c r="S49" i="3" s="1"/>
  <c r="J52" i="34"/>
  <c r="S50" i="3" s="1"/>
  <c r="J53" i="34"/>
  <c r="S51" i="3" s="1"/>
  <c r="J54" i="34"/>
  <c r="S52" i="3" s="1"/>
  <c r="J55" i="34"/>
  <c r="S53" i="3" s="1"/>
  <c r="J249" i="34"/>
  <c r="S115" i="3" s="1"/>
  <c r="J56" i="34"/>
  <c r="S54" i="3" s="1"/>
  <c r="J250" i="34"/>
  <c r="S116" i="3" s="1"/>
  <c r="J57" i="34"/>
  <c r="S55" i="3" s="1"/>
  <c r="J58" i="34"/>
  <c r="S56" i="3" s="1"/>
  <c r="J59" i="34"/>
  <c r="S57" i="3" s="1"/>
  <c r="J60" i="34"/>
  <c r="S58" i="3" s="1"/>
  <c r="J61" i="34"/>
  <c r="S59" i="3" s="1"/>
  <c r="J62" i="34"/>
  <c r="S60" i="3" s="1"/>
  <c r="J63" i="34"/>
  <c r="S61" i="3" s="1"/>
  <c r="J64" i="34"/>
  <c r="S62" i="3" s="1"/>
  <c r="J65" i="34"/>
  <c r="S63" i="3" s="1"/>
  <c r="J66" i="34"/>
  <c r="S64" i="3" s="1"/>
  <c r="J67" i="34"/>
  <c r="S65" i="3" s="1"/>
  <c r="J68" i="34"/>
  <c r="S66" i="3" s="1"/>
  <c r="J69" i="34"/>
  <c r="S67" i="3" s="1"/>
  <c r="J70" i="34"/>
  <c r="S68" i="3" s="1"/>
  <c r="J71" i="34"/>
  <c r="S69" i="3" s="1"/>
  <c r="J72" i="34"/>
  <c r="S70" i="3" s="1"/>
  <c r="J73" i="34"/>
  <c r="S71" i="3" s="1"/>
  <c r="J74" i="34"/>
  <c r="S72" i="3" s="1"/>
  <c r="J75" i="34"/>
  <c r="S73" i="3" s="1"/>
  <c r="J76" i="34"/>
  <c r="S74" i="3" s="1"/>
  <c r="J77" i="34"/>
  <c r="S75" i="3" s="1"/>
  <c r="J78" i="34"/>
  <c r="S76" i="3" s="1"/>
  <c r="J79" i="34"/>
  <c r="S77" i="3" s="1"/>
  <c r="J80" i="34"/>
  <c r="S78" i="3" s="1"/>
  <c r="J81" i="34"/>
  <c r="S79" i="3" s="1"/>
  <c r="J82" i="34"/>
  <c r="S80" i="3" s="1"/>
  <c r="J83" i="34"/>
  <c r="S81" i="3" s="1"/>
  <c r="J84" i="34"/>
  <c r="S82" i="3" s="1"/>
  <c r="J85" i="34"/>
  <c r="S83" i="3" s="1"/>
  <c r="J86" i="34"/>
  <c r="S84" i="3" s="1"/>
  <c r="J87" i="34"/>
  <c r="S85" i="3" s="1"/>
  <c r="J88" i="34"/>
  <c r="S86" i="3" s="1"/>
  <c r="J89" i="34"/>
  <c r="S87" i="3" s="1"/>
  <c r="J90" i="34"/>
  <c r="S88" i="3" s="1"/>
  <c r="J91" i="34"/>
  <c r="S89" i="3" s="1"/>
  <c r="J92" i="34"/>
  <c r="S90" i="3" s="1"/>
  <c r="J93" i="34"/>
  <c r="S91" i="3" s="1"/>
  <c r="J94" i="34"/>
  <c r="S92" i="3" s="1"/>
  <c r="J95" i="34"/>
  <c r="S93" i="3" s="1"/>
  <c r="J96" i="34"/>
  <c r="J97" i="34"/>
  <c r="J98" i="34"/>
  <c r="J99" i="34"/>
  <c r="J100" i="34"/>
  <c r="J101" i="34"/>
  <c r="J102" i="34"/>
  <c r="J103" i="34"/>
  <c r="J104" i="34"/>
  <c r="J105" i="34"/>
  <c r="J106" i="34"/>
  <c r="J107" i="34"/>
  <c r="J108" i="34"/>
  <c r="J109" i="34"/>
  <c r="J8" i="34"/>
  <c r="S6" i="3" s="1"/>
  <c r="G9" i="34"/>
  <c r="G10" i="34"/>
  <c r="G248" i="34"/>
  <c r="G11" i="34"/>
  <c r="G12" i="34"/>
  <c r="G13" i="34"/>
  <c r="G14" i="34"/>
  <c r="G15" i="34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G45" i="34"/>
  <c r="G46" i="34"/>
  <c r="G47" i="34"/>
  <c r="G48" i="34"/>
  <c r="G49" i="34"/>
  <c r="G50" i="34"/>
  <c r="G51" i="34"/>
  <c r="G52" i="34"/>
  <c r="G53" i="34"/>
  <c r="G54" i="34"/>
  <c r="G55" i="34"/>
  <c r="G249" i="34"/>
  <c r="G56" i="34"/>
  <c r="G250" i="34"/>
  <c r="G57" i="34"/>
  <c r="G58" i="34"/>
  <c r="G59" i="34"/>
  <c r="G60" i="34"/>
  <c r="G61" i="34"/>
  <c r="G62" i="34"/>
  <c r="G63" i="34"/>
  <c r="G64" i="34"/>
  <c r="G65" i="34"/>
  <c r="G66" i="34"/>
  <c r="G67" i="34"/>
  <c r="G68" i="34"/>
  <c r="G69" i="34"/>
  <c r="G70" i="34"/>
  <c r="G71" i="34"/>
  <c r="G72" i="34"/>
  <c r="G73" i="34"/>
  <c r="G74" i="34"/>
  <c r="G75" i="34"/>
  <c r="G76" i="34"/>
  <c r="G77" i="34"/>
  <c r="G78" i="34"/>
  <c r="G79" i="34"/>
  <c r="G80" i="34"/>
  <c r="G81" i="34"/>
  <c r="G82" i="34"/>
  <c r="G83" i="34"/>
  <c r="G84" i="34"/>
  <c r="G85" i="34"/>
  <c r="G86" i="34"/>
  <c r="G87" i="34"/>
  <c r="G88" i="34"/>
  <c r="G89" i="34"/>
  <c r="G90" i="34"/>
  <c r="G91" i="34"/>
  <c r="G92" i="34"/>
  <c r="G93" i="34"/>
  <c r="G94" i="34"/>
  <c r="G95" i="34"/>
  <c r="G96" i="34"/>
  <c r="G97" i="34"/>
  <c r="G98" i="34"/>
  <c r="G99" i="34"/>
  <c r="G100" i="34"/>
  <c r="G101" i="34"/>
  <c r="G102" i="34"/>
  <c r="G103" i="34"/>
  <c r="G104" i="34"/>
  <c r="G105" i="34"/>
  <c r="G106" i="34"/>
  <c r="G107" i="34"/>
  <c r="G108" i="34"/>
  <c r="G109" i="34"/>
  <c r="G8" i="34"/>
  <c r="B9" i="34" l="1"/>
  <c r="C9" i="34"/>
  <c r="D9" i="34"/>
  <c r="B10" i="34"/>
  <c r="C10" i="34"/>
  <c r="D10" i="34"/>
  <c r="B248" i="34"/>
  <c r="C248" i="34"/>
  <c r="D248" i="34"/>
  <c r="B11" i="34"/>
  <c r="C11" i="34"/>
  <c r="D11" i="34"/>
  <c r="B12" i="34"/>
  <c r="C12" i="34"/>
  <c r="D12" i="34"/>
  <c r="B13" i="34"/>
  <c r="C13" i="34"/>
  <c r="D13" i="34"/>
  <c r="B14" i="34"/>
  <c r="C14" i="34"/>
  <c r="D14" i="34"/>
  <c r="B15" i="34"/>
  <c r="C15" i="34"/>
  <c r="D15" i="34"/>
  <c r="B16" i="34"/>
  <c r="C16" i="34"/>
  <c r="D16" i="34"/>
  <c r="B17" i="34"/>
  <c r="C17" i="34"/>
  <c r="D17" i="34"/>
  <c r="B18" i="34"/>
  <c r="C18" i="34"/>
  <c r="D18" i="34"/>
  <c r="B19" i="34"/>
  <c r="C19" i="34"/>
  <c r="D19" i="34"/>
  <c r="B20" i="34"/>
  <c r="C20" i="34"/>
  <c r="D20" i="34"/>
  <c r="B21" i="34"/>
  <c r="C21" i="34"/>
  <c r="D21" i="34"/>
  <c r="B22" i="34"/>
  <c r="C22" i="34"/>
  <c r="D22" i="34"/>
  <c r="B23" i="34"/>
  <c r="C23" i="34"/>
  <c r="D23" i="34"/>
  <c r="B24" i="34"/>
  <c r="C24" i="34"/>
  <c r="D24" i="34"/>
  <c r="B25" i="34"/>
  <c r="C25" i="34"/>
  <c r="D25" i="34"/>
  <c r="B26" i="34"/>
  <c r="C26" i="34"/>
  <c r="D26" i="34"/>
  <c r="B27" i="34"/>
  <c r="C27" i="34"/>
  <c r="D27" i="34"/>
  <c r="S27" i="34" s="1"/>
  <c r="B28" i="34"/>
  <c r="C28" i="34"/>
  <c r="D28" i="34"/>
  <c r="B29" i="34"/>
  <c r="C29" i="34"/>
  <c r="D29" i="34"/>
  <c r="B30" i="34"/>
  <c r="C30" i="34"/>
  <c r="D30" i="34"/>
  <c r="B31" i="34"/>
  <c r="C31" i="34"/>
  <c r="D31" i="34"/>
  <c r="B32" i="34"/>
  <c r="C32" i="34"/>
  <c r="D32" i="34"/>
  <c r="B33" i="34"/>
  <c r="C33" i="34"/>
  <c r="D33" i="34"/>
  <c r="B34" i="34"/>
  <c r="C34" i="34"/>
  <c r="D34" i="34"/>
  <c r="B35" i="34"/>
  <c r="C35" i="34"/>
  <c r="D35" i="34"/>
  <c r="B36" i="34"/>
  <c r="C36" i="34"/>
  <c r="D36" i="34"/>
  <c r="B37" i="34"/>
  <c r="C37" i="34"/>
  <c r="D37" i="34"/>
  <c r="B38" i="34"/>
  <c r="C38" i="34"/>
  <c r="D38" i="34"/>
  <c r="B39" i="34"/>
  <c r="C39" i="34"/>
  <c r="D39" i="34"/>
  <c r="B40" i="34"/>
  <c r="C40" i="34"/>
  <c r="D40" i="34"/>
  <c r="B41" i="34"/>
  <c r="C41" i="34"/>
  <c r="D41" i="34"/>
  <c r="B42" i="34"/>
  <c r="C42" i="34"/>
  <c r="D42" i="34"/>
  <c r="B43" i="34"/>
  <c r="C43" i="34"/>
  <c r="D43" i="34"/>
  <c r="B44" i="34"/>
  <c r="C44" i="34"/>
  <c r="D44" i="34"/>
  <c r="B45" i="34"/>
  <c r="C45" i="34"/>
  <c r="D45" i="34"/>
  <c r="B46" i="34"/>
  <c r="C46" i="34"/>
  <c r="D46" i="34"/>
  <c r="B47" i="34"/>
  <c r="C47" i="34"/>
  <c r="D47" i="34"/>
  <c r="B48" i="34"/>
  <c r="C48" i="34"/>
  <c r="D48" i="34"/>
  <c r="B49" i="34"/>
  <c r="C49" i="34"/>
  <c r="D49" i="34"/>
  <c r="B50" i="34"/>
  <c r="C50" i="34"/>
  <c r="D50" i="34"/>
  <c r="B51" i="34"/>
  <c r="C51" i="34"/>
  <c r="D51" i="34"/>
  <c r="B52" i="34"/>
  <c r="C52" i="34"/>
  <c r="D52" i="34"/>
  <c r="B53" i="34"/>
  <c r="C53" i="34"/>
  <c r="D53" i="34"/>
  <c r="B54" i="34"/>
  <c r="C54" i="34"/>
  <c r="D54" i="34"/>
  <c r="B55" i="34"/>
  <c r="C55" i="34"/>
  <c r="D55" i="34"/>
  <c r="B249" i="34"/>
  <c r="C249" i="34"/>
  <c r="D249" i="34"/>
  <c r="B56" i="34"/>
  <c r="C56" i="34"/>
  <c r="D56" i="34"/>
  <c r="B250" i="34"/>
  <c r="C250" i="34"/>
  <c r="D250" i="34"/>
  <c r="B57" i="34"/>
  <c r="C57" i="34"/>
  <c r="D57" i="34"/>
  <c r="B58" i="34"/>
  <c r="C58" i="34"/>
  <c r="D58" i="34"/>
  <c r="B59" i="34"/>
  <c r="C59" i="34"/>
  <c r="D59" i="34"/>
  <c r="B60" i="34"/>
  <c r="C60" i="34"/>
  <c r="D60" i="34"/>
  <c r="B61" i="34"/>
  <c r="C61" i="34"/>
  <c r="D61" i="34"/>
  <c r="B62" i="34"/>
  <c r="C62" i="34"/>
  <c r="D62" i="34"/>
  <c r="B63" i="34"/>
  <c r="C63" i="34"/>
  <c r="D63" i="34"/>
  <c r="B64" i="34"/>
  <c r="C64" i="34"/>
  <c r="D64" i="34"/>
  <c r="B65" i="34"/>
  <c r="C65" i="34"/>
  <c r="D65" i="34"/>
  <c r="B66" i="34"/>
  <c r="C66" i="34"/>
  <c r="D66" i="34"/>
  <c r="B67" i="34"/>
  <c r="C67" i="34"/>
  <c r="D67" i="34"/>
  <c r="B68" i="34"/>
  <c r="C68" i="34"/>
  <c r="D68" i="34"/>
  <c r="B69" i="34"/>
  <c r="C69" i="34"/>
  <c r="D69" i="34"/>
  <c r="B70" i="34"/>
  <c r="C70" i="34"/>
  <c r="D70" i="34"/>
  <c r="B71" i="34"/>
  <c r="C71" i="34"/>
  <c r="D71" i="34"/>
  <c r="B72" i="34"/>
  <c r="C72" i="34"/>
  <c r="D72" i="34"/>
  <c r="B73" i="34"/>
  <c r="C73" i="34"/>
  <c r="D73" i="34"/>
  <c r="B74" i="34"/>
  <c r="C74" i="34"/>
  <c r="D74" i="34"/>
  <c r="B75" i="34"/>
  <c r="C75" i="34"/>
  <c r="D75" i="34"/>
  <c r="B76" i="34"/>
  <c r="C76" i="34"/>
  <c r="D76" i="34"/>
  <c r="B77" i="34"/>
  <c r="C77" i="34"/>
  <c r="D77" i="34"/>
  <c r="B78" i="34"/>
  <c r="C78" i="34"/>
  <c r="D78" i="34"/>
  <c r="B79" i="34"/>
  <c r="C79" i="34"/>
  <c r="D79" i="34"/>
  <c r="B80" i="34"/>
  <c r="C80" i="34"/>
  <c r="D80" i="34"/>
  <c r="B81" i="34"/>
  <c r="C81" i="34"/>
  <c r="D81" i="34"/>
  <c r="B82" i="34"/>
  <c r="C82" i="34"/>
  <c r="D82" i="34"/>
  <c r="B83" i="34"/>
  <c r="C83" i="34"/>
  <c r="D83" i="34"/>
  <c r="B84" i="34"/>
  <c r="C84" i="34"/>
  <c r="D84" i="34"/>
  <c r="B85" i="34"/>
  <c r="C85" i="34"/>
  <c r="D85" i="34"/>
  <c r="B86" i="34"/>
  <c r="C86" i="34"/>
  <c r="D86" i="34"/>
  <c r="B87" i="34"/>
  <c r="C87" i="34"/>
  <c r="D87" i="34"/>
  <c r="B88" i="34"/>
  <c r="C88" i="34"/>
  <c r="D88" i="34"/>
  <c r="B89" i="34"/>
  <c r="C89" i="34"/>
  <c r="D89" i="34"/>
  <c r="B90" i="34"/>
  <c r="C90" i="34"/>
  <c r="D90" i="34"/>
  <c r="B91" i="34"/>
  <c r="C91" i="34"/>
  <c r="D91" i="34"/>
  <c r="B92" i="34"/>
  <c r="C92" i="34"/>
  <c r="D92" i="34"/>
  <c r="B93" i="34"/>
  <c r="C93" i="34"/>
  <c r="D93" i="34"/>
  <c r="B94" i="34"/>
  <c r="C94" i="34"/>
  <c r="D94" i="34"/>
  <c r="B95" i="34"/>
  <c r="C95" i="34"/>
  <c r="D95" i="34"/>
  <c r="B96" i="34"/>
  <c r="C96" i="34"/>
  <c r="D96" i="34"/>
  <c r="B97" i="34"/>
  <c r="C97" i="34"/>
  <c r="D97" i="34"/>
  <c r="B98" i="34"/>
  <c r="C98" i="34"/>
  <c r="D98" i="34"/>
  <c r="B99" i="34"/>
  <c r="C99" i="34"/>
  <c r="D99" i="34"/>
  <c r="B100" i="34"/>
  <c r="C100" i="34"/>
  <c r="D100" i="34"/>
  <c r="B101" i="34"/>
  <c r="C101" i="34"/>
  <c r="D101" i="34"/>
  <c r="B102" i="34"/>
  <c r="C102" i="34"/>
  <c r="D102" i="34"/>
  <c r="B103" i="34"/>
  <c r="C103" i="34"/>
  <c r="D103" i="34"/>
  <c r="B104" i="34"/>
  <c r="C104" i="34"/>
  <c r="D104" i="34"/>
  <c r="B105" i="34"/>
  <c r="C105" i="34"/>
  <c r="D105" i="34"/>
  <c r="B106" i="34"/>
  <c r="C106" i="34"/>
  <c r="D106" i="34"/>
  <c r="B107" i="34"/>
  <c r="C107" i="34"/>
  <c r="D107" i="34"/>
  <c r="B108" i="34"/>
  <c r="C108" i="34"/>
  <c r="D108" i="34"/>
  <c r="B109" i="34"/>
  <c r="C109" i="34"/>
  <c r="D109" i="34"/>
  <c r="C8" i="34"/>
  <c r="D8" i="34"/>
  <c r="B8" i="34"/>
  <c r="R8" i="3"/>
  <c r="R114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115" i="3"/>
  <c r="R54" i="3"/>
  <c r="R116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7" i="3"/>
  <c r="R6" i="3"/>
  <c r="D81" i="36" l="1"/>
  <c r="C8" i="3" l="1"/>
  <c r="C114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115" i="3"/>
  <c r="C54" i="3"/>
  <c r="C116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7" i="3"/>
  <c r="C6" i="3"/>
  <c r="B9" i="35"/>
  <c r="B130" i="35" s="1"/>
  <c r="B10" i="35"/>
  <c r="B131" i="35" s="1"/>
  <c r="B116" i="35"/>
  <c r="B11" i="35"/>
  <c r="B132" i="35" s="1"/>
  <c r="B12" i="35"/>
  <c r="B133" i="35" s="1"/>
  <c r="B13" i="35"/>
  <c r="B134" i="35" s="1"/>
  <c r="B14" i="35"/>
  <c r="B135" i="35" s="1"/>
  <c r="B15" i="35"/>
  <c r="B136" i="35" s="1"/>
  <c r="B16" i="35"/>
  <c r="B137" i="35" s="1"/>
  <c r="B17" i="35"/>
  <c r="B138" i="35" s="1"/>
  <c r="B18" i="35"/>
  <c r="B139" i="35" s="1"/>
  <c r="B19" i="35"/>
  <c r="B140" i="35" s="1"/>
  <c r="B20" i="35"/>
  <c r="B141" i="35" s="1"/>
  <c r="B21" i="35"/>
  <c r="B142" i="35" s="1"/>
  <c r="B22" i="35"/>
  <c r="B143" i="35" s="1"/>
  <c r="B23" i="35"/>
  <c r="B144" i="35" s="1"/>
  <c r="B24" i="35"/>
  <c r="B145" i="35" s="1"/>
  <c r="B25" i="35"/>
  <c r="B146" i="35" s="1"/>
  <c r="B26" i="35"/>
  <c r="B147" i="35" s="1"/>
  <c r="B27" i="35"/>
  <c r="B148" i="35" s="1"/>
  <c r="B28" i="35"/>
  <c r="B149" i="35" s="1"/>
  <c r="B29" i="35"/>
  <c r="B150" i="35" s="1"/>
  <c r="B30" i="35"/>
  <c r="B151" i="35" s="1"/>
  <c r="B31" i="35"/>
  <c r="B152" i="35" s="1"/>
  <c r="B32" i="35"/>
  <c r="B153" i="35" s="1"/>
  <c r="B33" i="35"/>
  <c r="B154" i="35" s="1"/>
  <c r="B34" i="35"/>
  <c r="B155" i="35" s="1"/>
  <c r="B35" i="35"/>
  <c r="B156" i="35" s="1"/>
  <c r="B36" i="35"/>
  <c r="B157" i="35" s="1"/>
  <c r="B37" i="35"/>
  <c r="B158" i="35" s="1"/>
  <c r="B38" i="35"/>
  <c r="B159" i="35" s="1"/>
  <c r="B39" i="35"/>
  <c r="B160" i="35" s="1"/>
  <c r="B40" i="35"/>
  <c r="B161" i="35" s="1"/>
  <c r="B41" i="35"/>
  <c r="B162" i="35" s="1"/>
  <c r="B42" i="35"/>
  <c r="B163" i="35" s="1"/>
  <c r="B43" i="35"/>
  <c r="B164" i="35" s="1"/>
  <c r="B44" i="35"/>
  <c r="B165" i="35" s="1"/>
  <c r="B45" i="35"/>
  <c r="B166" i="35" s="1"/>
  <c r="B46" i="35"/>
  <c r="B167" i="35" s="1"/>
  <c r="B47" i="35"/>
  <c r="B168" i="35" s="1"/>
  <c r="B48" i="35"/>
  <c r="B169" i="35" s="1"/>
  <c r="B49" i="35"/>
  <c r="B170" i="35" s="1"/>
  <c r="B50" i="35"/>
  <c r="B171" i="35" s="1"/>
  <c r="B51" i="35"/>
  <c r="B172" i="35" s="1"/>
  <c r="B52" i="35"/>
  <c r="B173" i="35" s="1"/>
  <c r="B53" i="35"/>
  <c r="B174" i="35" s="1"/>
  <c r="B54" i="35"/>
  <c r="B175" i="35" s="1"/>
  <c r="B55" i="35"/>
  <c r="B176" i="35" s="1"/>
  <c r="B117" i="35"/>
  <c r="B235" i="35" s="1"/>
  <c r="B56" i="35"/>
  <c r="B177" i="35" s="1"/>
  <c r="B118" i="35"/>
  <c r="B236" i="35" s="1"/>
  <c r="B57" i="35"/>
  <c r="B178" i="35" s="1"/>
  <c r="B58" i="35"/>
  <c r="B179" i="35" s="1"/>
  <c r="B59" i="35"/>
  <c r="B180" i="35" s="1"/>
  <c r="B60" i="35"/>
  <c r="B181" i="35" s="1"/>
  <c r="B61" i="35"/>
  <c r="B182" i="35" s="1"/>
  <c r="B62" i="35"/>
  <c r="B183" i="35" s="1"/>
  <c r="B63" i="35"/>
  <c r="B184" i="35" s="1"/>
  <c r="B64" i="35"/>
  <c r="B185" i="35" s="1"/>
  <c r="B65" i="35"/>
  <c r="B186" i="35" s="1"/>
  <c r="B66" i="35"/>
  <c r="B187" i="35" s="1"/>
  <c r="B67" i="35"/>
  <c r="B188" i="35" s="1"/>
  <c r="B68" i="35"/>
  <c r="B189" i="35" s="1"/>
  <c r="B69" i="35"/>
  <c r="B190" i="35" s="1"/>
  <c r="B70" i="35"/>
  <c r="B191" i="35" s="1"/>
  <c r="B71" i="35"/>
  <c r="B192" i="35" s="1"/>
  <c r="B72" i="35"/>
  <c r="B193" i="35" s="1"/>
  <c r="B73" i="35"/>
  <c r="B194" i="35" s="1"/>
  <c r="B74" i="35"/>
  <c r="B195" i="35" s="1"/>
  <c r="B75" i="35"/>
  <c r="B196" i="35" s="1"/>
  <c r="B76" i="35"/>
  <c r="B197" i="35" s="1"/>
  <c r="B77" i="35"/>
  <c r="B198" i="35" s="1"/>
  <c r="B78" i="35"/>
  <c r="B199" i="35" s="1"/>
  <c r="B79" i="35"/>
  <c r="B200" i="35" s="1"/>
  <c r="B80" i="35"/>
  <c r="B201" i="35" s="1"/>
  <c r="B81" i="35"/>
  <c r="B202" i="35" s="1"/>
  <c r="B82" i="35"/>
  <c r="B203" i="35" s="1"/>
  <c r="B83" i="35"/>
  <c r="B204" i="35" s="1"/>
  <c r="B84" i="35"/>
  <c r="B205" i="35" s="1"/>
  <c r="B85" i="35"/>
  <c r="B206" i="35" s="1"/>
  <c r="B86" i="35"/>
  <c r="B207" i="35" s="1"/>
  <c r="B87" i="35"/>
  <c r="B208" i="35" s="1"/>
  <c r="B88" i="35"/>
  <c r="B209" i="35" s="1"/>
  <c r="B89" i="35"/>
  <c r="B210" i="35" s="1"/>
  <c r="B90" i="35"/>
  <c r="B211" i="35" s="1"/>
  <c r="B91" i="35"/>
  <c r="B212" i="35" s="1"/>
  <c r="B92" i="35"/>
  <c r="B213" i="35" s="1"/>
  <c r="B93" i="35"/>
  <c r="B214" i="35" s="1"/>
  <c r="B94" i="35"/>
  <c r="B215" i="35" s="1"/>
  <c r="B95" i="35"/>
  <c r="B216" i="35" s="1"/>
  <c r="B96" i="35"/>
  <c r="B217" i="35" s="1"/>
  <c r="B97" i="35"/>
  <c r="B218" i="35" s="1"/>
  <c r="B98" i="35"/>
  <c r="B219" i="35" s="1"/>
  <c r="B99" i="35"/>
  <c r="B220" i="35" s="1"/>
  <c r="B100" i="35"/>
  <c r="B221" i="35" s="1"/>
  <c r="B101" i="35"/>
  <c r="B222" i="35" s="1"/>
  <c r="B102" i="35"/>
  <c r="B223" i="35" s="1"/>
  <c r="B103" i="35"/>
  <c r="B224" i="35" s="1"/>
  <c r="B104" i="35"/>
  <c r="B225" i="35" s="1"/>
  <c r="B105" i="35"/>
  <c r="B226" i="35" s="1"/>
  <c r="B106" i="35"/>
  <c r="B227" i="35" s="1"/>
  <c r="B107" i="35"/>
  <c r="B228" i="35" s="1"/>
  <c r="B108" i="35"/>
  <c r="B229" i="35" s="1"/>
  <c r="B109" i="35"/>
  <c r="B230" i="35" s="1"/>
  <c r="B8" i="35"/>
  <c r="B129" i="35" s="1"/>
  <c r="B4" i="36"/>
  <c r="B5" i="36"/>
  <c r="B88" i="36"/>
  <c r="B6" i="36"/>
  <c r="B7" i="36"/>
  <c r="B8" i="36"/>
  <c r="B9" i="36"/>
  <c r="B10" i="36"/>
  <c r="B11" i="36"/>
  <c r="B12" i="36"/>
  <c r="B13" i="36"/>
  <c r="B14" i="36"/>
  <c r="B15" i="36"/>
  <c r="B16" i="36"/>
  <c r="B17" i="36"/>
  <c r="B18" i="36"/>
  <c r="B19" i="36"/>
  <c r="B20" i="36"/>
  <c r="B21" i="36"/>
  <c r="B22" i="36"/>
  <c r="B23" i="36"/>
  <c r="B24" i="36"/>
  <c r="B25" i="36"/>
  <c r="B26" i="36"/>
  <c r="B27" i="36"/>
  <c r="B28" i="36"/>
  <c r="B29" i="36"/>
  <c r="B30" i="36"/>
  <c r="B31" i="36"/>
  <c r="B32" i="36"/>
  <c r="B33" i="36"/>
  <c r="B34" i="36"/>
  <c r="B35" i="36"/>
  <c r="B36" i="36"/>
  <c r="B37" i="36"/>
  <c r="B38" i="36"/>
  <c r="B39" i="36"/>
  <c r="B40" i="36"/>
  <c r="B41" i="36"/>
  <c r="B42" i="36"/>
  <c r="B43" i="36"/>
  <c r="B44" i="36"/>
  <c r="B45" i="36"/>
  <c r="B46" i="36"/>
  <c r="B47" i="36"/>
  <c r="B48" i="36"/>
  <c r="B49" i="36"/>
  <c r="B50" i="36"/>
  <c r="B89" i="36"/>
  <c r="B51" i="36"/>
  <c r="B90" i="36"/>
  <c r="B52" i="36"/>
  <c r="B53" i="36"/>
  <c r="B54" i="36"/>
  <c r="B55" i="36"/>
  <c r="B56" i="36"/>
  <c r="B57" i="36"/>
  <c r="B58" i="36"/>
  <c r="B59" i="36"/>
  <c r="B60" i="36"/>
  <c r="B61" i="36"/>
  <c r="B62" i="36"/>
  <c r="B63" i="36"/>
  <c r="B64" i="36"/>
  <c r="B65" i="36"/>
  <c r="B66" i="36"/>
  <c r="B67" i="36"/>
  <c r="B68" i="36"/>
  <c r="B69" i="36"/>
  <c r="B70" i="36"/>
  <c r="B71" i="36"/>
  <c r="B72" i="36"/>
  <c r="B73" i="36"/>
  <c r="B74" i="36"/>
  <c r="B75" i="36"/>
  <c r="B76" i="36"/>
  <c r="B77" i="36"/>
  <c r="B78" i="36"/>
  <c r="B3" i="36"/>
  <c r="AC114" i="3" l="1"/>
  <c r="AI82" i="3" l="1"/>
  <c r="AI84" i="3"/>
  <c r="AI85" i="3"/>
  <c r="AI86" i="3"/>
  <c r="AI87" i="3"/>
  <c r="AI88" i="3"/>
  <c r="AI89" i="3"/>
  <c r="Q81" i="36" l="1"/>
  <c r="P81" i="36"/>
  <c r="O81" i="36"/>
  <c r="N81" i="36"/>
  <c r="M81" i="36"/>
  <c r="L81" i="36"/>
  <c r="K81" i="36"/>
  <c r="J81" i="36"/>
  <c r="I81" i="36"/>
  <c r="H81" i="36"/>
  <c r="G81" i="36"/>
  <c r="F81" i="36"/>
  <c r="E81" i="36"/>
  <c r="U80" i="36"/>
  <c r="S80" i="36"/>
  <c r="Q79" i="36"/>
  <c r="P79" i="36"/>
  <c r="O79" i="36"/>
  <c r="N79" i="36"/>
  <c r="M79" i="36"/>
  <c r="L79" i="36"/>
  <c r="K79" i="36"/>
  <c r="J79" i="36"/>
  <c r="I79" i="36"/>
  <c r="H79" i="36"/>
  <c r="G79" i="36"/>
  <c r="F79" i="36"/>
  <c r="E79" i="36"/>
  <c r="D79" i="36"/>
  <c r="V78" i="36"/>
  <c r="R78" i="36"/>
  <c r="AI81" i="3" s="1"/>
  <c r="V77" i="36"/>
  <c r="R77" i="36"/>
  <c r="V76" i="36"/>
  <c r="R76" i="36"/>
  <c r="V75" i="36"/>
  <c r="R75" i="36"/>
  <c r="AI78" i="3" s="1"/>
  <c r="V74" i="36"/>
  <c r="R74" i="36"/>
  <c r="AI77" i="3" s="1"/>
  <c r="V73" i="36"/>
  <c r="R73" i="36"/>
  <c r="V72" i="36"/>
  <c r="R72" i="36"/>
  <c r="V71" i="36"/>
  <c r="R71" i="36"/>
  <c r="AI74" i="3" s="1"/>
  <c r="V70" i="36"/>
  <c r="R70" i="36"/>
  <c r="AI73" i="3" s="1"/>
  <c r="V69" i="36"/>
  <c r="R69" i="36"/>
  <c r="V68" i="36"/>
  <c r="R68" i="36"/>
  <c r="V67" i="36"/>
  <c r="R67" i="36"/>
  <c r="AI70" i="3" s="1"/>
  <c r="V66" i="36"/>
  <c r="R66" i="36"/>
  <c r="AI69" i="3" s="1"/>
  <c r="V65" i="36"/>
  <c r="R65" i="36"/>
  <c r="V64" i="36"/>
  <c r="R64" i="36"/>
  <c r="V63" i="36"/>
  <c r="R63" i="36"/>
  <c r="V62" i="36"/>
  <c r="R62" i="36"/>
  <c r="AI65" i="3" s="1"/>
  <c r="V61" i="36"/>
  <c r="R61" i="36"/>
  <c r="V60" i="36"/>
  <c r="R60" i="36"/>
  <c r="V59" i="36"/>
  <c r="R59" i="36"/>
  <c r="AI62" i="3" s="1"/>
  <c r="V58" i="36"/>
  <c r="R58" i="36"/>
  <c r="AI61" i="3" s="1"/>
  <c r="V57" i="36"/>
  <c r="R57" i="36"/>
  <c r="V56" i="36"/>
  <c r="R56" i="36"/>
  <c r="V55" i="36"/>
  <c r="R55" i="36"/>
  <c r="AI58" i="3" s="1"/>
  <c r="V54" i="36"/>
  <c r="R54" i="36"/>
  <c r="AI57" i="3" s="1"/>
  <c r="V53" i="36"/>
  <c r="R53" i="36"/>
  <c r="V52" i="36"/>
  <c r="R52" i="36"/>
  <c r="V90" i="36"/>
  <c r="R90" i="36"/>
  <c r="AI116" i="3" s="1"/>
  <c r="V51" i="36"/>
  <c r="R51" i="36"/>
  <c r="AI54" i="3" s="1"/>
  <c r="V89" i="36"/>
  <c r="R89" i="36"/>
  <c r="V50" i="36"/>
  <c r="R50" i="36"/>
  <c r="V49" i="36"/>
  <c r="R49" i="36"/>
  <c r="AI52" i="3" s="1"/>
  <c r="V87" i="36"/>
  <c r="R87" i="36"/>
  <c r="AI113" i="3" s="1"/>
  <c r="V48" i="36"/>
  <c r="R48" i="36"/>
  <c r="V47" i="36"/>
  <c r="R47" i="36"/>
  <c r="V46" i="36"/>
  <c r="R46" i="36"/>
  <c r="AI49" i="3" s="1"/>
  <c r="V45" i="36"/>
  <c r="R45" i="36"/>
  <c r="AI48" i="3" s="1"/>
  <c r="V44" i="36"/>
  <c r="R44" i="36"/>
  <c r="V43" i="36"/>
  <c r="R43" i="36"/>
  <c r="V42" i="36"/>
  <c r="R42" i="36"/>
  <c r="AI45" i="3" s="1"/>
  <c r="V41" i="36"/>
  <c r="R41" i="36"/>
  <c r="AI44" i="3" s="1"/>
  <c r="V40" i="36"/>
  <c r="R40" i="36"/>
  <c r="V39" i="36"/>
  <c r="R39" i="36"/>
  <c r="V38" i="36"/>
  <c r="R38" i="36"/>
  <c r="AI41" i="3" s="1"/>
  <c r="V37" i="36"/>
  <c r="R37" i="36"/>
  <c r="AI40" i="3" s="1"/>
  <c r="V36" i="36"/>
  <c r="R36" i="36"/>
  <c r="V35" i="36"/>
  <c r="R35" i="36"/>
  <c r="V34" i="36"/>
  <c r="R34" i="36"/>
  <c r="AI37" i="3" s="1"/>
  <c r="V33" i="36"/>
  <c r="R33" i="36"/>
  <c r="AI36" i="3" s="1"/>
  <c r="V32" i="36"/>
  <c r="R32" i="36"/>
  <c r="V31" i="36"/>
  <c r="R31" i="36"/>
  <c r="V30" i="36"/>
  <c r="R30" i="36"/>
  <c r="AI33" i="3" s="1"/>
  <c r="V29" i="36"/>
  <c r="R29" i="36"/>
  <c r="AI32" i="3" s="1"/>
  <c r="V28" i="36"/>
  <c r="R28" i="36"/>
  <c r="V27" i="36"/>
  <c r="R27" i="36"/>
  <c r="V26" i="36"/>
  <c r="R26" i="36"/>
  <c r="AI29" i="3" s="1"/>
  <c r="V25" i="36"/>
  <c r="R25" i="36"/>
  <c r="AI28" i="3" s="1"/>
  <c r="V24" i="36"/>
  <c r="R24" i="36"/>
  <c r="V23" i="36"/>
  <c r="R23" i="36"/>
  <c r="V22" i="36"/>
  <c r="R22" i="36"/>
  <c r="AI25" i="3" s="1"/>
  <c r="V21" i="36"/>
  <c r="R21" i="36"/>
  <c r="AI24" i="3" s="1"/>
  <c r="V20" i="36"/>
  <c r="R20" i="36"/>
  <c r="V19" i="36"/>
  <c r="R19" i="36"/>
  <c r="V18" i="36"/>
  <c r="R18" i="36"/>
  <c r="AI21" i="3" s="1"/>
  <c r="V17" i="36"/>
  <c r="R17" i="36"/>
  <c r="AI20" i="3" s="1"/>
  <c r="V16" i="36"/>
  <c r="R16" i="36"/>
  <c r="V15" i="36"/>
  <c r="R15" i="36"/>
  <c r="V14" i="36"/>
  <c r="R14" i="36"/>
  <c r="AI17" i="3" s="1"/>
  <c r="V13" i="36"/>
  <c r="R13" i="36"/>
  <c r="AI16" i="3" s="1"/>
  <c r="V12" i="36"/>
  <c r="R12" i="36"/>
  <c r="V11" i="36"/>
  <c r="R11" i="36"/>
  <c r="V10" i="36"/>
  <c r="R10" i="36"/>
  <c r="AI13" i="3" s="1"/>
  <c r="V9" i="36"/>
  <c r="R9" i="36"/>
  <c r="V8" i="36"/>
  <c r="R8" i="36"/>
  <c r="V7" i="36"/>
  <c r="R7" i="36"/>
  <c r="V6" i="36"/>
  <c r="R6" i="36"/>
  <c r="AI9" i="3" s="1"/>
  <c r="V88" i="36"/>
  <c r="R88" i="36"/>
  <c r="AI114" i="3" s="1"/>
  <c r="V5" i="36"/>
  <c r="R5" i="36"/>
  <c r="V4" i="36"/>
  <c r="R4" i="36"/>
  <c r="V3" i="36"/>
  <c r="R3" i="36"/>
  <c r="AI6" i="3" s="1"/>
  <c r="N110" i="35"/>
  <c r="M110" i="35"/>
  <c r="L110" i="35"/>
  <c r="K110" i="35"/>
  <c r="J110" i="35"/>
  <c r="I110" i="35"/>
  <c r="H110" i="35"/>
  <c r="G110" i="35"/>
  <c r="F110" i="35"/>
  <c r="E110" i="35"/>
  <c r="D110" i="35"/>
  <c r="C110" i="35"/>
  <c r="O109" i="35"/>
  <c r="I109" i="34" s="1"/>
  <c r="V109" i="34" s="1"/>
  <c r="O108" i="35"/>
  <c r="I108" i="34" s="1"/>
  <c r="V108" i="34" s="1"/>
  <c r="O107" i="35"/>
  <c r="I107" i="34" s="1"/>
  <c r="V107" i="34" s="1"/>
  <c r="O106" i="35"/>
  <c r="I106" i="34" s="1"/>
  <c r="V106" i="34" s="1"/>
  <c r="O105" i="35"/>
  <c r="I105" i="34" s="1"/>
  <c r="V105" i="34" s="1"/>
  <c r="O104" i="35"/>
  <c r="I104" i="34" s="1"/>
  <c r="V104" i="34" s="1"/>
  <c r="O103" i="35"/>
  <c r="I103" i="34" s="1"/>
  <c r="V103" i="34" s="1"/>
  <c r="O102" i="35"/>
  <c r="I102" i="34" s="1"/>
  <c r="V102" i="34" s="1"/>
  <c r="O101" i="35"/>
  <c r="I101" i="34" s="1"/>
  <c r="V101" i="34" s="1"/>
  <c r="O100" i="35"/>
  <c r="I100" i="34" s="1"/>
  <c r="V100" i="34" s="1"/>
  <c r="O99" i="35"/>
  <c r="I99" i="34" s="1"/>
  <c r="V99" i="34" s="1"/>
  <c r="O98" i="35"/>
  <c r="I98" i="34" s="1"/>
  <c r="V98" i="34" s="1"/>
  <c r="O97" i="35"/>
  <c r="I97" i="34" s="1"/>
  <c r="V97" i="34" s="1"/>
  <c r="O96" i="35"/>
  <c r="I96" i="34" s="1"/>
  <c r="V96" i="34" s="1"/>
  <c r="O95" i="35"/>
  <c r="I95" i="34" s="1"/>
  <c r="V95" i="34" s="1"/>
  <c r="W93" i="3" s="1"/>
  <c r="O94" i="35"/>
  <c r="I94" i="34" s="1"/>
  <c r="V94" i="34" s="1"/>
  <c r="W92" i="3" s="1"/>
  <c r="O93" i="35"/>
  <c r="I93" i="34" s="1"/>
  <c r="V93" i="34" s="1"/>
  <c r="W91" i="3" s="1"/>
  <c r="O92" i="35"/>
  <c r="I92" i="34" s="1"/>
  <c r="V92" i="34" s="1"/>
  <c r="W90" i="3" s="1"/>
  <c r="O91" i="35"/>
  <c r="I91" i="34" s="1"/>
  <c r="V91" i="34" s="1"/>
  <c r="W89" i="3" s="1"/>
  <c r="O90" i="35"/>
  <c r="I90" i="34" s="1"/>
  <c r="V90" i="34" s="1"/>
  <c r="W88" i="3" s="1"/>
  <c r="O89" i="35"/>
  <c r="I89" i="34" s="1"/>
  <c r="V89" i="34" s="1"/>
  <c r="W87" i="3" s="1"/>
  <c r="O88" i="35"/>
  <c r="I88" i="34" s="1"/>
  <c r="V88" i="34" s="1"/>
  <c r="W86" i="3" s="1"/>
  <c r="O87" i="35"/>
  <c r="I87" i="34" s="1"/>
  <c r="V87" i="34" s="1"/>
  <c r="W85" i="3" s="1"/>
  <c r="O86" i="35"/>
  <c r="I86" i="34" s="1"/>
  <c r="V86" i="34" s="1"/>
  <c r="W84" i="3" s="1"/>
  <c r="O85" i="35"/>
  <c r="I85" i="34" s="1"/>
  <c r="V85" i="34" s="1"/>
  <c r="W83" i="3" s="1"/>
  <c r="O84" i="35"/>
  <c r="I84" i="34" s="1"/>
  <c r="V84" i="34" s="1"/>
  <c r="W82" i="3" s="1"/>
  <c r="O83" i="35"/>
  <c r="I83" i="34" s="1"/>
  <c r="V83" i="34" s="1"/>
  <c r="W81" i="3" s="1"/>
  <c r="O82" i="35"/>
  <c r="I82" i="34" s="1"/>
  <c r="V82" i="34" s="1"/>
  <c r="W80" i="3" s="1"/>
  <c r="O81" i="35"/>
  <c r="I81" i="34" s="1"/>
  <c r="V81" i="34" s="1"/>
  <c r="W79" i="3" s="1"/>
  <c r="O80" i="35"/>
  <c r="I80" i="34" s="1"/>
  <c r="V80" i="34" s="1"/>
  <c r="W78" i="3" s="1"/>
  <c r="O79" i="35"/>
  <c r="I79" i="34" s="1"/>
  <c r="V79" i="34" s="1"/>
  <c r="W77" i="3" s="1"/>
  <c r="O78" i="35"/>
  <c r="I78" i="34" s="1"/>
  <c r="V78" i="34" s="1"/>
  <c r="O77" i="35"/>
  <c r="I77" i="34" s="1"/>
  <c r="V77" i="34" s="1"/>
  <c r="O76" i="35"/>
  <c r="I76" i="34" s="1"/>
  <c r="V76" i="34" s="1"/>
  <c r="O75" i="35"/>
  <c r="I75" i="34" s="1"/>
  <c r="V75" i="34" s="1"/>
  <c r="O74" i="35"/>
  <c r="I74" i="34" s="1"/>
  <c r="V74" i="34" s="1"/>
  <c r="O73" i="35"/>
  <c r="I73" i="34" s="1"/>
  <c r="V73" i="34" s="1"/>
  <c r="O72" i="35"/>
  <c r="I72" i="34" s="1"/>
  <c r="V72" i="34" s="1"/>
  <c r="O71" i="35"/>
  <c r="I71" i="34" s="1"/>
  <c r="V71" i="34" s="1"/>
  <c r="O70" i="35"/>
  <c r="I70" i="34" s="1"/>
  <c r="V70" i="34" s="1"/>
  <c r="O69" i="35"/>
  <c r="I69" i="34" s="1"/>
  <c r="V69" i="34" s="1"/>
  <c r="O68" i="35"/>
  <c r="I68" i="34" s="1"/>
  <c r="V68" i="34" s="1"/>
  <c r="O67" i="35"/>
  <c r="I67" i="34" s="1"/>
  <c r="V67" i="34" s="1"/>
  <c r="O66" i="35"/>
  <c r="I66" i="34" s="1"/>
  <c r="V66" i="34" s="1"/>
  <c r="O65" i="35"/>
  <c r="I65" i="34" s="1"/>
  <c r="V65" i="34" s="1"/>
  <c r="O64" i="35"/>
  <c r="I64" i="34" s="1"/>
  <c r="V64" i="34" s="1"/>
  <c r="O63" i="35"/>
  <c r="I63" i="34" s="1"/>
  <c r="V63" i="34" s="1"/>
  <c r="O62" i="35"/>
  <c r="I62" i="34" s="1"/>
  <c r="V62" i="34" s="1"/>
  <c r="O61" i="35"/>
  <c r="I61" i="34" s="1"/>
  <c r="V61" i="34" s="1"/>
  <c r="O60" i="35"/>
  <c r="I60" i="34" s="1"/>
  <c r="V60" i="34" s="1"/>
  <c r="O59" i="35"/>
  <c r="I59" i="34" s="1"/>
  <c r="V59" i="34" s="1"/>
  <c r="O58" i="35"/>
  <c r="I58" i="34" s="1"/>
  <c r="V58" i="34" s="1"/>
  <c r="O57" i="35"/>
  <c r="I57" i="34" s="1"/>
  <c r="V57" i="34" s="1"/>
  <c r="O118" i="35"/>
  <c r="I250" i="34" s="1"/>
  <c r="V250" i="34" s="1"/>
  <c r="O56" i="35"/>
  <c r="I56" i="34" s="1"/>
  <c r="V56" i="34" s="1"/>
  <c r="O117" i="35"/>
  <c r="I249" i="34" s="1"/>
  <c r="V249" i="34" s="1"/>
  <c r="O55" i="35"/>
  <c r="I55" i="34" s="1"/>
  <c r="V55" i="34" s="1"/>
  <c r="O54" i="35"/>
  <c r="I54" i="34" s="1"/>
  <c r="V54" i="34" s="1"/>
  <c r="O53" i="35"/>
  <c r="I53" i="34" s="1"/>
  <c r="V53" i="34" s="1"/>
  <c r="O52" i="35"/>
  <c r="I52" i="34" s="1"/>
  <c r="V52" i="34" s="1"/>
  <c r="O51" i="35"/>
  <c r="I51" i="34" s="1"/>
  <c r="V51" i="34" s="1"/>
  <c r="O50" i="35"/>
  <c r="I50" i="34" s="1"/>
  <c r="V50" i="34" s="1"/>
  <c r="O49" i="35"/>
  <c r="I49" i="34" s="1"/>
  <c r="V49" i="34" s="1"/>
  <c r="O48" i="35"/>
  <c r="I48" i="34" s="1"/>
  <c r="V48" i="34" s="1"/>
  <c r="O47" i="35"/>
  <c r="I47" i="34" s="1"/>
  <c r="V47" i="34" s="1"/>
  <c r="O46" i="35"/>
  <c r="I46" i="34" s="1"/>
  <c r="V46" i="34" s="1"/>
  <c r="O45" i="35"/>
  <c r="I45" i="34" s="1"/>
  <c r="V45" i="34" s="1"/>
  <c r="O44" i="35"/>
  <c r="I44" i="34" s="1"/>
  <c r="V44" i="34" s="1"/>
  <c r="O43" i="35"/>
  <c r="I43" i="34" s="1"/>
  <c r="V43" i="34" s="1"/>
  <c r="O42" i="35"/>
  <c r="I42" i="34" s="1"/>
  <c r="V42" i="34" s="1"/>
  <c r="O41" i="35"/>
  <c r="I41" i="34" s="1"/>
  <c r="V41" i="34" s="1"/>
  <c r="O40" i="35"/>
  <c r="I40" i="34" s="1"/>
  <c r="V40" i="34" s="1"/>
  <c r="O39" i="35"/>
  <c r="I39" i="34" s="1"/>
  <c r="V39" i="34" s="1"/>
  <c r="O38" i="35"/>
  <c r="I38" i="34" s="1"/>
  <c r="V38" i="34" s="1"/>
  <c r="O37" i="35"/>
  <c r="I37" i="34" s="1"/>
  <c r="V37" i="34" s="1"/>
  <c r="O36" i="35"/>
  <c r="I36" i="34" s="1"/>
  <c r="V36" i="34" s="1"/>
  <c r="O35" i="35"/>
  <c r="I35" i="34" s="1"/>
  <c r="V35" i="34" s="1"/>
  <c r="O34" i="35"/>
  <c r="I34" i="34" s="1"/>
  <c r="V34" i="34" s="1"/>
  <c r="O33" i="35"/>
  <c r="I33" i="34" s="1"/>
  <c r="V33" i="34" s="1"/>
  <c r="O32" i="35"/>
  <c r="I32" i="34" s="1"/>
  <c r="V32" i="34" s="1"/>
  <c r="O31" i="35"/>
  <c r="I31" i="34" s="1"/>
  <c r="V31" i="34" s="1"/>
  <c r="O30" i="35"/>
  <c r="I30" i="34" s="1"/>
  <c r="V30" i="34" s="1"/>
  <c r="O29" i="35"/>
  <c r="I29" i="34" s="1"/>
  <c r="V29" i="34" s="1"/>
  <c r="O28" i="35"/>
  <c r="I28" i="34" s="1"/>
  <c r="V28" i="34" s="1"/>
  <c r="O27" i="35"/>
  <c r="I27" i="34" s="1"/>
  <c r="V27" i="34" s="1"/>
  <c r="O26" i="35"/>
  <c r="I26" i="34" s="1"/>
  <c r="V26" i="34" s="1"/>
  <c r="O25" i="35"/>
  <c r="I25" i="34" s="1"/>
  <c r="V25" i="34" s="1"/>
  <c r="O24" i="35"/>
  <c r="I24" i="34" s="1"/>
  <c r="V24" i="34" s="1"/>
  <c r="O23" i="35"/>
  <c r="I23" i="34" s="1"/>
  <c r="V23" i="34" s="1"/>
  <c r="O22" i="35"/>
  <c r="I22" i="34" s="1"/>
  <c r="V22" i="34" s="1"/>
  <c r="O21" i="35"/>
  <c r="I21" i="34" s="1"/>
  <c r="V21" i="34" s="1"/>
  <c r="O20" i="35"/>
  <c r="I20" i="34" s="1"/>
  <c r="V20" i="34" s="1"/>
  <c r="O19" i="35"/>
  <c r="I19" i="34" s="1"/>
  <c r="V19" i="34" s="1"/>
  <c r="O18" i="35"/>
  <c r="I18" i="34" s="1"/>
  <c r="V18" i="34" s="1"/>
  <c r="O17" i="35"/>
  <c r="I17" i="34" s="1"/>
  <c r="V17" i="34" s="1"/>
  <c r="O16" i="35"/>
  <c r="I16" i="34" s="1"/>
  <c r="V16" i="34" s="1"/>
  <c r="O15" i="35"/>
  <c r="I15" i="34" s="1"/>
  <c r="V15" i="34" s="1"/>
  <c r="O14" i="35"/>
  <c r="I14" i="34" s="1"/>
  <c r="V14" i="34" s="1"/>
  <c r="O13" i="35"/>
  <c r="I13" i="34" s="1"/>
  <c r="V13" i="34" s="1"/>
  <c r="O12" i="35"/>
  <c r="I12" i="34" s="1"/>
  <c r="V12" i="34" s="1"/>
  <c r="O11" i="35"/>
  <c r="I11" i="34" s="1"/>
  <c r="V11" i="34" s="1"/>
  <c r="O116" i="35"/>
  <c r="I248" i="34" s="1"/>
  <c r="A116" i="35"/>
  <c r="O10" i="35"/>
  <c r="I10" i="34" s="1"/>
  <c r="V10" i="34" s="1"/>
  <c r="A10" i="35"/>
  <c r="O9" i="35"/>
  <c r="I9" i="34" s="1"/>
  <c r="V9" i="34" s="1"/>
  <c r="A9" i="35"/>
  <c r="O8" i="35"/>
  <c r="I8" i="34" s="1"/>
  <c r="V8" i="34" s="1"/>
  <c r="A8" i="35"/>
  <c r="J245" i="34"/>
  <c r="A245" i="34"/>
  <c r="J244" i="34"/>
  <c r="A244" i="34"/>
  <c r="J243" i="34"/>
  <c r="A243" i="34"/>
  <c r="J242" i="34"/>
  <c r="A242" i="34"/>
  <c r="J241" i="34"/>
  <c r="D241" i="34"/>
  <c r="A241" i="34"/>
  <c r="J240" i="34"/>
  <c r="A240" i="34"/>
  <c r="J239" i="34"/>
  <c r="A239" i="34"/>
  <c r="J238" i="34"/>
  <c r="A238" i="34"/>
  <c r="J237" i="34"/>
  <c r="A237" i="34"/>
  <c r="J236" i="34"/>
  <c r="A236" i="34"/>
  <c r="J235" i="34"/>
  <c r="A235" i="34"/>
  <c r="J225" i="34"/>
  <c r="F225" i="34"/>
  <c r="G225" i="34" s="1"/>
  <c r="H225" i="34" s="1"/>
  <c r="I225" i="34" s="1"/>
  <c r="D225" i="34"/>
  <c r="C225" i="34"/>
  <c r="B225" i="34"/>
  <c r="A225" i="34"/>
  <c r="J224" i="34"/>
  <c r="F224" i="34"/>
  <c r="G224" i="34" s="1"/>
  <c r="H224" i="34" s="1"/>
  <c r="I224" i="34" s="1"/>
  <c r="D224" i="34"/>
  <c r="C224" i="34"/>
  <c r="B224" i="34"/>
  <c r="A224" i="34"/>
  <c r="J223" i="34"/>
  <c r="F223" i="34"/>
  <c r="G223" i="34" s="1"/>
  <c r="H223" i="34" s="1"/>
  <c r="I223" i="34" s="1"/>
  <c r="D223" i="34"/>
  <c r="C223" i="34"/>
  <c r="B223" i="34"/>
  <c r="A223" i="34"/>
  <c r="J221" i="34"/>
  <c r="A221" i="34"/>
  <c r="J220" i="34"/>
  <c r="A220" i="34"/>
  <c r="J219" i="34"/>
  <c r="A219" i="34"/>
  <c r="J218" i="34"/>
  <c r="A218" i="34"/>
  <c r="J217" i="34"/>
  <c r="A217" i="34"/>
  <c r="J216" i="34"/>
  <c r="A216" i="34"/>
  <c r="J215" i="34"/>
  <c r="A215" i="34"/>
  <c r="J214" i="34"/>
  <c r="A214" i="34"/>
  <c r="J213" i="34"/>
  <c r="A213" i="34"/>
  <c r="J212" i="34"/>
  <c r="A212" i="34"/>
  <c r="J211" i="34"/>
  <c r="A211" i="34"/>
  <c r="J210" i="34"/>
  <c r="A210" i="34"/>
  <c r="J209" i="34"/>
  <c r="A209" i="34"/>
  <c r="J208" i="34"/>
  <c r="A208" i="34"/>
  <c r="J207" i="34"/>
  <c r="A207" i="34"/>
  <c r="J206" i="34"/>
  <c r="A206" i="34"/>
  <c r="J205" i="34"/>
  <c r="A205" i="34"/>
  <c r="J204" i="34"/>
  <c r="A204" i="34"/>
  <c r="J203" i="34"/>
  <c r="A203" i="34"/>
  <c r="J202" i="34"/>
  <c r="A202" i="34"/>
  <c r="J201" i="34"/>
  <c r="A201" i="34"/>
  <c r="J200" i="34"/>
  <c r="A200" i="34"/>
  <c r="J199" i="34"/>
  <c r="A199" i="34"/>
  <c r="J198" i="34"/>
  <c r="A198" i="34"/>
  <c r="J197" i="34"/>
  <c r="A197" i="34"/>
  <c r="J196" i="34"/>
  <c r="A196" i="34"/>
  <c r="J195" i="34"/>
  <c r="A195" i="34"/>
  <c r="J194" i="34"/>
  <c r="A194" i="34"/>
  <c r="J193" i="34"/>
  <c r="A193" i="34"/>
  <c r="J192" i="34"/>
  <c r="A192" i="34"/>
  <c r="J191" i="34"/>
  <c r="A191" i="34"/>
  <c r="J190" i="34"/>
  <c r="A190" i="34"/>
  <c r="J189" i="34"/>
  <c r="C189" i="34"/>
  <c r="A189" i="34"/>
  <c r="J188" i="34"/>
  <c r="A188" i="34"/>
  <c r="J187" i="34"/>
  <c r="A187" i="34"/>
  <c r="J186" i="34"/>
  <c r="A186" i="34"/>
  <c r="J185" i="34"/>
  <c r="A185" i="34"/>
  <c r="J184" i="34"/>
  <c r="A184" i="34"/>
  <c r="J183" i="34"/>
  <c r="A183" i="34"/>
  <c r="J182" i="34"/>
  <c r="A182" i="34"/>
  <c r="J181" i="34"/>
  <c r="B181" i="34"/>
  <c r="A181" i="34"/>
  <c r="J180" i="34"/>
  <c r="A180" i="34"/>
  <c r="J179" i="34"/>
  <c r="A179" i="34"/>
  <c r="J178" i="34"/>
  <c r="A178" i="34"/>
  <c r="J177" i="34"/>
  <c r="A177" i="34"/>
  <c r="J176" i="34"/>
  <c r="A176" i="34"/>
  <c r="J175" i="34"/>
  <c r="A175" i="34"/>
  <c r="J174" i="34"/>
  <c r="A174" i="34"/>
  <c r="J173" i="34"/>
  <c r="A173" i="34"/>
  <c r="J172" i="34"/>
  <c r="A172" i="34"/>
  <c r="J171" i="34"/>
  <c r="A171" i="34"/>
  <c r="J170" i="34"/>
  <c r="A170" i="34"/>
  <c r="J169" i="34"/>
  <c r="A169" i="34"/>
  <c r="J168" i="34"/>
  <c r="A168" i="34"/>
  <c r="J167" i="34"/>
  <c r="A167" i="34"/>
  <c r="J166" i="34"/>
  <c r="A166" i="34"/>
  <c r="J165" i="34"/>
  <c r="A165" i="34"/>
  <c r="J164" i="34"/>
  <c r="A164" i="34"/>
  <c r="J163" i="34"/>
  <c r="A163" i="34"/>
  <c r="J162" i="34"/>
  <c r="A162" i="34"/>
  <c r="J161" i="34"/>
  <c r="A161" i="34"/>
  <c r="J160" i="34"/>
  <c r="A160" i="34"/>
  <c r="J159" i="34"/>
  <c r="A159" i="34"/>
  <c r="J158" i="34"/>
  <c r="A158" i="34"/>
  <c r="J157" i="34"/>
  <c r="A157" i="34"/>
  <c r="J156" i="34"/>
  <c r="A156" i="34"/>
  <c r="J155" i="34"/>
  <c r="A155" i="34"/>
  <c r="J154" i="34"/>
  <c r="A154" i="34"/>
  <c r="J153" i="34"/>
  <c r="A153" i="34"/>
  <c r="J152" i="34"/>
  <c r="A152" i="34"/>
  <c r="J151" i="34"/>
  <c r="A151" i="34"/>
  <c r="J150" i="34"/>
  <c r="A150" i="34"/>
  <c r="J149" i="34"/>
  <c r="A149" i="34"/>
  <c r="J148" i="34"/>
  <c r="A148" i="34"/>
  <c r="J147" i="34"/>
  <c r="A147" i="34"/>
  <c r="J146" i="34"/>
  <c r="A146" i="34"/>
  <c r="J145" i="34"/>
  <c r="A145" i="34"/>
  <c r="J144" i="34"/>
  <c r="A144" i="34"/>
  <c r="J143" i="34"/>
  <c r="A143" i="34"/>
  <c r="J142" i="34"/>
  <c r="A142" i="34"/>
  <c r="J141" i="34"/>
  <c r="A141" i="34"/>
  <c r="J140" i="34"/>
  <c r="A140" i="34"/>
  <c r="J139" i="34"/>
  <c r="A139" i="34"/>
  <c r="J138" i="34"/>
  <c r="A138" i="34"/>
  <c r="J137" i="34"/>
  <c r="B137" i="34"/>
  <c r="A137" i="34"/>
  <c r="J136" i="34"/>
  <c r="A136" i="34"/>
  <c r="J135" i="34"/>
  <c r="A135" i="34"/>
  <c r="J134" i="34"/>
  <c r="A134" i="34"/>
  <c r="J133" i="34"/>
  <c r="A133" i="34"/>
  <c r="J132" i="34"/>
  <c r="A132" i="34"/>
  <c r="J131" i="34"/>
  <c r="A131" i="34"/>
  <c r="J130" i="34"/>
  <c r="A130" i="34"/>
  <c r="J129" i="34"/>
  <c r="A129" i="34"/>
  <c r="J128" i="34"/>
  <c r="A128" i="34"/>
  <c r="J127" i="34"/>
  <c r="A127" i="34"/>
  <c r="J126" i="34"/>
  <c r="A126" i="34"/>
  <c r="J125" i="34"/>
  <c r="A125" i="34"/>
  <c r="J124" i="34"/>
  <c r="A124" i="34"/>
  <c r="A123" i="34"/>
  <c r="J122" i="34"/>
  <c r="A122" i="34"/>
  <c r="J121" i="34"/>
  <c r="A121" i="34"/>
  <c r="J120" i="34"/>
  <c r="A120" i="34"/>
  <c r="J119" i="34"/>
  <c r="A119" i="34"/>
  <c r="J118" i="34"/>
  <c r="A118" i="34"/>
  <c r="J117" i="34"/>
  <c r="A117" i="34"/>
  <c r="J116" i="34"/>
  <c r="A116" i="34"/>
  <c r="D245" i="34"/>
  <c r="C245" i="34"/>
  <c r="B245" i="34"/>
  <c r="E244" i="34"/>
  <c r="D244" i="34"/>
  <c r="C244" i="34"/>
  <c r="B244" i="34"/>
  <c r="C243" i="34"/>
  <c r="B243" i="34"/>
  <c r="D242" i="34"/>
  <c r="C242" i="34"/>
  <c r="B242" i="34"/>
  <c r="C241" i="34"/>
  <c r="B241" i="34"/>
  <c r="E240" i="34"/>
  <c r="D240" i="34"/>
  <c r="C240" i="34"/>
  <c r="B240" i="34"/>
  <c r="C239" i="34"/>
  <c r="B239" i="34"/>
  <c r="E238" i="34"/>
  <c r="D238" i="34"/>
  <c r="C238" i="34"/>
  <c r="B238" i="34"/>
  <c r="C237" i="34"/>
  <c r="B237" i="34"/>
  <c r="E236" i="34"/>
  <c r="D236" i="34"/>
  <c r="C236" i="34"/>
  <c r="B236" i="34"/>
  <c r="C235" i="34"/>
  <c r="B235" i="34"/>
  <c r="K110" i="34"/>
  <c r="L109" i="34"/>
  <c r="C221" i="34"/>
  <c r="B221" i="34"/>
  <c r="L108" i="34"/>
  <c r="D220" i="34"/>
  <c r="C220" i="34"/>
  <c r="B220" i="34"/>
  <c r="L107" i="34"/>
  <c r="D219" i="34"/>
  <c r="C219" i="34"/>
  <c r="B219" i="34"/>
  <c r="L106" i="34"/>
  <c r="C218" i="34"/>
  <c r="B218" i="34"/>
  <c r="L105" i="34"/>
  <c r="C217" i="34"/>
  <c r="B217" i="34"/>
  <c r="L104" i="34"/>
  <c r="D216" i="34"/>
  <c r="C216" i="34"/>
  <c r="B216" i="34"/>
  <c r="L103" i="34"/>
  <c r="D215" i="34"/>
  <c r="C215" i="34"/>
  <c r="B215" i="34"/>
  <c r="L102" i="34"/>
  <c r="C214" i="34"/>
  <c r="B214" i="34"/>
  <c r="L101" i="34"/>
  <c r="C213" i="34"/>
  <c r="B213" i="34"/>
  <c r="L100" i="34"/>
  <c r="D212" i="34"/>
  <c r="C212" i="34"/>
  <c r="B212" i="34"/>
  <c r="L99" i="34"/>
  <c r="D211" i="34"/>
  <c r="C211" i="34"/>
  <c r="B211" i="34"/>
  <c r="L98" i="34"/>
  <c r="C210" i="34"/>
  <c r="B210" i="34"/>
  <c r="L97" i="34"/>
  <c r="C209" i="34"/>
  <c r="B209" i="34"/>
  <c r="L96" i="34"/>
  <c r="D208" i="34"/>
  <c r="C208" i="34"/>
  <c r="B208" i="34"/>
  <c r="L95" i="34"/>
  <c r="D207" i="34"/>
  <c r="C207" i="34"/>
  <c r="B207" i="34"/>
  <c r="L94" i="34"/>
  <c r="C206" i="34"/>
  <c r="B206" i="34"/>
  <c r="L93" i="34"/>
  <c r="C205" i="34"/>
  <c r="B205" i="34"/>
  <c r="L92" i="34"/>
  <c r="D204" i="34"/>
  <c r="C204" i="34"/>
  <c r="B204" i="34"/>
  <c r="L91" i="34"/>
  <c r="D203" i="34"/>
  <c r="C203" i="34"/>
  <c r="B203" i="34"/>
  <c r="L90" i="34"/>
  <c r="D202" i="34"/>
  <c r="C202" i="34"/>
  <c r="B202" i="34"/>
  <c r="L89" i="34"/>
  <c r="C201" i="34"/>
  <c r="B201" i="34"/>
  <c r="L88" i="34"/>
  <c r="C200" i="34"/>
  <c r="B200" i="34"/>
  <c r="L87" i="34"/>
  <c r="D199" i="34"/>
  <c r="C199" i="34"/>
  <c r="B199" i="34"/>
  <c r="L86" i="34"/>
  <c r="C198" i="34"/>
  <c r="B198" i="34"/>
  <c r="L85" i="34"/>
  <c r="D197" i="34"/>
  <c r="C197" i="34"/>
  <c r="B197" i="34"/>
  <c r="L84" i="34"/>
  <c r="D196" i="34"/>
  <c r="C196" i="34"/>
  <c r="B196" i="34"/>
  <c r="L83" i="34"/>
  <c r="C195" i="34"/>
  <c r="B195" i="34"/>
  <c r="L82" i="34"/>
  <c r="C194" i="34"/>
  <c r="B194" i="34"/>
  <c r="L81" i="34"/>
  <c r="D193" i="34"/>
  <c r="C193" i="34"/>
  <c r="B193" i="34"/>
  <c r="L80" i="34"/>
  <c r="D192" i="34"/>
  <c r="C192" i="34"/>
  <c r="B192" i="34"/>
  <c r="L79" i="34"/>
  <c r="C191" i="34"/>
  <c r="B191" i="34"/>
  <c r="L78" i="34"/>
  <c r="C190" i="34"/>
  <c r="B190" i="34"/>
  <c r="L77" i="34"/>
  <c r="B189" i="34"/>
  <c r="L76" i="34"/>
  <c r="C188" i="34"/>
  <c r="B188" i="34"/>
  <c r="L75" i="34"/>
  <c r="C187" i="34"/>
  <c r="B187" i="34"/>
  <c r="L74" i="34"/>
  <c r="C186" i="34"/>
  <c r="B186" i="34"/>
  <c r="L73" i="34"/>
  <c r="C185" i="34"/>
  <c r="B185" i="34"/>
  <c r="L72" i="34"/>
  <c r="C184" i="34"/>
  <c r="B184" i="34"/>
  <c r="L71" i="34"/>
  <c r="C183" i="34"/>
  <c r="B183" i="34"/>
  <c r="L70" i="34"/>
  <c r="C182" i="34"/>
  <c r="B182" i="34"/>
  <c r="L69" i="34"/>
  <c r="C181" i="34"/>
  <c r="L68" i="34"/>
  <c r="C180" i="34"/>
  <c r="B180" i="34"/>
  <c r="L67" i="34"/>
  <c r="C179" i="34"/>
  <c r="B179" i="34"/>
  <c r="L66" i="34"/>
  <c r="C178" i="34"/>
  <c r="B178" i="34"/>
  <c r="L65" i="34"/>
  <c r="C177" i="34"/>
  <c r="B177" i="34"/>
  <c r="L64" i="34"/>
  <c r="C176" i="34"/>
  <c r="B176" i="34"/>
  <c r="L63" i="34"/>
  <c r="C175" i="34"/>
  <c r="B175" i="34"/>
  <c r="L62" i="34"/>
  <c r="C174" i="34"/>
  <c r="B174" i="34"/>
  <c r="L61" i="34"/>
  <c r="C173" i="34"/>
  <c r="B173" i="34"/>
  <c r="L60" i="34"/>
  <c r="C172" i="34"/>
  <c r="B172" i="34"/>
  <c r="L59" i="34"/>
  <c r="C171" i="34"/>
  <c r="B171" i="34"/>
  <c r="L58" i="34"/>
  <c r="C170" i="34"/>
  <c r="B170" i="34"/>
  <c r="L57" i="34"/>
  <c r="C169" i="34"/>
  <c r="B169" i="34"/>
  <c r="L250" i="34"/>
  <c r="C168" i="34"/>
  <c r="B168" i="34"/>
  <c r="L56" i="34"/>
  <c r="C167" i="34"/>
  <c r="B167" i="34"/>
  <c r="L249" i="34"/>
  <c r="C166" i="34"/>
  <c r="B166" i="34"/>
  <c r="L55" i="34"/>
  <c r="C165" i="34"/>
  <c r="B165" i="34"/>
  <c r="L54" i="34"/>
  <c r="C164" i="34"/>
  <c r="B164" i="34"/>
  <c r="C163" i="34"/>
  <c r="B163" i="34"/>
  <c r="L53" i="34"/>
  <c r="C162" i="34"/>
  <c r="B162" i="34"/>
  <c r="L52" i="34"/>
  <c r="C161" i="34"/>
  <c r="B161" i="34"/>
  <c r="L51" i="34"/>
  <c r="C160" i="34"/>
  <c r="B160" i="34"/>
  <c r="L50" i="34"/>
  <c r="C159" i="34"/>
  <c r="B159" i="34"/>
  <c r="L49" i="34"/>
  <c r="C158" i="34"/>
  <c r="B158" i="34"/>
  <c r="L48" i="34"/>
  <c r="C157" i="34"/>
  <c r="B157" i="34"/>
  <c r="L47" i="34"/>
  <c r="S47" i="34"/>
  <c r="C156" i="34"/>
  <c r="B156" i="34"/>
  <c r="L46" i="34"/>
  <c r="C155" i="34"/>
  <c r="B155" i="34"/>
  <c r="L45" i="34"/>
  <c r="C154" i="34"/>
  <c r="B154" i="34"/>
  <c r="L44" i="34"/>
  <c r="C153" i="34"/>
  <c r="B153" i="34"/>
  <c r="L43" i="34"/>
  <c r="C152" i="34"/>
  <c r="B152" i="34"/>
  <c r="L42" i="34"/>
  <c r="S42" i="34"/>
  <c r="C151" i="34"/>
  <c r="B151" i="34"/>
  <c r="L41" i="34"/>
  <c r="C150" i="34"/>
  <c r="B150" i="34"/>
  <c r="L40" i="34"/>
  <c r="S40" i="34"/>
  <c r="C149" i="34"/>
  <c r="B149" i="34"/>
  <c r="L39" i="34"/>
  <c r="C148" i="34"/>
  <c r="B148" i="34"/>
  <c r="L38" i="34"/>
  <c r="C147" i="34"/>
  <c r="B147" i="34"/>
  <c r="L37" i="34"/>
  <c r="C146" i="34"/>
  <c r="B146" i="34"/>
  <c r="L36" i="34"/>
  <c r="C145" i="34"/>
  <c r="B145" i="34"/>
  <c r="L35" i="34"/>
  <c r="D144" i="34"/>
  <c r="C144" i="34"/>
  <c r="B144" i="34"/>
  <c r="L34" i="34"/>
  <c r="D143" i="34"/>
  <c r="C143" i="34"/>
  <c r="B143" i="34"/>
  <c r="L33" i="34"/>
  <c r="D142" i="34"/>
  <c r="C142" i="34"/>
  <c r="B142" i="34"/>
  <c r="L32" i="34"/>
  <c r="D141" i="34"/>
  <c r="C141" i="34"/>
  <c r="B141" i="34"/>
  <c r="L31" i="34"/>
  <c r="D140" i="34"/>
  <c r="C140" i="34"/>
  <c r="B140" i="34"/>
  <c r="L30" i="34"/>
  <c r="D139" i="34"/>
  <c r="C139" i="34"/>
  <c r="B139" i="34"/>
  <c r="L29" i="34"/>
  <c r="D138" i="34"/>
  <c r="C138" i="34"/>
  <c r="B138" i="34"/>
  <c r="L28" i="34"/>
  <c r="D137" i="34"/>
  <c r="C137" i="34"/>
  <c r="L27" i="34"/>
  <c r="D136" i="34"/>
  <c r="C136" i="34"/>
  <c r="B136" i="34"/>
  <c r="L26" i="34"/>
  <c r="D135" i="34"/>
  <c r="C135" i="34"/>
  <c r="B135" i="34"/>
  <c r="L25" i="34"/>
  <c r="D134" i="34"/>
  <c r="C134" i="34"/>
  <c r="B134" i="34"/>
  <c r="L24" i="34"/>
  <c r="D133" i="34"/>
  <c r="C133" i="34"/>
  <c r="B133" i="34"/>
  <c r="L23" i="34"/>
  <c r="D132" i="34"/>
  <c r="C132" i="34"/>
  <c r="B132" i="34"/>
  <c r="L22" i="34"/>
  <c r="D131" i="34"/>
  <c r="C131" i="34"/>
  <c r="B131" i="34"/>
  <c r="L21" i="34"/>
  <c r="D130" i="34"/>
  <c r="C130" i="34"/>
  <c r="B130" i="34"/>
  <c r="L20" i="34"/>
  <c r="D129" i="34"/>
  <c r="C129" i="34"/>
  <c r="B129" i="34"/>
  <c r="L19" i="34"/>
  <c r="D128" i="34"/>
  <c r="C128" i="34"/>
  <c r="B128" i="34"/>
  <c r="L18" i="34"/>
  <c r="D127" i="34"/>
  <c r="C127" i="34"/>
  <c r="B127" i="34"/>
  <c r="L17" i="34"/>
  <c r="D126" i="34"/>
  <c r="C126" i="34"/>
  <c r="B126" i="34"/>
  <c r="L16" i="34"/>
  <c r="D125" i="34"/>
  <c r="C125" i="34"/>
  <c r="B125" i="34"/>
  <c r="L15" i="34"/>
  <c r="D124" i="34"/>
  <c r="C124" i="34"/>
  <c r="B124" i="34"/>
  <c r="L14" i="34"/>
  <c r="D123" i="34"/>
  <c r="C123" i="34"/>
  <c r="B123" i="34"/>
  <c r="L13" i="34"/>
  <c r="D122" i="34"/>
  <c r="C122" i="34"/>
  <c r="B122" i="34"/>
  <c r="L12" i="34"/>
  <c r="D121" i="34"/>
  <c r="C121" i="34"/>
  <c r="B121" i="34"/>
  <c r="L11" i="34"/>
  <c r="D120" i="34"/>
  <c r="C120" i="34"/>
  <c r="B120" i="34"/>
  <c r="L248" i="34"/>
  <c r="S248" i="34"/>
  <c r="C119" i="34"/>
  <c r="B119" i="34"/>
  <c r="L10" i="34"/>
  <c r="D118" i="34"/>
  <c r="C118" i="34"/>
  <c r="B118" i="34"/>
  <c r="L9" i="34"/>
  <c r="D117" i="34"/>
  <c r="C117" i="34"/>
  <c r="B117" i="34"/>
  <c r="L8" i="34"/>
  <c r="D116" i="34"/>
  <c r="C116" i="34"/>
  <c r="B116" i="34"/>
  <c r="V110" i="33"/>
  <c r="U110" i="33"/>
  <c r="T110" i="33"/>
  <c r="S110" i="33"/>
  <c r="Q110" i="33"/>
  <c r="P110" i="33"/>
  <c r="O110" i="33"/>
  <c r="N110" i="33"/>
  <c r="M110" i="33"/>
  <c r="L110" i="33"/>
  <c r="K110" i="33"/>
  <c r="J110" i="33"/>
  <c r="I110" i="33"/>
  <c r="H110" i="33"/>
  <c r="G110" i="33"/>
  <c r="F110" i="33"/>
  <c r="X109" i="33"/>
  <c r="R109" i="33"/>
  <c r="F109" i="34" s="1"/>
  <c r="E109" i="33"/>
  <c r="X108" i="33"/>
  <c r="R108" i="33"/>
  <c r="E108" i="33"/>
  <c r="X107" i="33"/>
  <c r="R107" i="33"/>
  <c r="E107" i="33"/>
  <c r="E107" i="34" s="1"/>
  <c r="X106" i="33"/>
  <c r="R106" i="33"/>
  <c r="F106" i="34" s="1"/>
  <c r="E106" i="33"/>
  <c r="X105" i="33"/>
  <c r="R105" i="33"/>
  <c r="F105" i="34" s="1"/>
  <c r="E105" i="33"/>
  <c r="E105" i="34" s="1"/>
  <c r="X104" i="33"/>
  <c r="R104" i="33"/>
  <c r="E104" i="33"/>
  <c r="X103" i="33"/>
  <c r="R103" i="33"/>
  <c r="E103" i="33"/>
  <c r="E103" i="34" s="1"/>
  <c r="X102" i="33"/>
  <c r="R102" i="33"/>
  <c r="E102" i="33"/>
  <c r="X101" i="33"/>
  <c r="R101" i="33"/>
  <c r="E101" i="33"/>
  <c r="E101" i="34" s="1"/>
  <c r="X100" i="33"/>
  <c r="R100" i="33"/>
  <c r="E100" i="33"/>
  <c r="X99" i="33"/>
  <c r="R99" i="33"/>
  <c r="E99" i="33"/>
  <c r="E99" i="34" s="1"/>
  <c r="X98" i="33"/>
  <c r="R98" i="33"/>
  <c r="F98" i="34" s="1"/>
  <c r="E98" i="33"/>
  <c r="X97" i="33"/>
  <c r="R97" i="33"/>
  <c r="F97" i="34" s="1"/>
  <c r="E97" i="33"/>
  <c r="E97" i="34" s="1"/>
  <c r="X96" i="33"/>
  <c r="R96" i="33"/>
  <c r="E96" i="33"/>
  <c r="X95" i="33"/>
  <c r="R95" i="33"/>
  <c r="E95" i="33"/>
  <c r="E95" i="34" s="1"/>
  <c r="X94" i="33"/>
  <c r="R94" i="33"/>
  <c r="F94" i="34" s="1"/>
  <c r="U92" i="3" s="1"/>
  <c r="E94" i="33"/>
  <c r="X93" i="33"/>
  <c r="R93" i="33"/>
  <c r="F93" i="34" s="1"/>
  <c r="U91" i="3" s="1"/>
  <c r="E93" i="33"/>
  <c r="E93" i="34" s="1"/>
  <c r="X92" i="33"/>
  <c r="R92" i="33"/>
  <c r="E92" i="33"/>
  <c r="X91" i="33"/>
  <c r="R91" i="33"/>
  <c r="E91" i="33"/>
  <c r="E91" i="34" s="1"/>
  <c r="X90" i="33"/>
  <c r="R90" i="33"/>
  <c r="E90" i="33"/>
  <c r="X89" i="33"/>
  <c r="R89" i="33"/>
  <c r="E89" i="33"/>
  <c r="E89" i="34" s="1"/>
  <c r="X88" i="33"/>
  <c r="R88" i="33"/>
  <c r="E88" i="33"/>
  <c r="X87" i="33"/>
  <c r="R87" i="33"/>
  <c r="E87" i="33"/>
  <c r="E87" i="34" s="1"/>
  <c r="X86" i="33"/>
  <c r="R86" i="33"/>
  <c r="F86" i="34" s="1"/>
  <c r="U84" i="3" s="1"/>
  <c r="E86" i="33"/>
  <c r="X85" i="33"/>
  <c r="R85" i="33"/>
  <c r="F85" i="34" s="1"/>
  <c r="U83" i="3" s="1"/>
  <c r="E85" i="33"/>
  <c r="E85" i="34" s="1"/>
  <c r="X84" i="33"/>
  <c r="R84" i="33"/>
  <c r="E84" i="33"/>
  <c r="X83" i="33"/>
  <c r="R83" i="33"/>
  <c r="E83" i="33"/>
  <c r="E83" i="34" s="1"/>
  <c r="X82" i="33"/>
  <c r="R82" i="33"/>
  <c r="E82" i="33"/>
  <c r="X81" i="33"/>
  <c r="R81" i="33"/>
  <c r="E81" i="33"/>
  <c r="E81" i="34" s="1"/>
  <c r="X80" i="33"/>
  <c r="R80" i="33"/>
  <c r="E80" i="33"/>
  <c r="X79" i="33"/>
  <c r="R79" i="33"/>
  <c r="E79" i="33"/>
  <c r="E79" i="34" s="1"/>
  <c r="X78" i="33"/>
  <c r="R78" i="33"/>
  <c r="E78" i="33"/>
  <c r="X77" i="33"/>
  <c r="R77" i="33"/>
  <c r="E77" i="33"/>
  <c r="X76" i="33"/>
  <c r="R76" i="33"/>
  <c r="E76" i="33"/>
  <c r="X75" i="33"/>
  <c r="R75" i="33"/>
  <c r="E75" i="33"/>
  <c r="X74" i="33"/>
  <c r="R74" i="33"/>
  <c r="E74" i="33"/>
  <c r="X73" i="33"/>
  <c r="R73" i="33"/>
  <c r="E73" i="33"/>
  <c r="X72" i="33"/>
  <c r="R72" i="33"/>
  <c r="E72" i="33"/>
  <c r="X71" i="33"/>
  <c r="R71" i="33"/>
  <c r="E71" i="33"/>
  <c r="E71" i="34" s="1"/>
  <c r="X70" i="33"/>
  <c r="R70" i="33"/>
  <c r="F70" i="34" s="1"/>
  <c r="U68" i="3" s="1"/>
  <c r="E70" i="33"/>
  <c r="X69" i="33"/>
  <c r="R69" i="33"/>
  <c r="E69" i="33"/>
  <c r="X68" i="33"/>
  <c r="R68" i="33"/>
  <c r="E68" i="33"/>
  <c r="X67" i="33"/>
  <c r="R67" i="33"/>
  <c r="E67" i="33"/>
  <c r="X66" i="33"/>
  <c r="R66" i="33"/>
  <c r="F66" i="34" s="1"/>
  <c r="E66" i="33"/>
  <c r="X65" i="33"/>
  <c r="R65" i="33"/>
  <c r="F65" i="34" s="1"/>
  <c r="E65" i="33"/>
  <c r="E65" i="34" s="1"/>
  <c r="X64" i="33"/>
  <c r="R64" i="33"/>
  <c r="E64" i="33"/>
  <c r="X63" i="33"/>
  <c r="R63" i="33"/>
  <c r="E63" i="33"/>
  <c r="E63" i="34" s="1"/>
  <c r="X62" i="33"/>
  <c r="R62" i="33"/>
  <c r="E62" i="33"/>
  <c r="X61" i="33"/>
  <c r="R61" i="33"/>
  <c r="F61" i="34" s="1"/>
  <c r="E61" i="33"/>
  <c r="X60" i="33"/>
  <c r="R60" i="33"/>
  <c r="E60" i="33"/>
  <c r="X59" i="33"/>
  <c r="R59" i="33"/>
  <c r="E59" i="33"/>
  <c r="E59" i="34" s="1"/>
  <c r="X58" i="33"/>
  <c r="R58" i="33"/>
  <c r="F58" i="34" s="1"/>
  <c r="E58" i="33"/>
  <c r="X57" i="33"/>
  <c r="R57" i="33"/>
  <c r="F57" i="34" s="1"/>
  <c r="E57" i="33"/>
  <c r="E57" i="34" s="1"/>
  <c r="X118" i="33"/>
  <c r="R118" i="33"/>
  <c r="E118" i="33"/>
  <c r="X56" i="33"/>
  <c r="R56" i="33"/>
  <c r="E56" i="33"/>
  <c r="X117" i="33"/>
  <c r="R117" i="33"/>
  <c r="F249" i="34" s="1"/>
  <c r="U115" i="3" s="1"/>
  <c r="E117" i="33"/>
  <c r="X55" i="33"/>
  <c r="R55" i="33"/>
  <c r="F55" i="34" s="1"/>
  <c r="E55" i="33"/>
  <c r="X54" i="33"/>
  <c r="R54" i="33"/>
  <c r="E54" i="33"/>
  <c r="X53" i="33"/>
  <c r="R53" i="33"/>
  <c r="E53" i="33"/>
  <c r="X52" i="33"/>
  <c r="R52" i="33"/>
  <c r="E52" i="33"/>
  <c r="X51" i="33"/>
  <c r="R51" i="33"/>
  <c r="E51" i="33"/>
  <c r="X50" i="33"/>
  <c r="R50" i="33"/>
  <c r="E50" i="33"/>
  <c r="X49" i="33"/>
  <c r="R49" i="33"/>
  <c r="E49" i="33"/>
  <c r="X48" i="33"/>
  <c r="R48" i="33"/>
  <c r="E48" i="33"/>
  <c r="X47" i="33"/>
  <c r="R47" i="33"/>
  <c r="E47" i="33"/>
  <c r="X46" i="33"/>
  <c r="R46" i="33"/>
  <c r="E46" i="33"/>
  <c r="X45" i="33"/>
  <c r="R45" i="33"/>
  <c r="E45" i="33"/>
  <c r="X44" i="33"/>
  <c r="R44" i="33"/>
  <c r="E44" i="33"/>
  <c r="X43" i="33"/>
  <c r="R43" i="33"/>
  <c r="E43" i="33"/>
  <c r="X42" i="33"/>
  <c r="R42" i="33"/>
  <c r="E42" i="33"/>
  <c r="X41" i="33"/>
  <c r="R41" i="33"/>
  <c r="F41" i="34" s="1"/>
  <c r="E41" i="33"/>
  <c r="X40" i="33"/>
  <c r="R40" i="33"/>
  <c r="F40" i="34" s="1"/>
  <c r="E40" i="33"/>
  <c r="X39" i="33"/>
  <c r="R39" i="33"/>
  <c r="E39" i="33"/>
  <c r="X38" i="33"/>
  <c r="R38" i="33"/>
  <c r="E38" i="33"/>
  <c r="X37" i="33"/>
  <c r="R37" i="33"/>
  <c r="E37" i="33"/>
  <c r="X36" i="33"/>
  <c r="R36" i="33"/>
  <c r="E36" i="33"/>
  <c r="X35" i="33"/>
  <c r="R35" i="33"/>
  <c r="E35" i="33"/>
  <c r="X34" i="33"/>
  <c r="R34" i="33"/>
  <c r="E34" i="33"/>
  <c r="X33" i="33"/>
  <c r="R33" i="33"/>
  <c r="E33" i="33"/>
  <c r="X32" i="33"/>
  <c r="R32" i="33"/>
  <c r="E32" i="33"/>
  <c r="X31" i="33"/>
  <c r="R31" i="33"/>
  <c r="E31" i="33"/>
  <c r="X30" i="33"/>
  <c r="R30" i="33"/>
  <c r="E30" i="33"/>
  <c r="X29" i="33"/>
  <c r="R29" i="33"/>
  <c r="E29" i="33"/>
  <c r="X28" i="33"/>
  <c r="R28" i="33"/>
  <c r="E28" i="33"/>
  <c r="X27" i="33"/>
  <c r="R27" i="33"/>
  <c r="E27" i="33"/>
  <c r="X26" i="33"/>
  <c r="R26" i="33"/>
  <c r="E26" i="33"/>
  <c r="X25" i="33"/>
  <c r="R25" i="33"/>
  <c r="F25" i="34" s="1"/>
  <c r="E25" i="33"/>
  <c r="X24" i="33"/>
  <c r="R24" i="33"/>
  <c r="F24" i="34" s="1"/>
  <c r="E24" i="33"/>
  <c r="X23" i="33"/>
  <c r="R23" i="33"/>
  <c r="E23" i="33"/>
  <c r="X22" i="33"/>
  <c r="R22" i="33"/>
  <c r="E22" i="33"/>
  <c r="X21" i="33"/>
  <c r="R21" i="33"/>
  <c r="E21" i="33"/>
  <c r="X20" i="33"/>
  <c r="R20" i="33"/>
  <c r="E20" i="33"/>
  <c r="X19" i="33"/>
  <c r="R19" i="33"/>
  <c r="E19" i="33"/>
  <c r="X18" i="33"/>
  <c r="R18" i="33"/>
  <c r="E18" i="33"/>
  <c r="X17" i="33"/>
  <c r="R17" i="33"/>
  <c r="E17" i="33"/>
  <c r="X16" i="33"/>
  <c r="R16" i="33"/>
  <c r="E16" i="33"/>
  <c r="X15" i="33"/>
  <c r="R15" i="33"/>
  <c r="E15" i="33"/>
  <c r="X14" i="33"/>
  <c r="E14" i="33"/>
  <c r="X13" i="33"/>
  <c r="R13" i="33"/>
  <c r="E13" i="33"/>
  <c r="X12" i="33"/>
  <c r="R12" i="33"/>
  <c r="E12" i="33"/>
  <c r="X11" i="33"/>
  <c r="R11" i="33"/>
  <c r="E11" i="33"/>
  <c r="X116" i="33"/>
  <c r="R116" i="33"/>
  <c r="E116" i="33"/>
  <c r="X10" i="33"/>
  <c r="R10" i="33"/>
  <c r="F10" i="34" s="1"/>
  <c r="E10" i="33"/>
  <c r="X9" i="33"/>
  <c r="R9" i="33"/>
  <c r="F9" i="34" s="1"/>
  <c r="E9" i="33"/>
  <c r="X8" i="33"/>
  <c r="R8" i="33"/>
  <c r="F8" i="34" s="1"/>
  <c r="E8" i="33"/>
  <c r="E8" i="34" s="1"/>
  <c r="K224" i="34" l="1"/>
  <c r="W69" i="3"/>
  <c r="U85" i="34"/>
  <c r="E209" i="34"/>
  <c r="U105" i="34"/>
  <c r="K223" i="34"/>
  <c r="K225" i="34"/>
  <c r="U8" i="34"/>
  <c r="T30" i="36"/>
  <c r="W93" i="33"/>
  <c r="Y93" i="33" s="1"/>
  <c r="W94" i="33"/>
  <c r="Y94" i="33" s="1"/>
  <c r="W105" i="33"/>
  <c r="Y105" i="33" s="1"/>
  <c r="W106" i="33"/>
  <c r="Y106" i="33" s="1"/>
  <c r="W57" i="33"/>
  <c r="Y57" i="33" s="1"/>
  <c r="W24" i="33"/>
  <c r="Y24" i="33" s="1"/>
  <c r="W25" i="33"/>
  <c r="Y25" i="33" s="1"/>
  <c r="W85" i="33"/>
  <c r="Y85" i="33" s="1"/>
  <c r="W86" i="33"/>
  <c r="Y86" i="33" s="1"/>
  <c r="W97" i="33"/>
  <c r="Y97" i="33" s="1"/>
  <c r="W98" i="33"/>
  <c r="Y98" i="33" s="1"/>
  <c r="T75" i="36"/>
  <c r="T42" i="36"/>
  <c r="T55" i="36"/>
  <c r="T78" i="36"/>
  <c r="T4" i="36"/>
  <c r="AI7" i="3"/>
  <c r="T10" i="36"/>
  <c r="T34" i="36"/>
  <c r="T41" i="36"/>
  <c r="T46" i="36"/>
  <c r="T52" i="36"/>
  <c r="AI55" i="3"/>
  <c r="T77" i="36"/>
  <c r="AI80" i="3"/>
  <c r="T88" i="36"/>
  <c r="T14" i="36"/>
  <c r="T38" i="36"/>
  <c r="T49" i="36"/>
  <c r="T54" i="36"/>
  <c r="T59" i="36"/>
  <c r="T65" i="36"/>
  <c r="AI68" i="3"/>
  <c r="T74" i="36"/>
  <c r="T22" i="36"/>
  <c r="T90" i="36"/>
  <c r="T56" i="36"/>
  <c r="AI59" i="3"/>
  <c r="T67" i="36"/>
  <c r="T76" i="36"/>
  <c r="AI79" i="3"/>
  <c r="T50" i="36"/>
  <c r="AI53" i="3"/>
  <c r="S85" i="34"/>
  <c r="E205" i="34"/>
  <c r="S103" i="34"/>
  <c r="S91" i="34"/>
  <c r="S96" i="34"/>
  <c r="S99" i="34"/>
  <c r="S87" i="34"/>
  <c r="S104" i="34"/>
  <c r="E217" i="34"/>
  <c r="S107" i="34"/>
  <c r="E242" i="34"/>
  <c r="S92" i="34"/>
  <c r="S100" i="34"/>
  <c r="E213" i="34"/>
  <c r="S81" i="34"/>
  <c r="S84" i="34"/>
  <c r="S80" i="34"/>
  <c r="S90" i="34"/>
  <c r="S95" i="34"/>
  <c r="U97" i="34"/>
  <c r="S108" i="34"/>
  <c r="E55" i="34"/>
  <c r="E165" i="34" s="1"/>
  <c r="E70" i="34"/>
  <c r="W83" i="33"/>
  <c r="Y83" i="33" s="1"/>
  <c r="F83" i="34"/>
  <c r="U81" i="3" s="1"/>
  <c r="F89" i="34"/>
  <c r="U87" i="3" s="1"/>
  <c r="W89" i="33"/>
  <c r="Y89" i="33" s="1"/>
  <c r="E61" i="34"/>
  <c r="F82" i="34"/>
  <c r="U80" i="3" s="1"/>
  <c r="W82" i="33"/>
  <c r="Y82" i="33" s="1"/>
  <c r="F101" i="34"/>
  <c r="W101" i="33"/>
  <c r="Y101" i="33" s="1"/>
  <c r="E60" i="34"/>
  <c r="E172" i="34" s="1"/>
  <c r="F81" i="34"/>
  <c r="U79" i="3" s="1"/>
  <c r="W81" i="33"/>
  <c r="Y81" i="33" s="1"/>
  <c r="W91" i="33"/>
  <c r="Y91" i="33" s="1"/>
  <c r="F91" i="34"/>
  <c r="U89" i="3" s="1"/>
  <c r="E109" i="34"/>
  <c r="E9" i="34"/>
  <c r="W80" i="33"/>
  <c r="Y80" i="33" s="1"/>
  <c r="F80" i="34"/>
  <c r="U78" i="3" s="1"/>
  <c r="F90" i="34"/>
  <c r="U88" i="3" s="1"/>
  <c r="W90" i="33"/>
  <c r="Y90" i="33" s="1"/>
  <c r="W103" i="33"/>
  <c r="Y103" i="33" s="1"/>
  <c r="F103" i="34"/>
  <c r="U103" i="34" s="1"/>
  <c r="E108" i="34"/>
  <c r="E88" i="34"/>
  <c r="F102" i="34"/>
  <c r="W102" i="33"/>
  <c r="Y102" i="33" s="1"/>
  <c r="E47" i="34"/>
  <c r="E156" i="34" s="1"/>
  <c r="E100" i="34"/>
  <c r="E80" i="34"/>
  <c r="E82" i="34"/>
  <c r="W84" i="33"/>
  <c r="Y84" i="33" s="1"/>
  <c r="F84" i="34"/>
  <c r="U82" i="3" s="1"/>
  <c r="E90" i="34"/>
  <c r="W92" i="33"/>
  <c r="Y92" i="33" s="1"/>
  <c r="F92" i="34"/>
  <c r="U90" i="3" s="1"/>
  <c r="W95" i="33"/>
  <c r="Y95" i="33" s="1"/>
  <c r="F95" i="34"/>
  <c r="U93" i="3" s="1"/>
  <c r="E102" i="34"/>
  <c r="W104" i="33"/>
  <c r="Y104" i="33" s="1"/>
  <c r="F104" i="34"/>
  <c r="W47" i="33"/>
  <c r="Y47" i="33" s="1"/>
  <c r="F47" i="34"/>
  <c r="W60" i="33"/>
  <c r="Y60" i="33" s="1"/>
  <c r="F60" i="34"/>
  <c r="U58" i="3" s="1"/>
  <c r="W79" i="33"/>
  <c r="Y79" i="33" s="1"/>
  <c r="F79" i="34"/>
  <c r="E86" i="34"/>
  <c r="W88" i="33"/>
  <c r="Y88" i="33" s="1"/>
  <c r="F88" i="34"/>
  <c r="U86" i="3" s="1"/>
  <c r="E96" i="34"/>
  <c r="E98" i="34"/>
  <c r="W100" i="33"/>
  <c r="Y100" i="33" s="1"/>
  <c r="F100" i="34"/>
  <c r="E106" i="34"/>
  <c r="E218" i="34" s="1"/>
  <c r="W108" i="33"/>
  <c r="Y108" i="33" s="1"/>
  <c r="F108" i="34"/>
  <c r="E193" i="34"/>
  <c r="U93" i="34"/>
  <c r="W9" i="33"/>
  <c r="Y9" i="33" s="1"/>
  <c r="W10" i="33"/>
  <c r="Y10" i="33" s="1"/>
  <c r="W55" i="33"/>
  <c r="Y55" i="33" s="1"/>
  <c r="W117" i="33"/>
  <c r="Y117" i="33" s="1"/>
  <c r="W59" i="33"/>
  <c r="Y59" i="33" s="1"/>
  <c r="F59" i="34"/>
  <c r="W61" i="33"/>
  <c r="Y61" i="33" s="1"/>
  <c r="W70" i="33"/>
  <c r="Y70" i="33" s="1"/>
  <c r="E84" i="34"/>
  <c r="W87" i="33"/>
  <c r="Y87" i="33" s="1"/>
  <c r="F87" i="34"/>
  <c r="U85" i="3" s="1"/>
  <c r="E92" i="34"/>
  <c r="E94" i="34"/>
  <c r="W96" i="33"/>
  <c r="Y96" i="33" s="1"/>
  <c r="F96" i="34"/>
  <c r="W99" i="33"/>
  <c r="Y99" i="33" s="1"/>
  <c r="F99" i="34"/>
  <c r="E104" i="34"/>
  <c r="W107" i="33"/>
  <c r="Y107" i="33" s="1"/>
  <c r="F107" i="34"/>
  <c r="W109" i="33"/>
  <c r="Y109" i="33" s="1"/>
  <c r="E197" i="34"/>
  <c r="T73" i="36"/>
  <c r="AI76" i="3"/>
  <c r="T72" i="36"/>
  <c r="AI75" i="3"/>
  <c r="T71" i="36"/>
  <c r="T70" i="36"/>
  <c r="T69" i="36"/>
  <c r="AI72" i="3"/>
  <c r="T68" i="36"/>
  <c r="AI71" i="3"/>
  <c r="T66" i="36"/>
  <c r="T64" i="36"/>
  <c r="AI67" i="3"/>
  <c r="T63" i="36"/>
  <c r="T62" i="36"/>
  <c r="T61" i="36"/>
  <c r="AI64" i="3"/>
  <c r="T60" i="36"/>
  <c r="AI63" i="3"/>
  <c r="T58" i="36"/>
  <c r="T57" i="36"/>
  <c r="AI60" i="3"/>
  <c r="T53" i="36"/>
  <c r="AI56" i="3"/>
  <c r="T51" i="36"/>
  <c r="T89" i="36"/>
  <c r="AI115" i="3"/>
  <c r="T87" i="36"/>
  <c r="T48" i="36"/>
  <c r="AI51" i="3"/>
  <c r="T47" i="36"/>
  <c r="AI50" i="3"/>
  <c r="T45" i="36"/>
  <c r="T44" i="36"/>
  <c r="AI47" i="3"/>
  <c r="T43" i="36"/>
  <c r="AI46" i="3"/>
  <c r="T40" i="36"/>
  <c r="AI43" i="3"/>
  <c r="T39" i="36"/>
  <c r="AI42" i="3"/>
  <c r="T37" i="36"/>
  <c r="T36" i="36"/>
  <c r="AI39" i="3"/>
  <c r="T35" i="36"/>
  <c r="AI38" i="3"/>
  <c r="T33" i="36"/>
  <c r="T32" i="36"/>
  <c r="AI35" i="3"/>
  <c r="T29" i="36"/>
  <c r="T27" i="36"/>
  <c r="AI30" i="3"/>
  <c r="T26" i="36"/>
  <c r="T25" i="36"/>
  <c r="T24" i="36"/>
  <c r="AI27" i="3"/>
  <c r="T23" i="36"/>
  <c r="AI26" i="3"/>
  <c r="T21" i="36"/>
  <c r="T20" i="36"/>
  <c r="AI23" i="3"/>
  <c r="T19" i="36"/>
  <c r="AI22" i="3"/>
  <c r="T18" i="36"/>
  <c r="T17" i="36"/>
  <c r="T16" i="36"/>
  <c r="AI19" i="3"/>
  <c r="T15" i="36"/>
  <c r="AI18" i="3"/>
  <c r="T13" i="36"/>
  <c r="T12" i="36"/>
  <c r="AI15" i="3"/>
  <c r="T11" i="36"/>
  <c r="AI14" i="3"/>
  <c r="T8" i="36"/>
  <c r="AI11" i="3"/>
  <c r="T31" i="36"/>
  <c r="AI34" i="3"/>
  <c r="T28" i="36"/>
  <c r="AI31" i="3"/>
  <c r="T6" i="36"/>
  <c r="T5" i="36"/>
  <c r="AI8" i="3"/>
  <c r="T7" i="36"/>
  <c r="AI10" i="3"/>
  <c r="T3" i="36"/>
  <c r="AI12" i="3"/>
  <c r="J123" i="34"/>
  <c r="J222" i="34" s="1"/>
  <c r="E73" i="34"/>
  <c r="W74" i="33"/>
  <c r="Y74" i="33" s="1"/>
  <c r="F74" i="34"/>
  <c r="U72" i="3" s="1"/>
  <c r="E77" i="34"/>
  <c r="W78" i="33"/>
  <c r="Y78" i="33" s="1"/>
  <c r="F78" i="34"/>
  <c r="U76" i="3" s="1"/>
  <c r="W77" i="33"/>
  <c r="Y77" i="33" s="1"/>
  <c r="F77" i="34"/>
  <c r="U75" i="3" s="1"/>
  <c r="E75" i="34"/>
  <c r="W76" i="33"/>
  <c r="Y76" i="33" s="1"/>
  <c r="F76" i="34"/>
  <c r="U74" i="3" s="1"/>
  <c r="W73" i="33"/>
  <c r="Y73" i="33" s="1"/>
  <c r="F73" i="34"/>
  <c r="U71" i="3" s="1"/>
  <c r="E76" i="34"/>
  <c r="W71" i="33"/>
  <c r="Y71" i="33" s="1"/>
  <c r="F71" i="34"/>
  <c r="U69" i="3" s="1"/>
  <c r="E74" i="34"/>
  <c r="E186" i="34" s="1"/>
  <c r="W75" i="33"/>
  <c r="Y75" i="33" s="1"/>
  <c r="F75" i="34"/>
  <c r="U73" i="3" s="1"/>
  <c r="E78" i="34"/>
  <c r="W64" i="33"/>
  <c r="Y64" i="33" s="1"/>
  <c r="F64" i="34"/>
  <c r="W67" i="33"/>
  <c r="Y67" i="33" s="1"/>
  <c r="F67" i="34"/>
  <c r="E62" i="34"/>
  <c r="W63" i="33"/>
  <c r="Y63" i="33" s="1"/>
  <c r="F63" i="34"/>
  <c r="W65" i="33"/>
  <c r="Y65" i="33" s="1"/>
  <c r="W66" i="33"/>
  <c r="Y66" i="33" s="1"/>
  <c r="E69" i="34"/>
  <c r="W62" i="33"/>
  <c r="Y62" i="33" s="1"/>
  <c r="F62" i="34"/>
  <c r="E68" i="34"/>
  <c r="W69" i="33"/>
  <c r="Y69" i="33" s="1"/>
  <c r="F69" i="34"/>
  <c r="U67" i="3" s="1"/>
  <c r="E64" i="34"/>
  <c r="E66" i="34"/>
  <c r="E67" i="34"/>
  <c r="W68" i="33"/>
  <c r="Y68" i="33" s="1"/>
  <c r="F68" i="34"/>
  <c r="E58" i="34"/>
  <c r="W58" i="33"/>
  <c r="Y58" i="33" s="1"/>
  <c r="E250" i="34"/>
  <c r="E249" i="34"/>
  <c r="E56" i="34"/>
  <c r="W118" i="33"/>
  <c r="Y118" i="33" s="1"/>
  <c r="F250" i="34"/>
  <c r="U116" i="3" s="1"/>
  <c r="W56" i="33"/>
  <c r="Y56" i="33" s="1"/>
  <c r="F56" i="34"/>
  <c r="E50" i="34"/>
  <c r="E159" i="34" s="1"/>
  <c r="W52" i="33"/>
  <c r="Y52" i="33" s="1"/>
  <c r="F52" i="34"/>
  <c r="E49" i="34"/>
  <c r="E158" i="34" s="1"/>
  <c r="W50" i="33"/>
  <c r="Y50" i="33" s="1"/>
  <c r="F50" i="34"/>
  <c r="W113" i="3"/>
  <c r="W54" i="33"/>
  <c r="Y54" i="33" s="1"/>
  <c r="F54" i="34"/>
  <c r="W51" i="33"/>
  <c r="Y51" i="33" s="1"/>
  <c r="F51" i="34"/>
  <c r="E54" i="34"/>
  <c r="E48" i="34"/>
  <c r="W49" i="33"/>
  <c r="Y49" i="33" s="1"/>
  <c r="F49" i="34"/>
  <c r="E53" i="34"/>
  <c r="U113" i="3"/>
  <c r="W48" i="33"/>
  <c r="Y48" i="33" s="1"/>
  <c r="F48" i="34"/>
  <c r="E51" i="34"/>
  <c r="E52" i="34"/>
  <c r="W53" i="33"/>
  <c r="Y53" i="33" s="1"/>
  <c r="F53" i="34"/>
  <c r="E43" i="34"/>
  <c r="W44" i="33"/>
  <c r="Y44" i="33" s="1"/>
  <c r="F44" i="34"/>
  <c r="E40" i="34"/>
  <c r="E41" i="34"/>
  <c r="E42" i="34"/>
  <c r="W43" i="33"/>
  <c r="Y43" i="33" s="1"/>
  <c r="F43" i="34"/>
  <c r="E46" i="34"/>
  <c r="W42" i="33"/>
  <c r="Y42" i="33" s="1"/>
  <c r="F42" i="34"/>
  <c r="E45" i="34"/>
  <c r="W46" i="33"/>
  <c r="Y46" i="33" s="1"/>
  <c r="F46" i="34"/>
  <c r="W40" i="33"/>
  <c r="Y40" i="33" s="1"/>
  <c r="W41" i="33"/>
  <c r="Y41" i="33" s="1"/>
  <c r="E44" i="34"/>
  <c r="W45" i="33"/>
  <c r="Y45" i="33" s="1"/>
  <c r="F45" i="34"/>
  <c r="E31" i="34"/>
  <c r="W32" i="33"/>
  <c r="Y32" i="33" s="1"/>
  <c r="F32" i="34"/>
  <c r="E35" i="34"/>
  <c r="W36" i="33"/>
  <c r="Y36" i="33" s="1"/>
  <c r="F36" i="34"/>
  <c r="E39" i="34"/>
  <c r="W31" i="33"/>
  <c r="Y31" i="33" s="1"/>
  <c r="F31" i="34"/>
  <c r="E34" i="34"/>
  <c r="W35" i="33"/>
  <c r="Y35" i="33" s="1"/>
  <c r="F35" i="34"/>
  <c r="E38" i="34"/>
  <c r="W39" i="33"/>
  <c r="Y39" i="33" s="1"/>
  <c r="F39" i="34"/>
  <c r="E33" i="34"/>
  <c r="W34" i="33"/>
  <c r="Y34" i="33" s="1"/>
  <c r="F34" i="34"/>
  <c r="E37" i="34"/>
  <c r="W38" i="33"/>
  <c r="Y38" i="33" s="1"/>
  <c r="F38" i="34"/>
  <c r="E32" i="34"/>
  <c r="W33" i="33"/>
  <c r="Y33" i="33" s="1"/>
  <c r="F33" i="34"/>
  <c r="E36" i="34"/>
  <c r="W37" i="33"/>
  <c r="Y37" i="33" s="1"/>
  <c r="F37" i="34"/>
  <c r="E27" i="34"/>
  <c r="E24" i="34"/>
  <c r="E25" i="34"/>
  <c r="W27" i="33"/>
  <c r="Y27" i="33" s="1"/>
  <c r="F27" i="34"/>
  <c r="E30" i="34"/>
  <c r="E23" i="34"/>
  <c r="W26" i="33"/>
  <c r="Y26" i="33" s="1"/>
  <c r="F26" i="34"/>
  <c r="E29" i="34"/>
  <c r="W30" i="33"/>
  <c r="Y30" i="33" s="1"/>
  <c r="F30" i="34"/>
  <c r="W28" i="33"/>
  <c r="Y28" i="33" s="1"/>
  <c r="F28" i="34"/>
  <c r="E26" i="34"/>
  <c r="W23" i="33"/>
  <c r="Y23" i="33" s="1"/>
  <c r="F23" i="34"/>
  <c r="E28" i="34"/>
  <c r="W29" i="33"/>
  <c r="Y29" i="33" s="1"/>
  <c r="F29" i="34"/>
  <c r="E12" i="34"/>
  <c r="E15" i="34"/>
  <c r="E19" i="34"/>
  <c r="W12" i="33"/>
  <c r="Y12" i="33" s="1"/>
  <c r="F12" i="34"/>
  <c r="E18" i="34"/>
  <c r="W19" i="33"/>
  <c r="Y19" i="33" s="1"/>
  <c r="F19" i="34"/>
  <c r="E10" i="34"/>
  <c r="E248" i="34"/>
  <c r="W11" i="33"/>
  <c r="Y11" i="33" s="1"/>
  <c r="F11" i="34"/>
  <c r="E17" i="34"/>
  <c r="W18" i="33"/>
  <c r="Y18" i="33" s="1"/>
  <c r="F18" i="34"/>
  <c r="E21" i="34"/>
  <c r="W22" i="33"/>
  <c r="Y22" i="33" s="1"/>
  <c r="F22" i="34"/>
  <c r="W13" i="33"/>
  <c r="Y13" i="33" s="1"/>
  <c r="F13" i="34"/>
  <c r="W16" i="33"/>
  <c r="Y16" i="33" s="1"/>
  <c r="F16" i="34"/>
  <c r="W20" i="33"/>
  <c r="Y20" i="33" s="1"/>
  <c r="F20" i="34"/>
  <c r="E11" i="34"/>
  <c r="W15" i="33"/>
  <c r="Y15" i="33" s="1"/>
  <c r="F15" i="34"/>
  <c r="E22" i="34"/>
  <c r="W116" i="33"/>
  <c r="Y116" i="33" s="1"/>
  <c r="F248" i="34"/>
  <c r="U114" i="3" s="1"/>
  <c r="E13" i="34"/>
  <c r="E16" i="34"/>
  <c r="W17" i="33"/>
  <c r="Y17" i="33" s="1"/>
  <c r="F17" i="34"/>
  <c r="E20" i="34"/>
  <c r="W21" i="33"/>
  <c r="Y21" i="33" s="1"/>
  <c r="F21" i="34"/>
  <c r="T9" i="36"/>
  <c r="W14" i="33"/>
  <c r="Y14" i="33" s="1"/>
  <c r="F14" i="34"/>
  <c r="E14" i="34"/>
  <c r="V80" i="36"/>
  <c r="E72" i="34"/>
  <c r="W72" i="33"/>
  <c r="Y72" i="33" s="1"/>
  <c r="F72" i="34"/>
  <c r="U70" i="3" s="1"/>
  <c r="O110" i="35"/>
  <c r="R80" i="36"/>
  <c r="D213" i="34"/>
  <c r="S101" i="34"/>
  <c r="G110" i="34"/>
  <c r="D161" i="34"/>
  <c r="S52" i="34"/>
  <c r="D162" i="34"/>
  <c r="S53" i="34"/>
  <c r="D163" i="34"/>
  <c r="D164" i="34"/>
  <c r="S54" i="34"/>
  <c r="D165" i="34"/>
  <c r="S55" i="34"/>
  <c r="D166" i="34"/>
  <c r="S249" i="34"/>
  <c r="D167" i="34"/>
  <c r="S56" i="34"/>
  <c r="D168" i="34"/>
  <c r="S250" i="34"/>
  <c r="D169" i="34"/>
  <c r="S57" i="34"/>
  <c r="D170" i="34"/>
  <c r="S58" i="34"/>
  <c r="D171" i="34"/>
  <c r="S59" i="34"/>
  <c r="D172" i="34"/>
  <c r="S60" i="34"/>
  <c r="D173" i="34"/>
  <c r="S61" i="34"/>
  <c r="D174" i="34"/>
  <c r="S62" i="34"/>
  <c r="D175" i="34"/>
  <c r="S63" i="34"/>
  <c r="D176" i="34"/>
  <c r="S64" i="34"/>
  <c r="D177" i="34"/>
  <c r="S65" i="34"/>
  <c r="S66" i="34"/>
  <c r="D178" i="34"/>
  <c r="S67" i="34"/>
  <c r="D179" i="34"/>
  <c r="D180" i="34"/>
  <c r="S68" i="34"/>
  <c r="D181" i="34"/>
  <c r="S69" i="34"/>
  <c r="D182" i="34"/>
  <c r="S70" i="34"/>
  <c r="D183" i="34"/>
  <c r="S71" i="34"/>
  <c r="D184" i="34"/>
  <c r="S72" i="34"/>
  <c r="D185" i="34"/>
  <c r="S73" i="34"/>
  <c r="D186" i="34"/>
  <c r="S74" i="34"/>
  <c r="D187" i="34"/>
  <c r="S75" i="34"/>
  <c r="D188" i="34"/>
  <c r="S76" i="34"/>
  <c r="D189" i="34"/>
  <c r="S77" i="34"/>
  <c r="S78" i="34"/>
  <c r="D190" i="34"/>
  <c r="D191" i="34"/>
  <c r="S79" i="34"/>
  <c r="D200" i="34"/>
  <c r="S88" i="34"/>
  <c r="L110" i="34"/>
  <c r="E203" i="34"/>
  <c r="D209" i="34"/>
  <c r="S97" i="34"/>
  <c r="E219" i="34"/>
  <c r="D145" i="34"/>
  <c r="S36" i="34"/>
  <c r="D147" i="34"/>
  <c r="S38" i="34"/>
  <c r="E171" i="34"/>
  <c r="E177" i="34"/>
  <c r="E183" i="34"/>
  <c r="E191" i="34"/>
  <c r="D194" i="34"/>
  <c r="S82" i="34"/>
  <c r="D214" i="34"/>
  <c r="S102" i="34"/>
  <c r="D119" i="34"/>
  <c r="D149" i="34"/>
  <c r="D151" i="34"/>
  <c r="J110" i="34"/>
  <c r="S8" i="34"/>
  <c r="S9" i="34"/>
  <c r="S10" i="34"/>
  <c r="S11" i="34"/>
  <c r="S12" i="34"/>
  <c r="S13" i="34"/>
  <c r="S14" i="34"/>
  <c r="S15" i="34"/>
  <c r="S16" i="34"/>
  <c r="S17" i="34"/>
  <c r="S18" i="34"/>
  <c r="S19" i="34"/>
  <c r="S20" i="34"/>
  <c r="S21" i="34"/>
  <c r="S22" i="34"/>
  <c r="S23" i="34"/>
  <c r="S24" i="34"/>
  <c r="S25" i="34"/>
  <c r="S26" i="34"/>
  <c r="S28" i="34"/>
  <c r="S29" i="34"/>
  <c r="S30" i="34"/>
  <c r="S31" i="34"/>
  <c r="S32" i="34"/>
  <c r="S33" i="34"/>
  <c r="S34" i="34"/>
  <c r="S35" i="34"/>
  <c r="D146" i="34"/>
  <c r="S37" i="34"/>
  <c r="D148" i="34"/>
  <c r="S39" i="34"/>
  <c r="D150" i="34"/>
  <c r="S41" i="34"/>
  <c r="D152" i="34"/>
  <c r="S43" i="34"/>
  <c r="D154" i="34"/>
  <c r="S45" i="34"/>
  <c r="D158" i="34"/>
  <c r="S49" i="34"/>
  <c r="D160" i="34"/>
  <c r="S51" i="34"/>
  <c r="E215" i="34"/>
  <c r="D153" i="34"/>
  <c r="S44" i="34"/>
  <c r="D155" i="34"/>
  <c r="S46" i="34"/>
  <c r="D157" i="34"/>
  <c r="S48" i="34"/>
  <c r="D159" i="34"/>
  <c r="S50" i="34"/>
  <c r="E169" i="34"/>
  <c r="E175" i="34"/>
  <c r="D195" i="34"/>
  <c r="S83" i="34"/>
  <c r="E116" i="34"/>
  <c r="I110" i="34"/>
  <c r="E195" i="34"/>
  <c r="D198" i="34"/>
  <c r="S86" i="34"/>
  <c r="D218" i="34"/>
  <c r="S106" i="34"/>
  <c r="D156" i="34"/>
  <c r="D201" i="34"/>
  <c r="S89" i="34"/>
  <c r="S94" i="34"/>
  <c r="D206" i="34"/>
  <c r="E207" i="34"/>
  <c r="D217" i="34"/>
  <c r="S105" i="34"/>
  <c r="D235" i="34"/>
  <c r="D237" i="34"/>
  <c r="D239" i="34"/>
  <c r="D243" i="34"/>
  <c r="E245" i="34"/>
  <c r="E199" i="34"/>
  <c r="E201" i="34"/>
  <c r="D205" i="34"/>
  <c r="S93" i="34"/>
  <c r="M93" i="34"/>
  <c r="D210" i="34"/>
  <c r="S98" i="34"/>
  <c r="E211" i="34"/>
  <c r="D221" i="34"/>
  <c r="S109" i="34"/>
  <c r="E235" i="34"/>
  <c r="E237" i="34"/>
  <c r="E239" i="34"/>
  <c r="E241" i="34"/>
  <c r="E243" i="34"/>
  <c r="X110" i="33"/>
  <c r="E110" i="33"/>
  <c r="R110" i="33"/>
  <c r="W8" i="33"/>
  <c r="M83" i="34" l="1"/>
  <c r="P83" i="34" s="1"/>
  <c r="Q83" i="34" s="1"/>
  <c r="R83" i="34" s="1"/>
  <c r="T83" i="34" s="1"/>
  <c r="F195" i="34" s="1"/>
  <c r="G195" i="34" s="1"/>
  <c r="H195" i="34" s="1"/>
  <c r="I195" i="34" s="1"/>
  <c r="K195" i="34" s="1"/>
  <c r="M8" i="34"/>
  <c r="P8" i="34" s="1"/>
  <c r="M95" i="34"/>
  <c r="P95" i="34" s="1"/>
  <c r="Q95" i="34" s="1"/>
  <c r="R95" i="34" s="1"/>
  <c r="T95" i="34" s="1"/>
  <c r="F207" i="34" s="1"/>
  <c r="G207" i="34" s="1"/>
  <c r="H207" i="34" s="1"/>
  <c r="I207" i="34" s="1"/>
  <c r="K207" i="34" s="1"/>
  <c r="U101" i="34"/>
  <c r="M57" i="34"/>
  <c r="P57" i="34" s="1"/>
  <c r="Q57" i="34" s="1"/>
  <c r="R57" i="34" s="1"/>
  <c r="T57" i="34" s="1"/>
  <c r="F169" i="34" s="1"/>
  <c r="G169" i="34" s="1"/>
  <c r="H169" i="34" s="1"/>
  <c r="I169" i="34" s="1"/>
  <c r="K169" i="34" s="1"/>
  <c r="U57" i="34"/>
  <c r="U108" i="34"/>
  <c r="W67" i="3"/>
  <c r="U76" i="34"/>
  <c r="M105" i="34"/>
  <c r="P105" i="34" s="1"/>
  <c r="Q105" i="34" s="1"/>
  <c r="R105" i="34" s="1"/>
  <c r="T105" i="34" s="1"/>
  <c r="F217" i="34" s="1"/>
  <c r="G217" i="34" s="1"/>
  <c r="H217" i="34" s="1"/>
  <c r="I217" i="34" s="1"/>
  <c r="K217" i="34" s="1"/>
  <c r="U98" i="34"/>
  <c r="E202" i="34"/>
  <c r="U82" i="34"/>
  <c r="U78" i="34"/>
  <c r="W75" i="3"/>
  <c r="U100" i="34"/>
  <c r="U70" i="34"/>
  <c r="U94" i="34"/>
  <c r="M103" i="34"/>
  <c r="P103" i="34" s="1"/>
  <c r="Q103" i="34" s="1"/>
  <c r="R103" i="34" s="1"/>
  <c r="T103" i="34" s="1"/>
  <c r="F215" i="34" s="1"/>
  <c r="G215" i="34" s="1"/>
  <c r="H215" i="34" s="1"/>
  <c r="I215" i="34" s="1"/>
  <c r="K215" i="34" s="1"/>
  <c r="M72" i="34"/>
  <c r="P72" i="34" s="1"/>
  <c r="W72" i="3"/>
  <c r="M75" i="34"/>
  <c r="P75" i="34" s="1"/>
  <c r="U73" i="34"/>
  <c r="U106" i="34"/>
  <c r="U96" i="34"/>
  <c r="U102" i="34"/>
  <c r="U65" i="34"/>
  <c r="U20" i="34"/>
  <c r="U51" i="34"/>
  <c r="M62" i="34"/>
  <c r="P62" i="34" s="1"/>
  <c r="U61" i="34"/>
  <c r="M65" i="34"/>
  <c r="P65" i="34" s="1"/>
  <c r="Q65" i="34" s="1"/>
  <c r="R65" i="34" s="1"/>
  <c r="T65" i="34" s="1"/>
  <c r="F177" i="34" s="1"/>
  <c r="G177" i="34" s="1"/>
  <c r="H177" i="34" s="1"/>
  <c r="I177" i="34" s="1"/>
  <c r="K177" i="34" s="1"/>
  <c r="O248" i="34"/>
  <c r="N248" i="34"/>
  <c r="H248" i="34"/>
  <c r="E124" i="34"/>
  <c r="U40" i="34"/>
  <c r="M64" i="34"/>
  <c r="P64" i="34" s="1"/>
  <c r="M250" i="34"/>
  <c r="P250" i="34" s="1"/>
  <c r="M47" i="34"/>
  <c r="P47" i="34" s="1"/>
  <c r="U55" i="34"/>
  <c r="M43" i="34"/>
  <c r="P43" i="34" s="1"/>
  <c r="M68" i="34"/>
  <c r="P68" i="34" s="1"/>
  <c r="E180" i="34"/>
  <c r="U18" i="34"/>
  <c r="E166" i="34"/>
  <c r="E147" i="34"/>
  <c r="M11" i="34"/>
  <c r="P11" i="34" s="1"/>
  <c r="E160" i="34"/>
  <c r="U16" i="34"/>
  <c r="M22" i="34"/>
  <c r="P22" i="34" s="1"/>
  <c r="M50" i="34"/>
  <c r="P50" i="34" s="1"/>
  <c r="M67" i="34"/>
  <c r="P67" i="34" s="1"/>
  <c r="U60" i="34"/>
  <c r="E190" i="34"/>
  <c r="U107" i="34"/>
  <c r="E210" i="34"/>
  <c r="E182" i="34"/>
  <c r="M97" i="34"/>
  <c r="P97" i="34" s="1"/>
  <c r="Q97" i="34" s="1"/>
  <c r="R97" i="34" s="1"/>
  <c r="T97" i="34" s="1"/>
  <c r="F209" i="34" s="1"/>
  <c r="G209" i="34" s="1"/>
  <c r="H209" i="34" s="1"/>
  <c r="I209" i="34" s="1"/>
  <c r="K209" i="34" s="1"/>
  <c r="E192" i="34"/>
  <c r="U99" i="34"/>
  <c r="U87" i="34"/>
  <c r="E188" i="34"/>
  <c r="M59" i="34"/>
  <c r="P59" i="34" s="1"/>
  <c r="Q59" i="34" s="1"/>
  <c r="R59" i="34" s="1"/>
  <c r="T59" i="34" s="1"/>
  <c r="F171" i="34" s="1"/>
  <c r="G171" i="34" s="1"/>
  <c r="H171" i="34" s="1"/>
  <c r="I171" i="34" s="1"/>
  <c r="K171" i="34" s="1"/>
  <c r="U59" i="34"/>
  <c r="F243" i="34"/>
  <c r="G243" i="34" s="1"/>
  <c r="H243" i="34" s="1"/>
  <c r="I243" i="34" s="1"/>
  <c r="K243" i="34" s="1"/>
  <c r="F235" i="34"/>
  <c r="G235" i="34" s="1"/>
  <c r="H235" i="34" s="1"/>
  <c r="I235" i="34" s="1"/>
  <c r="K235" i="34" s="1"/>
  <c r="E206" i="34"/>
  <c r="M81" i="34"/>
  <c r="P81" i="34" s="1"/>
  <c r="Q81" i="34" s="1"/>
  <c r="R81" i="34" s="1"/>
  <c r="T81" i="34" s="1"/>
  <c r="F193" i="34" s="1"/>
  <c r="G193" i="34" s="1"/>
  <c r="H193" i="34" s="1"/>
  <c r="I193" i="34" s="1"/>
  <c r="K193" i="34" s="1"/>
  <c r="E179" i="34"/>
  <c r="E176" i="34"/>
  <c r="M107" i="34"/>
  <c r="P107" i="34" s="1"/>
  <c r="Q107" i="34" s="1"/>
  <c r="R107" i="34" s="1"/>
  <c r="T107" i="34" s="1"/>
  <c r="F219" i="34" s="1"/>
  <c r="G219" i="34" s="1"/>
  <c r="H219" i="34" s="1"/>
  <c r="I219" i="34" s="1"/>
  <c r="K219" i="34" s="1"/>
  <c r="F241" i="34"/>
  <c r="G241" i="34" s="1"/>
  <c r="H241" i="34" s="1"/>
  <c r="I241" i="34" s="1"/>
  <c r="K241" i="34" s="1"/>
  <c r="E214" i="34"/>
  <c r="E153" i="34"/>
  <c r="E184" i="34"/>
  <c r="E173" i="34"/>
  <c r="M101" i="34"/>
  <c r="P101" i="34" s="1"/>
  <c r="Q101" i="34" s="1"/>
  <c r="R101" i="34" s="1"/>
  <c r="T101" i="34" s="1"/>
  <c r="F213" i="34" s="1"/>
  <c r="G213" i="34" s="1"/>
  <c r="H213" i="34" s="1"/>
  <c r="I213" i="34" s="1"/>
  <c r="K213" i="34" s="1"/>
  <c r="E146" i="34"/>
  <c r="U91" i="34"/>
  <c r="E150" i="34"/>
  <c r="M63" i="34"/>
  <c r="P63" i="34" s="1"/>
  <c r="Q63" i="34" s="1"/>
  <c r="R63" i="34" s="1"/>
  <c r="T63" i="34" s="1"/>
  <c r="F175" i="34" s="1"/>
  <c r="G175" i="34" s="1"/>
  <c r="H175" i="34" s="1"/>
  <c r="I175" i="34" s="1"/>
  <c r="K175" i="34" s="1"/>
  <c r="E204" i="34"/>
  <c r="E198" i="34"/>
  <c r="E155" i="34"/>
  <c r="M87" i="34"/>
  <c r="P87" i="34" s="1"/>
  <c r="Q87" i="34" s="1"/>
  <c r="R87" i="34" s="1"/>
  <c r="T87" i="34" s="1"/>
  <c r="F199" i="34" s="1"/>
  <c r="G199" i="34" s="1"/>
  <c r="H199" i="34" s="1"/>
  <c r="I199" i="34" s="1"/>
  <c r="K199" i="34" s="1"/>
  <c r="E157" i="34"/>
  <c r="E151" i="34"/>
  <c r="E178" i="34"/>
  <c r="E163" i="34"/>
  <c r="E196" i="34"/>
  <c r="M80" i="34"/>
  <c r="P80" i="34" s="1"/>
  <c r="E152" i="34"/>
  <c r="M71" i="34"/>
  <c r="P71" i="34" s="1"/>
  <c r="Q71" i="34" s="1"/>
  <c r="R71" i="34" s="1"/>
  <c r="T71" i="34" s="1"/>
  <c r="F183" i="34" s="1"/>
  <c r="G183" i="34" s="1"/>
  <c r="H183" i="34" s="1"/>
  <c r="I183" i="34" s="1"/>
  <c r="K183" i="34" s="1"/>
  <c r="U71" i="34"/>
  <c r="E216" i="34"/>
  <c r="M104" i="34"/>
  <c r="P104" i="34" s="1"/>
  <c r="U77" i="3"/>
  <c r="U79" i="34"/>
  <c r="M89" i="34"/>
  <c r="P89" i="34" s="1"/>
  <c r="Q89" i="34" s="1"/>
  <c r="R89" i="34" s="1"/>
  <c r="T89" i="34" s="1"/>
  <c r="F201" i="34" s="1"/>
  <c r="G201" i="34" s="1"/>
  <c r="H201" i="34" s="1"/>
  <c r="I201" i="34" s="1"/>
  <c r="K201" i="34" s="1"/>
  <c r="E200" i="34"/>
  <c r="U89" i="34"/>
  <c r="E117" i="34"/>
  <c r="E208" i="34"/>
  <c r="E212" i="34"/>
  <c r="E189" i="34"/>
  <c r="E220" i="34"/>
  <c r="U95" i="34"/>
  <c r="E185" i="34"/>
  <c r="E162" i="34"/>
  <c r="U84" i="34"/>
  <c r="M76" i="34"/>
  <c r="P76" i="34" s="1"/>
  <c r="M73" i="34"/>
  <c r="P73" i="34" s="1"/>
  <c r="U83" i="34"/>
  <c r="M102" i="34"/>
  <c r="P102" i="34" s="1"/>
  <c r="E194" i="34"/>
  <c r="M79" i="34"/>
  <c r="P79" i="34" s="1"/>
  <c r="Q79" i="34" s="1"/>
  <c r="R79" i="34" s="1"/>
  <c r="T79" i="34" s="1"/>
  <c r="F191" i="34" s="1"/>
  <c r="G191" i="34" s="1"/>
  <c r="H191" i="34" s="1"/>
  <c r="I191" i="34" s="1"/>
  <c r="K191" i="34" s="1"/>
  <c r="E221" i="34"/>
  <c r="T80" i="36"/>
  <c r="E187" i="34"/>
  <c r="M74" i="34"/>
  <c r="P74" i="34" s="1"/>
  <c r="U74" i="34"/>
  <c r="E181" i="34"/>
  <c r="E174" i="34"/>
  <c r="U63" i="34"/>
  <c r="U69" i="34"/>
  <c r="E170" i="34"/>
  <c r="E168" i="34"/>
  <c r="E167" i="34"/>
  <c r="E164" i="34"/>
  <c r="E161" i="34"/>
  <c r="U53" i="34"/>
  <c r="E154" i="34"/>
  <c r="E149" i="34"/>
  <c r="E144" i="34"/>
  <c r="E140" i="34"/>
  <c r="E148" i="34"/>
  <c r="E141" i="34"/>
  <c r="E142" i="34"/>
  <c r="E143" i="34"/>
  <c r="E145" i="34"/>
  <c r="E138" i="34"/>
  <c r="E132" i="34"/>
  <c r="E133" i="34"/>
  <c r="E137" i="34"/>
  <c r="E135" i="34"/>
  <c r="E139" i="34"/>
  <c r="E134" i="34"/>
  <c r="E136" i="34"/>
  <c r="E131" i="34"/>
  <c r="E120" i="34"/>
  <c r="E118" i="34"/>
  <c r="E129" i="34"/>
  <c r="E125" i="34"/>
  <c r="E130" i="34"/>
  <c r="E126" i="34"/>
  <c r="E119" i="34"/>
  <c r="E127" i="34"/>
  <c r="E128" i="34"/>
  <c r="E121" i="34"/>
  <c r="E122" i="34"/>
  <c r="E123" i="34"/>
  <c r="E110" i="34"/>
  <c r="F110" i="34"/>
  <c r="U72" i="34"/>
  <c r="M91" i="34"/>
  <c r="P91" i="34" s="1"/>
  <c r="Q91" i="34" s="1"/>
  <c r="R91" i="34" s="1"/>
  <c r="T91" i="34" s="1"/>
  <c r="F203" i="34" s="1"/>
  <c r="G203" i="34" s="1"/>
  <c r="H203" i="34" s="1"/>
  <c r="I203" i="34" s="1"/>
  <c r="K203" i="34" s="1"/>
  <c r="F245" i="34"/>
  <c r="G245" i="34" s="1"/>
  <c r="H245" i="34" s="1"/>
  <c r="I245" i="34" s="1"/>
  <c r="K245" i="34" s="1"/>
  <c r="F240" i="34"/>
  <c r="G240" i="34" s="1"/>
  <c r="H240" i="34" s="1"/>
  <c r="I240" i="34" s="1"/>
  <c r="K240" i="34" s="1"/>
  <c r="M99" i="34"/>
  <c r="F237" i="34"/>
  <c r="G237" i="34" s="1"/>
  <c r="H237" i="34" s="1"/>
  <c r="I237" i="34" s="1"/>
  <c r="K237" i="34" s="1"/>
  <c r="P93" i="34"/>
  <c r="Q93" i="34" s="1"/>
  <c r="R93" i="34" s="1"/>
  <c r="T93" i="34" s="1"/>
  <c r="F205" i="34" s="1"/>
  <c r="G205" i="34" s="1"/>
  <c r="H205" i="34" s="1"/>
  <c r="I205" i="34" s="1"/>
  <c r="K205" i="34" s="1"/>
  <c r="F236" i="34"/>
  <c r="G236" i="34" s="1"/>
  <c r="H236" i="34" s="1"/>
  <c r="I236" i="34" s="1"/>
  <c r="K236" i="34" s="1"/>
  <c r="U81" i="34"/>
  <c r="M85" i="34"/>
  <c r="S110" i="34"/>
  <c r="F244" i="34"/>
  <c r="G244" i="34" s="1"/>
  <c r="H244" i="34" s="1"/>
  <c r="I244" i="34" s="1"/>
  <c r="K244" i="34" s="1"/>
  <c r="F239" i="34"/>
  <c r="G239" i="34" s="1"/>
  <c r="H239" i="34" s="1"/>
  <c r="I239" i="34" s="1"/>
  <c r="K239" i="34" s="1"/>
  <c r="F242" i="34"/>
  <c r="G242" i="34" s="1"/>
  <c r="H242" i="34" s="1"/>
  <c r="I242" i="34" s="1"/>
  <c r="K242" i="34" s="1"/>
  <c r="F238" i="34"/>
  <c r="G238" i="34" s="1"/>
  <c r="H238" i="34" s="1"/>
  <c r="I238" i="34" s="1"/>
  <c r="K238" i="34" s="1"/>
  <c r="W110" i="33"/>
  <c r="Y8" i="33"/>
  <c r="Y110" i="33" s="1"/>
  <c r="M38" i="34" l="1"/>
  <c r="P38" i="34" s="1"/>
  <c r="U77" i="34"/>
  <c r="M60" i="34"/>
  <c r="P60" i="34" s="1"/>
  <c r="Q60" i="34" s="1"/>
  <c r="R60" i="34" s="1"/>
  <c r="T60" i="34" s="1"/>
  <c r="F172" i="34" s="1"/>
  <c r="G172" i="34" s="1"/>
  <c r="H172" i="34" s="1"/>
  <c r="I172" i="34" s="1"/>
  <c r="K172" i="34" s="1"/>
  <c r="M61" i="34"/>
  <c r="P61" i="34" s="1"/>
  <c r="Q61" i="34" s="1"/>
  <c r="R61" i="34" s="1"/>
  <c r="T61" i="34" s="1"/>
  <c r="F173" i="34" s="1"/>
  <c r="G173" i="34" s="1"/>
  <c r="H173" i="34" s="1"/>
  <c r="I173" i="34" s="1"/>
  <c r="K173" i="34" s="1"/>
  <c r="W73" i="3"/>
  <c r="W70" i="3"/>
  <c r="M70" i="34"/>
  <c r="P70" i="34" s="1"/>
  <c r="Q70" i="34" s="1"/>
  <c r="R70" i="34" s="1"/>
  <c r="T70" i="34" s="1"/>
  <c r="F182" i="34" s="1"/>
  <c r="G182" i="34" s="1"/>
  <c r="H182" i="34" s="1"/>
  <c r="I182" i="34" s="1"/>
  <c r="K182" i="34" s="1"/>
  <c r="U47" i="34"/>
  <c r="U50" i="34"/>
  <c r="M78" i="34"/>
  <c r="P78" i="34" s="1"/>
  <c r="Q78" i="34" s="1"/>
  <c r="R78" i="34" s="1"/>
  <c r="T78" i="34" s="1"/>
  <c r="F190" i="34" s="1"/>
  <c r="G190" i="34" s="1"/>
  <c r="H190" i="34" s="1"/>
  <c r="I190" i="34" s="1"/>
  <c r="K190" i="34" s="1"/>
  <c r="M77" i="34"/>
  <c r="P77" i="34" s="1"/>
  <c r="Q77" i="34" s="1"/>
  <c r="R77" i="34" s="1"/>
  <c r="T77" i="34" s="1"/>
  <c r="F189" i="34" s="1"/>
  <c r="G189" i="34" s="1"/>
  <c r="H189" i="34" s="1"/>
  <c r="I189" i="34" s="1"/>
  <c r="K189" i="34" s="1"/>
  <c r="M106" i="34"/>
  <c r="P106" i="34" s="1"/>
  <c r="Q106" i="34" s="1"/>
  <c r="R106" i="34" s="1"/>
  <c r="T106" i="34" s="1"/>
  <c r="F218" i="34" s="1"/>
  <c r="G218" i="34" s="1"/>
  <c r="H218" i="34" s="1"/>
  <c r="I218" i="34" s="1"/>
  <c r="K218" i="34" s="1"/>
  <c r="W71" i="3"/>
  <c r="W76" i="3"/>
  <c r="M94" i="34"/>
  <c r="P94" i="34" s="1"/>
  <c r="Q94" i="34" s="1"/>
  <c r="R94" i="34" s="1"/>
  <c r="T94" i="34" s="1"/>
  <c r="F206" i="34" s="1"/>
  <c r="G206" i="34" s="1"/>
  <c r="H206" i="34" s="1"/>
  <c r="I206" i="34" s="1"/>
  <c r="K206" i="34" s="1"/>
  <c r="M69" i="34"/>
  <c r="P69" i="34" s="1"/>
  <c r="Q69" i="34" s="1"/>
  <c r="R69" i="34" s="1"/>
  <c r="T69" i="34" s="1"/>
  <c r="F181" i="34" s="1"/>
  <c r="G181" i="34" s="1"/>
  <c r="H181" i="34" s="1"/>
  <c r="I181" i="34" s="1"/>
  <c r="K181" i="34" s="1"/>
  <c r="Q74" i="34"/>
  <c r="R74" i="34" s="1"/>
  <c r="T74" i="34" s="1"/>
  <c r="F186" i="34" s="1"/>
  <c r="G186" i="34" s="1"/>
  <c r="H186" i="34" s="1"/>
  <c r="I186" i="34" s="1"/>
  <c r="K186" i="34" s="1"/>
  <c r="W58" i="3"/>
  <c r="W68" i="3"/>
  <c r="U62" i="34"/>
  <c r="U49" i="34"/>
  <c r="M49" i="34"/>
  <c r="P49" i="34" s="1"/>
  <c r="Q49" i="34" s="1"/>
  <c r="R49" i="34" s="1"/>
  <c r="T49" i="34" s="1"/>
  <c r="F158" i="34" s="1"/>
  <c r="G158" i="34" s="1"/>
  <c r="H158" i="34" s="1"/>
  <c r="I158" i="34" s="1"/>
  <c r="K158" i="34" s="1"/>
  <c r="U42" i="34"/>
  <c r="M46" i="34"/>
  <c r="P46" i="34" s="1"/>
  <c r="Q46" i="34" s="1"/>
  <c r="R46" i="34" s="1"/>
  <c r="T46" i="34" s="1"/>
  <c r="F155" i="34" s="1"/>
  <c r="G155" i="34" s="1"/>
  <c r="H155" i="34" s="1"/>
  <c r="I155" i="34" s="1"/>
  <c r="K155" i="34" s="1"/>
  <c r="U46" i="34"/>
  <c r="M51" i="34"/>
  <c r="P51" i="34" s="1"/>
  <c r="Q51" i="34" s="1"/>
  <c r="R51" i="34" s="1"/>
  <c r="T51" i="34" s="1"/>
  <c r="F160" i="34" s="1"/>
  <c r="G160" i="34" s="1"/>
  <c r="H160" i="34" s="1"/>
  <c r="I160" i="34" s="1"/>
  <c r="K160" i="34" s="1"/>
  <c r="M54" i="34"/>
  <c r="P54" i="34" s="1"/>
  <c r="Q54" i="34" s="1"/>
  <c r="R54" i="34" s="1"/>
  <c r="T54" i="34" s="1"/>
  <c r="F164" i="34" s="1"/>
  <c r="G164" i="34" s="1"/>
  <c r="H164" i="34" s="1"/>
  <c r="I164" i="34" s="1"/>
  <c r="K164" i="34" s="1"/>
  <c r="M53" i="34"/>
  <c r="P53" i="34" s="1"/>
  <c r="Q53" i="34" s="1"/>
  <c r="R53" i="34" s="1"/>
  <c r="T53" i="34" s="1"/>
  <c r="F162" i="34" s="1"/>
  <c r="G162" i="34" s="1"/>
  <c r="H162" i="34" s="1"/>
  <c r="I162" i="34" s="1"/>
  <c r="K162" i="34" s="1"/>
  <c r="U41" i="34"/>
  <c r="U68" i="34"/>
  <c r="U58" i="34"/>
  <c r="U48" i="34"/>
  <c r="M41" i="34"/>
  <c r="P41" i="34" s="1"/>
  <c r="Q41" i="34" s="1"/>
  <c r="R41" i="34" s="1"/>
  <c r="T41" i="34" s="1"/>
  <c r="F150" i="34" s="1"/>
  <c r="G150" i="34" s="1"/>
  <c r="H150" i="34" s="1"/>
  <c r="I150" i="34" s="1"/>
  <c r="K150" i="34" s="1"/>
  <c r="M48" i="34"/>
  <c r="P48" i="34" s="1"/>
  <c r="Q48" i="34" s="1"/>
  <c r="R48" i="34" s="1"/>
  <c r="T48" i="34" s="1"/>
  <c r="F157" i="34" s="1"/>
  <c r="G157" i="34" s="1"/>
  <c r="H157" i="34" s="1"/>
  <c r="I157" i="34" s="1"/>
  <c r="K157" i="34" s="1"/>
  <c r="M40" i="34"/>
  <c r="P40" i="34" s="1"/>
  <c r="Q40" i="34" s="1"/>
  <c r="R40" i="34" s="1"/>
  <c r="T40" i="34" s="1"/>
  <c r="F149" i="34" s="1"/>
  <c r="G149" i="34" s="1"/>
  <c r="H149" i="34" s="1"/>
  <c r="I149" i="34" s="1"/>
  <c r="K149" i="34" s="1"/>
  <c r="U38" i="34"/>
  <c r="U54" i="34"/>
  <c r="M58" i="34"/>
  <c r="P58" i="34" s="1"/>
  <c r="Q58" i="34" s="1"/>
  <c r="R58" i="34" s="1"/>
  <c r="T58" i="34" s="1"/>
  <c r="F170" i="34" s="1"/>
  <c r="G170" i="34" s="1"/>
  <c r="H170" i="34" s="1"/>
  <c r="I170" i="34" s="1"/>
  <c r="K170" i="34" s="1"/>
  <c r="W116" i="3"/>
  <c r="M52" i="34"/>
  <c r="P52" i="34" s="1"/>
  <c r="Q52" i="34" s="1"/>
  <c r="R52" i="34" s="1"/>
  <c r="T52" i="34" s="1"/>
  <c r="F161" i="34" s="1"/>
  <c r="G161" i="34" s="1"/>
  <c r="H161" i="34" s="1"/>
  <c r="I161" i="34" s="1"/>
  <c r="K161" i="34" s="1"/>
  <c r="M44" i="34"/>
  <c r="P44" i="34" s="1"/>
  <c r="Q44" i="34" s="1"/>
  <c r="R44" i="34" s="1"/>
  <c r="T44" i="34" s="1"/>
  <c r="F153" i="34" s="1"/>
  <c r="G153" i="34" s="1"/>
  <c r="H153" i="34" s="1"/>
  <c r="I153" i="34" s="1"/>
  <c r="K153" i="34" s="1"/>
  <c r="U44" i="34"/>
  <c r="M98" i="34"/>
  <c r="P98" i="34" s="1"/>
  <c r="Q98" i="34" s="1"/>
  <c r="R98" i="34" s="1"/>
  <c r="T98" i="34" s="1"/>
  <c r="F210" i="34" s="1"/>
  <c r="G210" i="34" s="1"/>
  <c r="H210" i="34" s="1"/>
  <c r="I210" i="34" s="1"/>
  <c r="K210" i="34" s="1"/>
  <c r="W74" i="3"/>
  <c r="M66" i="34"/>
  <c r="P66" i="34" s="1"/>
  <c r="Q66" i="34" s="1"/>
  <c r="R66" i="34" s="1"/>
  <c r="T66" i="34" s="1"/>
  <c r="F178" i="34" s="1"/>
  <c r="G178" i="34" s="1"/>
  <c r="H178" i="34" s="1"/>
  <c r="I178" i="34" s="1"/>
  <c r="K178" i="34" s="1"/>
  <c r="U66" i="34"/>
  <c r="Q50" i="34"/>
  <c r="R50" i="34" s="1"/>
  <c r="T50" i="34" s="1"/>
  <c r="F159" i="34" s="1"/>
  <c r="G159" i="34" s="1"/>
  <c r="H159" i="34" s="1"/>
  <c r="I159" i="34" s="1"/>
  <c r="K159" i="34" s="1"/>
  <c r="U45" i="34"/>
  <c r="M42" i="34"/>
  <c r="P42" i="34" s="1"/>
  <c r="Q42" i="34" s="1"/>
  <c r="R42" i="34" s="1"/>
  <c r="T42" i="34" s="1"/>
  <c r="F151" i="34" s="1"/>
  <c r="G151" i="34" s="1"/>
  <c r="H151" i="34" s="1"/>
  <c r="I151" i="34" s="1"/>
  <c r="K151" i="34" s="1"/>
  <c r="U75" i="34"/>
  <c r="Q102" i="34"/>
  <c r="R102" i="34" s="1"/>
  <c r="T102" i="34" s="1"/>
  <c r="F214" i="34" s="1"/>
  <c r="G214" i="34" s="1"/>
  <c r="H214" i="34" s="1"/>
  <c r="I214" i="34" s="1"/>
  <c r="K214" i="34" s="1"/>
  <c r="U64" i="34"/>
  <c r="M55" i="34"/>
  <c r="P55" i="34" s="1"/>
  <c r="Q55" i="34" s="1"/>
  <c r="R55" i="34" s="1"/>
  <c r="T55" i="34" s="1"/>
  <c r="F165" i="34" s="1"/>
  <c r="G165" i="34" s="1"/>
  <c r="H165" i="34" s="1"/>
  <c r="I165" i="34" s="1"/>
  <c r="K165" i="34" s="1"/>
  <c r="Q47" i="34"/>
  <c r="R47" i="34" s="1"/>
  <c r="T47" i="34" s="1"/>
  <c r="F156" i="34" s="1"/>
  <c r="G156" i="34" s="1"/>
  <c r="H156" i="34" s="1"/>
  <c r="I156" i="34" s="1"/>
  <c r="K156" i="34" s="1"/>
  <c r="M39" i="34"/>
  <c r="P39" i="34" s="1"/>
  <c r="Q39" i="34" s="1"/>
  <c r="R39" i="34" s="1"/>
  <c r="T39" i="34" s="1"/>
  <c r="F148" i="34" s="1"/>
  <c r="G148" i="34" s="1"/>
  <c r="H148" i="34" s="1"/>
  <c r="I148" i="34" s="1"/>
  <c r="K148" i="34" s="1"/>
  <c r="M37" i="34"/>
  <c r="P37" i="34" s="1"/>
  <c r="Q37" i="34" s="1"/>
  <c r="R37" i="34" s="1"/>
  <c r="T37" i="34" s="1"/>
  <c r="F146" i="34" s="1"/>
  <c r="G146" i="34" s="1"/>
  <c r="H146" i="34" s="1"/>
  <c r="I146" i="34" s="1"/>
  <c r="K146" i="34" s="1"/>
  <c r="Q11" i="34"/>
  <c r="R11" i="34" s="1"/>
  <c r="T11" i="34" s="1"/>
  <c r="F120" i="34" s="1"/>
  <c r="G120" i="34" s="1"/>
  <c r="H120" i="34" s="1"/>
  <c r="I120" i="34" s="1"/>
  <c r="K120" i="34" s="1"/>
  <c r="U52" i="34"/>
  <c r="U250" i="34"/>
  <c r="U36" i="34"/>
  <c r="M36" i="34"/>
  <c r="P36" i="34" s="1"/>
  <c r="Q36" i="34" s="1"/>
  <c r="R36" i="34" s="1"/>
  <c r="T36" i="34" s="1"/>
  <c r="F145" i="34" s="1"/>
  <c r="G145" i="34" s="1"/>
  <c r="H145" i="34" s="1"/>
  <c r="I145" i="34" s="1"/>
  <c r="K145" i="34" s="1"/>
  <c r="U67" i="34"/>
  <c r="U13" i="34"/>
  <c r="Q68" i="34"/>
  <c r="R68" i="34" s="1"/>
  <c r="T68" i="34" s="1"/>
  <c r="F180" i="34" s="1"/>
  <c r="G180" i="34" s="1"/>
  <c r="H180" i="34" s="1"/>
  <c r="I180" i="34" s="1"/>
  <c r="K180" i="34" s="1"/>
  <c r="U104" i="34"/>
  <c r="Q75" i="34"/>
  <c r="R75" i="34" s="1"/>
  <c r="T75" i="34" s="1"/>
  <c r="F187" i="34" s="1"/>
  <c r="G187" i="34" s="1"/>
  <c r="H187" i="34" s="1"/>
  <c r="I187" i="34" s="1"/>
  <c r="K187" i="34" s="1"/>
  <c r="Q67" i="34"/>
  <c r="R67" i="34" s="1"/>
  <c r="T67" i="34" s="1"/>
  <c r="F179" i="34" s="1"/>
  <c r="G179" i="34" s="1"/>
  <c r="H179" i="34" s="1"/>
  <c r="I179" i="34" s="1"/>
  <c r="K179" i="34" s="1"/>
  <c r="M33" i="34"/>
  <c r="P33" i="34" s="1"/>
  <c r="Q33" i="34" s="1"/>
  <c r="R33" i="34" s="1"/>
  <c r="T33" i="34" s="1"/>
  <c r="F142" i="34" s="1"/>
  <c r="G142" i="34" s="1"/>
  <c r="H142" i="34" s="1"/>
  <c r="I142" i="34" s="1"/>
  <c r="K142" i="34" s="1"/>
  <c r="Q73" i="34"/>
  <c r="R73" i="34" s="1"/>
  <c r="T73" i="34" s="1"/>
  <c r="F185" i="34" s="1"/>
  <c r="G185" i="34" s="1"/>
  <c r="H185" i="34" s="1"/>
  <c r="I185" i="34" s="1"/>
  <c r="K185" i="34" s="1"/>
  <c r="U39" i="34"/>
  <c r="F163" i="34"/>
  <c r="G163" i="34" s="1"/>
  <c r="H163" i="34" s="1"/>
  <c r="I163" i="34" s="1"/>
  <c r="K163" i="34" s="1"/>
  <c r="Q38" i="34"/>
  <c r="R38" i="34" s="1"/>
  <c r="T38" i="34" s="1"/>
  <c r="F147" i="34" s="1"/>
  <c r="G147" i="34" s="1"/>
  <c r="H147" i="34" s="1"/>
  <c r="I147" i="34" s="1"/>
  <c r="K147" i="34" s="1"/>
  <c r="U37" i="34"/>
  <c r="Q43" i="34"/>
  <c r="R43" i="34" s="1"/>
  <c r="T43" i="34" s="1"/>
  <c r="F152" i="34" s="1"/>
  <c r="G152" i="34" s="1"/>
  <c r="H152" i="34" s="1"/>
  <c r="I152" i="34" s="1"/>
  <c r="K152" i="34" s="1"/>
  <c r="M96" i="34"/>
  <c r="P96" i="34" s="1"/>
  <c r="Q96" i="34" s="1"/>
  <c r="R96" i="34" s="1"/>
  <c r="T96" i="34" s="1"/>
  <c r="F208" i="34" s="1"/>
  <c r="G208" i="34" s="1"/>
  <c r="H208" i="34" s="1"/>
  <c r="I208" i="34" s="1"/>
  <c r="K208" i="34" s="1"/>
  <c r="M18" i="34"/>
  <c r="P18" i="34" s="1"/>
  <c r="Q18" i="34" s="1"/>
  <c r="R18" i="34" s="1"/>
  <c r="T18" i="34" s="1"/>
  <c r="F127" i="34" s="1"/>
  <c r="G127" i="34" s="1"/>
  <c r="H127" i="34" s="1"/>
  <c r="I127" i="34" s="1"/>
  <c r="K127" i="34" s="1"/>
  <c r="M108" i="34"/>
  <c r="P108" i="34" s="1"/>
  <c r="Q108" i="34" s="1"/>
  <c r="R108" i="34" s="1"/>
  <c r="T108" i="34" s="1"/>
  <c r="F220" i="34" s="1"/>
  <c r="G220" i="34" s="1"/>
  <c r="H220" i="34" s="1"/>
  <c r="I220" i="34" s="1"/>
  <c r="K220" i="34" s="1"/>
  <c r="Q72" i="34"/>
  <c r="R72" i="34" s="1"/>
  <c r="T72" i="34" s="1"/>
  <c r="F184" i="34" s="1"/>
  <c r="G184" i="34" s="1"/>
  <c r="H184" i="34" s="1"/>
  <c r="I184" i="34" s="1"/>
  <c r="K184" i="34" s="1"/>
  <c r="Q80" i="34"/>
  <c r="R80" i="34" s="1"/>
  <c r="T80" i="34" s="1"/>
  <c r="F192" i="34" s="1"/>
  <c r="G192" i="34" s="1"/>
  <c r="H192" i="34" s="1"/>
  <c r="I192" i="34" s="1"/>
  <c r="K192" i="34" s="1"/>
  <c r="M28" i="34"/>
  <c r="P28" i="34" s="1"/>
  <c r="Q28" i="34" s="1"/>
  <c r="R28" i="34" s="1"/>
  <c r="T28" i="34" s="1"/>
  <c r="F137" i="34" s="1"/>
  <c r="G137" i="34" s="1"/>
  <c r="H137" i="34" s="1"/>
  <c r="I137" i="34" s="1"/>
  <c r="K137" i="34" s="1"/>
  <c r="M82" i="34"/>
  <c r="P82" i="34" s="1"/>
  <c r="Q82" i="34" s="1"/>
  <c r="R82" i="34" s="1"/>
  <c r="T82" i="34" s="1"/>
  <c r="F194" i="34" s="1"/>
  <c r="G194" i="34" s="1"/>
  <c r="H194" i="34" s="1"/>
  <c r="I194" i="34" s="1"/>
  <c r="K194" i="34" s="1"/>
  <c r="U90" i="34"/>
  <c r="M90" i="34"/>
  <c r="P90" i="34" s="1"/>
  <c r="Q90" i="34" s="1"/>
  <c r="R90" i="34" s="1"/>
  <c r="T90" i="34" s="1"/>
  <c r="F202" i="34" s="1"/>
  <c r="G202" i="34" s="1"/>
  <c r="H202" i="34" s="1"/>
  <c r="I202" i="34" s="1"/>
  <c r="K202" i="34" s="1"/>
  <c r="M9" i="34"/>
  <c r="P9" i="34" s="1"/>
  <c r="Q9" i="34" s="1"/>
  <c r="R9" i="34" s="1"/>
  <c r="T9" i="34" s="1"/>
  <c r="F117" i="34" s="1"/>
  <c r="G117" i="34" s="1"/>
  <c r="H117" i="34" s="1"/>
  <c r="I117" i="34" s="1"/>
  <c r="K117" i="34" s="1"/>
  <c r="U9" i="34"/>
  <c r="U92" i="34"/>
  <c r="M92" i="34"/>
  <c r="P92" i="34" s="1"/>
  <c r="Q92" i="34" s="1"/>
  <c r="R92" i="34" s="1"/>
  <c r="T92" i="34" s="1"/>
  <c r="F204" i="34" s="1"/>
  <c r="G204" i="34" s="1"/>
  <c r="H204" i="34" s="1"/>
  <c r="I204" i="34" s="1"/>
  <c r="K204" i="34" s="1"/>
  <c r="Q76" i="34"/>
  <c r="R76" i="34" s="1"/>
  <c r="T76" i="34" s="1"/>
  <c r="F188" i="34" s="1"/>
  <c r="G188" i="34" s="1"/>
  <c r="H188" i="34" s="1"/>
  <c r="I188" i="34" s="1"/>
  <c r="K188" i="34" s="1"/>
  <c r="M45" i="34"/>
  <c r="P45" i="34" s="1"/>
  <c r="Q45" i="34" s="1"/>
  <c r="R45" i="34" s="1"/>
  <c r="T45" i="34" s="1"/>
  <c r="F154" i="34" s="1"/>
  <c r="G154" i="34" s="1"/>
  <c r="H154" i="34" s="1"/>
  <c r="I154" i="34" s="1"/>
  <c r="K154" i="34" s="1"/>
  <c r="Q62" i="34"/>
  <c r="R62" i="34" s="1"/>
  <c r="T62" i="34" s="1"/>
  <c r="F174" i="34" s="1"/>
  <c r="G174" i="34" s="1"/>
  <c r="H174" i="34" s="1"/>
  <c r="I174" i="34" s="1"/>
  <c r="K174" i="34" s="1"/>
  <c r="Q104" i="34"/>
  <c r="R104" i="34" s="1"/>
  <c r="T104" i="34" s="1"/>
  <c r="F216" i="34" s="1"/>
  <c r="G216" i="34" s="1"/>
  <c r="H216" i="34" s="1"/>
  <c r="I216" i="34" s="1"/>
  <c r="K216" i="34" s="1"/>
  <c r="M27" i="34"/>
  <c r="P27" i="34" s="1"/>
  <c r="Q27" i="34" s="1"/>
  <c r="R27" i="34" s="1"/>
  <c r="T27" i="34" s="1"/>
  <c r="F136" i="34" s="1"/>
  <c r="G136" i="34" s="1"/>
  <c r="H136" i="34" s="1"/>
  <c r="I136" i="34" s="1"/>
  <c r="K136" i="34" s="1"/>
  <c r="Q250" i="34"/>
  <c r="R250" i="34" s="1"/>
  <c r="T250" i="34" s="1"/>
  <c r="F168" i="34" s="1"/>
  <c r="G168" i="34" s="1"/>
  <c r="H168" i="34" s="1"/>
  <c r="I168" i="34" s="1"/>
  <c r="K168" i="34" s="1"/>
  <c r="U109" i="34"/>
  <c r="M109" i="34"/>
  <c r="P109" i="34" s="1"/>
  <c r="Q109" i="34" s="1"/>
  <c r="R109" i="34" s="1"/>
  <c r="T109" i="34" s="1"/>
  <c r="F221" i="34" s="1"/>
  <c r="G221" i="34" s="1"/>
  <c r="H221" i="34" s="1"/>
  <c r="I221" i="34" s="1"/>
  <c r="K221" i="34" s="1"/>
  <c r="U80" i="34"/>
  <c r="M100" i="34"/>
  <c r="P100" i="34" s="1"/>
  <c r="Q100" i="34" s="1"/>
  <c r="R100" i="34" s="1"/>
  <c r="T100" i="34" s="1"/>
  <c r="F212" i="34" s="1"/>
  <c r="G212" i="34" s="1"/>
  <c r="H212" i="34" s="1"/>
  <c r="I212" i="34" s="1"/>
  <c r="K212" i="34" s="1"/>
  <c r="U43" i="34"/>
  <c r="U27" i="34"/>
  <c r="U56" i="34"/>
  <c r="M88" i="34"/>
  <c r="P88" i="34" s="1"/>
  <c r="Q88" i="34" s="1"/>
  <c r="R88" i="34" s="1"/>
  <c r="T88" i="34" s="1"/>
  <c r="F200" i="34" s="1"/>
  <c r="G200" i="34" s="1"/>
  <c r="H200" i="34" s="1"/>
  <c r="I200" i="34" s="1"/>
  <c r="K200" i="34" s="1"/>
  <c r="U88" i="34"/>
  <c r="M84" i="34"/>
  <c r="P84" i="34" s="1"/>
  <c r="Q84" i="34" s="1"/>
  <c r="R84" i="34" s="1"/>
  <c r="T84" i="34" s="1"/>
  <c r="F196" i="34" s="1"/>
  <c r="G196" i="34" s="1"/>
  <c r="H196" i="34" s="1"/>
  <c r="I196" i="34" s="1"/>
  <c r="K196" i="34" s="1"/>
  <c r="M86" i="34"/>
  <c r="U86" i="34"/>
  <c r="Q64" i="34"/>
  <c r="R64" i="34" s="1"/>
  <c r="T64" i="34" s="1"/>
  <c r="F176" i="34" s="1"/>
  <c r="G176" i="34" s="1"/>
  <c r="H176" i="34" s="1"/>
  <c r="I176" i="34" s="1"/>
  <c r="K176" i="34" s="1"/>
  <c r="W115" i="3"/>
  <c r="M249" i="34"/>
  <c r="P249" i="34" s="1"/>
  <c r="Q249" i="34" s="1"/>
  <c r="R249" i="34" s="1"/>
  <c r="T249" i="34" s="1"/>
  <c r="F166" i="34" s="1"/>
  <c r="G166" i="34" s="1"/>
  <c r="H166" i="34" s="1"/>
  <c r="I166" i="34" s="1"/>
  <c r="K166" i="34" s="1"/>
  <c r="U249" i="34"/>
  <c r="M56" i="34"/>
  <c r="P56" i="34" s="1"/>
  <c r="Q56" i="34" s="1"/>
  <c r="R56" i="34" s="1"/>
  <c r="T56" i="34" s="1"/>
  <c r="F167" i="34" s="1"/>
  <c r="G167" i="34" s="1"/>
  <c r="H167" i="34" s="1"/>
  <c r="I167" i="34" s="1"/>
  <c r="K167" i="34" s="1"/>
  <c r="M31" i="34"/>
  <c r="P31" i="34" s="1"/>
  <c r="Q31" i="34" s="1"/>
  <c r="R31" i="34" s="1"/>
  <c r="T31" i="34" s="1"/>
  <c r="F140" i="34" s="1"/>
  <c r="G140" i="34" s="1"/>
  <c r="H140" i="34" s="1"/>
  <c r="I140" i="34" s="1"/>
  <c r="K140" i="34" s="1"/>
  <c r="U31" i="34"/>
  <c r="O110" i="34"/>
  <c r="M34" i="34"/>
  <c r="P34" i="34" s="1"/>
  <c r="Q34" i="34" s="1"/>
  <c r="R34" i="34" s="1"/>
  <c r="T34" i="34" s="1"/>
  <c r="F143" i="34" s="1"/>
  <c r="G143" i="34" s="1"/>
  <c r="H143" i="34" s="1"/>
  <c r="I143" i="34" s="1"/>
  <c r="K143" i="34" s="1"/>
  <c r="U34" i="34"/>
  <c r="M32" i="34"/>
  <c r="P32" i="34" s="1"/>
  <c r="Q32" i="34" s="1"/>
  <c r="R32" i="34" s="1"/>
  <c r="T32" i="34" s="1"/>
  <c r="F141" i="34" s="1"/>
  <c r="G141" i="34" s="1"/>
  <c r="H141" i="34" s="1"/>
  <c r="I141" i="34" s="1"/>
  <c r="K141" i="34" s="1"/>
  <c r="U32" i="34"/>
  <c r="M35" i="34"/>
  <c r="P35" i="34" s="1"/>
  <c r="Q35" i="34" s="1"/>
  <c r="R35" i="34" s="1"/>
  <c r="T35" i="34" s="1"/>
  <c r="F144" i="34" s="1"/>
  <c r="G144" i="34" s="1"/>
  <c r="H144" i="34" s="1"/>
  <c r="I144" i="34" s="1"/>
  <c r="K144" i="34" s="1"/>
  <c r="U35" i="34"/>
  <c r="U33" i="34"/>
  <c r="M25" i="34"/>
  <c r="P25" i="34" s="1"/>
  <c r="Q25" i="34" s="1"/>
  <c r="R25" i="34" s="1"/>
  <c r="T25" i="34" s="1"/>
  <c r="F134" i="34" s="1"/>
  <c r="G134" i="34" s="1"/>
  <c r="H134" i="34" s="1"/>
  <c r="I134" i="34" s="1"/>
  <c r="K134" i="34" s="1"/>
  <c r="U25" i="34"/>
  <c r="M30" i="34"/>
  <c r="P30" i="34" s="1"/>
  <c r="Q30" i="34" s="1"/>
  <c r="R30" i="34" s="1"/>
  <c r="T30" i="34" s="1"/>
  <c r="F139" i="34" s="1"/>
  <c r="G139" i="34" s="1"/>
  <c r="H139" i="34" s="1"/>
  <c r="I139" i="34" s="1"/>
  <c r="K139" i="34" s="1"/>
  <c r="U30" i="34"/>
  <c r="U28" i="34"/>
  <c r="U23" i="34"/>
  <c r="U26" i="34"/>
  <c r="M26" i="34"/>
  <c r="P26" i="34" s="1"/>
  <c r="Q26" i="34" s="1"/>
  <c r="R26" i="34" s="1"/>
  <c r="T26" i="34" s="1"/>
  <c r="F135" i="34" s="1"/>
  <c r="G135" i="34" s="1"/>
  <c r="H135" i="34" s="1"/>
  <c r="I135" i="34" s="1"/>
  <c r="K135" i="34" s="1"/>
  <c r="M23" i="34"/>
  <c r="P23" i="34" s="1"/>
  <c r="Q23" i="34" s="1"/>
  <c r="R23" i="34" s="1"/>
  <c r="T23" i="34" s="1"/>
  <c r="F132" i="34" s="1"/>
  <c r="G132" i="34" s="1"/>
  <c r="H132" i="34" s="1"/>
  <c r="I132" i="34" s="1"/>
  <c r="K132" i="34" s="1"/>
  <c r="U24" i="34"/>
  <c r="M24" i="34"/>
  <c r="P24" i="34" s="1"/>
  <c r="Q24" i="34" s="1"/>
  <c r="R24" i="34" s="1"/>
  <c r="T24" i="34" s="1"/>
  <c r="F133" i="34" s="1"/>
  <c r="G133" i="34" s="1"/>
  <c r="H133" i="34" s="1"/>
  <c r="I133" i="34" s="1"/>
  <c r="K133" i="34" s="1"/>
  <c r="M29" i="34"/>
  <c r="P29" i="34" s="1"/>
  <c r="Q29" i="34" s="1"/>
  <c r="R29" i="34" s="1"/>
  <c r="T29" i="34" s="1"/>
  <c r="F138" i="34" s="1"/>
  <c r="G138" i="34" s="1"/>
  <c r="H138" i="34" s="1"/>
  <c r="I138" i="34" s="1"/>
  <c r="K138" i="34" s="1"/>
  <c r="U29" i="34"/>
  <c r="Q22" i="34"/>
  <c r="R22" i="34" s="1"/>
  <c r="T22" i="34" s="1"/>
  <c r="F131" i="34" s="1"/>
  <c r="G131" i="34" s="1"/>
  <c r="H131" i="34" s="1"/>
  <c r="I131" i="34" s="1"/>
  <c r="K131" i="34" s="1"/>
  <c r="E222" i="34"/>
  <c r="U12" i="34"/>
  <c r="U19" i="34"/>
  <c r="M19" i="34"/>
  <c r="P19" i="34" s="1"/>
  <c r="Q19" i="34" s="1"/>
  <c r="R19" i="34" s="1"/>
  <c r="T19" i="34" s="1"/>
  <c r="F128" i="34" s="1"/>
  <c r="G128" i="34" s="1"/>
  <c r="H128" i="34" s="1"/>
  <c r="I128" i="34" s="1"/>
  <c r="K128" i="34" s="1"/>
  <c r="V248" i="34"/>
  <c r="W114" i="3" s="1"/>
  <c r="M248" i="34"/>
  <c r="P248" i="34" s="1"/>
  <c r="Q248" i="34" s="1"/>
  <c r="R248" i="34" s="1"/>
  <c r="T248" i="34" s="1"/>
  <c r="F119" i="34" s="1"/>
  <c r="G119" i="34" s="1"/>
  <c r="H119" i="34" s="1"/>
  <c r="I119" i="34" s="1"/>
  <c r="K119" i="34" s="1"/>
  <c r="U248" i="34"/>
  <c r="M21" i="34"/>
  <c r="P21" i="34" s="1"/>
  <c r="Q21" i="34" s="1"/>
  <c r="R21" i="34" s="1"/>
  <c r="T21" i="34" s="1"/>
  <c r="F130" i="34" s="1"/>
  <c r="G130" i="34" s="1"/>
  <c r="H130" i="34" s="1"/>
  <c r="I130" i="34" s="1"/>
  <c r="K130" i="34" s="1"/>
  <c r="U21" i="34"/>
  <c r="M12" i="34"/>
  <c r="P12" i="34" s="1"/>
  <c r="Q12" i="34" s="1"/>
  <c r="R12" i="34" s="1"/>
  <c r="T12" i="34" s="1"/>
  <c r="F121" i="34" s="1"/>
  <c r="G121" i="34" s="1"/>
  <c r="H121" i="34" s="1"/>
  <c r="I121" i="34" s="1"/>
  <c r="K121" i="34" s="1"/>
  <c r="M15" i="34"/>
  <c r="P15" i="34" s="1"/>
  <c r="Q15" i="34" s="1"/>
  <c r="R15" i="34" s="1"/>
  <c r="T15" i="34" s="1"/>
  <c r="F124" i="34" s="1"/>
  <c r="G124" i="34" s="1"/>
  <c r="H124" i="34" s="1"/>
  <c r="I124" i="34" s="1"/>
  <c r="K124" i="34" s="1"/>
  <c r="U15" i="34"/>
  <c r="N110" i="34"/>
  <c r="M20" i="34"/>
  <c r="P20" i="34" s="1"/>
  <c r="Q20" i="34" s="1"/>
  <c r="R20" i="34" s="1"/>
  <c r="T20" i="34" s="1"/>
  <c r="F129" i="34" s="1"/>
  <c r="G129" i="34" s="1"/>
  <c r="H129" i="34" s="1"/>
  <c r="I129" i="34" s="1"/>
  <c r="K129" i="34" s="1"/>
  <c r="U11" i="34"/>
  <c r="M13" i="34"/>
  <c r="P13" i="34" s="1"/>
  <c r="Q13" i="34" s="1"/>
  <c r="R13" i="34" s="1"/>
  <c r="T13" i="34" s="1"/>
  <c r="F122" i="34" s="1"/>
  <c r="G122" i="34" s="1"/>
  <c r="H122" i="34" s="1"/>
  <c r="I122" i="34" s="1"/>
  <c r="K122" i="34" s="1"/>
  <c r="U17" i="34"/>
  <c r="M16" i="34"/>
  <c r="P16" i="34" s="1"/>
  <c r="Q16" i="34" s="1"/>
  <c r="R16" i="34" s="1"/>
  <c r="T16" i="34" s="1"/>
  <c r="F125" i="34" s="1"/>
  <c r="G125" i="34" s="1"/>
  <c r="H125" i="34" s="1"/>
  <c r="I125" i="34" s="1"/>
  <c r="K125" i="34" s="1"/>
  <c r="M17" i="34"/>
  <c r="P17" i="34" s="1"/>
  <c r="Q17" i="34" s="1"/>
  <c r="R17" i="34" s="1"/>
  <c r="T17" i="34" s="1"/>
  <c r="F126" i="34" s="1"/>
  <c r="G126" i="34" s="1"/>
  <c r="H126" i="34" s="1"/>
  <c r="I126" i="34" s="1"/>
  <c r="K126" i="34" s="1"/>
  <c r="M10" i="34"/>
  <c r="P10" i="34" s="1"/>
  <c r="Q10" i="34" s="1"/>
  <c r="R10" i="34" s="1"/>
  <c r="T10" i="34" s="1"/>
  <c r="F118" i="34" s="1"/>
  <c r="G118" i="34" s="1"/>
  <c r="H118" i="34" s="1"/>
  <c r="I118" i="34" s="1"/>
  <c r="K118" i="34" s="1"/>
  <c r="U10" i="34"/>
  <c r="U22" i="34"/>
  <c r="M14" i="34"/>
  <c r="U14" i="34"/>
  <c r="H110" i="34"/>
  <c r="P85" i="34"/>
  <c r="Q85" i="34" s="1"/>
  <c r="R85" i="34" s="1"/>
  <c r="T85" i="34" s="1"/>
  <c r="F197" i="34" s="1"/>
  <c r="G197" i="34" s="1"/>
  <c r="H197" i="34" s="1"/>
  <c r="I197" i="34" s="1"/>
  <c r="K197" i="34" s="1"/>
  <c r="Q8" i="34"/>
  <c r="P99" i="34"/>
  <c r="Q99" i="34" s="1"/>
  <c r="R99" i="34" s="1"/>
  <c r="T99" i="34" s="1"/>
  <c r="F211" i="34" s="1"/>
  <c r="G211" i="34" s="1"/>
  <c r="H211" i="34" s="1"/>
  <c r="I211" i="34" s="1"/>
  <c r="K211" i="34" s="1"/>
  <c r="P86" i="34" l="1"/>
  <c r="Q86" i="34" s="1"/>
  <c r="R86" i="34" s="1"/>
  <c r="T86" i="34" s="1"/>
  <c r="F198" i="34" s="1"/>
  <c r="G198" i="34" s="1"/>
  <c r="H198" i="34" s="1"/>
  <c r="I198" i="34" s="1"/>
  <c r="K198" i="34" s="1"/>
  <c r="M110" i="34"/>
  <c r="U110" i="34"/>
  <c r="P14" i="34"/>
  <c r="Q14" i="34" s="1"/>
  <c r="R14" i="34" s="1"/>
  <c r="T14" i="34" s="1"/>
  <c r="F123" i="34" s="1"/>
  <c r="G123" i="34" s="1"/>
  <c r="H123" i="34" s="1"/>
  <c r="I123" i="34" s="1"/>
  <c r="K123" i="34" s="1"/>
  <c r="V110" i="34"/>
  <c r="R8" i="34"/>
  <c r="Q110" i="34" l="1"/>
  <c r="P110" i="34"/>
  <c r="R110" i="34"/>
  <c r="T8" i="34"/>
  <c r="F116" i="34" l="1"/>
  <c r="T110" i="34"/>
  <c r="F222" i="34" l="1"/>
  <c r="G116" i="34"/>
  <c r="G222" i="34" l="1"/>
  <c r="H116" i="34"/>
  <c r="H222" i="34" l="1"/>
  <c r="I116" i="34"/>
  <c r="I222" i="34" l="1"/>
  <c r="K116" i="34"/>
  <c r="K222" i="34" s="1"/>
  <c r="J84" i="3" l="1"/>
  <c r="Z83" i="3"/>
  <c r="AI94" i="3"/>
  <c r="AC113" i="3" l="1"/>
  <c r="P94" i="3"/>
  <c r="R94" i="3"/>
  <c r="S94" i="3"/>
  <c r="T94" i="3"/>
  <c r="V94" i="3"/>
  <c r="X94" i="3"/>
  <c r="Y94" i="3"/>
  <c r="M94" i="3"/>
  <c r="J88" i="3"/>
  <c r="Q88" i="3"/>
  <c r="Z88" i="3"/>
  <c r="AA88" i="3" s="1"/>
  <c r="AB88" i="3" s="1"/>
  <c r="AE88" i="3"/>
  <c r="J89" i="3"/>
  <c r="Q89" i="3"/>
  <c r="Z89" i="3"/>
  <c r="AA89" i="3" s="1"/>
  <c r="AE89" i="3"/>
  <c r="J90" i="3"/>
  <c r="Q90" i="3"/>
  <c r="Z90" i="3"/>
  <c r="AA90" i="3" s="1"/>
  <c r="AB90" i="3" s="1"/>
  <c r="AE90" i="3"/>
  <c r="J91" i="3"/>
  <c r="Q91" i="3"/>
  <c r="Z91" i="3"/>
  <c r="AA91" i="3" s="1"/>
  <c r="AE91" i="3"/>
  <c r="J92" i="3"/>
  <c r="Q92" i="3"/>
  <c r="Z92" i="3"/>
  <c r="AA92" i="3" s="1"/>
  <c r="AB92" i="3" s="1"/>
  <c r="AE92" i="3"/>
  <c r="J93" i="3"/>
  <c r="Q93" i="3"/>
  <c r="Z93" i="3"/>
  <c r="AA93" i="3" s="1"/>
  <c r="AE93" i="3"/>
  <c r="AD92" i="3" l="1"/>
  <c r="AF92" i="3" s="1"/>
  <c r="AG92" i="3" s="1"/>
  <c r="AJ92" i="3" s="1"/>
  <c r="AD88" i="3"/>
  <c r="AF88" i="3" s="1"/>
  <c r="AG88" i="3" s="1"/>
  <c r="AH88" i="3" s="1"/>
  <c r="AL88" i="3" s="1"/>
  <c r="AC94" i="3"/>
  <c r="AB93" i="3"/>
  <c r="AD93" i="3" s="1"/>
  <c r="AF93" i="3" s="1"/>
  <c r="AG93" i="3" s="1"/>
  <c r="AB91" i="3"/>
  <c r="AD91" i="3" s="1"/>
  <c r="AF91" i="3" s="1"/>
  <c r="AG91" i="3" s="1"/>
  <c r="AH91" i="3" s="1"/>
  <c r="AL91" i="3" s="1"/>
  <c r="AB89" i="3"/>
  <c r="AD89" i="3" s="1"/>
  <c r="AF89" i="3" s="1"/>
  <c r="AG89" i="3" s="1"/>
  <c r="AH89" i="3" s="1"/>
  <c r="AL89" i="3" s="1"/>
  <c r="AD90" i="3"/>
  <c r="AF90" i="3" s="1"/>
  <c r="AG90" i="3" s="1"/>
  <c r="AJ90" i="3" s="1"/>
  <c r="AH90" i="3" l="1"/>
  <c r="AL90" i="3" s="1"/>
  <c r="AJ88" i="3"/>
  <c r="AH92" i="3"/>
  <c r="AL92" i="3" s="1"/>
  <c r="AJ91" i="3"/>
  <c r="AH93" i="3"/>
  <c r="AL93" i="3" s="1"/>
  <c r="AJ93" i="3"/>
  <c r="AJ89" i="3"/>
  <c r="J81" i="3"/>
  <c r="Q81" i="3"/>
  <c r="Z81" i="3"/>
  <c r="AA81" i="3" s="1"/>
  <c r="AB81" i="3" s="1"/>
  <c r="AE81" i="3"/>
  <c r="J82" i="3"/>
  <c r="Q82" i="3"/>
  <c r="Z82" i="3"/>
  <c r="AA82" i="3" s="1"/>
  <c r="AE82" i="3"/>
  <c r="J83" i="3"/>
  <c r="Q83" i="3"/>
  <c r="AA83" i="3"/>
  <c r="AB83" i="3" s="1"/>
  <c r="AE83" i="3"/>
  <c r="Q84" i="3"/>
  <c r="Z84" i="3"/>
  <c r="AA84" i="3" s="1"/>
  <c r="AE84" i="3"/>
  <c r="J85" i="3"/>
  <c r="Q85" i="3"/>
  <c r="Z85" i="3"/>
  <c r="AA85" i="3" s="1"/>
  <c r="AB85" i="3" s="1"/>
  <c r="AE85" i="3"/>
  <c r="J86" i="3"/>
  <c r="Q86" i="3"/>
  <c r="Z86" i="3"/>
  <c r="AA86" i="3" s="1"/>
  <c r="AE86" i="3"/>
  <c r="J87" i="3"/>
  <c r="Q87" i="3"/>
  <c r="Z87" i="3"/>
  <c r="AA87" i="3" s="1"/>
  <c r="AB87" i="3" s="1"/>
  <c r="AE87" i="3"/>
  <c r="AD87" i="3" l="1"/>
  <c r="AF87" i="3" s="1"/>
  <c r="AG87" i="3" s="1"/>
  <c r="AH87" i="3" s="1"/>
  <c r="AL87" i="3" s="1"/>
  <c r="AB84" i="3"/>
  <c r="AD84" i="3" s="1"/>
  <c r="AF84" i="3" s="1"/>
  <c r="AG84" i="3" s="1"/>
  <c r="AB82" i="3"/>
  <c r="AD82" i="3" s="1"/>
  <c r="AF82" i="3" s="1"/>
  <c r="AG82" i="3" s="1"/>
  <c r="AB86" i="3"/>
  <c r="AD86" i="3" s="1"/>
  <c r="AF86" i="3" s="1"/>
  <c r="AG86" i="3" s="1"/>
  <c r="AH86" i="3" s="1"/>
  <c r="AL86" i="3" s="1"/>
  <c r="AD83" i="3"/>
  <c r="AF83" i="3" s="1"/>
  <c r="AG83" i="3" s="1"/>
  <c r="AJ83" i="3" s="1"/>
  <c r="AD85" i="3"/>
  <c r="AF85" i="3" s="1"/>
  <c r="AG85" i="3" s="1"/>
  <c r="AJ85" i="3" s="1"/>
  <c r="AD81" i="3"/>
  <c r="AF81" i="3" s="1"/>
  <c r="AG81" i="3" s="1"/>
  <c r="AH81" i="3" s="1"/>
  <c r="AL81" i="3" s="1"/>
  <c r="AH85" i="3" l="1"/>
  <c r="AL85" i="3" s="1"/>
  <c r="AJ87" i="3"/>
  <c r="AH84" i="3"/>
  <c r="AL84" i="3" s="1"/>
  <c r="AJ84" i="3"/>
  <c r="AH83" i="3"/>
  <c r="AL83" i="3" s="1"/>
  <c r="AJ81" i="3"/>
  <c r="AJ86" i="3"/>
  <c r="AH82" i="3"/>
  <c r="AL82" i="3" s="1"/>
  <c r="AJ82" i="3"/>
  <c r="J40" i="3"/>
  <c r="Z40" i="3"/>
  <c r="AE40" i="3"/>
  <c r="J41" i="3"/>
  <c r="Z41" i="3"/>
  <c r="AE41" i="3"/>
  <c r="J42" i="3"/>
  <c r="Z42" i="3"/>
  <c r="AE42" i="3"/>
  <c r="J43" i="3"/>
  <c r="Z43" i="3"/>
  <c r="AE43" i="3"/>
  <c r="J44" i="3"/>
  <c r="Z44" i="3"/>
  <c r="AE44" i="3"/>
  <c r="J45" i="3"/>
  <c r="Z45" i="3"/>
  <c r="AE45" i="3"/>
  <c r="J46" i="3"/>
  <c r="Z46" i="3"/>
  <c r="AE46" i="3"/>
  <c r="J47" i="3"/>
  <c r="Z47" i="3"/>
  <c r="AE47" i="3"/>
  <c r="J48" i="3"/>
  <c r="Z48" i="3"/>
  <c r="AE48" i="3"/>
  <c r="J49" i="3"/>
  <c r="Z49" i="3"/>
  <c r="AE49" i="3"/>
  <c r="J50" i="3"/>
  <c r="Z50" i="3"/>
  <c r="AE50" i="3"/>
  <c r="J51" i="3"/>
  <c r="Z51" i="3"/>
  <c r="AE51" i="3"/>
  <c r="J113" i="3"/>
  <c r="Q113" i="3"/>
  <c r="Z113" i="3"/>
  <c r="AA113" i="3" s="1"/>
  <c r="AE113" i="3"/>
  <c r="J52" i="3"/>
  <c r="Z52" i="3"/>
  <c r="AE52" i="3"/>
  <c r="J53" i="3"/>
  <c r="Z53" i="3"/>
  <c r="AE53" i="3"/>
  <c r="J115" i="3"/>
  <c r="Q115" i="3"/>
  <c r="Z115" i="3"/>
  <c r="AA115" i="3" s="1"/>
  <c r="AB115" i="3" s="1"/>
  <c r="AE115" i="3"/>
  <c r="J54" i="3"/>
  <c r="Z54" i="3"/>
  <c r="AE54" i="3"/>
  <c r="J116" i="3"/>
  <c r="Q116" i="3"/>
  <c r="Z116" i="3"/>
  <c r="AA116" i="3" s="1"/>
  <c r="AB116" i="3" s="1"/>
  <c r="AE116" i="3"/>
  <c r="J55" i="3"/>
  <c r="Z55" i="3"/>
  <c r="AE55" i="3"/>
  <c r="J56" i="3"/>
  <c r="Z56" i="3"/>
  <c r="AE56" i="3"/>
  <c r="J57" i="3"/>
  <c r="Z57" i="3"/>
  <c r="AE57" i="3"/>
  <c r="J58" i="3"/>
  <c r="Q58" i="3"/>
  <c r="Z58" i="3"/>
  <c r="AA58" i="3" s="1"/>
  <c r="AE58" i="3"/>
  <c r="J59" i="3"/>
  <c r="Z59" i="3"/>
  <c r="AE59" i="3"/>
  <c r="J60" i="3"/>
  <c r="Z60" i="3"/>
  <c r="AE60" i="3"/>
  <c r="J61" i="3"/>
  <c r="Z61" i="3"/>
  <c r="AE61" i="3"/>
  <c r="J62" i="3"/>
  <c r="Z62" i="3"/>
  <c r="AE62" i="3"/>
  <c r="J63" i="3"/>
  <c r="Z63" i="3"/>
  <c r="AE63" i="3"/>
  <c r="J64" i="3"/>
  <c r="Z64" i="3"/>
  <c r="AE64" i="3"/>
  <c r="J65" i="3"/>
  <c r="Z65" i="3"/>
  <c r="AE65" i="3"/>
  <c r="J66" i="3"/>
  <c r="Z66" i="3"/>
  <c r="AE66" i="3"/>
  <c r="J67" i="3"/>
  <c r="Q67" i="3"/>
  <c r="Z67" i="3"/>
  <c r="AA67" i="3" s="1"/>
  <c r="AE67" i="3"/>
  <c r="J68" i="3"/>
  <c r="Q68" i="3"/>
  <c r="Z68" i="3"/>
  <c r="AA68" i="3" s="1"/>
  <c r="AB68" i="3" s="1"/>
  <c r="AE68" i="3"/>
  <c r="J69" i="3"/>
  <c r="Q69" i="3"/>
  <c r="Z69" i="3"/>
  <c r="AA69" i="3" s="1"/>
  <c r="AE69" i="3"/>
  <c r="J70" i="3"/>
  <c r="Q70" i="3"/>
  <c r="Z70" i="3"/>
  <c r="AA70" i="3" s="1"/>
  <c r="AB70" i="3" s="1"/>
  <c r="AE70" i="3"/>
  <c r="J71" i="3"/>
  <c r="Q71" i="3"/>
  <c r="Z71" i="3"/>
  <c r="AA71" i="3" s="1"/>
  <c r="AB71" i="3" s="1"/>
  <c r="AE71" i="3"/>
  <c r="J72" i="3"/>
  <c r="Q72" i="3"/>
  <c r="Z72" i="3"/>
  <c r="AA72" i="3" s="1"/>
  <c r="AB72" i="3" s="1"/>
  <c r="AE72" i="3"/>
  <c r="J73" i="3"/>
  <c r="Q73" i="3"/>
  <c r="Z73" i="3"/>
  <c r="AA73" i="3" s="1"/>
  <c r="AB73" i="3" s="1"/>
  <c r="AE73" i="3"/>
  <c r="J74" i="3"/>
  <c r="Q74" i="3"/>
  <c r="Z74" i="3"/>
  <c r="AA74" i="3" s="1"/>
  <c r="AE74" i="3"/>
  <c r="J75" i="3"/>
  <c r="Q75" i="3"/>
  <c r="Z75" i="3"/>
  <c r="AA75" i="3" s="1"/>
  <c r="AB75" i="3" s="1"/>
  <c r="AE75" i="3"/>
  <c r="J76" i="3"/>
  <c r="Q76" i="3"/>
  <c r="Z76" i="3"/>
  <c r="AA76" i="3" s="1"/>
  <c r="AB76" i="3" s="1"/>
  <c r="AE76" i="3"/>
  <c r="J77" i="3"/>
  <c r="Q77" i="3"/>
  <c r="Z77" i="3"/>
  <c r="AA77" i="3" s="1"/>
  <c r="AE77" i="3"/>
  <c r="J78" i="3"/>
  <c r="Q78" i="3"/>
  <c r="Z78" i="3"/>
  <c r="AA78" i="3" s="1"/>
  <c r="AB78" i="3" s="1"/>
  <c r="AE78" i="3"/>
  <c r="J79" i="3"/>
  <c r="Q79" i="3"/>
  <c r="Z79" i="3"/>
  <c r="AA79" i="3" s="1"/>
  <c r="AE79" i="3"/>
  <c r="J80" i="3"/>
  <c r="Q80" i="3"/>
  <c r="Z80" i="3"/>
  <c r="AA80" i="3" s="1"/>
  <c r="AB80" i="3" s="1"/>
  <c r="AE80" i="3"/>
  <c r="AD73" i="3" l="1"/>
  <c r="AF73" i="3" s="1"/>
  <c r="AG73" i="3" s="1"/>
  <c r="AD75" i="3"/>
  <c r="AF75" i="3" s="1"/>
  <c r="AG75" i="3" s="1"/>
  <c r="AD68" i="3"/>
  <c r="AF68" i="3" s="1"/>
  <c r="AG68" i="3" s="1"/>
  <c r="AJ68" i="3" s="1"/>
  <c r="AB67" i="3"/>
  <c r="AD67" i="3" s="1"/>
  <c r="AF67" i="3" s="1"/>
  <c r="AG67" i="3" s="1"/>
  <c r="AD76" i="3"/>
  <c r="AF76" i="3" s="1"/>
  <c r="AG76" i="3" s="1"/>
  <c r="AJ76" i="3" s="1"/>
  <c r="AD71" i="3"/>
  <c r="AF71" i="3" s="1"/>
  <c r="AG71" i="3" s="1"/>
  <c r="AJ71" i="3" s="1"/>
  <c r="AB79" i="3"/>
  <c r="AD79" i="3" s="1"/>
  <c r="AF79" i="3" s="1"/>
  <c r="AG79" i="3" s="1"/>
  <c r="AJ79" i="3" s="1"/>
  <c r="AD115" i="3"/>
  <c r="AF115" i="3" s="1"/>
  <c r="AG115" i="3" s="1"/>
  <c r="AB69" i="3"/>
  <c r="AD69" i="3" s="1"/>
  <c r="AF69" i="3" s="1"/>
  <c r="AG69" i="3" s="1"/>
  <c r="AH69" i="3" s="1"/>
  <c r="AL69" i="3" s="1"/>
  <c r="AB77" i="3"/>
  <c r="AD77" i="3" s="1"/>
  <c r="AF77" i="3" s="1"/>
  <c r="AG77" i="3" s="1"/>
  <c r="AH77" i="3" s="1"/>
  <c r="AL77" i="3" s="1"/>
  <c r="AD116" i="3"/>
  <c r="AF116" i="3" s="1"/>
  <c r="AG116" i="3" s="1"/>
  <c r="AJ116" i="3" s="1"/>
  <c r="AD80" i="3"/>
  <c r="AF80" i="3" s="1"/>
  <c r="AG80" i="3" s="1"/>
  <c r="AD78" i="3"/>
  <c r="AF78" i="3" s="1"/>
  <c r="AG78" i="3" s="1"/>
  <c r="AD72" i="3"/>
  <c r="AF72" i="3" s="1"/>
  <c r="AG72" i="3" s="1"/>
  <c r="AD70" i="3"/>
  <c r="AF70" i="3" s="1"/>
  <c r="AG70" i="3" s="1"/>
  <c r="AH70" i="3" s="1"/>
  <c r="AL70" i="3" s="1"/>
  <c r="AB113" i="3"/>
  <c r="AD113" i="3" s="1"/>
  <c r="AF113" i="3" s="1"/>
  <c r="AG113" i="3" s="1"/>
  <c r="AH113" i="3" s="1"/>
  <c r="AL113" i="3" s="1"/>
  <c r="AB74" i="3"/>
  <c r="AD74" i="3" s="1"/>
  <c r="AF74" i="3" s="1"/>
  <c r="AG74" i="3" s="1"/>
  <c r="AH74" i="3" s="1"/>
  <c r="AL74" i="3" s="1"/>
  <c r="AB58" i="3"/>
  <c r="AD58" i="3" s="1"/>
  <c r="AF58" i="3" s="1"/>
  <c r="AG58" i="3" s="1"/>
  <c r="AH58" i="3" s="1"/>
  <c r="AL58" i="3" s="1"/>
  <c r="AH79" i="3" l="1"/>
  <c r="AL79" i="3" s="1"/>
  <c r="AJ77" i="3"/>
  <c r="AH116" i="3"/>
  <c r="AL116" i="3" s="1"/>
  <c r="AJ69" i="3"/>
  <c r="AH76" i="3"/>
  <c r="AL76" i="3" s="1"/>
  <c r="AH80" i="3"/>
  <c r="AL80" i="3" s="1"/>
  <c r="AJ80" i="3"/>
  <c r="AJ74" i="3"/>
  <c r="AH78" i="3"/>
  <c r="AL78" i="3" s="1"/>
  <c r="AJ78" i="3"/>
  <c r="AJ67" i="3"/>
  <c r="AH67" i="3"/>
  <c r="AL67" i="3" s="1"/>
  <c r="AJ73" i="3"/>
  <c r="AH73" i="3"/>
  <c r="AL73" i="3" s="1"/>
  <c r="AJ115" i="3"/>
  <c r="AH115" i="3"/>
  <c r="AL115" i="3" s="1"/>
  <c r="AJ113" i="3"/>
  <c r="AJ58" i="3"/>
  <c r="AH71" i="3"/>
  <c r="AL71" i="3" s="1"/>
  <c r="AJ72" i="3"/>
  <c r="AH72" i="3"/>
  <c r="AL72" i="3" s="1"/>
  <c r="AJ75" i="3"/>
  <c r="AH75" i="3"/>
  <c r="AL75" i="3" s="1"/>
  <c r="AJ70" i="3"/>
  <c r="AH68" i="3"/>
  <c r="AL68" i="3" s="1"/>
  <c r="J32" i="3"/>
  <c r="Z32" i="3"/>
  <c r="AE32" i="3"/>
  <c r="J33" i="3"/>
  <c r="Z33" i="3"/>
  <c r="AE33" i="3"/>
  <c r="J34" i="3"/>
  <c r="Z34" i="3"/>
  <c r="AE34" i="3"/>
  <c r="J35" i="3"/>
  <c r="Z35" i="3"/>
  <c r="AE35" i="3"/>
  <c r="J36" i="3"/>
  <c r="Z36" i="3"/>
  <c r="AE36" i="3"/>
  <c r="J37" i="3"/>
  <c r="Z37" i="3"/>
  <c r="AE37" i="3"/>
  <c r="J38" i="3"/>
  <c r="Z38" i="3"/>
  <c r="AE38" i="3"/>
  <c r="J39" i="3"/>
  <c r="Z39" i="3"/>
  <c r="AE39" i="3"/>
  <c r="AE30" i="3" l="1"/>
  <c r="AE29" i="3"/>
  <c r="Z30" i="3"/>
  <c r="Z29" i="3"/>
  <c r="J30" i="3"/>
  <c r="J29" i="3"/>
  <c r="Z27" i="3" l="1"/>
  <c r="Z26" i="3"/>
  <c r="Z22" i="3"/>
  <c r="Z19" i="3"/>
  <c r="Z18" i="3"/>
  <c r="Z14" i="3"/>
  <c r="Z11" i="3"/>
  <c r="Z10" i="3"/>
  <c r="Z7" i="3"/>
  <c r="Z9" i="3"/>
  <c r="Z12" i="3"/>
  <c r="Z13" i="3"/>
  <c r="Z16" i="3"/>
  <c r="Z17" i="3"/>
  <c r="Z20" i="3"/>
  <c r="Z21" i="3"/>
  <c r="Z24" i="3"/>
  <c r="Z25" i="3"/>
  <c r="Z28" i="3"/>
  <c r="Z31" i="3"/>
  <c r="Z114" i="3"/>
  <c r="AA114" i="3" s="1"/>
  <c r="AB114" i="3" s="1"/>
  <c r="Z6" i="3"/>
  <c r="AE8" i="3"/>
  <c r="AE114" i="3"/>
  <c r="AE9" i="3"/>
  <c r="AE10" i="3"/>
  <c r="AE11" i="3"/>
  <c r="AE12" i="3"/>
  <c r="AE13" i="3"/>
  <c r="AE14" i="3"/>
  <c r="AE15" i="3"/>
  <c r="AE16" i="3"/>
  <c r="AE17" i="3"/>
  <c r="AE18" i="3"/>
  <c r="AE19" i="3"/>
  <c r="AE20" i="3"/>
  <c r="AE21" i="3"/>
  <c r="AE22" i="3"/>
  <c r="AE23" i="3"/>
  <c r="AE24" i="3"/>
  <c r="AE25" i="3"/>
  <c r="AE26" i="3"/>
  <c r="AE27" i="3"/>
  <c r="AE28" i="3"/>
  <c r="AE31" i="3"/>
  <c r="AE7" i="3"/>
  <c r="AE6" i="3"/>
  <c r="Z23" i="3"/>
  <c r="Z15" i="3"/>
  <c r="Z8" i="3"/>
  <c r="Q114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AE94" i="3" l="1"/>
  <c r="Z94" i="3"/>
  <c r="AD114" i="3"/>
  <c r="AF114" i="3" s="1"/>
  <c r="AC30" i="32" l="1"/>
  <c r="Y30" i="32" l="1"/>
  <c r="AE30" i="32"/>
  <c r="W30" i="32"/>
  <c r="S30" i="32"/>
  <c r="R30" i="32"/>
  <c r="Q30" i="32"/>
  <c r="P30" i="32"/>
  <c r="O30" i="32"/>
  <c r="N30" i="32"/>
  <c r="M29" i="32"/>
  <c r="L29" i="32"/>
  <c r="K29" i="32"/>
  <c r="J29" i="32"/>
  <c r="M28" i="32"/>
  <c r="AF28" i="32" s="1"/>
  <c r="AG28" i="32" s="1"/>
  <c r="L28" i="32"/>
  <c r="K28" i="32"/>
  <c r="J28" i="32"/>
  <c r="M27" i="32"/>
  <c r="L27" i="32"/>
  <c r="K27" i="32"/>
  <c r="J27" i="32"/>
  <c r="M26" i="32"/>
  <c r="AF26" i="32" s="1"/>
  <c r="AG26" i="32" s="1"/>
  <c r="L26" i="32"/>
  <c r="K26" i="32"/>
  <c r="J26" i="32"/>
  <c r="M25" i="32"/>
  <c r="L25" i="32"/>
  <c r="K25" i="32"/>
  <c r="J25" i="32"/>
  <c r="M24" i="32"/>
  <c r="AF24" i="32" s="1"/>
  <c r="AG24" i="32" s="1"/>
  <c r="L24" i="32"/>
  <c r="K24" i="32"/>
  <c r="J24" i="32"/>
  <c r="M23" i="32"/>
  <c r="L23" i="32"/>
  <c r="K23" i="32"/>
  <c r="J23" i="32"/>
  <c r="M22" i="32"/>
  <c r="AF22" i="32" s="1"/>
  <c r="AG22" i="32" s="1"/>
  <c r="L22" i="32"/>
  <c r="K22" i="32"/>
  <c r="J22" i="32"/>
  <c r="M21" i="32"/>
  <c r="L21" i="32"/>
  <c r="K21" i="32"/>
  <c r="J21" i="32"/>
  <c r="M20" i="32"/>
  <c r="AF20" i="32" s="1"/>
  <c r="AG20" i="32" s="1"/>
  <c r="L20" i="32"/>
  <c r="K20" i="32"/>
  <c r="J20" i="32"/>
  <c r="M19" i="32"/>
  <c r="L19" i="32"/>
  <c r="K19" i="32"/>
  <c r="J19" i="32"/>
  <c r="M18" i="32"/>
  <c r="AF18" i="32" s="1"/>
  <c r="AG18" i="32" s="1"/>
  <c r="L18" i="32"/>
  <c r="K18" i="32"/>
  <c r="J18" i="32"/>
  <c r="M17" i="32"/>
  <c r="L17" i="32"/>
  <c r="K17" i="32"/>
  <c r="J17" i="32"/>
  <c r="AF16" i="32"/>
  <c r="AG16" i="32" s="1"/>
  <c r="Z16" i="32"/>
  <c r="J16" i="32"/>
  <c r="M15" i="32"/>
  <c r="L15" i="32"/>
  <c r="AF15" i="32" s="1"/>
  <c r="AG15" i="32" s="1"/>
  <c r="K15" i="32"/>
  <c r="J15" i="32"/>
  <c r="M14" i="32"/>
  <c r="L14" i="32"/>
  <c r="K14" i="32"/>
  <c r="J14" i="32"/>
  <c r="M13" i="32"/>
  <c r="L13" i="32"/>
  <c r="AF13" i="32" s="1"/>
  <c r="AG13" i="32" s="1"/>
  <c r="K13" i="32"/>
  <c r="J13" i="32"/>
  <c r="M12" i="32"/>
  <c r="L12" i="32"/>
  <c r="AF12" i="32" s="1"/>
  <c r="AG12" i="32" s="1"/>
  <c r="K12" i="32"/>
  <c r="J12" i="32"/>
  <c r="M11" i="32"/>
  <c r="L11" i="32"/>
  <c r="K11" i="32"/>
  <c r="J11" i="32"/>
  <c r="M10" i="32"/>
  <c r="L10" i="32"/>
  <c r="AF10" i="32" s="1"/>
  <c r="AG10" i="32" s="1"/>
  <c r="K10" i="32"/>
  <c r="J10" i="32"/>
  <c r="M9" i="32"/>
  <c r="L9" i="32"/>
  <c r="K9" i="32"/>
  <c r="J9" i="32"/>
  <c r="M8" i="32"/>
  <c r="L8" i="32"/>
  <c r="AF8" i="32" s="1"/>
  <c r="AG8" i="32" s="1"/>
  <c r="K8" i="32"/>
  <c r="J8" i="32"/>
  <c r="M7" i="32"/>
  <c r="L7" i="32"/>
  <c r="K7" i="32"/>
  <c r="J7" i="32"/>
  <c r="M6" i="32"/>
  <c r="L6" i="32"/>
  <c r="L30" i="32" s="1"/>
  <c r="K6" i="32"/>
  <c r="J6" i="32"/>
  <c r="AA16" i="32" l="1"/>
  <c r="Z18" i="32"/>
  <c r="AH18" i="32" s="1"/>
  <c r="Z20" i="32"/>
  <c r="AH20" i="32" s="1"/>
  <c r="Z22" i="32"/>
  <c r="AH22" i="32" s="1"/>
  <c r="Z24" i="32"/>
  <c r="AH24" i="32" s="1"/>
  <c r="Z26" i="32"/>
  <c r="Z28" i="32"/>
  <c r="AH28" i="32" s="1"/>
  <c r="K30" i="32"/>
  <c r="M30" i="32"/>
  <c r="Z7" i="32"/>
  <c r="AF7" i="32"/>
  <c r="AG7" i="32" s="1"/>
  <c r="Z9" i="32"/>
  <c r="AH9" i="32" s="1"/>
  <c r="AF9" i="32"/>
  <c r="AG9" i="32" s="1"/>
  <c r="Z11" i="32"/>
  <c r="AF11" i="32"/>
  <c r="AG11" i="32" s="1"/>
  <c r="Z14" i="32"/>
  <c r="AH14" i="32" s="1"/>
  <c r="AF14" i="32"/>
  <c r="AG14" i="32" s="1"/>
  <c r="Z15" i="32"/>
  <c r="AH15" i="32" s="1"/>
  <c r="AB16" i="32"/>
  <c r="AD16" i="32" s="1"/>
  <c r="Z17" i="32"/>
  <c r="AA17" i="32" s="1"/>
  <c r="AB17" i="32" s="1"/>
  <c r="AD17" i="32" s="1"/>
  <c r="Z19" i="32"/>
  <c r="Z21" i="32"/>
  <c r="AA21" i="32" s="1"/>
  <c r="AB21" i="32" s="1"/>
  <c r="AD21" i="32" s="1"/>
  <c r="Z23" i="32"/>
  <c r="Z25" i="32"/>
  <c r="Z27" i="32"/>
  <c r="Z29" i="32"/>
  <c r="AA29" i="32" s="1"/>
  <c r="AB29" i="32" s="1"/>
  <c r="AD29" i="32" s="1"/>
  <c r="AH26" i="32"/>
  <c r="AA25" i="32"/>
  <c r="AA23" i="32"/>
  <c r="AB23" i="32" s="1"/>
  <c r="AD23" i="32" s="1"/>
  <c r="AA19" i="32"/>
  <c r="AB19" i="32" s="1"/>
  <c r="AD19" i="32" s="1"/>
  <c r="AA7" i="32"/>
  <c r="AB7" i="32" s="1"/>
  <c r="AD7" i="32" s="1"/>
  <c r="AA14" i="32"/>
  <c r="AB14" i="32" s="1"/>
  <c r="AD14" i="32" s="1"/>
  <c r="AA11" i="32"/>
  <c r="AB11" i="32" s="1"/>
  <c r="AD11" i="32" s="1"/>
  <c r="AA15" i="32"/>
  <c r="AB15" i="32" s="1"/>
  <c r="AD15" i="32" s="1"/>
  <c r="AA18" i="32"/>
  <c r="AB18" i="32" s="1"/>
  <c r="AD18" i="32" s="1"/>
  <c r="AA20" i="32"/>
  <c r="AB20" i="32" s="1"/>
  <c r="AD20" i="32" s="1"/>
  <c r="AA22" i="32"/>
  <c r="AB22" i="32" s="1"/>
  <c r="AD22" i="32" s="1"/>
  <c r="AA24" i="32"/>
  <c r="AB24" i="32" s="1"/>
  <c r="AD24" i="32" s="1"/>
  <c r="AA26" i="32"/>
  <c r="AB26" i="32" s="1"/>
  <c r="AD26" i="32" s="1"/>
  <c r="AA28" i="32"/>
  <c r="AB28" i="32" s="1"/>
  <c r="AD28" i="32" s="1"/>
  <c r="Z10" i="32"/>
  <c r="AH10" i="32" s="1"/>
  <c r="Z12" i="32"/>
  <c r="AH12" i="32" s="1"/>
  <c r="Z13" i="32"/>
  <c r="AH13" i="32" s="1"/>
  <c r="AF17" i="32"/>
  <c r="AG17" i="32" s="1"/>
  <c r="AF19" i="32"/>
  <c r="AG19" i="32" s="1"/>
  <c r="AF21" i="32"/>
  <c r="AG21" i="32" s="1"/>
  <c r="AF23" i="32"/>
  <c r="AG23" i="32" s="1"/>
  <c r="AF25" i="32"/>
  <c r="AG25" i="32" s="1"/>
  <c r="AF27" i="32"/>
  <c r="AG27" i="32" s="1"/>
  <c r="AF29" i="32"/>
  <c r="AG29" i="32" s="1"/>
  <c r="Z6" i="32"/>
  <c r="Z8" i="32"/>
  <c r="AH8" i="32" s="1"/>
  <c r="AF6" i="32"/>
  <c r="AA9" i="32" l="1"/>
  <c r="AB9" i="32" s="1"/>
  <c r="AD9" i="32" s="1"/>
  <c r="AA27" i="32"/>
  <c r="AB27" i="32" s="1"/>
  <c r="AD27" i="32" s="1"/>
  <c r="AH11" i="32"/>
  <c r="AH7" i="32"/>
  <c r="AH29" i="32"/>
  <c r="AH23" i="32"/>
  <c r="AH17" i="32"/>
  <c r="AH27" i="32"/>
  <c r="AB25" i="32"/>
  <c r="AD25" i="32" s="1"/>
  <c r="AH25" i="32"/>
  <c r="AH21" i="32"/>
  <c r="AH19" i="32"/>
  <c r="AA12" i="32"/>
  <c r="AB12" i="32" s="1"/>
  <c r="AD12" i="32" s="1"/>
  <c r="AA8" i="32"/>
  <c r="AB8" i="32" s="1"/>
  <c r="AD8" i="32" s="1"/>
  <c r="AG6" i="32"/>
  <c r="AG30" i="32" s="1"/>
  <c r="AF30" i="32"/>
  <c r="Z30" i="32"/>
  <c r="AA13" i="32"/>
  <c r="AB13" i="32" s="1"/>
  <c r="AD13" i="32" s="1"/>
  <c r="AA10" i="32"/>
  <c r="AB10" i="32" s="1"/>
  <c r="AD10" i="32" s="1"/>
  <c r="AA6" i="32"/>
  <c r="AH6" i="32" l="1"/>
  <c r="AH30" i="32" s="1"/>
  <c r="AA30" i="32"/>
  <c r="AB6" i="32"/>
  <c r="AB30" i="32" l="1"/>
  <c r="AD6" i="32"/>
  <c r="AD30" i="32" s="1"/>
  <c r="B46" i="1" l="1"/>
  <c r="B45" i="1"/>
  <c r="B44" i="1"/>
  <c r="N43" i="1"/>
  <c r="B43" i="1"/>
  <c r="N42" i="1"/>
  <c r="H42" i="1"/>
  <c r="B42" i="1"/>
  <c r="N41" i="1"/>
  <c r="H41" i="1"/>
  <c r="B41" i="1"/>
  <c r="N40" i="1"/>
  <c r="H40" i="1"/>
  <c r="B40" i="1"/>
  <c r="N39" i="1"/>
  <c r="H39" i="1"/>
  <c r="B39" i="1"/>
  <c r="N38" i="1"/>
  <c r="H38" i="1"/>
  <c r="B38" i="1"/>
  <c r="N37" i="1"/>
  <c r="H37" i="1"/>
  <c r="B37" i="1"/>
  <c r="N36" i="1"/>
  <c r="H36" i="1"/>
  <c r="B36" i="1"/>
  <c r="N35" i="1"/>
  <c r="H35" i="1"/>
  <c r="B35" i="1"/>
  <c r="N34" i="1"/>
  <c r="H34" i="1"/>
  <c r="B34" i="1"/>
  <c r="N33" i="1"/>
  <c r="H33" i="1"/>
  <c r="B33" i="1"/>
  <c r="N32" i="1"/>
  <c r="H32" i="1"/>
  <c r="B32" i="1"/>
  <c r="N31" i="1"/>
  <c r="H31" i="1"/>
  <c r="B31" i="1"/>
  <c r="N30" i="1"/>
  <c r="H30" i="1"/>
  <c r="B30" i="1"/>
  <c r="N29" i="1"/>
  <c r="H29" i="1"/>
  <c r="B29" i="1"/>
  <c r="N28" i="1"/>
  <c r="H28" i="1"/>
  <c r="B28" i="1"/>
  <c r="N27" i="1"/>
  <c r="H27" i="1"/>
  <c r="B27" i="1"/>
  <c r="N26" i="1"/>
  <c r="H26" i="1"/>
  <c r="B26" i="1"/>
  <c r="N25" i="1"/>
  <c r="H25" i="1"/>
  <c r="B25" i="1"/>
  <c r="N24" i="1"/>
  <c r="H24" i="1"/>
  <c r="B24" i="1"/>
  <c r="N23" i="1"/>
  <c r="H23" i="1"/>
  <c r="B23" i="1"/>
  <c r="N22" i="1"/>
  <c r="H22" i="1"/>
  <c r="B22" i="1"/>
  <c r="N21" i="1"/>
  <c r="H21" i="1"/>
  <c r="B21" i="1"/>
  <c r="N20" i="1"/>
  <c r="H20" i="1"/>
  <c r="B20" i="1"/>
  <c r="N19" i="1"/>
  <c r="H19" i="1"/>
  <c r="B19" i="1"/>
  <c r="N18" i="1"/>
  <c r="H18" i="1"/>
  <c r="B18" i="1"/>
  <c r="N17" i="1"/>
  <c r="H17" i="1"/>
  <c r="B17" i="1"/>
  <c r="N16" i="1"/>
  <c r="H16" i="1"/>
  <c r="B16" i="1"/>
  <c r="N15" i="1"/>
  <c r="H15" i="1"/>
  <c r="B15" i="1"/>
  <c r="N14" i="1"/>
  <c r="H14" i="1"/>
  <c r="B14" i="1"/>
  <c r="S13" i="1"/>
  <c r="N13" i="1"/>
  <c r="H13" i="1"/>
  <c r="B13" i="1"/>
  <c r="S12" i="1"/>
  <c r="N12" i="1"/>
  <c r="H12" i="1"/>
  <c r="B12" i="1"/>
  <c r="S11" i="1"/>
  <c r="N11" i="1"/>
  <c r="H11" i="1"/>
  <c r="B11" i="1"/>
  <c r="S10" i="1"/>
  <c r="N10" i="1"/>
  <c r="H10" i="1"/>
  <c r="B10" i="1"/>
  <c r="N9" i="1"/>
  <c r="H9" i="1"/>
  <c r="B9" i="1"/>
  <c r="N8" i="1"/>
  <c r="H8" i="1"/>
  <c r="B8" i="1"/>
  <c r="N7" i="1"/>
  <c r="H7" i="1"/>
  <c r="B7" i="1"/>
  <c r="N6" i="1"/>
  <c r="H6" i="1"/>
  <c r="B6" i="1"/>
  <c r="N5" i="1"/>
  <c r="H5" i="1"/>
  <c r="B5" i="1"/>
  <c r="N4" i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35" i="1" s="1"/>
  <c r="M36" i="1" s="1"/>
  <c r="M37" i="1" s="1"/>
  <c r="M38" i="1" s="1"/>
  <c r="M39" i="1" s="1"/>
  <c r="M40" i="1" s="1"/>
  <c r="M41" i="1" s="1"/>
  <c r="M42" i="1" s="1"/>
  <c r="M43" i="1" s="1"/>
  <c r="H4" i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B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J31" i="3" l="1"/>
  <c r="J114" i="3"/>
  <c r="J8" i="3"/>
  <c r="J7" i="3"/>
  <c r="J6" i="3"/>
  <c r="AH101" i="3" l="1"/>
  <c r="AG114" i="3" l="1"/>
  <c r="AH114" i="3" l="1"/>
  <c r="AL114" i="3" s="1"/>
  <c r="AJ114" i="3"/>
  <c r="U8" i="3" l="1"/>
  <c r="W8" i="3"/>
  <c r="Q8" i="3" l="1"/>
  <c r="AA8" i="3"/>
  <c r="AB8" i="3" s="1"/>
  <c r="AD8" i="3" s="1"/>
  <c r="AF8" i="3" s="1"/>
  <c r="AG8" i="3" s="1"/>
  <c r="AJ8" i="3" l="1"/>
  <c r="AH8" i="3"/>
  <c r="AL8" i="3" s="1"/>
  <c r="W56" i="3" l="1"/>
  <c r="W66" i="3" l="1"/>
  <c r="W65" i="3" l="1"/>
  <c r="U66" i="3"/>
  <c r="AA66" i="3" s="1"/>
  <c r="AB66" i="3" s="1"/>
  <c r="AD66" i="3" s="1"/>
  <c r="AF66" i="3" s="1"/>
  <c r="AG66" i="3" s="1"/>
  <c r="AJ66" i="3" s="1"/>
  <c r="Q66" i="3"/>
  <c r="AH66" i="3" l="1"/>
  <c r="AL66" i="3" s="1"/>
  <c r="U65" i="3" l="1"/>
  <c r="AA65" i="3" s="1"/>
  <c r="AB65" i="3" s="1"/>
  <c r="AD65" i="3" s="1"/>
  <c r="AF65" i="3" s="1"/>
  <c r="AG65" i="3" s="1"/>
  <c r="Q65" i="3"/>
  <c r="AH65" i="3" l="1"/>
  <c r="AL65" i="3" s="1"/>
  <c r="AJ65" i="3"/>
  <c r="W9" i="3" l="1"/>
  <c r="W57" i="3" l="1"/>
  <c r="W44" i="3" l="1"/>
  <c r="W35" i="3" l="1"/>
  <c r="W14" i="3" l="1"/>
  <c r="W15" i="3" l="1"/>
  <c r="W34" i="3"/>
  <c r="W27" i="3"/>
  <c r="W39" i="3" l="1"/>
  <c r="W55" i="3" l="1"/>
  <c r="W23" i="3" l="1"/>
  <c r="W7" i="3"/>
  <c r="W31" i="3" l="1"/>
  <c r="W19" i="3" l="1"/>
  <c r="W41" i="3" l="1"/>
  <c r="W42" i="3" l="1"/>
  <c r="W53" i="3"/>
  <c r="W59" i="3" l="1"/>
  <c r="W22" i="3"/>
  <c r="W16" i="3"/>
  <c r="W11" i="3" l="1"/>
  <c r="W6" i="3" l="1"/>
  <c r="W29" i="3"/>
  <c r="W25" i="3"/>
  <c r="W45" i="3"/>
  <c r="W30" i="3"/>
  <c r="W12" i="3"/>
  <c r="W20" i="3"/>
  <c r="W24" i="3"/>
  <c r="W18" i="3" l="1"/>
  <c r="U10" i="3" l="1"/>
  <c r="Q10" i="3"/>
  <c r="W10" i="3"/>
  <c r="W54" i="3"/>
  <c r="AA10" i="3" l="1"/>
  <c r="AB10" i="3" l="1"/>
  <c r="AD10" i="3" s="1"/>
  <c r="AF10" i="3" s="1"/>
  <c r="AG10" i="3" s="1"/>
  <c r="AH10" i="3" l="1"/>
  <c r="AL10" i="3" s="1"/>
  <c r="AJ10" i="3"/>
  <c r="U54" i="3" l="1"/>
  <c r="AA54" i="3" s="1"/>
  <c r="AB54" i="3" s="1"/>
  <c r="AD54" i="3" s="1"/>
  <c r="AF54" i="3" s="1"/>
  <c r="AG54" i="3" s="1"/>
  <c r="Q54" i="3"/>
  <c r="AH54" i="3" l="1"/>
  <c r="AL54" i="3" s="1"/>
  <c r="AJ54" i="3"/>
  <c r="W64" i="3" l="1"/>
  <c r="W51" i="3" l="1"/>
  <c r="W40" i="3"/>
  <c r="W13" i="3"/>
  <c r="W60" i="3" l="1"/>
  <c r="W21" i="3"/>
  <c r="W62" i="3" l="1"/>
  <c r="W61" i="3"/>
  <c r="W63" i="3"/>
  <c r="W37" i="3" l="1"/>
  <c r="W43" i="3"/>
  <c r="W47" i="3"/>
  <c r="W36" i="3"/>
  <c r="W46" i="3"/>
  <c r="W38" i="3"/>
  <c r="U7" i="3" l="1"/>
  <c r="AA7" i="3" s="1"/>
  <c r="Q7" i="3"/>
  <c r="AB7" i="3" l="1"/>
  <c r="AD7" i="3" s="1"/>
  <c r="AF7" i="3" s="1"/>
  <c r="AG7" i="3" s="1"/>
  <c r="AH7" i="3" l="1"/>
  <c r="AL7" i="3" s="1"/>
  <c r="AJ7" i="3"/>
  <c r="W17" i="3" l="1"/>
  <c r="W26" i="3"/>
  <c r="W33" i="3" l="1"/>
  <c r="W49" i="3"/>
  <c r="W32" i="3"/>
  <c r="W52" i="3"/>
  <c r="W48" i="3"/>
  <c r="W50" i="3"/>
  <c r="W28" i="3" l="1"/>
  <c r="W94" i="3" s="1"/>
  <c r="O94" i="3"/>
  <c r="U53" i="3" l="1"/>
  <c r="AA53" i="3" s="1"/>
  <c r="AB53" i="3" s="1"/>
  <c r="AD53" i="3" s="1"/>
  <c r="AF53" i="3" s="1"/>
  <c r="AG53" i="3" s="1"/>
  <c r="Q53" i="3"/>
  <c r="AJ53" i="3" l="1"/>
  <c r="AH53" i="3"/>
  <c r="AL53" i="3" s="1"/>
  <c r="U64" i="3" l="1"/>
  <c r="AA64" i="3" s="1"/>
  <c r="Q64" i="3"/>
  <c r="AB64" i="3" l="1"/>
  <c r="AD64" i="3" s="1"/>
  <c r="AF64" i="3" s="1"/>
  <c r="AG64" i="3" s="1"/>
  <c r="AH64" i="3" l="1"/>
  <c r="AL64" i="3" s="1"/>
  <c r="AJ64" i="3"/>
  <c r="U51" i="3" l="1"/>
  <c r="AA51" i="3" s="1"/>
  <c r="AB51" i="3" s="1"/>
  <c r="AD51" i="3" s="1"/>
  <c r="AF51" i="3" s="1"/>
  <c r="AG51" i="3" s="1"/>
  <c r="Q51" i="3"/>
  <c r="AJ51" i="3" l="1"/>
  <c r="AH51" i="3"/>
  <c r="AL51" i="3" s="1"/>
  <c r="U9" i="3" l="1"/>
  <c r="AA9" i="3" s="1"/>
  <c r="AB9" i="3" s="1"/>
  <c r="AD9" i="3" s="1"/>
  <c r="AF9" i="3" s="1"/>
  <c r="AG9" i="3" s="1"/>
  <c r="Q9" i="3"/>
  <c r="U6" i="3"/>
  <c r="AA6" i="3" s="1"/>
  <c r="Q6" i="3"/>
  <c r="AB6" i="3" l="1"/>
  <c r="AD6" i="3" s="1"/>
  <c r="AF6" i="3" s="1"/>
  <c r="AG6" i="3" s="1"/>
  <c r="AJ9" i="3"/>
  <c r="AH9" i="3"/>
  <c r="AL9" i="3" s="1"/>
  <c r="AJ6" i="3" l="1"/>
  <c r="AH6" i="3"/>
  <c r="AL6" i="3" s="1"/>
  <c r="Q57" i="3" l="1"/>
  <c r="U57" i="3"/>
  <c r="AA57" i="3" s="1"/>
  <c r="AB57" i="3" s="1"/>
  <c r="AD57" i="3" s="1"/>
  <c r="AF57" i="3" s="1"/>
  <c r="AG57" i="3" s="1"/>
  <c r="AH57" i="3" l="1"/>
  <c r="AL57" i="3" s="1"/>
  <c r="AJ57" i="3"/>
  <c r="U56" i="3" l="1"/>
  <c r="AA56" i="3" s="1"/>
  <c r="AB56" i="3" s="1"/>
  <c r="AD56" i="3" s="1"/>
  <c r="AF56" i="3" s="1"/>
  <c r="AG56" i="3" s="1"/>
  <c r="Q56" i="3"/>
  <c r="U55" i="3"/>
  <c r="AA55" i="3" s="1"/>
  <c r="AB55" i="3" s="1"/>
  <c r="AD55" i="3" s="1"/>
  <c r="AF55" i="3" s="1"/>
  <c r="AG55" i="3" s="1"/>
  <c r="Q55" i="3"/>
  <c r="U52" i="3"/>
  <c r="AA52" i="3" s="1"/>
  <c r="AB52" i="3" s="1"/>
  <c r="AD52" i="3" s="1"/>
  <c r="AF52" i="3" s="1"/>
  <c r="AG52" i="3" s="1"/>
  <c r="Q52" i="3"/>
  <c r="Q50" i="3"/>
  <c r="U50" i="3"/>
  <c r="AA50" i="3" s="1"/>
  <c r="AB50" i="3" s="1"/>
  <c r="AD50" i="3" s="1"/>
  <c r="AF50" i="3" s="1"/>
  <c r="AG50" i="3" s="1"/>
  <c r="AH55" i="3" l="1"/>
  <c r="AL55" i="3" s="1"/>
  <c r="AJ55" i="3"/>
  <c r="AH52" i="3"/>
  <c r="AL52" i="3" s="1"/>
  <c r="AJ52" i="3"/>
  <c r="AJ50" i="3"/>
  <c r="AH50" i="3"/>
  <c r="AL50" i="3" s="1"/>
  <c r="AH56" i="3"/>
  <c r="AL56" i="3" s="1"/>
  <c r="AJ56" i="3"/>
  <c r="U32" i="3" l="1"/>
  <c r="AA32" i="3" s="1"/>
  <c r="Q32" i="3"/>
  <c r="AB32" i="3" l="1"/>
  <c r="AD32" i="3" s="1"/>
  <c r="AF32" i="3" s="1"/>
  <c r="AG32" i="3" s="1"/>
  <c r="AH32" i="3" l="1"/>
  <c r="AL32" i="3" s="1"/>
  <c r="AJ32" i="3"/>
  <c r="U63" i="3" l="1"/>
  <c r="AA63" i="3" s="1"/>
  <c r="AB63" i="3" s="1"/>
  <c r="AD63" i="3" s="1"/>
  <c r="AF63" i="3" s="1"/>
  <c r="AG63" i="3" s="1"/>
  <c r="Q63" i="3"/>
  <c r="AJ63" i="3" l="1"/>
  <c r="AH63" i="3"/>
  <c r="AL63" i="3" s="1"/>
  <c r="U49" i="3" l="1"/>
  <c r="AA49" i="3" s="1"/>
  <c r="AB49" i="3" s="1"/>
  <c r="AD49" i="3" s="1"/>
  <c r="AF49" i="3" s="1"/>
  <c r="AG49" i="3" s="1"/>
  <c r="Q49" i="3"/>
  <c r="AJ49" i="3" l="1"/>
  <c r="AH49" i="3"/>
  <c r="AL49" i="3" s="1"/>
  <c r="U31" i="3" l="1"/>
  <c r="AA31" i="3" s="1"/>
  <c r="AB31" i="3" s="1"/>
  <c r="AD31" i="3" s="1"/>
  <c r="AF31" i="3" s="1"/>
  <c r="AG31" i="3" s="1"/>
  <c r="Q31" i="3"/>
  <c r="AH31" i="3" l="1"/>
  <c r="AL31" i="3" s="1"/>
  <c r="AJ31" i="3"/>
  <c r="U28" i="3" l="1"/>
  <c r="AA28" i="3" s="1"/>
  <c r="AB28" i="3" s="1"/>
  <c r="AD28" i="3" s="1"/>
  <c r="AF28" i="3" s="1"/>
  <c r="AG28" i="3" s="1"/>
  <c r="Q28" i="3"/>
  <c r="AJ28" i="3" l="1"/>
  <c r="AH28" i="3"/>
  <c r="AL28" i="3" s="1"/>
  <c r="U48" i="3" l="1"/>
  <c r="AA48" i="3" s="1"/>
  <c r="AB48" i="3" s="1"/>
  <c r="AD48" i="3" s="1"/>
  <c r="AF48" i="3" s="1"/>
  <c r="AG48" i="3" s="1"/>
  <c r="Q48" i="3"/>
  <c r="AJ48" i="3" l="1"/>
  <c r="AH48" i="3"/>
  <c r="AL48" i="3" s="1"/>
  <c r="U61" i="3" l="1"/>
  <c r="AA61" i="3" s="1"/>
  <c r="AB61" i="3" s="1"/>
  <c r="AD61" i="3" s="1"/>
  <c r="AF61" i="3" s="1"/>
  <c r="AG61" i="3" s="1"/>
  <c r="Q61" i="3"/>
  <c r="AH61" i="3" l="1"/>
  <c r="AL61" i="3" s="1"/>
  <c r="AJ61" i="3"/>
  <c r="U59" i="3" l="1"/>
  <c r="AA59" i="3" s="1"/>
  <c r="Q59" i="3"/>
  <c r="U26" i="3"/>
  <c r="AA26" i="3" s="1"/>
  <c r="Q26" i="3"/>
  <c r="U22" i="3"/>
  <c r="AA22" i="3" s="1"/>
  <c r="AB22" i="3" s="1"/>
  <c r="AD22" i="3" s="1"/>
  <c r="AF22" i="3" s="1"/>
  <c r="AG22" i="3" s="1"/>
  <c r="Q22" i="3"/>
  <c r="U19" i="3"/>
  <c r="AA19" i="3" s="1"/>
  <c r="AB19" i="3" s="1"/>
  <c r="AD19" i="3" s="1"/>
  <c r="AF19" i="3" s="1"/>
  <c r="AG19" i="3" s="1"/>
  <c r="Q19" i="3"/>
  <c r="U60" i="3"/>
  <c r="AA60" i="3" s="1"/>
  <c r="Q60" i="3"/>
  <c r="U16" i="3"/>
  <c r="AA16" i="3" s="1"/>
  <c r="AB16" i="3" s="1"/>
  <c r="AD16" i="3" s="1"/>
  <c r="AF16" i="3" s="1"/>
  <c r="AG16" i="3" s="1"/>
  <c r="Q16" i="3"/>
  <c r="U11" i="3"/>
  <c r="Q11" i="3"/>
  <c r="U24" i="3"/>
  <c r="AA24" i="3" s="1"/>
  <c r="Q24" i="3"/>
  <c r="U18" i="3"/>
  <c r="AA18" i="3" s="1"/>
  <c r="Q18" i="3"/>
  <c r="U62" i="3"/>
  <c r="AA62" i="3" s="1"/>
  <c r="Q62" i="3"/>
  <c r="U17" i="3"/>
  <c r="AA17" i="3" s="1"/>
  <c r="AB17" i="3" s="1"/>
  <c r="AD17" i="3" s="1"/>
  <c r="AF17" i="3" s="1"/>
  <c r="AG17" i="3" s="1"/>
  <c r="Q17" i="3"/>
  <c r="U27" i="3"/>
  <c r="AA27" i="3" s="1"/>
  <c r="AB27" i="3" s="1"/>
  <c r="AD27" i="3" s="1"/>
  <c r="AF27" i="3" s="1"/>
  <c r="AG27" i="3" s="1"/>
  <c r="Q27" i="3"/>
  <c r="AB62" i="3" l="1"/>
  <c r="AD62" i="3" s="1"/>
  <c r="AF62" i="3" s="1"/>
  <c r="AG62" i="3" s="1"/>
  <c r="AB24" i="3"/>
  <c r="AD24" i="3" s="1"/>
  <c r="AF24" i="3" s="1"/>
  <c r="AG24" i="3" s="1"/>
  <c r="U42" i="3"/>
  <c r="AA42" i="3" s="1"/>
  <c r="Q42" i="3"/>
  <c r="U38" i="3"/>
  <c r="AA38" i="3" s="1"/>
  <c r="Q38" i="3"/>
  <c r="AJ16" i="3"/>
  <c r="AH16" i="3"/>
  <c r="AL16" i="3" s="1"/>
  <c r="AH22" i="3"/>
  <c r="AL22" i="3" s="1"/>
  <c r="AJ22" i="3"/>
  <c r="AB59" i="3"/>
  <c r="AD59" i="3" s="1"/>
  <c r="AF59" i="3" s="1"/>
  <c r="AG59" i="3" s="1"/>
  <c r="U40" i="3"/>
  <c r="AA40" i="3" s="1"/>
  <c r="AB40" i="3" s="1"/>
  <c r="AD40" i="3" s="1"/>
  <c r="AF40" i="3" s="1"/>
  <c r="AG40" i="3" s="1"/>
  <c r="Q40" i="3"/>
  <c r="U45" i="3"/>
  <c r="AA45" i="3" s="1"/>
  <c r="AB45" i="3" s="1"/>
  <c r="AD45" i="3" s="1"/>
  <c r="AF45" i="3" s="1"/>
  <c r="AG45" i="3" s="1"/>
  <c r="Q45" i="3"/>
  <c r="U29" i="3"/>
  <c r="AA29" i="3" s="1"/>
  <c r="AB29" i="3" s="1"/>
  <c r="AD29" i="3" s="1"/>
  <c r="AF29" i="3" s="1"/>
  <c r="AG29" i="3" s="1"/>
  <c r="Q29" i="3"/>
  <c r="U23" i="3"/>
  <c r="AA23" i="3" s="1"/>
  <c r="AB23" i="3" s="1"/>
  <c r="AD23" i="3" s="1"/>
  <c r="AF23" i="3" s="1"/>
  <c r="AG23" i="3" s="1"/>
  <c r="Q23" i="3"/>
  <c r="U30" i="3"/>
  <c r="AA30" i="3" s="1"/>
  <c r="AB30" i="3" s="1"/>
  <c r="AD30" i="3" s="1"/>
  <c r="AF30" i="3" s="1"/>
  <c r="AG30" i="3" s="1"/>
  <c r="Q30" i="3"/>
  <c r="U25" i="3"/>
  <c r="AA25" i="3" s="1"/>
  <c r="AB25" i="3" s="1"/>
  <c r="AD25" i="3" s="1"/>
  <c r="AF25" i="3" s="1"/>
  <c r="AG25" i="3" s="1"/>
  <c r="Q25" i="3"/>
  <c r="U41" i="3"/>
  <c r="AA41" i="3" s="1"/>
  <c r="Q41" i="3"/>
  <c r="U21" i="3"/>
  <c r="AA21" i="3" s="1"/>
  <c r="AB21" i="3" s="1"/>
  <c r="AD21" i="3" s="1"/>
  <c r="AF21" i="3" s="1"/>
  <c r="AG21" i="3" s="1"/>
  <c r="Q21" i="3"/>
  <c r="AJ27" i="3"/>
  <c r="AH27" i="3"/>
  <c r="AL27" i="3" s="1"/>
  <c r="AJ17" i="3"/>
  <c r="AH17" i="3"/>
  <c r="AL17" i="3" s="1"/>
  <c r="AB18" i="3"/>
  <c r="AD18" i="3" s="1"/>
  <c r="AF18" i="3" s="1"/>
  <c r="AG18" i="3" s="1"/>
  <c r="U37" i="3"/>
  <c r="AA37" i="3" s="1"/>
  <c r="AB37" i="3" s="1"/>
  <c r="AD37" i="3" s="1"/>
  <c r="AF37" i="3" s="1"/>
  <c r="AG37" i="3" s="1"/>
  <c r="Q37" i="3"/>
  <c r="U44" i="3"/>
  <c r="AA44" i="3" s="1"/>
  <c r="AB44" i="3" s="1"/>
  <c r="AD44" i="3" s="1"/>
  <c r="AF44" i="3" s="1"/>
  <c r="AG44" i="3" s="1"/>
  <c r="Q44" i="3"/>
  <c r="AB60" i="3"/>
  <c r="AD60" i="3" s="1"/>
  <c r="AF60" i="3" s="1"/>
  <c r="AG60" i="3" s="1"/>
  <c r="AH19" i="3"/>
  <c r="AL19" i="3" s="1"/>
  <c r="AJ19" i="3"/>
  <c r="AB26" i="3"/>
  <c r="AD26" i="3" s="1"/>
  <c r="AF26" i="3" s="1"/>
  <c r="AG26" i="3" s="1"/>
  <c r="U47" i="3"/>
  <c r="AA47" i="3" s="1"/>
  <c r="AB47" i="3" s="1"/>
  <c r="AD47" i="3" s="1"/>
  <c r="AF47" i="3" s="1"/>
  <c r="AG47" i="3" s="1"/>
  <c r="Q47" i="3"/>
  <c r="U46" i="3"/>
  <c r="AA46" i="3" s="1"/>
  <c r="AB46" i="3" s="1"/>
  <c r="AD46" i="3" s="1"/>
  <c r="AF46" i="3" s="1"/>
  <c r="AG46" i="3" s="1"/>
  <c r="Q46" i="3"/>
  <c r="U35" i="3"/>
  <c r="AA35" i="3" s="1"/>
  <c r="AB35" i="3" s="1"/>
  <c r="AD35" i="3" s="1"/>
  <c r="AF35" i="3" s="1"/>
  <c r="AG35" i="3" s="1"/>
  <c r="Q35" i="3"/>
  <c r="U15" i="3"/>
  <c r="AA15" i="3" s="1"/>
  <c r="AB15" i="3" s="1"/>
  <c r="AD15" i="3" s="1"/>
  <c r="AF15" i="3" s="1"/>
  <c r="AG15" i="3" s="1"/>
  <c r="Q15" i="3"/>
  <c r="Q39" i="3"/>
  <c r="U39" i="3"/>
  <c r="AA39" i="3" s="1"/>
  <c r="AB39" i="3" s="1"/>
  <c r="AD39" i="3" s="1"/>
  <c r="AF39" i="3" s="1"/>
  <c r="AG39" i="3" s="1"/>
  <c r="U14" i="3"/>
  <c r="AA14" i="3" s="1"/>
  <c r="Q14" i="3"/>
  <c r="U43" i="3"/>
  <c r="AA43" i="3" s="1"/>
  <c r="Q43" i="3"/>
  <c r="AA11" i="3"/>
  <c r="U20" i="3"/>
  <c r="AA20" i="3" s="1"/>
  <c r="AB20" i="3" s="1"/>
  <c r="AD20" i="3" s="1"/>
  <c r="AF20" i="3" s="1"/>
  <c r="AG20" i="3" s="1"/>
  <c r="Q20" i="3"/>
  <c r="U13" i="3"/>
  <c r="AA13" i="3" s="1"/>
  <c r="AB13" i="3" s="1"/>
  <c r="AD13" i="3" s="1"/>
  <c r="AF13" i="3" s="1"/>
  <c r="AG13" i="3" s="1"/>
  <c r="Q13" i="3"/>
  <c r="U36" i="3"/>
  <c r="AA36" i="3" s="1"/>
  <c r="Q36" i="3"/>
  <c r="AH24" i="3" l="1"/>
  <c r="AL24" i="3" s="1"/>
  <c r="AJ24" i="3"/>
  <c r="AJ60" i="3"/>
  <c r="AH60" i="3"/>
  <c r="AL60" i="3" s="1"/>
  <c r="AH62" i="3"/>
  <c r="AL62" i="3" s="1"/>
  <c r="AJ62" i="3"/>
  <c r="AH26" i="3"/>
  <c r="AL26" i="3" s="1"/>
  <c r="AJ26" i="3"/>
  <c r="AJ18" i="3"/>
  <c r="AH18" i="3"/>
  <c r="AL18" i="3" s="1"/>
  <c r="AJ59" i="3"/>
  <c r="AH59" i="3"/>
  <c r="AL59" i="3" s="1"/>
  <c r="AH13" i="3"/>
  <c r="AL13" i="3" s="1"/>
  <c r="AJ13" i="3"/>
  <c r="AB11" i="3"/>
  <c r="AD11" i="3" s="1"/>
  <c r="AB14" i="3"/>
  <c r="AD14" i="3" s="1"/>
  <c r="AF14" i="3" s="1"/>
  <c r="AG14" i="3" s="1"/>
  <c r="AJ15" i="3"/>
  <c r="AH15" i="3"/>
  <c r="AL15" i="3" s="1"/>
  <c r="AJ37" i="3"/>
  <c r="AH37" i="3"/>
  <c r="AL37" i="3" s="1"/>
  <c r="AJ21" i="3"/>
  <c r="AH21" i="3"/>
  <c r="AL21" i="3" s="1"/>
  <c r="AH25" i="3"/>
  <c r="AL25" i="3" s="1"/>
  <c r="AJ25" i="3"/>
  <c r="AJ23" i="3"/>
  <c r="AH23" i="3"/>
  <c r="AL23" i="3" s="1"/>
  <c r="AH45" i="3"/>
  <c r="AL45" i="3" s="1"/>
  <c r="AJ45" i="3"/>
  <c r="AB42" i="3"/>
  <c r="AD42" i="3" s="1"/>
  <c r="AF42" i="3" s="1"/>
  <c r="AG42" i="3" s="1"/>
  <c r="AH46" i="3"/>
  <c r="AL46" i="3" s="1"/>
  <c r="AJ46" i="3"/>
  <c r="AH39" i="3"/>
  <c r="AL39" i="3" s="1"/>
  <c r="AJ39" i="3"/>
  <c r="AB36" i="3"/>
  <c r="AD36" i="3" s="1"/>
  <c r="AF36" i="3" s="1"/>
  <c r="AG36" i="3" s="1"/>
  <c r="AH20" i="3"/>
  <c r="AL20" i="3" s="1"/>
  <c r="AJ20" i="3"/>
  <c r="AB43" i="3"/>
  <c r="AD43" i="3" s="1"/>
  <c r="AF43" i="3" s="1"/>
  <c r="AG43" i="3" s="1"/>
  <c r="AH47" i="3"/>
  <c r="AL47" i="3" s="1"/>
  <c r="AJ47" i="3"/>
  <c r="AH44" i="3"/>
  <c r="AL44" i="3" s="1"/>
  <c r="AJ44" i="3"/>
  <c r="AB41" i="3"/>
  <c r="AD41" i="3" s="1"/>
  <c r="AF41" i="3" s="1"/>
  <c r="AG41" i="3" s="1"/>
  <c r="AH30" i="3"/>
  <c r="AL30" i="3" s="1"/>
  <c r="AJ30" i="3"/>
  <c r="AH29" i="3"/>
  <c r="AL29" i="3" s="1"/>
  <c r="AJ29" i="3"/>
  <c r="AJ40" i="3"/>
  <c r="AH40" i="3"/>
  <c r="AL40" i="3" s="1"/>
  <c r="AB38" i="3"/>
  <c r="AD38" i="3" s="1"/>
  <c r="AF38" i="3" s="1"/>
  <c r="AG38" i="3" s="1"/>
  <c r="AH35" i="3"/>
  <c r="AL35" i="3" s="1"/>
  <c r="AJ35" i="3"/>
  <c r="AJ14" i="3" l="1"/>
  <c r="AH14" i="3"/>
  <c r="AL14" i="3" s="1"/>
  <c r="AJ38" i="3"/>
  <c r="AH38" i="3"/>
  <c r="AL38" i="3" s="1"/>
  <c r="AH41" i="3"/>
  <c r="AL41" i="3" s="1"/>
  <c r="AJ41" i="3"/>
  <c r="AJ42" i="3"/>
  <c r="AH42" i="3"/>
  <c r="AL42" i="3" s="1"/>
  <c r="AH43" i="3"/>
  <c r="AL43" i="3" s="1"/>
  <c r="AJ43" i="3"/>
  <c r="AH36" i="3"/>
  <c r="AL36" i="3" s="1"/>
  <c r="AJ36" i="3"/>
  <c r="AF11" i="3"/>
  <c r="AG11" i="3" l="1"/>
  <c r="AH11" i="3" l="1"/>
  <c r="AJ11" i="3"/>
  <c r="AL11" i="3" l="1"/>
  <c r="U34" i="3" l="1"/>
  <c r="AA34" i="3" s="1"/>
  <c r="AB34" i="3" s="1"/>
  <c r="AD34" i="3" s="1"/>
  <c r="AF34" i="3" s="1"/>
  <c r="AG34" i="3" s="1"/>
  <c r="Q34" i="3"/>
  <c r="AJ34" i="3" l="1"/>
  <c r="AH34" i="3"/>
  <c r="AL34" i="3" s="1"/>
  <c r="U33" i="3" l="1"/>
  <c r="Q33" i="3"/>
  <c r="AA33" i="3" l="1"/>
  <c r="AB33" i="3" l="1"/>
  <c r="AD33" i="3" l="1"/>
  <c r="AF33" i="3" l="1"/>
  <c r="AG33" i="3" l="1"/>
  <c r="AH33" i="3" l="1"/>
  <c r="AJ33" i="3"/>
  <c r="AL33" i="3" l="1"/>
  <c r="U12" i="3" l="1"/>
  <c r="Q12" i="3"/>
  <c r="N94" i="3"/>
  <c r="Q94" i="3" l="1"/>
  <c r="AA12" i="3"/>
  <c r="U94" i="3"/>
  <c r="AB12" i="3" l="1"/>
  <c r="AA94" i="3"/>
  <c r="AD12" i="3" l="1"/>
  <c r="AB94" i="3"/>
  <c r="AF12" i="3" l="1"/>
  <c r="AD94" i="3"/>
  <c r="AG12" i="3" l="1"/>
  <c r="AF94" i="3"/>
  <c r="AH12" i="3" l="1"/>
  <c r="AJ12" i="3"/>
  <c r="AG94" i="3"/>
  <c r="AJ94" i="3" l="1"/>
  <c r="AL12" i="3"/>
  <c r="AL94" i="3" s="1"/>
  <c r="AH94" i="3"/>
  <c r="J61" i="1" l="1"/>
  <c r="J56" i="1"/>
  <c r="J57" i="1"/>
</calcChain>
</file>

<file path=xl/comments1.xml><?xml version="1.0" encoding="utf-8"?>
<comments xmlns="http://schemas.openxmlformats.org/spreadsheetml/2006/main">
  <authors>
    <author>NSP</author>
  </authors>
  <commentList>
    <comment ref="O458" authorId="0">
      <text>
        <r>
          <rPr>
            <b/>
            <sz val="8"/>
            <color indexed="81"/>
            <rFont val="Tahoma"/>
            <family val="2"/>
          </rPr>
          <t>NSP:</t>
        </r>
        <r>
          <rPr>
            <sz val="8"/>
            <color indexed="81"/>
            <rFont val="Tahoma"/>
            <family val="2"/>
          </rPr>
          <t xml:space="preserve">
BELUM TERIMA UPAH POKOK DARI CKG, JADI GSK BAYAR UPAH POKOK FULL
</t>
        </r>
      </text>
    </comment>
  </commentList>
</comments>
</file>

<file path=xl/comments2.xml><?xml version="1.0" encoding="utf-8"?>
<comments xmlns="http://schemas.openxmlformats.org/spreadsheetml/2006/main">
  <authors>
    <author>account</author>
  </authors>
  <commentList>
    <comment ref="B117" authorId="0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Ke Air Papan</t>
        </r>
      </text>
    </comment>
    <comment ref="B118" authorId="0">
      <text>
        <r>
          <rPr>
            <b/>
            <sz val="9"/>
            <color indexed="81"/>
            <rFont val="Tahoma"/>
            <family val="2"/>
          </rPr>
          <t>account:</t>
        </r>
        <r>
          <rPr>
            <sz val="9"/>
            <color indexed="81"/>
            <rFont val="Tahoma"/>
            <family val="2"/>
          </rPr>
          <t xml:space="preserve">
Ke Air Papan</t>
        </r>
      </text>
    </comment>
  </commentList>
</comments>
</file>

<file path=xl/sharedStrings.xml><?xml version="1.0" encoding="utf-8"?>
<sst xmlns="http://schemas.openxmlformats.org/spreadsheetml/2006/main" count="1525" uniqueCount="556">
  <si>
    <t>No</t>
  </si>
  <si>
    <t>TER A</t>
  </si>
  <si>
    <t>s.d</t>
  </si>
  <si>
    <t>Lapisan Penghasilan bruto (Rp.)</t>
  </si>
  <si>
    <t>TER B</t>
  </si>
  <si>
    <t>TER C</t>
  </si>
  <si>
    <t>PTKP</t>
  </si>
  <si>
    <t>TK/0</t>
  </si>
  <si>
    <t>TK/2</t>
  </si>
  <si>
    <t>K/1</t>
  </si>
  <si>
    <t>TK/3</t>
  </si>
  <si>
    <t>K/2</t>
  </si>
  <si>
    <t>K/3</t>
  </si>
  <si>
    <t>Tarif</t>
  </si>
  <si>
    <t>Penghasilan Bruto</t>
  </si>
  <si>
    <t>TER</t>
  </si>
  <si>
    <t>TK/1</t>
  </si>
  <si>
    <t>K/0</t>
  </si>
  <si>
    <t>~~</t>
  </si>
  <si>
    <t>Status</t>
  </si>
  <si>
    <t>Jumlah</t>
  </si>
  <si>
    <t>HARIAN</t>
  </si>
  <si>
    <t>Lapisan PKP</t>
  </si>
  <si>
    <t>TARIF PASAL 17 WPOP</t>
  </si>
  <si>
    <t>Nomor Urut</t>
  </si>
  <si>
    <t>NAMA KARYAWAN</t>
  </si>
  <si>
    <t>N I K / 
PASPOR</t>
  </si>
  <si>
    <t>N P W P</t>
  </si>
  <si>
    <t>A L A M A T</t>
  </si>
  <si>
    <t>JABATAN</t>
  </si>
  <si>
    <t>MASA KERJA</t>
  </si>
  <si>
    <t>DESEMBER</t>
  </si>
  <si>
    <t>P T K P</t>
  </si>
  <si>
    <t>P K P</t>
  </si>
  <si>
    <t>PPH PASAL 21
JAN S.D NOP</t>
  </si>
  <si>
    <t>PPH PASAL 21
DESEMBER</t>
  </si>
  <si>
    <t>Gaji Pokok</t>
  </si>
  <si>
    <t>L/P</t>
  </si>
  <si>
    <t>P</t>
  </si>
  <si>
    <t>L</t>
  </si>
  <si>
    <t>yang berwarna ini rumus</t>
  </si>
  <si>
    <t>Penghasilan
Bruto</t>
  </si>
  <si>
    <t>Tarif
TER</t>
  </si>
  <si>
    <t>Total
Tunjangan</t>
  </si>
  <si>
    <t>Tunjangan
PPh</t>
  </si>
  <si>
    <t>Premi
JKK, JKM, Kes</t>
  </si>
  <si>
    <t>STATUS KARYAWAN</t>
  </si>
  <si>
    <t>Catatan :</t>
  </si>
  <si>
    <t>1. yang berwarna adalah rumus</t>
  </si>
  <si>
    <t>3. kolom pengurang JHT/JP tetap wajib diisi, sebagai pengurang pada masa pajak desember</t>
  </si>
  <si>
    <t>5. perubahan status PTKP ditentukan keadaan awal tahun, misal nikah/punya anak ditanggal 2 januari 2024, maka berubah status PTKP nya tahun 2025</t>
  </si>
  <si>
    <t>6. PPh 21 terutang tersebut sudah memperhitungkan bagi yang tidak memiliki NPWP dengan jumlah PPh Terutang 20% lebih besar.</t>
  </si>
  <si>
    <t>7. untuk yang tidak mempunyai NPWP dapat diisi dengan angka Nol</t>
  </si>
  <si>
    <t>INCLUDE NON NPWP</t>
  </si>
  <si>
    <t>SETAHUN</t>
  </si>
  <si>
    <t>PPH PASAL 21</t>
  </si>
  <si>
    <t>2. dalam hal terdapat tunjangan PPh, maka ceklis "enable iterative calculation" pada menu (option =&gt; formula =&gt; pada bagian kanan atas)</t>
  </si>
  <si>
    <t>4. komponen penghasilan bruto dapat disesuaikan/ditambahkan kolom, sesuai dengan kebutuhan masing2 perusahaan</t>
  </si>
  <si>
    <t>8. untuk perhitungan pph 21 (THR, Bonus, Tantiem) rumus penghasilan brutonya dapat disesuaikan dengan masa pajak THR tersebut diberikan</t>
  </si>
  <si>
    <t>9. khusus untuk perhitungan pph 21 masa pajak desember, dapat di cek kembali rumus total per komponen penghasilan brutonya (jika ada penambahan/pengurangan kolom)</t>
  </si>
  <si>
    <t>PTKP (TK/0, TK/1, K/0)</t>
  </si>
  <si>
    <t>PTKP (TK/2, TK/3, K/1, K/2)</t>
  </si>
  <si>
    <t>PTKP (K/3)</t>
  </si>
  <si>
    <t>NO.</t>
  </si>
  <si>
    <t>10. untuk jan s.d nop dapat diduplicate sheetnya</t>
  </si>
  <si>
    <t>8. khusus untuk perhitungan pph 21 masa pajak desember, dapat di cek kembali total per komponen penghasilan brutonya</t>
  </si>
  <si>
    <t>Astek Ins (0,84%)</t>
  </si>
  <si>
    <t>BPJS KESEHATAN (4%)</t>
  </si>
  <si>
    <t>PT. REBINMAS JAYA</t>
  </si>
  <si>
    <t>-</t>
  </si>
  <si>
    <t>JL KOPERASI RT. 004 RW. 002 DESA PEMBAHARUAN KEC. KELAPA KAMPIT</t>
  </si>
  <si>
    <t>Rice  Allow</t>
  </si>
  <si>
    <t>Structural  Allow</t>
  </si>
  <si>
    <t>POT. CUTI SAKIT &amp; POT. CTH ( CUTI TANPA HK )</t>
  </si>
  <si>
    <t>THR</t>
  </si>
  <si>
    <t>Bonus</t>
  </si>
  <si>
    <t>Service Time Allow</t>
  </si>
  <si>
    <t>Masa Kerja</t>
  </si>
  <si>
    <t>Potongan Kelebihan Perhitungan Lembur</t>
  </si>
  <si>
    <t>Lembur Bayar HK Penjagaan HGU</t>
  </si>
  <si>
    <t>Bensin Patroli</t>
  </si>
  <si>
    <t>KRANI DIVISI</t>
  </si>
  <si>
    <t>OPERATOR</t>
  </si>
  <si>
    <t>KARYAWAN PERAWATAN</t>
  </si>
  <si>
    <t>lembur</t>
  </si>
  <si>
    <t>jabatan</t>
  </si>
  <si>
    <t>beras</t>
  </si>
  <si>
    <t>YOYO</t>
  </si>
  <si>
    <t>JAMILA</t>
  </si>
  <si>
    <t>JUNI MI'UN</t>
  </si>
  <si>
    <t>SUHANDI</t>
  </si>
  <si>
    <t>MINARNI</t>
  </si>
  <si>
    <t>SUPRIADI</t>
  </si>
  <si>
    <t>HARIAH</t>
  </si>
  <si>
    <t>YUSMARDIAN</t>
  </si>
  <si>
    <t>KAMELIA</t>
  </si>
  <si>
    <t>ARDI</t>
  </si>
  <si>
    <t>YULHANI</t>
  </si>
  <si>
    <t>HENDRIX</t>
  </si>
  <si>
    <t>ARIANTO.B</t>
  </si>
  <si>
    <t>NANDI</t>
  </si>
  <si>
    <t>SISWANTO</t>
  </si>
  <si>
    <t>EDI ISHAK</t>
  </si>
  <si>
    <t>DARMA JAYA</t>
  </si>
  <si>
    <t>SUDIRMAN</t>
  </si>
  <si>
    <t>APRIYADI</t>
  </si>
  <si>
    <t>YUSMARNO</t>
  </si>
  <si>
    <t>MAHADI</t>
  </si>
  <si>
    <t>SURATMAN</t>
  </si>
  <si>
    <t>1902010509730003</t>
  </si>
  <si>
    <t>1902056811690001</t>
  </si>
  <si>
    <t>1902050107700052</t>
  </si>
  <si>
    <t>1906042606860003</t>
  </si>
  <si>
    <t>1902056103760002</t>
  </si>
  <si>
    <t>1902052812870001</t>
  </si>
  <si>
    <t>1902014909730007</t>
  </si>
  <si>
    <t>1906042403820005</t>
  </si>
  <si>
    <t>1902051606760003</t>
  </si>
  <si>
    <t>1902050512820004</t>
  </si>
  <si>
    <t>1902051010760007</t>
  </si>
  <si>
    <t>1906041308920003</t>
  </si>
  <si>
    <t>1902052202690002</t>
  </si>
  <si>
    <t>1902053006780001</t>
  </si>
  <si>
    <t>1902051902910001</t>
  </si>
  <si>
    <t>1902051212790002</t>
  </si>
  <si>
    <t>1902051907880002</t>
  </si>
  <si>
    <t>1902051205770002</t>
  </si>
  <si>
    <t>1902051707890001</t>
  </si>
  <si>
    <t>1902012406780003</t>
  </si>
  <si>
    <t>1604220103030001</t>
  </si>
  <si>
    <t>1902012503820003</t>
  </si>
  <si>
    <t>1902051405840001</t>
  </si>
  <si>
    <t>1902052707850001</t>
  </si>
  <si>
    <t>JL MURAI RT. 029 RW. 010 DS PERAWAS TANJUNGPANDAN</t>
  </si>
  <si>
    <t>JL MANGGAR RT. 005 RW. 003 DS AIR BATU BUDING KEC. BADAU</t>
  </si>
  <si>
    <t>JL MANGGAR DSN KEPAYANG RT. 004 RW. 002 DS KACANG BUTOR BADAU</t>
  </si>
  <si>
    <t>AIR BATU BUDING RT. 004 RW. 002 DS AIR BATU BUDING KEC. BADAU</t>
  </si>
  <si>
    <t>JL AIR BEGANTUNG RT. 009 RW. 003 DS KACANG BUTOR KEC.BADAU</t>
  </si>
  <si>
    <t>PELATARAN AIR KETEKOK RT. 001 RW. 001 DS AIR KETEKOK TANJUNGPANDAN</t>
  </si>
  <si>
    <t>DSN SENYUBUK RT. 001 RW. 001 DESA MENTAWAK KEC. KELAPA KAMPIT</t>
  </si>
  <si>
    <t>JL MANGGAR DSN PARIT GUNUNG RT. 006 RW. 003 DS AIR BATU BUDING BADAU</t>
  </si>
  <si>
    <t>JL.MANGGAR RT.009 RW.003 DESA KACANG BUTOR KEC. BADAU</t>
  </si>
  <si>
    <t>JL MANGGAR AIR BEGANTUNG RT. 008 RW. 003 DESA KACANG BUTOR BADAU</t>
  </si>
  <si>
    <t>DSN MERDEKA RT. 006 RW. 002 DS SENYUBUK KEC. KELAPA KAMPIT</t>
  </si>
  <si>
    <t>DSN KACANG BUTOR RT. 001 RW. 001 DESA KACANG BUTOR KEC. BADAU</t>
  </si>
  <si>
    <t>JL. MANGGAR DSN. KACANG BUTOR RT.001 RW.001 DS. KACANG BUTOR KEC. BADAU</t>
  </si>
  <si>
    <t>JL. MANGGAR DSN. PARIT GUNUNG RT.006 RW.003 DS. AIR BATU BUDING KEC. BADAU</t>
  </si>
  <si>
    <t xml:space="preserve">DSN AIR BEGANTUNG RT. 010 RW. 003 DS KACANG BUTOR KEC. BADAU </t>
  </si>
  <si>
    <t>DSN AIR BATU BUDING RT.001 RW.001 DESA AIR BATU BUDING KEC. BADAU</t>
  </si>
  <si>
    <t>JL. MANGGAR RT. 004 RW. 002 DESA AIR BATU BUDING BADAU</t>
  </si>
  <si>
    <t>JL PASIR PUTIH RT. 012 RW. 005 DS AIR RAYAK KEC. TANJUNGPANDAN</t>
  </si>
  <si>
    <t>DS. TANJUNG AGUNG KEL. TANJUNG AGUNG KEC. PAGAR GUNUNG KAB. LAHAT</t>
  </si>
  <si>
    <t>PULAU BAYAN RT. 005 RW. 002 DESA SUNGAI SAMAK KEC. BADAU</t>
  </si>
  <si>
    <t>DSN AIR BATU BUDING RT. 002 RW. 001 DESA AIR BATU BUDING KEC. BADAU</t>
  </si>
  <si>
    <t>DUSUN KEPAYANG RT. 004 RW. 002 DESA KACANG BUTOR KEC. BADAU</t>
  </si>
  <si>
    <t xml:space="preserve">MANDOR </t>
  </si>
  <si>
    <t>KRANI GUDANG</t>
  </si>
  <si>
    <t>MEGI EFRISA</t>
  </si>
  <si>
    <t>Premi cuci mobil</t>
  </si>
  <si>
    <t>Premi alat</t>
  </si>
  <si>
    <t>DIBUAT OLEH</t>
  </si>
  <si>
    <t>KRANI INFRA</t>
  </si>
  <si>
    <t>DIKETAHUI OLEH</t>
  </si>
  <si>
    <t>HUSHAR, S.Pt</t>
  </si>
  <si>
    <t>MANAGER INFRASTRUKTUR</t>
  </si>
  <si>
    <t>PG 1A (INFRASTRUKTUR)</t>
  </si>
  <si>
    <t>upah kotor</t>
  </si>
  <si>
    <t>total</t>
  </si>
  <si>
    <t>INCOME TAX ARTICLE 21 FOR APRIL 2024</t>
  </si>
  <si>
    <t>astek + bpjs</t>
  </si>
  <si>
    <t>PPh 21 gaji + bonus</t>
  </si>
  <si>
    <t>pph Exgratia</t>
  </si>
  <si>
    <t>pph april '24</t>
  </si>
  <si>
    <t>PENGHASILAN TIDAK TERATUR</t>
  </si>
  <si>
    <t>T H R</t>
  </si>
  <si>
    <t>B O N U S</t>
  </si>
  <si>
    <t>TANTIEM</t>
  </si>
  <si>
    <t>TOTAL GAJI POKOK</t>
  </si>
  <si>
    <t>TOTAL TUNJANGAN LAINNYA</t>
  </si>
  <si>
    <t>TOTAL PREMI ASURANSI</t>
  </si>
  <si>
    <t>TOTAL TUNJANGAN PPH</t>
  </si>
  <si>
    <t>TOTAL
NATURA / KENIKMATAN</t>
  </si>
  <si>
    <t>TOTAL
THR, BONUS, TANTIEM</t>
  </si>
  <si>
    <t>PENGHASILAN BRUTO SETAHUN</t>
  </si>
  <si>
    <t>PENGURANG</t>
  </si>
  <si>
    <t>PENGHASILAN NETTO SETAHUN</t>
  </si>
  <si>
    <t>BIAYA
JABATAN</t>
  </si>
  <si>
    <t>TOTAL IURAN JHT/THT/JP</t>
  </si>
  <si>
    <t>DSN PESARAKAN RT. 007 RW. 003 DESA CENDIL KEC. KELAPA KAMPIT</t>
  </si>
  <si>
    <t>DSN CENDIL RT. 005 RW. 002 DESA CENDIL KEC. KELAPA KAMPIT</t>
  </si>
  <si>
    <t>DSN CENDIL RT. 006 RW. 002 DESA CENDIL KEC. KELAPA KAMPIT</t>
  </si>
  <si>
    <t>KARY.PANEN</t>
  </si>
  <si>
    <t>DSN CENDIL RT. 002 RW. 001 DESA CENDIL KEC. KELAPA KAMPIT</t>
  </si>
  <si>
    <t>DSN CENDIL RT. 006 RW. 002 DS CENDIL KEC KELAPA KAMPIT</t>
  </si>
  <si>
    <t>JL SIJUK RT. 005 RW. 003 DESA AIR SELUMAR KEC. SIJUK</t>
  </si>
  <si>
    <t>JL MANGGAR DSN PARIT GUNUNG RT. 006 RW. 003 DESA AIR BATU BUDING BADAU</t>
  </si>
  <si>
    <t>SUNGAI PADANG RT. 004 RW. 002 DESA SUNGAI PADANG KEC. SIJUK</t>
  </si>
  <si>
    <t>MAUKAR</t>
  </si>
  <si>
    <t>1902050811890001</t>
  </si>
  <si>
    <t>1906042803690002</t>
  </si>
  <si>
    <t>1902041104810005</t>
  </si>
  <si>
    <t>1906040406910002</t>
  </si>
  <si>
    <t>1906042805800003</t>
  </si>
  <si>
    <t>5203090606030015</t>
  </si>
  <si>
    <t>1906042807800005</t>
  </si>
  <si>
    <t>1902011404860010</t>
  </si>
  <si>
    <t>1906045009880001</t>
  </si>
  <si>
    <t>1906044911750004</t>
  </si>
  <si>
    <t>1906045811760002</t>
  </si>
  <si>
    <t>1906046103730002</t>
  </si>
  <si>
    <t>1906044405820002</t>
  </si>
  <si>
    <t>1906014911710001</t>
  </si>
  <si>
    <t>1906045203900001</t>
  </si>
  <si>
    <t>1906046309750002</t>
  </si>
  <si>
    <t>1906045008740002</t>
  </si>
  <si>
    <t>1906044208840004</t>
  </si>
  <si>
    <t>1906041007770004</t>
  </si>
  <si>
    <t>1902025108900001</t>
  </si>
  <si>
    <t>1906044802870001</t>
  </si>
  <si>
    <t>1902050705960002</t>
  </si>
  <si>
    <t>1906046101760002</t>
  </si>
  <si>
    <t>1906040507710002</t>
  </si>
  <si>
    <t>1906042110820002</t>
  </si>
  <si>
    <t>1906046008750003</t>
  </si>
  <si>
    <t>1902051704950001</t>
  </si>
  <si>
    <t>1902042807970004</t>
  </si>
  <si>
    <t>1902040101750005</t>
  </si>
  <si>
    <t>1902011008970003</t>
  </si>
  <si>
    <t>1906042208840001</t>
  </si>
  <si>
    <t>1906042909920002</t>
  </si>
  <si>
    <t>1902041409850001</t>
  </si>
  <si>
    <t>1906041907900002</t>
  </si>
  <si>
    <t>1906040611820002</t>
  </si>
  <si>
    <t>1906040509950002</t>
  </si>
  <si>
    <t>1902042507880002</t>
  </si>
  <si>
    <t>1906011110890002</t>
  </si>
  <si>
    <t>1906042402900002</t>
  </si>
  <si>
    <t>1906040709870001</t>
  </si>
  <si>
    <t>5203142508690001</t>
  </si>
  <si>
    <t>1906041107870002</t>
  </si>
  <si>
    <t>1902040707890001</t>
  </si>
  <si>
    <t>1902040808980002</t>
  </si>
  <si>
    <t>5203091010900006</t>
  </si>
  <si>
    <t>1906041112890001</t>
  </si>
  <si>
    <t>1906040908000003</t>
  </si>
  <si>
    <t>1906041210810003</t>
  </si>
  <si>
    <t>5203092907970006</t>
  </si>
  <si>
    <t>5203092012920001</t>
  </si>
  <si>
    <t>1902040306780003</t>
  </si>
  <si>
    <t>1902042211940003</t>
  </si>
  <si>
    <t>1902042603800006</t>
  </si>
  <si>
    <t>1902010104900008</t>
  </si>
  <si>
    <t>1906010909850008</t>
  </si>
  <si>
    <t>1902042512770002</t>
  </si>
  <si>
    <t>5203073112000037</t>
  </si>
  <si>
    <t>5204061309790002</t>
  </si>
  <si>
    <t>1906041007840001</t>
  </si>
  <si>
    <t>1902042512880001</t>
  </si>
  <si>
    <t>1906042210870002</t>
  </si>
  <si>
    <t>1906041211910002</t>
  </si>
  <si>
    <t>1906041111820002</t>
  </si>
  <si>
    <t>1902031912810001</t>
  </si>
  <si>
    <t>1902041906870001</t>
  </si>
  <si>
    <t>1906041806780001</t>
  </si>
  <si>
    <t>1906011409800003</t>
  </si>
  <si>
    <t>1906013001960004</t>
  </si>
  <si>
    <t>1902011511890006</t>
  </si>
  <si>
    <t>1906011402870003</t>
  </si>
  <si>
    <t>1902041101990004</t>
  </si>
  <si>
    <t>1906042104820003</t>
  </si>
  <si>
    <t>5203092506720001</t>
  </si>
  <si>
    <t>5203091206060014</t>
  </si>
  <si>
    <t>5203093112900378</t>
  </si>
  <si>
    <t>DSN BUDING RT. 006 RW. 003 DESA BUDING KEC. KELAPA KAMPIT</t>
  </si>
  <si>
    <t>JL PEGARUN RT. 014 RW. 006 DESA AIR SELUMAR KEC. SIJUK</t>
  </si>
  <si>
    <t>DSN CENDIL RT. 001 RW. 001 DESA CENDIL KEC. KELAPA KAMPIT</t>
  </si>
  <si>
    <t>DS. MONTOR LEKONG DS. TOYA KEC. AIK MEL KAB. LOMBOK TIMUR</t>
  </si>
  <si>
    <t>DSN BUDING RT. 001 RW. 001 DS BUDING KEC KELAPA KAMPIT</t>
  </si>
  <si>
    <t>JL HASYIM IDRIS RT. 043 RW. 017 DESA PANGKAL LALANG TANJUNGPANDAN</t>
  </si>
  <si>
    <t>DSN CENDIL RT. 004 RW. 002 DESA CENDIL KEC KELAPA KAMPIT</t>
  </si>
  <si>
    <t>DSN CENDIL RT. 001 RW. 001 DESA CENDIL KEC KELAPA KAMPIT</t>
  </si>
  <si>
    <t>DSN CENDIL RT. 002 RW. 001 DS CENDIL KEC KELAPA KAMPIT</t>
  </si>
  <si>
    <t>DSN SUKADAMAI RT. 019 RW. 009 DESA MENGKUBANG KEC. DAMAR</t>
  </si>
  <si>
    <t>DSN CENDIL RT. 003 RW. 001 DS CENDIL KEC. KELAPA KAMPIT</t>
  </si>
  <si>
    <t>DSN CENDIL RT. 003 RW. 001 DESA CENDIL KEC. KELAPA KAMPIT</t>
  </si>
  <si>
    <t>DSN BUKIT DURIAN RT. 02 RW. 01 DESA MENTAWAK KEC. KELAPA KAMPIT</t>
  </si>
  <si>
    <t>DSN. BUKIT DURIAN RT. 002 RW. 001 DESA MENTAWAK KELAPA KAMPIT</t>
  </si>
  <si>
    <t>DSN KACANG BUTOR RT. 003 RW. 001 DESA KACANG BUTOR KEC. BADAU</t>
  </si>
  <si>
    <t>DSN CENDIL RT. 005 RW. 001 DESA CENDIL KEC. KELAPA KAMPIT</t>
  </si>
  <si>
    <t>DSN LIMAU MANIS RT. 013 RW. 005 DESA BUDING KEC. KELAPA KAMPIT</t>
  </si>
  <si>
    <t>JL MANGGAR RT. 006 RW. 002 DESA KACANG BUTOR KEC. BADAU</t>
  </si>
  <si>
    <t>PELEPAK PUTIH RT. 005 RW. 003 DESA PELEPAK PUTE KEC. SIJUK</t>
  </si>
  <si>
    <t>JL BUDING RT. 021 RW. 011 DESA SIJUK KEC. SIJUK</t>
  </si>
  <si>
    <t>JL. SIJUK RT.019/RW. 007 DS. AIR MERBAU KEC. TANJUNG PANDAN KAB. BELITUNG</t>
  </si>
  <si>
    <t>DSN BUKIT JAYA RT. 011 RW. 004 DESA BUDING KEC. KELAPA KAMPIT</t>
  </si>
  <si>
    <t xml:space="preserve">DSN CENDIL RT 002 RW. 001 DESA CENDIL KEC. KELAPA KAMPIT </t>
  </si>
  <si>
    <t>AIK KALAK RT. 008 RW. 004 DESA PELEPAK PUTE KEC. SIJUK</t>
  </si>
  <si>
    <t>JL RAYA PELEPAK PUTE RT. 006 RW. 003 DESA PELEPAK PUTE KEC. SIJUK</t>
  </si>
  <si>
    <t>SUNGAI PADANG RT. 008 RW. 004 DESA SUNGAI PADANG KEC. SIJUK</t>
  </si>
  <si>
    <t>DSN BUDING RT. 002 RW. 001 DESA BUDING KEC. KELAPA KAMPIT</t>
  </si>
  <si>
    <t>DUSUN KARANG ASEM RT. 002 DESA WANASABA DAYA KEC. WANASABA LOMBOK TIMUR</t>
  </si>
  <si>
    <t>JL AIK KALAK RT. 008 RW. 004 DESA PELEPAK PUTE KEC. SIJUK</t>
  </si>
  <si>
    <t>DUSUN AIR KALA RT. 007 RW. 004 DESA PELEPAK PUTE KEC. SIJUK</t>
  </si>
  <si>
    <t>DUSUN JERNENG RT. 002 DESA BAGIK POLAK  LABUAPI LOMBOK BARAT</t>
  </si>
  <si>
    <t>DESA CENDIL,RT 001/RW 001,KECAMATAN KELAPA KAMPIT</t>
  </si>
  <si>
    <t>JL KOPERASI RT. 001 RW. 001 DESA PEMBAHARUAN KEC. KELAPA KAMPIT</t>
  </si>
  <si>
    <t>PAOK PONDONG RT.001/RW.- DESA LENEK KEC. LENEK KAB. LOMBOK TIMUR</t>
  </si>
  <si>
    <t>MUJAHIDIN TIMUK DS. LENEK DAYA KEC. LENEK KAB. LOMBOK TIMUR</t>
  </si>
  <si>
    <t>JL BUDING RT. 023 RW. 012 DESA SIJUK KEC. SIJUK</t>
  </si>
  <si>
    <t>JL SIJUK MUNSANG RT. 009 RW. 005 DESA SUNGAI PADANG KEC. SIJUK</t>
  </si>
  <si>
    <t>SUNGAI PADANG RT. 002 RW. 001 DESA SUNGAI PADANG KEC. SIJUK</t>
  </si>
  <si>
    <t>DSN CENDIL RT. 004 RW. 002 DESA CENDIL KEC. KELAPA KAMPIT</t>
  </si>
  <si>
    <t>SUNGAI PADANG RT. 006 RW. 003 DESA SUNGAI PADANG KEC. BADAU</t>
  </si>
  <si>
    <t>PENGEMPOK, DESA KELAYU JORONG KEC. SELONG AKB. LOMBOK TIMUR</t>
  </si>
  <si>
    <t>DUSUN JERONGKO DALAM RT.002/RW.010 DESA PUKAT KEC. UTAN KAB. SUMBAWA</t>
  </si>
  <si>
    <t>DSN GAJAH MADA RT  003 RW 002 DESA MEKAR JAYA KEC.MANGGAR</t>
  </si>
  <si>
    <t>DSN DAMAI BARU RT 022 RW 011 DESA MENGKUBANG,KEC DAMAR</t>
  </si>
  <si>
    <t>JALAN AIR SERKUK RT 028 RW 011 DESA AIR SAGA KEC.TANJUNG PANDAN</t>
  </si>
  <si>
    <t>DUSUN.NIBUNG PUNGGUR RT.003/RT.002 DS.MENTAWAK KEC.KELAPA KAMPIT KAB.BELITUNG TIMUR</t>
  </si>
  <si>
    <t>DESA SUNGAI PADANG RT 05, RW 03 KEC,SIJUK</t>
  </si>
  <si>
    <t xml:space="preserve">KARANG LUAR RT 02/RW 0 DESA KALI JAGA,KECAMATAN AIK MEL </t>
  </si>
  <si>
    <t>MONTONG PACE RT00/RW00 DESA KEMBANG KERANG KECAMATAN AIK MEL</t>
  </si>
  <si>
    <t>757426648305000</t>
  </si>
  <si>
    <t>PT.REBINMAS JAYA</t>
  </si>
  <si>
    <t>Name</t>
  </si>
  <si>
    <t>Stat</t>
  </si>
  <si>
    <t>BL</t>
  </si>
  <si>
    <t>PENGHASILAN PER BULAN</t>
  </si>
  <si>
    <t>Jan</t>
  </si>
  <si>
    <t>Feb</t>
  </si>
  <si>
    <t>Mar</t>
  </si>
  <si>
    <t>April</t>
  </si>
  <si>
    <t>Mei</t>
  </si>
  <si>
    <t>Jun</t>
  </si>
  <si>
    <t xml:space="preserve">Jul </t>
  </si>
  <si>
    <t>Agst</t>
  </si>
  <si>
    <t>Sept</t>
  </si>
  <si>
    <t>Okto</t>
  </si>
  <si>
    <t>Nov</t>
  </si>
  <si>
    <t>Des</t>
  </si>
  <si>
    <t>Gaji Kotor Setahun</t>
  </si>
  <si>
    <t>Ex-gratia</t>
  </si>
  <si>
    <t>MEDICAL CLAIM</t>
  </si>
  <si>
    <t>Penghasilan lain-lain</t>
  </si>
  <si>
    <t>Penghasilan</t>
  </si>
  <si>
    <t>Kena</t>
  </si>
  <si>
    <t>Disetahunkan</t>
  </si>
  <si>
    <t>Pajak</t>
  </si>
  <si>
    <t>PG.IIB ( AIK KUNYAL)</t>
  </si>
  <si>
    <t>GRAND TOTAL</t>
  </si>
  <si>
    <t xml:space="preserve">PAJAK JAN-NOV </t>
  </si>
  <si>
    <t>PG.IIB</t>
  </si>
  <si>
    <t>PENGHASILAN SETAHUN</t>
  </si>
  <si>
    <t>Total</t>
  </si>
  <si>
    <t>POTONGAN</t>
  </si>
  <si>
    <t>Astek Ins</t>
  </si>
  <si>
    <t>BPJS KESEHATAN</t>
  </si>
  <si>
    <t>EX-GRATIA</t>
  </si>
  <si>
    <t>PENGHASILAN LAIN-LAIN</t>
  </si>
  <si>
    <t xml:space="preserve">Astek Ins </t>
  </si>
  <si>
    <t>Iuran Pensiun</t>
  </si>
  <si>
    <t>Bi.Jabatan</t>
  </si>
  <si>
    <t xml:space="preserve">Total </t>
  </si>
  <si>
    <t>Setahun</t>
  </si>
  <si>
    <t>2% from Inc</t>
  </si>
  <si>
    <t>5%per year</t>
  </si>
  <si>
    <t>Astek &amp; B. Jabatan</t>
  </si>
  <si>
    <t xml:space="preserve">Penghasilan </t>
  </si>
  <si>
    <t>Pembulatan</t>
  </si>
  <si>
    <t>PAJAK SETAHUN</t>
  </si>
  <si>
    <t>PAJAK TERHUTANG</t>
  </si>
  <si>
    <t>PAJAK DESEMBER</t>
  </si>
  <si>
    <t>NPWP</t>
  </si>
  <si>
    <t>NO.NIK</t>
  </si>
  <si>
    <t>ALAMAT</t>
  </si>
  <si>
    <t xml:space="preserve"> </t>
  </si>
  <si>
    <t xml:space="preserve">Kena </t>
  </si>
  <si>
    <t>5% dan 6%</t>
  </si>
  <si>
    <t>97.387.482.9-305.000</t>
  </si>
  <si>
    <t>97.387.492.8-305.000</t>
  </si>
  <si>
    <t>97.228.411.1-305.000</t>
  </si>
  <si>
    <t>97.228.657.9-305.000</t>
  </si>
  <si>
    <t>97.228.635.5-305.000</t>
  </si>
  <si>
    <t>97.228.612.4-305.000</t>
  </si>
  <si>
    <t>97.228.610.8-305.000</t>
  </si>
  <si>
    <t>97.228.663.7-305.000</t>
  </si>
  <si>
    <t>97.228.631.4-305.000</t>
  </si>
  <si>
    <t>97.228.624.9-305.000</t>
  </si>
  <si>
    <t>97.228.601.7-305.000</t>
  </si>
  <si>
    <t>97.228.599.3-305.000</t>
  </si>
  <si>
    <t>97.228.617.3-305.000</t>
  </si>
  <si>
    <t>97.228.661.1-305.000</t>
  </si>
  <si>
    <t>97.228.664.5-305.000</t>
  </si>
  <si>
    <t>97.228.616.5-305.000</t>
  </si>
  <si>
    <t>97.228.645.4-305.000</t>
  </si>
  <si>
    <t>97.228.636.3-305.000</t>
  </si>
  <si>
    <t>97.228.654.6-305.000</t>
  </si>
  <si>
    <t>97.228.648.8-305.000</t>
  </si>
  <si>
    <t>68.076.4.347-305.000</t>
  </si>
  <si>
    <t>97.228.655.3-305.000</t>
  </si>
  <si>
    <t>81.767.248.8-305.000</t>
  </si>
  <si>
    <t>75.742.664.8-305.000</t>
  </si>
  <si>
    <t>75.741.219.2-305.000</t>
  </si>
  <si>
    <t>83.429.646.9-305.000</t>
  </si>
  <si>
    <t>75.816.707.6-305.000</t>
  </si>
  <si>
    <t>88.660.158.2-305.000</t>
  </si>
  <si>
    <t>97.228.313.9-305.000</t>
  </si>
  <si>
    <t>97.228.516.7-305.000</t>
  </si>
  <si>
    <t>Dibuat Oleh,</t>
  </si>
  <si>
    <t>Diketahui Oleh,</t>
  </si>
  <si>
    <t>Amril</t>
  </si>
  <si>
    <t>Ulih Sabar Zai, SP</t>
  </si>
  <si>
    <t>Kerani Divisi</t>
  </si>
  <si>
    <t>Estate Manager</t>
  </si>
  <si>
    <t>97.228.621.5-305.000</t>
  </si>
  <si>
    <t>1902041212900001</t>
  </si>
  <si>
    <t>DSN AIK KALAK RT. 006 RW. 003 DESA PELEPAK PUTE KEC. SIJUK</t>
  </si>
  <si>
    <t>97.228.658.7-305.000</t>
  </si>
  <si>
    <t>1902051707730004</t>
  </si>
  <si>
    <t>AIR BATU BUDING RT. 003 RW. 002 DESA AIR BATU BUDING KEC. BADAU</t>
  </si>
  <si>
    <t>97.228.644.7-305.000</t>
  </si>
  <si>
    <t>1906041709780002</t>
  </si>
  <si>
    <t>1902040909960002</t>
  </si>
  <si>
    <t>1906041606760002</t>
  </si>
  <si>
    <t>DSN BUDING RT. 001 RW. 001 DESA BUDING KEC. KELAPA KAMPIT</t>
  </si>
  <si>
    <t>97.228.662.9-305.000</t>
  </si>
  <si>
    <t>1906044312740003</t>
  </si>
  <si>
    <t>1902052104980001</t>
  </si>
  <si>
    <t>JL. MANGGAR PARIT GUNUNG DS. AIR BATU BUDING KEC. BADAU KAB. BELITUNG</t>
  </si>
  <si>
    <t>97.228.609.0-305.000</t>
  </si>
  <si>
    <t>1906044204740001</t>
  </si>
  <si>
    <t>97.228.622.3-305.000</t>
  </si>
  <si>
    <t>1906045608790003</t>
  </si>
  <si>
    <t>JL KOPERASI RT. 006 RW. 002  DS PEMBAHARUAN KEC. KELAPA KAMPIT</t>
  </si>
  <si>
    <t>97.228.619.9-305.000</t>
  </si>
  <si>
    <t>1906044706740004</t>
  </si>
  <si>
    <t>97.228.630.6-305.000</t>
  </si>
  <si>
    <t>1906040106730002</t>
  </si>
  <si>
    <t>DSN BUDING RT. 003 RW. 001 DESA BUDING KEC. KELAPA KAMPIT</t>
  </si>
  <si>
    <t>IURAN BPJS KESEHATAN</t>
  </si>
  <si>
    <t>TOTAL</t>
  </si>
  <si>
    <t>NO</t>
  </si>
  <si>
    <t>NAMA</t>
  </si>
  <si>
    <t>NO.NPWP</t>
  </si>
  <si>
    <t>PAJAK SUDAH DIBAYAR</t>
  </si>
  <si>
    <t>PAJAK TERUTANG</t>
  </si>
  <si>
    <t>SELISIH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</si>
  <si>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</si>
  <si>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</si>
  <si>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</si>
  <si>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</si>
  <si>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</si>
  <si>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</si>
  <si>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</si>
  <si>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</si>
  <si>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</si>
  <si>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</si>
  <si>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</si>
  <si>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Air Kunyal</t>
  </si>
  <si>
    <t>PERHITUNGAN PPH 21 TAHUN 2025</t>
  </si>
  <si>
    <t>PPH 21 TAHUN 2025</t>
  </si>
  <si>
    <t>SUDARMONO</t>
  </si>
  <si>
    <t>ARDIYANSA</t>
  </si>
  <si>
    <t>INDRA JAYA</t>
  </si>
  <si>
    <t>BENNY SAPUTRA</t>
  </si>
  <si>
    <t>USPANDI</t>
  </si>
  <si>
    <t>NOVI SUHAIDI</t>
  </si>
  <si>
    <t>ROSLI</t>
  </si>
  <si>
    <t>AMRIL</t>
  </si>
  <si>
    <t>KARMILA</t>
  </si>
  <si>
    <t>MARTUTI</t>
  </si>
  <si>
    <t>HARNIAWATI</t>
  </si>
  <si>
    <t>MARYATI</t>
  </si>
  <si>
    <t>KOPRIATI</t>
  </si>
  <si>
    <t>ASNIATI</t>
  </si>
  <si>
    <t>ANDIWATI</t>
  </si>
  <si>
    <t>MARYANA.So</t>
  </si>
  <si>
    <t>TUTI</t>
  </si>
  <si>
    <t>AGUSTIANA</t>
  </si>
  <si>
    <t>SUNDARI</t>
  </si>
  <si>
    <t>SURYATI</t>
  </si>
  <si>
    <t>SANTI</t>
  </si>
  <si>
    <t>HARYANI</t>
  </si>
  <si>
    <t>SUWANDI</t>
  </si>
  <si>
    <t>YUMNA M</t>
  </si>
  <si>
    <t>ANDRES</t>
  </si>
  <si>
    <t>SUDIAN</t>
  </si>
  <si>
    <t>YUDA HERMAWAN</t>
  </si>
  <si>
    <t>SABIBI</t>
  </si>
  <si>
    <t>ADI SANJAYA</t>
  </si>
  <si>
    <t>ANDI ( ASNA )</t>
  </si>
  <si>
    <t>EFRIYONO</t>
  </si>
  <si>
    <t>ERI HANDRAYANI</t>
  </si>
  <si>
    <t>FERBI H</t>
  </si>
  <si>
    <t>HAIDI</t>
  </si>
  <si>
    <t>IRHAS</t>
  </si>
  <si>
    <t>YANUAR</t>
  </si>
  <si>
    <t>SEVENDRI</t>
  </si>
  <si>
    <t>PURGANDI</t>
  </si>
  <si>
    <t>RICKI PUTRA</t>
  </si>
  <si>
    <t>ROLAND AGUSTA</t>
  </si>
  <si>
    <t>SAHDAN</t>
  </si>
  <si>
    <t>YOPIE ,T</t>
  </si>
  <si>
    <t>ELYANDI</t>
  </si>
  <si>
    <t>ALI MAS DESI</t>
  </si>
  <si>
    <t>HARYANTO</t>
  </si>
  <si>
    <t>ROSMANSYAH</t>
  </si>
  <si>
    <t>KAMALUDIN</t>
  </si>
  <si>
    <t>AZRI DONA</t>
  </si>
  <si>
    <t>RINDI PRIANTO</t>
  </si>
  <si>
    <t>HALIK</t>
  </si>
  <si>
    <t>PUTRA ROMADHAN</t>
  </si>
  <si>
    <t>KARTONO</t>
  </si>
  <si>
    <t>LALU MANAR HADI</t>
  </si>
  <si>
    <t>ANHAR</t>
  </si>
  <si>
    <t>IRPAN SAMSUDIN</t>
  </si>
  <si>
    <t>ADI . JP</t>
  </si>
  <si>
    <t>RUDI</t>
  </si>
  <si>
    <t>SUDIANTO</t>
  </si>
  <si>
    <t>SALEH</t>
  </si>
  <si>
    <t>ANDRIANSYAH</t>
  </si>
  <si>
    <t>HENDRI</t>
  </si>
  <si>
    <t>POPPY ADEYANTI</t>
  </si>
  <si>
    <t>HARYADI</t>
  </si>
  <si>
    <t>20.512.132.0-305.000</t>
  </si>
  <si>
    <t>85.974.517.6-305.000</t>
  </si>
  <si>
    <t>HELPER</t>
  </si>
  <si>
    <t>KERANI DIVISI</t>
  </si>
  <si>
    <t>DESA SUNGAI PADANG,RT 05, RW 03 KEC,SIJUK</t>
  </si>
  <si>
    <t>MANDOR PERAWATAN</t>
  </si>
  <si>
    <t>KERANI PANEN</t>
  </si>
  <si>
    <t>MANDOR PANEN</t>
  </si>
  <si>
    <t>KARYAWAN PANEN</t>
  </si>
  <si>
    <t>Dsn Cendil Rt. 002 Rw. 001 Desa Cendil Kec. Kelapa Kampit</t>
  </si>
  <si>
    <t>Sungai Padang Rt. 004 Rw. 002 Desa Sungai Padang Kec. Sijuk</t>
  </si>
  <si>
    <t>KARYAWAN PERCOBAAN</t>
  </si>
  <si>
    <t>MONTONG LEKONG AIR LOMAK RT 01 DESA TOYA KECAMATAN AIK MEL LOMBOK TIMUR</t>
  </si>
  <si>
    <t>DUSUN MONTOR LEKONG,RT 01 DESA TOYA AIK MEL KECAMATAN AIK MEL LOMBOK TIMUR</t>
  </si>
  <si>
    <t>MANDOR PANEN PLASMA</t>
  </si>
  <si>
    <t>KARYAWAN PANEN PLASMA</t>
  </si>
  <si>
    <t>1906044805820001</t>
  </si>
  <si>
    <t>1906041802720002</t>
  </si>
  <si>
    <t>5203090401780002</t>
  </si>
  <si>
    <t>5203090404960004</t>
  </si>
  <si>
    <t>ASTEK 2%</t>
  </si>
  <si>
    <t>ASTEK 0,84%</t>
  </si>
  <si>
    <t>PENSIUN 1%</t>
  </si>
  <si>
    <t>1906042505770001</t>
  </si>
  <si>
    <t>Diperiksa Oleh</t>
  </si>
  <si>
    <t>Muji Widodo</t>
  </si>
  <si>
    <t>Asst.Kepala</t>
  </si>
  <si>
    <t>Disetujui oleh,</t>
  </si>
  <si>
    <t>Disahkan oleh,</t>
  </si>
  <si>
    <t>Gohi Maruli L Toruan,SP</t>
  </si>
  <si>
    <t>Candra Dinata Pribadi</t>
  </si>
  <si>
    <t>Senior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</si>
</sst>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0_)"/>
    <numFmt numFmtId="168" formatCode="0000000000000000"/>
    <numFmt numFmtId="169" formatCode="000000000000000"/>
    <numFmt numFmtId="170" formatCode="00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u/>
      <sz val="11"/>
      <color theme="1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b/>
      <sz val="10"/>
      <name val="Arial"/>
      <family val="2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name val="Tw Cen MT"/>
      <family val="2"/>
    </font>
    <font>
      <sz val="8"/>
      <name val="Arial"/>
      <family val="2"/>
    </font>
    <font>
      <sz val="10"/>
      <color indexed="12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Calibri Light"/>
      <family val="1"/>
      <scheme val="major"/>
    </font>
    <font>
      <sz val="10"/>
      <color theme="1"/>
      <name val="Calibri"/>
      <family val="2"/>
      <scheme val="minor"/>
    </font>
    <font>
      <b/>
      <sz val="10"/>
      <color indexed="8"/>
      <name val="Arial"/>
      <family val="2"/>
    </font>
    <font>
      <sz val="10"/>
      <name val="Calibri Light"/>
      <family val="2"/>
      <scheme val="major"/>
    </font>
    <font>
      <b/>
      <sz val="10"/>
      <name val="Calibri Light"/>
      <family val="2"/>
      <scheme val="major"/>
    </font>
    <font>
      <sz val="12"/>
      <name val="Arial"/>
      <family val="2"/>
    </font>
    <font>
      <sz val="10"/>
      <color theme="1"/>
      <name val="Calibri Light"/>
      <family val="2"/>
      <scheme val="major"/>
    </font>
    <font>
      <sz val="10"/>
      <color theme="1"/>
      <name val="Tahoma"/>
      <family val="2"/>
    </font>
    <font>
      <sz val="10"/>
      <color theme="1"/>
      <name val="Calibri Light"/>
      <family val="1"/>
      <scheme val="major"/>
    </font>
    <font>
      <sz val="10"/>
      <name val="Tahoma"/>
      <family val="2"/>
    </font>
    <font>
      <sz val="11"/>
      <name val="Calibri"/>
      <family val="2"/>
      <scheme val="minor"/>
    </font>
    <font>
      <b/>
      <sz val="10"/>
      <name val="Tahoma"/>
      <family val="2"/>
    </font>
    <font>
      <b/>
      <sz val="8"/>
      <name val="Cambria"/>
      <family val="1"/>
    </font>
    <font>
      <sz val="8"/>
      <name val="Cambria"/>
      <family val="1"/>
    </font>
    <font>
      <sz val="9"/>
      <name val="Cambria"/>
      <family val="1"/>
    </font>
    <font>
      <sz val="10"/>
      <name val="Cambria"/>
      <family val="1"/>
    </font>
    <font>
      <sz val="10"/>
      <name val="Calibri"/>
      <family val="2"/>
      <scheme val="minor"/>
    </font>
    <font>
      <b/>
      <sz val="10"/>
      <name val="Calibri"/>
      <family val="2"/>
    </font>
    <font>
      <b/>
      <sz val="9"/>
      <name val="Cambria"/>
      <family val="1"/>
    </font>
    <font>
      <b/>
      <sz val="11"/>
      <name val="Calibri"/>
      <family val="2"/>
      <scheme val="minor"/>
    </font>
    <font>
      <sz val="9"/>
      <name val="Tahoma"/>
      <family val="2"/>
    </font>
    <font>
      <b/>
      <sz val="8"/>
      <name val="Tahoma"/>
      <family val="2"/>
    </font>
    <font>
      <b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FF0000"/>
      <name val="Calibri Light"/>
      <family val="1"/>
      <scheme val="major"/>
    </font>
    <font>
      <sz val="10"/>
      <color rgb="FFFF0000"/>
      <name val="Arial"/>
      <family val="2"/>
    </font>
    <font>
      <b/>
      <u val="singleAccounting"/>
      <sz val="10"/>
      <name val="Arial"/>
      <family val="2"/>
    </font>
    <font>
      <sz val="10"/>
      <color theme="0"/>
      <name val="Arial"/>
      <family val="2"/>
    </font>
    <font>
      <u val="singleAccounting"/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4E777"/>
        <bgColor indexed="64"/>
      </patternFill>
    </fill>
    <fill>
      <patternFill patternType="solid">
        <fgColor rgb="FF99CCF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</borders>
  <cellStyleXfs count="23">
    <xf numFmtId="0" fontId="0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0" fontId="11" fillId="0" borderId="0"/>
    <xf numFmtId="41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1" fillId="0" borderId="0"/>
    <xf numFmtId="0" fontId="11" fillId="0" borderId="0"/>
    <xf numFmtId="0" fontId="16" fillId="0" borderId="0"/>
    <xf numFmtId="0" fontId="11" fillId="0" borderId="0"/>
    <xf numFmtId="0" fontId="11" fillId="0" borderId="0"/>
    <xf numFmtId="0" fontId="15" fillId="0" borderId="0"/>
    <xf numFmtId="0" fontId="11" fillId="0" borderId="0"/>
    <xf numFmtId="0" fontId="17" fillId="0" borderId="0"/>
    <xf numFmtId="0" fontId="2" fillId="0" borderId="0"/>
    <xf numFmtId="43" fontId="2" fillId="0" borderId="0" applyFont="0" applyFill="0" applyBorder="0" applyAlignment="0" applyProtection="0"/>
    <xf numFmtId="0" fontId="4" fillId="0" borderId="0"/>
    <xf numFmtId="0" fontId="1" fillId="0" borderId="0"/>
    <xf numFmtId="41" fontId="11" fillId="0" borderId="0" applyFont="0" applyFill="0" applyBorder="0" applyAlignment="0" applyProtection="0"/>
  </cellStyleXfs>
  <cellXfs count="523">
    <xf numFmtId="0" fontId="0" fillId="0" borderId="0" xfId="0"/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164" fontId="8" fillId="0" borderId="1" xfId="1" applyFont="1" applyBorder="1" applyAlignment="1">
      <alignment vertical="center"/>
    </xf>
    <xf numFmtId="10" fontId="9" fillId="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164" fontId="8" fillId="0" borderId="1" xfId="1" applyFont="1" applyBorder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64" fontId="8" fillId="0" borderId="0" xfId="1" applyFont="1" applyAlignment="1">
      <alignment horizontal="center" vertical="center"/>
    </xf>
    <xf numFmtId="165" fontId="8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10" fontId="8" fillId="0" borderId="1" xfId="2" applyNumberFormat="1" applyFont="1" applyBorder="1" applyAlignment="1">
      <alignment horizontal="right" vertical="center"/>
    </xf>
    <xf numFmtId="0" fontId="8" fillId="0" borderId="0" xfId="0" applyFont="1" applyAlignment="1">
      <alignment horizontal="right" vertical="center"/>
    </xf>
    <xf numFmtId="10" fontId="6" fillId="0" borderId="0" xfId="0" applyNumberFormat="1" applyFont="1" applyAlignment="1">
      <alignment horizontal="right" vertical="center"/>
    </xf>
    <xf numFmtId="10" fontId="8" fillId="0" borderId="0" xfId="2" applyNumberFormat="1" applyFont="1" applyAlignment="1">
      <alignment horizontal="right" vertical="center"/>
    </xf>
    <xf numFmtId="9" fontId="8" fillId="0" borderId="1" xfId="0" applyNumberFormat="1" applyFont="1" applyBorder="1" applyAlignment="1">
      <alignment horizontal="right" vertical="center"/>
    </xf>
    <xf numFmtId="10" fontId="8" fillId="0" borderId="1" xfId="0" applyNumberFormat="1" applyFont="1" applyBorder="1" applyAlignment="1">
      <alignment horizontal="right" vertical="center"/>
    </xf>
    <xf numFmtId="166" fontId="8" fillId="0" borderId="1" xfId="3" applyNumberFormat="1" applyFont="1" applyBorder="1" applyAlignment="1">
      <alignment vertical="center"/>
    </xf>
    <xf numFmtId="9" fontId="8" fillId="0" borderId="0" xfId="0" applyNumberFormat="1" applyFont="1" applyAlignment="1">
      <alignment vertical="center"/>
    </xf>
    <xf numFmtId="166" fontId="6" fillId="0" borderId="0" xfId="3" applyNumberFormat="1" applyFont="1" applyAlignment="1">
      <alignment horizontal="left" vertical="center"/>
    </xf>
    <xf numFmtId="166" fontId="8" fillId="0" borderId="0" xfId="3" applyNumberFormat="1" applyFont="1" applyAlignment="1">
      <alignment horizontal="center" vertical="center"/>
    </xf>
    <xf numFmtId="166" fontId="8" fillId="0" borderId="1" xfId="3" applyNumberFormat="1" applyFont="1" applyBorder="1" applyAlignment="1">
      <alignment horizontal="center" vertical="center"/>
    </xf>
    <xf numFmtId="166" fontId="9" fillId="2" borderId="1" xfId="3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8" fillId="0" borderId="0" xfId="0" quotePrefix="1" applyFont="1" applyAlignment="1">
      <alignment horizontal="right" vertical="center"/>
    </xf>
    <xf numFmtId="0" fontId="11" fillId="0" borderId="0" xfId="5" applyAlignment="1">
      <alignment vertical="center"/>
    </xf>
    <xf numFmtId="41" fontId="11" fillId="0" borderId="0" xfId="6" applyFont="1" applyFill="1" applyAlignment="1">
      <alignment vertical="center"/>
    </xf>
    <xf numFmtId="0" fontId="11" fillId="0" borderId="0" xfId="6" applyNumberFormat="1" applyFont="1" applyFill="1" applyAlignment="1">
      <alignment horizontal="center" vertical="center"/>
    </xf>
    <xf numFmtId="0" fontId="11" fillId="0" borderId="0" xfId="5" applyAlignment="1">
      <alignment horizontal="left" vertical="center"/>
    </xf>
    <xf numFmtId="9" fontId="11" fillId="0" borderId="0" xfId="7" applyFont="1" applyFill="1" applyAlignment="1">
      <alignment vertical="center"/>
    </xf>
    <xf numFmtId="166" fontId="11" fillId="0" borderId="0" xfId="8" applyNumberFormat="1" applyFont="1" applyFill="1" applyAlignment="1">
      <alignment vertical="center"/>
    </xf>
    <xf numFmtId="41" fontId="11" fillId="0" borderId="0" xfId="9" applyFont="1" applyFill="1" applyAlignment="1">
      <alignment vertical="center"/>
    </xf>
    <xf numFmtId="0" fontId="15" fillId="0" borderId="19" xfId="10" applyFont="1" applyBorder="1" applyAlignment="1">
      <alignment horizontal="center" vertical="center"/>
    </xf>
    <xf numFmtId="0" fontId="11" fillId="0" borderId="19" xfId="10" applyBorder="1" applyAlignment="1">
      <alignment horizontal="center" vertical="center"/>
    </xf>
    <xf numFmtId="41" fontId="15" fillId="0" borderId="19" xfId="6" applyFont="1" applyFill="1" applyBorder="1" applyAlignment="1" applyProtection="1">
      <alignment horizontal="left" vertical="center"/>
    </xf>
    <xf numFmtId="169" fontId="15" fillId="0" borderId="20" xfId="6" quotePrefix="1" applyNumberFormat="1" applyFont="1" applyFill="1" applyBorder="1" applyAlignment="1" applyProtection="1">
      <alignment horizontal="center" vertical="center"/>
    </xf>
    <xf numFmtId="0" fontId="15" fillId="0" borderId="20" xfId="10" applyFont="1" applyBorder="1" applyAlignment="1">
      <alignment horizontal="center" vertical="center"/>
    </xf>
    <xf numFmtId="0" fontId="11" fillId="0" borderId="20" xfId="10" applyBorder="1" applyAlignment="1">
      <alignment horizontal="center" vertical="center"/>
    </xf>
    <xf numFmtId="41" fontId="15" fillId="0" borderId="20" xfId="6" applyFont="1" applyFill="1" applyBorder="1" applyAlignment="1" applyProtection="1">
      <alignment horizontal="left" vertical="center"/>
    </xf>
    <xf numFmtId="41" fontId="11" fillId="0" borderId="21" xfId="6" applyFont="1" applyFill="1" applyBorder="1" applyAlignment="1">
      <alignment vertical="center"/>
    </xf>
    <xf numFmtId="166" fontId="13" fillId="0" borderId="0" xfId="8" applyNumberFormat="1" applyFont="1" applyFill="1" applyAlignment="1">
      <alignment vertical="center"/>
    </xf>
    <xf numFmtId="41" fontId="13" fillId="0" borderId="0" xfId="9" applyFont="1" applyFill="1" applyAlignment="1">
      <alignment vertical="center"/>
    </xf>
    <xf numFmtId="0" fontId="13" fillId="0" borderId="0" xfId="5" applyFont="1" applyAlignment="1">
      <alignment vertical="center"/>
    </xf>
    <xf numFmtId="0" fontId="13" fillId="0" borderId="0" xfId="5" applyFont="1"/>
    <xf numFmtId="0" fontId="11" fillId="0" borderId="0" xfId="5"/>
    <xf numFmtId="0" fontId="11" fillId="0" borderId="0" xfId="11"/>
    <xf numFmtId="41" fontId="13" fillId="4" borderId="0" xfId="6" applyFont="1" applyFill="1" applyAlignment="1">
      <alignment vertical="center"/>
    </xf>
    <xf numFmtId="10" fontId="11" fillId="0" borderId="0" xfId="6" applyNumberFormat="1" applyFont="1" applyFill="1" applyAlignment="1">
      <alignment horizontal="center" vertical="center"/>
    </xf>
    <xf numFmtId="41" fontId="15" fillId="0" borderId="30" xfId="6" applyFont="1" applyFill="1" applyBorder="1" applyAlignment="1" applyProtection="1">
      <alignment horizontal="left" vertical="center"/>
    </xf>
    <xf numFmtId="41" fontId="15" fillId="4" borderId="20" xfId="6" applyFont="1" applyFill="1" applyBorder="1" applyAlignment="1" applyProtection="1">
      <alignment horizontal="left" vertical="center"/>
    </xf>
    <xf numFmtId="10" fontId="15" fillId="4" borderId="20" xfId="6" applyNumberFormat="1" applyFont="1" applyFill="1" applyBorder="1" applyAlignment="1" applyProtection="1">
      <alignment horizontal="center" vertical="center"/>
    </xf>
    <xf numFmtId="0" fontId="22" fillId="0" borderId="0" xfId="8" applyNumberFormat="1" applyFont="1" applyFill="1" applyAlignment="1">
      <alignment horizontal="center" vertical="center"/>
    </xf>
    <xf numFmtId="0" fontId="22" fillId="0" borderId="0" xfId="9" applyNumberFormat="1" applyFont="1" applyFill="1" applyAlignment="1">
      <alignment horizontal="center" vertical="center"/>
    </xf>
    <xf numFmtId="168" fontId="11" fillId="0" borderId="21" xfId="6" applyNumberFormat="1" applyFont="1" applyFill="1" applyBorder="1" applyAlignment="1">
      <alignment horizontal="center" vertical="center"/>
    </xf>
    <xf numFmtId="169" fontId="15" fillId="0" borderId="21" xfId="6" quotePrefix="1" applyNumberFormat="1" applyFont="1" applyFill="1" applyBorder="1" applyAlignment="1" applyProtection="1">
      <alignment horizontal="center" vertical="center"/>
    </xf>
    <xf numFmtId="164" fontId="8" fillId="0" borderId="0" xfId="1" applyFont="1" applyBorder="1" applyAlignment="1">
      <alignment horizontal="center" vertical="center"/>
    </xf>
    <xf numFmtId="10" fontId="8" fillId="0" borderId="0" xfId="0" applyNumberFormat="1" applyFont="1" applyAlignment="1">
      <alignment vertical="center"/>
    </xf>
    <xf numFmtId="43" fontId="8" fillId="0" borderId="0" xfId="0" applyNumberFormat="1" applyFont="1" applyAlignment="1">
      <alignment vertical="center"/>
    </xf>
    <xf numFmtId="9" fontId="11" fillId="0" borderId="0" xfId="6" applyNumberFormat="1" applyFont="1" applyFill="1" applyAlignment="1">
      <alignment vertical="center"/>
    </xf>
    <xf numFmtId="41" fontId="13" fillId="2" borderId="11" xfId="6" applyFont="1" applyFill="1" applyBorder="1" applyAlignment="1">
      <alignment horizontal="center" vertical="center"/>
    </xf>
    <xf numFmtId="0" fontId="13" fillId="2" borderId="2" xfId="5" applyFont="1" applyFill="1" applyBorder="1" applyAlignment="1">
      <alignment horizontal="center" vertical="center"/>
    </xf>
    <xf numFmtId="0" fontId="13" fillId="2" borderId="3" xfId="5" applyFont="1" applyFill="1" applyBorder="1" applyAlignment="1">
      <alignment horizontal="center" vertical="center"/>
    </xf>
    <xf numFmtId="0" fontId="13" fillId="2" borderId="2" xfId="5" quotePrefix="1" applyFont="1" applyFill="1" applyBorder="1" applyAlignment="1">
      <alignment vertical="center"/>
    </xf>
    <xf numFmtId="0" fontId="13" fillId="2" borderId="16" xfId="5" quotePrefix="1" applyFont="1" applyFill="1" applyBorder="1" applyAlignment="1">
      <alignment vertical="center"/>
    </xf>
    <xf numFmtId="166" fontId="13" fillId="2" borderId="3" xfId="3" applyNumberFormat="1" applyFont="1" applyFill="1" applyBorder="1" applyAlignment="1">
      <alignment vertical="center"/>
    </xf>
    <xf numFmtId="41" fontId="11" fillId="0" borderId="20" xfId="6" applyFont="1" applyFill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11" fillId="0" borderId="0" xfId="5" applyNumberFormat="1" applyAlignment="1">
      <alignment vertical="center"/>
    </xf>
    <xf numFmtId="0" fontId="13" fillId="2" borderId="3" xfId="6" applyNumberFormat="1" applyFont="1" applyFill="1" applyBorder="1" applyAlignment="1">
      <alignment horizontal="center" vertical="center" wrapText="1"/>
    </xf>
    <xf numFmtId="0" fontId="15" fillId="0" borderId="34" xfId="10" applyFont="1" applyBorder="1" applyAlignment="1">
      <alignment horizontal="center" vertical="center"/>
    </xf>
    <xf numFmtId="0" fontId="11" fillId="0" borderId="34" xfId="10" applyBorder="1" applyAlignment="1">
      <alignment horizontal="center" vertical="center"/>
    </xf>
    <xf numFmtId="41" fontId="15" fillId="0" borderId="34" xfId="6" applyFont="1" applyFill="1" applyBorder="1" applyAlignment="1" applyProtection="1">
      <alignment horizontal="left" vertical="center"/>
    </xf>
    <xf numFmtId="10" fontId="13" fillId="2" borderId="3" xfId="6" applyNumberFormat="1" applyFont="1" applyFill="1" applyBorder="1" applyAlignment="1">
      <alignment horizontal="center" vertical="center" wrapText="1"/>
    </xf>
    <xf numFmtId="41" fontId="15" fillId="4" borderId="34" xfId="6" applyFont="1" applyFill="1" applyBorder="1" applyAlignment="1" applyProtection="1">
      <alignment horizontal="left" vertical="center"/>
    </xf>
    <xf numFmtId="10" fontId="15" fillId="4" borderId="34" xfId="6" applyNumberFormat="1" applyFont="1" applyFill="1" applyBorder="1" applyAlignment="1" applyProtection="1">
      <alignment horizontal="center" vertical="center"/>
    </xf>
    <xf numFmtId="41" fontId="15" fillId="4" borderId="36" xfId="6" applyFont="1" applyFill="1" applyBorder="1" applyAlignment="1" applyProtection="1">
      <alignment horizontal="left" vertical="center"/>
    </xf>
    <xf numFmtId="167" fontId="15" fillId="0" borderId="34" xfId="5" applyNumberFormat="1" applyFont="1" applyBorder="1" applyAlignment="1">
      <alignment horizontal="center" vertical="center"/>
    </xf>
    <xf numFmtId="166" fontId="23" fillId="3" borderId="19" xfId="3" applyNumberFormat="1" applyFont="1" applyFill="1" applyBorder="1" applyAlignment="1">
      <alignment horizontal="right" vertical="center"/>
    </xf>
    <xf numFmtId="169" fontId="23" fillId="3" borderId="19" xfId="3" applyNumberFormat="1" applyFont="1" applyFill="1" applyBorder="1" applyAlignment="1">
      <alignment horizontal="right" vertical="center"/>
    </xf>
    <xf numFmtId="0" fontId="24" fillId="0" borderId="7" xfId="0" applyFont="1" applyFill="1" applyBorder="1" applyAlignment="1">
      <alignment vertical="center"/>
    </xf>
    <xf numFmtId="166" fontId="23" fillId="3" borderId="20" xfId="3" applyNumberFormat="1" applyFont="1" applyFill="1" applyBorder="1" applyAlignment="1">
      <alignment horizontal="right" vertical="center"/>
    </xf>
    <xf numFmtId="169" fontId="23" fillId="3" borderId="20" xfId="3" applyNumberFormat="1" applyFont="1" applyFill="1" applyBorder="1" applyAlignment="1">
      <alignment horizontal="right" vertical="center"/>
    </xf>
    <xf numFmtId="0" fontId="24" fillId="0" borderId="14" xfId="0" applyFont="1" applyFill="1" applyBorder="1" applyAlignment="1">
      <alignment vertical="center"/>
    </xf>
    <xf numFmtId="169" fontId="23" fillId="5" borderId="20" xfId="3" applyNumberFormat="1" applyFont="1" applyFill="1" applyBorder="1" applyAlignment="1">
      <alignment horizontal="right" vertical="center"/>
    </xf>
    <xf numFmtId="166" fontId="23" fillId="5" borderId="20" xfId="3" applyNumberFormat="1" applyFont="1" applyFill="1" applyBorder="1" applyAlignment="1">
      <alignment horizontal="right" vertical="center"/>
    </xf>
    <xf numFmtId="166" fontId="23" fillId="3" borderId="21" xfId="3" applyNumberFormat="1" applyFont="1" applyFill="1" applyBorder="1" applyAlignment="1">
      <alignment horizontal="right" vertical="center"/>
    </xf>
    <xf numFmtId="169" fontId="23" fillId="5" borderId="21" xfId="3" applyNumberFormat="1" applyFont="1" applyFill="1" applyBorder="1" applyAlignment="1">
      <alignment horizontal="right" vertical="center"/>
    </xf>
    <xf numFmtId="3" fontId="11" fillId="0" borderId="0" xfId="5" applyNumberFormat="1" applyAlignment="1">
      <alignment vertical="center"/>
    </xf>
    <xf numFmtId="169" fontId="23" fillId="5" borderId="20" xfId="3" quotePrefix="1" applyNumberFormat="1" applyFont="1" applyFill="1" applyBorder="1" applyAlignment="1">
      <alignment horizontal="center" vertical="center"/>
    </xf>
    <xf numFmtId="0" fontId="26" fillId="5" borderId="19" xfId="0" applyFont="1" applyFill="1" applyBorder="1" applyAlignment="1">
      <alignment horizontal="left" vertical="center"/>
    </xf>
    <xf numFmtId="0" fontId="26" fillId="5" borderId="20" xfId="0" applyFont="1" applyFill="1" applyBorder="1" applyAlignment="1">
      <alignment vertical="center"/>
    </xf>
    <xf numFmtId="0" fontId="27" fillId="5" borderId="20" xfId="0" applyFont="1" applyFill="1" applyBorder="1" applyAlignment="1">
      <alignment vertical="center"/>
    </xf>
    <xf numFmtId="0" fontId="26" fillId="5" borderId="21" xfId="0" applyFont="1" applyFill="1" applyBorder="1" applyAlignment="1">
      <alignment vertical="center"/>
    </xf>
    <xf numFmtId="0" fontId="26" fillId="3" borderId="20" xfId="0" applyFont="1" applyFill="1" applyBorder="1" applyAlignment="1">
      <alignment vertical="center"/>
    </xf>
    <xf numFmtId="0" fontId="26" fillId="0" borderId="19" xfId="5" quotePrefix="1" applyFont="1" applyBorder="1" applyAlignment="1">
      <alignment horizontal="center" vertical="center"/>
    </xf>
    <xf numFmtId="0" fontId="26" fillId="4" borderId="19" xfId="10" applyFont="1" applyFill="1" applyBorder="1" applyAlignment="1">
      <alignment horizontal="center" vertical="center"/>
    </xf>
    <xf numFmtId="0" fontId="26" fillId="0" borderId="34" xfId="5" quotePrefix="1" applyFont="1" applyBorder="1" applyAlignment="1">
      <alignment horizontal="center" vertical="center"/>
    </xf>
    <xf numFmtId="0" fontId="26" fillId="4" borderId="20" xfId="10" applyFont="1" applyFill="1" applyBorder="1" applyAlignment="1">
      <alignment horizontal="center" vertical="center"/>
    </xf>
    <xf numFmtId="41" fontId="25" fillId="0" borderId="35" xfId="6" applyFont="1" applyFill="1" applyBorder="1" applyAlignment="1" applyProtection="1">
      <alignment horizontal="left" vertical="center"/>
    </xf>
    <xf numFmtId="41" fontId="25" fillId="0" borderId="34" xfId="6" applyFont="1" applyFill="1" applyBorder="1" applyAlignment="1" applyProtection="1">
      <alignment horizontal="left" vertical="center"/>
    </xf>
    <xf numFmtId="166" fontId="11" fillId="0" borderId="0" xfId="5" applyNumberFormat="1" applyAlignment="1">
      <alignment vertical="center"/>
    </xf>
    <xf numFmtId="41" fontId="15" fillId="5" borderId="20" xfId="6" applyFont="1" applyFill="1" applyBorder="1" applyAlignment="1" applyProtection="1">
      <alignment horizontal="left" vertical="center"/>
    </xf>
    <xf numFmtId="41" fontId="15" fillId="7" borderId="19" xfId="6" applyFont="1" applyFill="1" applyBorder="1" applyAlignment="1" applyProtection="1">
      <alignment horizontal="left" vertical="center"/>
    </xf>
    <xf numFmtId="41" fontId="15" fillId="7" borderId="20" xfId="6" applyFont="1" applyFill="1" applyBorder="1" applyAlignment="1" applyProtection="1">
      <alignment horizontal="left" vertical="center"/>
    </xf>
    <xf numFmtId="0" fontId="28" fillId="0" borderId="0" xfId="5" applyFont="1" applyAlignment="1">
      <alignment horizontal="center" vertical="center"/>
    </xf>
    <xf numFmtId="41" fontId="13" fillId="0" borderId="3" xfId="5" applyNumberFormat="1" applyFont="1" applyBorder="1" applyAlignment="1">
      <alignment vertical="center"/>
    </xf>
    <xf numFmtId="41" fontId="15" fillId="0" borderId="0" xfId="6" applyFont="1" applyFill="1" applyBorder="1" applyAlignment="1" applyProtection="1">
      <alignment horizontal="left" vertical="center"/>
    </xf>
    <xf numFmtId="3" fontId="13" fillId="0" borderId="3" xfId="5" applyNumberFormat="1" applyFont="1" applyBorder="1" applyAlignment="1">
      <alignment vertical="center"/>
    </xf>
    <xf numFmtId="41" fontId="15" fillId="6" borderId="20" xfId="6" applyFont="1" applyFill="1" applyBorder="1" applyAlignment="1" applyProtection="1">
      <alignment horizontal="left" vertical="center"/>
    </xf>
    <xf numFmtId="41" fontId="15" fillId="6" borderId="34" xfId="6" applyFont="1" applyFill="1" applyBorder="1" applyAlignment="1" applyProtection="1">
      <alignment horizontal="left" vertical="center"/>
    </xf>
    <xf numFmtId="41" fontId="11" fillId="6" borderId="0" xfId="5" applyNumberFormat="1" applyFill="1" applyAlignment="1">
      <alignment vertical="center"/>
    </xf>
    <xf numFmtId="0" fontId="13" fillId="2" borderId="25" xfId="6" applyNumberFormat="1" applyFont="1" applyFill="1" applyBorder="1" applyAlignment="1">
      <alignment horizontal="center" vertical="center" wrapText="1"/>
    </xf>
    <xf numFmtId="0" fontId="13" fillId="2" borderId="9" xfId="5" applyFont="1" applyFill="1" applyBorder="1" applyAlignment="1">
      <alignment horizontal="center" vertical="center" wrapText="1"/>
    </xf>
    <xf numFmtId="41" fontId="13" fillId="2" borderId="7" xfId="6" applyFont="1" applyFill="1" applyBorder="1" applyAlignment="1">
      <alignment horizontal="center" vertical="center"/>
    </xf>
    <xf numFmtId="41" fontId="13" fillId="2" borderId="7" xfId="6" applyFont="1" applyFill="1" applyBorder="1" applyAlignment="1">
      <alignment horizontal="center" vertical="center" wrapText="1"/>
    </xf>
    <xf numFmtId="0" fontId="13" fillId="2" borderId="8" xfId="6" applyNumberFormat="1" applyFont="1" applyFill="1" applyBorder="1" applyAlignment="1">
      <alignment horizontal="center" vertical="center"/>
    </xf>
    <xf numFmtId="41" fontId="11" fillId="0" borderId="0" xfId="6" applyFont="1" applyFill="1" applyAlignment="1">
      <alignment horizontal="center" vertical="center"/>
    </xf>
    <xf numFmtId="0" fontId="11" fillId="0" borderId="0" xfId="5" applyAlignment="1">
      <alignment horizontal="center" vertical="center"/>
    </xf>
    <xf numFmtId="41" fontId="13" fillId="0" borderId="3" xfId="5" applyNumberFormat="1" applyFont="1" applyBorder="1" applyAlignment="1">
      <alignment horizontal="center" vertical="center"/>
    </xf>
    <xf numFmtId="0" fontId="13" fillId="2" borderId="37" xfId="6" applyNumberFormat="1" applyFont="1" applyFill="1" applyBorder="1" applyAlignment="1">
      <alignment horizontal="center" vertical="center" wrapText="1"/>
    </xf>
    <xf numFmtId="41" fontId="15" fillId="4" borderId="38" xfId="6" applyFont="1" applyFill="1" applyBorder="1" applyAlignment="1" applyProtection="1">
      <alignment horizontal="left" vertical="center"/>
    </xf>
    <xf numFmtId="41" fontId="15" fillId="4" borderId="39" xfId="6" applyFont="1" applyFill="1" applyBorder="1" applyAlignment="1" applyProtection="1">
      <alignment horizontal="left" vertical="center"/>
    </xf>
    <xf numFmtId="41" fontId="15" fillId="4" borderId="40" xfId="6" applyFont="1" applyFill="1" applyBorder="1" applyAlignment="1" applyProtection="1">
      <alignment horizontal="left" vertical="center"/>
    </xf>
    <xf numFmtId="0" fontId="13" fillId="2" borderId="41" xfId="6" applyNumberFormat="1" applyFont="1" applyFill="1" applyBorder="1" applyAlignment="1">
      <alignment horizontal="center" vertical="center" wrapText="1"/>
    </xf>
    <xf numFmtId="41" fontId="15" fillId="4" borderId="42" xfId="6" applyFont="1" applyFill="1" applyBorder="1" applyAlignment="1" applyProtection="1">
      <alignment horizontal="left" vertical="center"/>
    </xf>
    <xf numFmtId="41" fontId="15" fillId="4" borderId="43" xfId="6" applyFont="1" applyFill="1" applyBorder="1" applyAlignment="1" applyProtection="1">
      <alignment horizontal="left" vertical="center"/>
    </xf>
    <xf numFmtId="41" fontId="15" fillId="4" borderId="44" xfId="6" applyFont="1" applyFill="1" applyBorder="1" applyAlignment="1" applyProtection="1">
      <alignment horizontal="left" vertical="center"/>
    </xf>
    <xf numFmtId="0" fontId="11" fillId="0" borderId="20" xfId="5" quotePrefix="1" applyFill="1" applyBorder="1" applyAlignment="1">
      <alignment horizontal="center" vertical="center"/>
    </xf>
    <xf numFmtId="0" fontId="23" fillId="0" borderId="20" xfId="0" applyFont="1" applyFill="1" applyBorder="1" applyAlignment="1">
      <alignment vertical="center"/>
    </xf>
    <xf numFmtId="166" fontId="23" fillId="0" borderId="20" xfId="3" applyNumberFormat="1" applyFont="1" applyFill="1" applyBorder="1" applyAlignment="1">
      <alignment horizontal="right" vertical="center"/>
    </xf>
    <xf numFmtId="0" fontId="15" fillId="0" borderId="34" xfId="10" applyFont="1" applyFill="1" applyBorder="1" applyAlignment="1">
      <alignment horizontal="center" vertical="center"/>
    </xf>
    <xf numFmtId="0" fontId="11" fillId="0" borderId="34" xfId="10" applyFill="1" applyBorder="1" applyAlignment="1">
      <alignment horizontal="center" vertical="center"/>
    </xf>
    <xf numFmtId="0" fontId="11" fillId="0" borderId="0" xfId="5" applyFill="1" applyAlignment="1">
      <alignment vertical="center"/>
    </xf>
    <xf numFmtId="168" fontId="11" fillId="0" borderId="20" xfId="6" applyNumberFormat="1" applyFont="1" applyFill="1" applyBorder="1" applyAlignment="1">
      <alignment horizontal="center" vertical="center"/>
    </xf>
    <xf numFmtId="3" fontId="31" fillId="0" borderId="48" xfId="0" applyNumberFormat="1" applyFont="1" applyFill="1" applyBorder="1"/>
    <xf numFmtId="3" fontId="31" fillId="0" borderId="29" xfId="0" applyNumberFormat="1" applyFont="1" applyFill="1" applyBorder="1"/>
    <xf numFmtId="0" fontId="24" fillId="0" borderId="20" xfId="0" applyFont="1" applyFill="1" applyBorder="1" applyAlignment="1">
      <alignment vertical="center"/>
    </xf>
    <xf numFmtId="169" fontId="15" fillId="0" borderId="14" xfId="6" quotePrefix="1" applyNumberFormat="1" applyFont="1" applyFill="1" applyBorder="1" applyAlignment="1" applyProtection="1">
      <alignment horizontal="center" vertical="center"/>
    </xf>
    <xf numFmtId="0" fontId="11" fillId="0" borderId="30" xfId="10" applyFill="1" applyBorder="1" applyAlignment="1">
      <alignment horizontal="center" vertical="center"/>
    </xf>
    <xf numFmtId="169" fontId="23" fillId="0" borderId="20" xfId="3" applyNumberFormat="1" applyFont="1" applyFill="1" applyBorder="1" applyAlignment="1">
      <alignment horizontal="center" vertical="center"/>
    </xf>
    <xf numFmtId="0" fontId="32" fillId="3" borderId="0" xfId="0" applyFont="1" applyFill="1"/>
    <xf numFmtId="0" fontId="32" fillId="5" borderId="0" xfId="0" applyFont="1" applyFill="1"/>
    <xf numFmtId="3" fontId="32" fillId="5" borderId="0" xfId="0" applyNumberFormat="1" applyFont="1" applyFill="1"/>
    <xf numFmtId="0" fontId="33" fillId="0" borderId="0" xfId="0" applyFont="1"/>
    <xf numFmtId="2" fontId="32" fillId="5" borderId="0" xfId="0" applyNumberFormat="1" applyFont="1" applyFill="1"/>
    <xf numFmtId="0" fontId="34" fillId="5" borderId="54" xfId="0" applyFont="1" applyFill="1" applyBorder="1" applyAlignment="1">
      <alignment horizontal="center" vertical="center"/>
    </xf>
    <xf numFmtId="0" fontId="34" fillId="5" borderId="50" xfId="0" applyFont="1" applyFill="1" applyBorder="1" applyAlignment="1">
      <alignment horizontal="center" vertical="center"/>
    </xf>
    <xf numFmtId="3" fontId="34" fillId="8" borderId="0" xfId="3" applyNumberFormat="1" applyFont="1" applyFill="1" applyBorder="1" applyAlignment="1">
      <alignment horizontal="center"/>
    </xf>
    <xf numFmtId="0" fontId="34" fillId="5" borderId="14" xfId="0" applyFont="1" applyFill="1" applyBorder="1" applyAlignment="1">
      <alignment horizontal="center" vertical="center"/>
    </xf>
    <xf numFmtId="3" fontId="34" fillId="0" borderId="0" xfId="3" applyNumberFormat="1" applyFont="1" applyFill="1" applyBorder="1" applyAlignment="1">
      <alignment horizontal="center"/>
    </xf>
    <xf numFmtId="0" fontId="0" fillId="0" borderId="0" xfId="0" applyFill="1"/>
    <xf numFmtId="0" fontId="32" fillId="3" borderId="0" xfId="0" applyFont="1" applyFill="1" applyAlignment="1">
      <alignment horizontal="center"/>
    </xf>
    <xf numFmtId="0" fontId="32" fillId="5" borderId="0" xfId="0" applyFont="1" applyFill="1" applyAlignment="1">
      <alignment horizontal="center"/>
    </xf>
    <xf numFmtId="3" fontId="32" fillId="5" borderId="0" xfId="0" applyNumberFormat="1" applyFont="1" applyFill="1" applyAlignment="1">
      <alignment horizontal="center"/>
    </xf>
    <xf numFmtId="0" fontId="32" fillId="5" borderId="52" xfId="0" applyFont="1" applyFill="1" applyBorder="1" applyAlignment="1">
      <alignment horizontal="center"/>
    </xf>
    <xf numFmtId="0" fontId="33" fillId="5" borderId="1" xfId="0" applyFont="1" applyFill="1" applyBorder="1"/>
    <xf numFmtId="3" fontId="32" fillId="0" borderId="1" xfId="8" applyNumberFormat="1" applyFont="1" applyFill="1" applyBorder="1" applyAlignment="1">
      <alignment horizontal="center"/>
    </xf>
    <xf numFmtId="3" fontId="38" fillId="0" borderId="1" xfId="8" applyNumberFormat="1" applyFont="1" applyFill="1" applyBorder="1" applyAlignment="1">
      <alignment horizontal="center" wrapText="1"/>
    </xf>
    <xf numFmtId="3" fontId="39" fillId="0" borderId="1" xfId="0" applyNumberFormat="1" applyFont="1" applyFill="1" applyBorder="1" applyAlignment="1">
      <alignment horizontal="center"/>
    </xf>
    <xf numFmtId="3" fontId="38" fillId="0" borderId="1" xfId="8" applyNumberFormat="1" applyFont="1" applyFill="1" applyBorder="1" applyAlignment="1">
      <alignment horizontal="center"/>
    </xf>
    <xf numFmtId="3" fontId="39" fillId="0" borderId="1" xfId="0" applyNumberFormat="1" applyFont="1" applyFill="1" applyBorder="1" applyAlignment="1"/>
    <xf numFmtId="3" fontId="38" fillId="0" borderId="51" xfId="8" applyNumberFormat="1" applyFont="1" applyFill="1" applyBorder="1" applyAlignment="1" applyProtection="1">
      <alignment horizontal="center" vertical="center" wrapText="1"/>
    </xf>
    <xf numFmtId="3" fontId="38" fillId="0" borderId="1" xfId="8" applyNumberFormat="1" applyFont="1" applyFill="1" applyBorder="1" applyAlignment="1" applyProtection="1">
      <alignment horizontal="center" vertical="center" wrapText="1"/>
    </xf>
    <xf numFmtId="166" fontId="38" fillId="0" borderId="1" xfId="8" applyNumberFormat="1" applyFont="1" applyFill="1" applyBorder="1" applyAlignment="1">
      <alignment horizontal="center" vertical="center"/>
    </xf>
    <xf numFmtId="3" fontId="33" fillId="0" borderId="51" xfId="0" applyNumberFormat="1" applyFont="1" applyFill="1" applyBorder="1" applyAlignment="1">
      <alignment horizontal="center"/>
    </xf>
    <xf numFmtId="3" fontId="32" fillId="0" borderId="1" xfId="3" applyNumberFormat="1" applyFont="1" applyFill="1" applyBorder="1" applyAlignment="1">
      <alignment horizontal="center" vertical="center"/>
    </xf>
    <xf numFmtId="3" fontId="32" fillId="0" borderId="1" xfId="8" applyNumberFormat="1" applyFont="1" applyFill="1" applyBorder="1" applyAlignment="1"/>
    <xf numFmtId="3" fontId="38" fillId="0" borderId="1" xfId="8" applyNumberFormat="1" applyFont="1" applyFill="1" applyBorder="1" applyAlignment="1" applyProtection="1">
      <alignment vertical="center"/>
    </xf>
    <xf numFmtId="166" fontId="38" fillId="0" borderId="1" xfId="8" applyNumberFormat="1" applyFont="1" applyFill="1" applyBorder="1" applyAlignment="1">
      <alignment vertical="center"/>
    </xf>
    <xf numFmtId="0" fontId="0" fillId="5" borderId="0" xfId="0" applyFill="1"/>
    <xf numFmtId="3" fontId="38" fillId="0" borderId="1" xfId="8" applyNumberFormat="1" applyFont="1" applyFill="1" applyBorder="1" applyAlignment="1" applyProtection="1">
      <alignment horizontal="center" wrapText="1"/>
    </xf>
    <xf numFmtId="3" fontId="38" fillId="0" borderId="1" xfId="8" applyNumberFormat="1" applyFont="1" applyFill="1" applyBorder="1" applyAlignment="1" applyProtection="1">
      <alignment horizontal="left" vertical="center" wrapText="1"/>
    </xf>
    <xf numFmtId="3" fontId="38" fillId="0" borderId="1" xfId="8" applyNumberFormat="1" applyFont="1" applyFill="1" applyBorder="1" applyAlignment="1" applyProtection="1">
      <alignment vertical="center" wrapText="1"/>
    </xf>
    <xf numFmtId="166" fontId="37" fillId="0" borderId="1" xfId="8" applyNumberFormat="1" applyFont="1" applyFill="1" applyBorder="1" applyAlignment="1">
      <alignment horizontal="center" vertical="center"/>
    </xf>
    <xf numFmtId="0" fontId="32" fillId="8" borderId="8" xfId="0" applyFont="1" applyFill="1" applyBorder="1"/>
    <xf numFmtId="164" fontId="34" fillId="8" borderId="8" xfId="1" applyFont="1" applyFill="1" applyBorder="1"/>
    <xf numFmtId="0" fontId="34" fillId="8" borderId="0" xfId="0" applyFont="1" applyFill="1" applyBorder="1" applyAlignment="1">
      <alignment horizontal="center"/>
    </xf>
    <xf numFmtId="0" fontId="32" fillId="8" borderId="0" xfId="0" applyFont="1" applyFill="1" applyBorder="1"/>
    <xf numFmtId="3" fontId="34" fillId="5" borderId="0" xfId="3" applyNumberFormat="1" applyFont="1" applyFill="1" applyBorder="1" applyAlignment="1">
      <alignment horizontal="center"/>
    </xf>
    <xf numFmtId="0" fontId="32" fillId="0" borderId="0" xfId="0" applyFont="1"/>
    <xf numFmtId="166" fontId="32" fillId="5" borderId="0" xfId="0" applyNumberFormat="1" applyFont="1" applyFill="1"/>
    <xf numFmtId="0" fontId="33" fillId="5" borderId="0" xfId="0" applyFont="1" applyFill="1"/>
    <xf numFmtId="3" fontId="33" fillId="5" borderId="0" xfId="0" applyNumberFormat="1" applyFont="1" applyFill="1"/>
    <xf numFmtId="3" fontId="34" fillId="5" borderId="0" xfId="0" applyNumberFormat="1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center"/>
    </xf>
    <xf numFmtId="166" fontId="32" fillId="0" borderId="1" xfId="8" applyNumberFormat="1" applyFont="1" applyFill="1" applyBorder="1"/>
    <xf numFmtId="0" fontId="32" fillId="0" borderId="1" xfId="8" applyNumberFormat="1" applyFont="1" applyFill="1" applyBorder="1" applyAlignment="1">
      <alignment vertical="center"/>
    </xf>
    <xf numFmtId="37" fontId="0" fillId="0" borderId="1" xfId="0" applyNumberFormat="1" applyFill="1" applyBorder="1" applyAlignment="1">
      <alignment horizontal="center" vertical="center"/>
    </xf>
    <xf numFmtId="0" fontId="32" fillId="0" borderId="1" xfId="0" applyFont="1" applyFill="1" applyBorder="1" applyAlignment="1">
      <alignment horizontal="left"/>
    </xf>
    <xf numFmtId="166" fontId="32" fillId="0" borderId="1" xfId="8" quotePrefix="1" applyNumberFormat="1" applyFont="1" applyFill="1" applyBorder="1" applyAlignment="1">
      <alignment horizontal="center" vertical="center"/>
    </xf>
    <xf numFmtId="166" fontId="32" fillId="0" borderId="1" xfId="8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/>
    </xf>
    <xf numFmtId="0" fontId="39" fillId="0" borderId="1" xfId="0" quotePrefix="1" applyFont="1" applyFill="1" applyBorder="1" applyAlignment="1">
      <alignment horizontal="center" vertical="center"/>
    </xf>
    <xf numFmtId="0" fontId="1" fillId="0" borderId="0" xfId="21" applyFill="1"/>
    <xf numFmtId="0" fontId="43" fillId="0" borderId="0" xfId="0" quotePrefix="1" applyFont="1" applyFill="1" applyBorder="1" applyAlignment="1">
      <alignment horizontal="left" vertical="center"/>
    </xf>
    <xf numFmtId="0" fontId="43" fillId="0" borderId="0" xfId="0" applyFont="1" applyFill="1" applyBorder="1" applyAlignment="1">
      <alignment vertical="center"/>
    </xf>
    <xf numFmtId="166" fontId="32" fillId="0" borderId="0" xfId="8" applyNumberFormat="1" applyFont="1" applyFill="1" applyBorder="1" applyAlignment="1">
      <alignment horizontal="center" vertical="center"/>
    </xf>
    <xf numFmtId="0" fontId="39" fillId="0" borderId="1" xfId="0" applyFont="1" applyFill="1" applyBorder="1" applyAlignment="1">
      <alignment horizontal="center" vertical="center" wrapText="1"/>
    </xf>
    <xf numFmtId="166" fontId="36" fillId="0" borderId="1" xfId="8" applyNumberFormat="1" applyFont="1" applyFill="1" applyBorder="1" applyAlignment="1">
      <alignment horizontal="center" vertical="center"/>
    </xf>
    <xf numFmtId="0" fontId="37" fillId="0" borderId="55" xfId="3" applyNumberFormat="1" applyFont="1" applyFill="1" applyBorder="1" applyAlignment="1">
      <alignment horizontal="left" vertical="top" wrapText="1"/>
    </xf>
    <xf numFmtId="0" fontId="37" fillId="0" borderId="1" xfId="3" applyNumberFormat="1" applyFont="1" applyFill="1" applyBorder="1" applyAlignment="1">
      <alignment horizontal="left" vertical="top" wrapText="1"/>
    </xf>
    <xf numFmtId="0" fontId="33" fillId="0" borderId="1" xfId="3" applyNumberFormat="1" applyFont="1" applyFill="1" applyBorder="1" applyAlignment="1">
      <alignment horizontal="left" vertical="top" wrapText="1"/>
    </xf>
    <xf numFmtId="166" fontId="33" fillId="0" borderId="55" xfId="3" applyNumberFormat="1" applyFont="1" applyFill="1" applyBorder="1" applyAlignment="1">
      <alignment horizontal="left" vertical="top" wrapText="1"/>
    </xf>
    <xf numFmtId="166" fontId="33" fillId="0" borderId="1" xfId="3" applyNumberFormat="1" applyFont="1" applyFill="1" applyBorder="1" applyAlignment="1">
      <alignment horizontal="left" vertical="center" wrapText="1"/>
    </xf>
    <xf numFmtId="0" fontId="33" fillId="0" borderId="0" xfId="0" applyFont="1" applyFill="1" applyAlignment="1">
      <alignment wrapText="1"/>
    </xf>
    <xf numFmtId="164" fontId="33" fillId="0" borderId="0" xfId="1" applyFont="1" applyFill="1" applyAlignment="1">
      <alignment wrapText="1"/>
    </xf>
    <xf numFmtId="2" fontId="33" fillId="0" borderId="55" xfId="3" applyNumberFormat="1" applyFont="1" applyFill="1" applyBorder="1" applyAlignment="1">
      <alignment horizontal="center" vertical="center" wrapText="1"/>
    </xf>
    <xf numFmtId="164" fontId="33" fillId="0" borderId="55" xfId="1" applyFont="1" applyFill="1" applyBorder="1" applyAlignment="1">
      <alignment wrapText="1"/>
    </xf>
    <xf numFmtId="41" fontId="33" fillId="0" borderId="0" xfId="0" applyNumberFormat="1" applyFont="1" applyFill="1" applyAlignment="1">
      <alignment wrapText="1"/>
    </xf>
    <xf numFmtId="164" fontId="33" fillId="0" borderId="1" xfId="1" applyFont="1" applyFill="1" applyBorder="1" applyAlignment="1">
      <alignment wrapText="1"/>
    </xf>
    <xf numFmtId="2" fontId="33" fillId="0" borderId="1" xfId="0" applyNumberFormat="1" applyFont="1" applyFill="1" applyBorder="1" applyAlignment="1">
      <alignment horizontal="center" wrapText="1"/>
    </xf>
    <xf numFmtId="2" fontId="33" fillId="0" borderId="1" xfId="20" applyNumberFormat="1" applyFont="1" applyFill="1" applyBorder="1" applyAlignment="1">
      <alignment horizontal="center" vertical="center" wrapText="1"/>
    </xf>
    <xf numFmtId="2" fontId="33" fillId="0" borderId="50" xfId="20" applyNumberFormat="1" applyFont="1" applyFill="1" applyBorder="1" applyAlignment="1">
      <alignment horizontal="center" vertical="center" wrapText="1"/>
    </xf>
    <xf numFmtId="164" fontId="33" fillId="0" borderId="0" xfId="1" applyFont="1" applyFill="1" applyBorder="1" applyAlignment="1">
      <alignment wrapText="1"/>
    </xf>
    <xf numFmtId="166" fontId="33" fillId="0" borderId="1" xfId="3" applyNumberFormat="1" applyFont="1" applyFill="1" applyBorder="1" applyAlignment="1">
      <alignment horizontal="left" vertical="top" wrapText="1"/>
    </xf>
    <xf numFmtId="166" fontId="33" fillId="0" borderId="1" xfId="3" quotePrefix="1" applyNumberFormat="1" applyFont="1" applyFill="1" applyBorder="1" applyAlignment="1">
      <alignment horizontal="left" vertical="center" wrapText="1"/>
    </xf>
    <xf numFmtId="164" fontId="42" fillId="0" borderId="1" xfId="1" applyFont="1" applyFill="1" applyBorder="1" applyAlignment="1">
      <alignment wrapText="1"/>
    </xf>
    <xf numFmtId="164" fontId="33" fillId="0" borderId="57" xfId="1" applyFont="1" applyFill="1" applyBorder="1" applyAlignment="1">
      <alignment vertical="center" wrapText="1"/>
    </xf>
    <xf numFmtId="41" fontId="11" fillId="0" borderId="0" xfId="6" applyFont="1" applyFill="1" applyAlignment="1">
      <alignment horizontal="center" vertical="center"/>
    </xf>
    <xf numFmtId="0" fontId="36" fillId="0" borderId="1" xfId="0" applyFont="1" applyFill="1" applyBorder="1" applyAlignment="1">
      <alignment horizontal="center" vertical="center"/>
    </xf>
    <xf numFmtId="0" fontId="37" fillId="0" borderId="1" xfId="8" applyNumberFormat="1" applyFont="1" applyFill="1" applyBorder="1" applyAlignment="1">
      <alignment horizontal="left" vertical="top" wrapText="1"/>
    </xf>
    <xf numFmtId="3" fontId="36" fillId="0" borderId="1" xfId="0" applyNumberFormat="1" applyFont="1" applyFill="1" applyBorder="1" applyAlignment="1">
      <alignment horizontal="center" vertical="center"/>
    </xf>
    <xf numFmtId="3" fontId="34" fillId="0" borderId="1" xfId="3" applyNumberFormat="1" applyFont="1" applyFill="1" applyBorder="1" applyAlignment="1">
      <alignment horizontal="center" vertical="center"/>
    </xf>
    <xf numFmtId="37" fontId="33" fillId="0" borderId="1" xfId="0" applyNumberFormat="1" applyFont="1" applyFill="1" applyBorder="1" applyAlignment="1">
      <alignment horizontal="center" vertical="center"/>
    </xf>
    <xf numFmtId="0" fontId="37" fillId="0" borderId="14" xfId="8" applyNumberFormat="1" applyFont="1" applyFill="1" applyBorder="1" applyAlignment="1">
      <alignment horizontal="left" vertical="top" wrapText="1"/>
    </xf>
    <xf numFmtId="0" fontId="37" fillId="0" borderId="55" xfId="8" applyNumberFormat="1" applyFont="1" applyFill="1" applyBorder="1" applyAlignment="1">
      <alignment horizontal="left" vertical="top"/>
    </xf>
    <xf numFmtId="0" fontId="37" fillId="0" borderId="52" xfId="0" applyNumberFormat="1" applyFont="1" applyFill="1" applyBorder="1" applyAlignment="1">
      <alignment horizontal="left" vertical="top"/>
    </xf>
    <xf numFmtId="0" fontId="37" fillId="0" borderId="1" xfId="0" applyNumberFormat="1" applyFont="1" applyFill="1" applyBorder="1" applyAlignment="1">
      <alignment horizontal="left" vertical="top"/>
    </xf>
    <xf numFmtId="0" fontId="37" fillId="0" borderId="55" xfId="8" applyNumberFormat="1" applyFont="1" applyFill="1" applyBorder="1" applyAlignment="1">
      <alignment horizontal="left" vertical="top" wrapText="1"/>
    </xf>
    <xf numFmtId="166" fontId="37" fillId="0" borderId="55" xfId="8" applyNumberFormat="1" applyFont="1" applyFill="1" applyBorder="1" applyAlignment="1">
      <alignment horizontal="left" vertical="top" wrapText="1"/>
    </xf>
    <xf numFmtId="166" fontId="40" fillId="0" borderId="1" xfId="8" applyNumberFormat="1" applyFont="1" applyFill="1" applyBorder="1" applyAlignment="1">
      <alignment horizontal="left" vertical="center" wrapText="1"/>
    </xf>
    <xf numFmtId="166" fontId="37" fillId="0" borderId="1" xfId="8" applyNumberFormat="1" applyFont="1" applyFill="1" applyBorder="1" applyAlignment="1">
      <alignment horizontal="left" vertical="top" wrapText="1"/>
    </xf>
    <xf numFmtId="166" fontId="36" fillId="0" borderId="1" xfId="8" applyNumberFormat="1" applyFont="1" applyFill="1" applyBorder="1" applyAlignment="1">
      <alignment horizontal="left" vertical="center"/>
    </xf>
    <xf numFmtId="0" fontId="38" fillId="0" borderId="1" xfId="0" applyFont="1" applyFill="1" applyBorder="1" applyAlignment="1">
      <alignment horizontal="center" vertical="center"/>
    </xf>
    <xf numFmtId="166" fontId="36" fillId="0" borderId="1" xfId="8" applyNumberFormat="1" applyFont="1" applyFill="1" applyBorder="1" applyAlignment="1">
      <alignment horizontal="left" vertical="center" wrapText="1"/>
    </xf>
    <xf numFmtId="166" fontId="37" fillId="0" borderId="1" xfId="8" applyNumberFormat="1" applyFont="1" applyFill="1" applyBorder="1" applyAlignment="1">
      <alignment horizontal="left" vertical="top"/>
    </xf>
    <xf numFmtId="166" fontId="21" fillId="0" borderId="1" xfId="8" quotePrefix="1" applyNumberFormat="1" applyFont="1" applyFill="1" applyBorder="1" applyAlignment="1">
      <alignment horizontal="left" vertical="center"/>
    </xf>
    <xf numFmtId="166" fontId="41" fillId="0" borderId="1" xfId="8" applyNumberFormat="1" applyFont="1" applyFill="1" applyBorder="1" applyAlignment="1">
      <alignment horizontal="left" vertical="center"/>
    </xf>
    <xf numFmtId="166" fontId="41" fillId="0" borderId="1" xfId="8" applyNumberFormat="1" applyFont="1" applyFill="1" applyBorder="1" applyAlignment="1">
      <alignment horizontal="left" vertical="center" wrapText="1"/>
    </xf>
    <xf numFmtId="166" fontId="22" fillId="0" borderId="1" xfId="8" applyNumberFormat="1" applyFont="1" applyFill="1" applyBorder="1" applyAlignment="1">
      <alignment horizontal="left" vertical="center"/>
    </xf>
    <xf numFmtId="166" fontId="40" fillId="0" borderId="50" xfId="8" applyNumberFormat="1" applyFont="1" applyFill="1" applyBorder="1" applyAlignment="1">
      <alignment horizontal="left" vertical="center" wrapText="1"/>
    </xf>
    <xf numFmtId="0" fontId="32" fillId="0" borderId="0" xfId="0" applyFont="1" applyFill="1"/>
    <xf numFmtId="3" fontId="32" fillId="0" borderId="0" xfId="0" applyNumberFormat="1" applyFont="1" applyFill="1"/>
    <xf numFmtId="0" fontId="34" fillId="0" borderId="50" xfId="0" applyFont="1" applyFill="1" applyBorder="1" applyAlignment="1">
      <alignment horizontal="center" vertical="center"/>
    </xf>
    <xf numFmtId="0" fontId="35" fillId="0" borderId="50" xfId="0" applyFont="1" applyFill="1" applyBorder="1" applyAlignment="1">
      <alignment horizontal="center" vertical="center"/>
    </xf>
    <xf numFmtId="0" fontId="44" fillId="0" borderId="14" xfId="0" applyFont="1" applyFill="1" applyBorder="1" applyAlignment="1">
      <alignment horizontal="center" vertical="center"/>
    </xf>
    <xf numFmtId="0" fontId="44" fillId="0" borderId="48" xfId="0" applyFont="1" applyFill="1" applyBorder="1" applyAlignment="1">
      <alignment horizontal="center" vertical="center"/>
    </xf>
    <xf numFmtId="10" fontId="35" fillId="0" borderId="55" xfId="0" applyNumberFormat="1" applyFont="1" applyFill="1" applyBorder="1" applyAlignment="1">
      <alignment horizontal="center" vertical="center"/>
    </xf>
    <xf numFmtId="0" fontId="44" fillId="0" borderId="55" xfId="0" applyFont="1" applyFill="1" applyBorder="1" applyAlignment="1">
      <alignment horizontal="center" vertical="center"/>
    </xf>
    <xf numFmtId="9" fontId="44" fillId="0" borderId="55" xfId="0" applyNumberFormat="1" applyFont="1" applyFill="1" applyBorder="1" applyAlignment="1">
      <alignment horizontal="center" vertical="center"/>
    </xf>
    <xf numFmtId="0" fontId="44" fillId="0" borderId="56" xfId="0" applyFont="1" applyFill="1" applyBorder="1" applyAlignment="1">
      <alignment horizontal="center" vertical="center"/>
    </xf>
    <xf numFmtId="0" fontId="32" fillId="0" borderId="0" xfId="0" applyFont="1" applyFill="1" applyAlignment="1">
      <alignment horizontal="center"/>
    </xf>
    <xf numFmtId="0" fontId="32" fillId="0" borderId="52" xfId="0" applyFont="1" applyFill="1" applyBorder="1" applyAlignment="1">
      <alignment horizontal="center"/>
    </xf>
    <xf numFmtId="0" fontId="0" fillId="0" borderId="1" xfId="0" applyFill="1" applyBorder="1"/>
    <xf numFmtId="3" fontId="32" fillId="0" borderId="1" xfId="8" applyNumberFormat="1" applyFont="1" applyFill="1" applyBorder="1" applyAlignment="1">
      <alignment vertical="center"/>
    </xf>
    <xf numFmtId="3" fontId="0" fillId="0" borderId="0" xfId="0" applyNumberFormat="1" applyFill="1"/>
    <xf numFmtId="166" fontId="0" fillId="0" borderId="0" xfId="0" applyNumberFormat="1" applyFill="1"/>
    <xf numFmtId="164" fontId="34" fillId="0" borderId="46" xfId="1" applyFont="1" applyFill="1" applyBorder="1" applyAlignment="1"/>
    <xf numFmtId="3" fontId="33" fillId="0" borderId="0" xfId="0" applyNumberFormat="1" applyFont="1" applyFill="1"/>
    <xf numFmtId="0" fontId="33" fillId="0" borderId="0" xfId="0" applyFont="1" applyFill="1"/>
    <xf numFmtId="0" fontId="34" fillId="0" borderId="50" xfId="0" applyFont="1" applyFill="1" applyBorder="1" applyAlignment="1">
      <alignment horizontal="center"/>
    </xf>
    <xf numFmtId="0" fontId="34" fillId="0" borderId="14" xfId="0" applyFont="1" applyFill="1" applyBorder="1" applyAlignment="1">
      <alignment horizontal="center"/>
    </xf>
    <xf numFmtId="0" fontId="34" fillId="0" borderId="55" xfId="0" applyFont="1" applyFill="1" applyBorder="1" applyAlignment="1">
      <alignment horizontal="center"/>
    </xf>
    <xf numFmtId="9" fontId="34" fillId="0" borderId="1" xfId="0" applyNumberFormat="1" applyFont="1" applyFill="1" applyBorder="1" applyAlignment="1">
      <alignment horizontal="center"/>
    </xf>
    <xf numFmtId="166" fontId="0" fillId="0" borderId="1" xfId="0" applyNumberFormat="1" applyFill="1" applyBorder="1"/>
    <xf numFmtId="166" fontId="33" fillId="0" borderId="1" xfId="3" applyNumberFormat="1" applyFont="1" applyFill="1" applyBorder="1"/>
    <xf numFmtId="3" fontId="0" fillId="0" borderId="1" xfId="3" applyNumberFormat="1" applyFont="1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32" fillId="0" borderId="1" xfId="8" quotePrefix="1" applyNumberFormat="1" applyFont="1" applyFill="1" applyBorder="1" applyAlignment="1">
      <alignment horizontal="center" vertical="center"/>
    </xf>
    <xf numFmtId="0" fontId="0" fillId="0" borderId="0" xfId="0" applyFill="1" applyBorder="1"/>
    <xf numFmtId="0" fontId="43" fillId="0" borderId="1" xfId="20" applyFont="1" applyFill="1" applyBorder="1" applyAlignment="1">
      <alignment horizontal="center" vertical="center"/>
    </xf>
    <xf numFmtId="0" fontId="0" fillId="0" borderId="0" xfId="0" quotePrefix="1" applyFill="1"/>
    <xf numFmtId="164" fontId="45" fillId="0" borderId="1" xfId="1" applyFont="1" applyFill="1" applyBorder="1"/>
    <xf numFmtId="166" fontId="45" fillId="0" borderId="1" xfId="0" applyNumberFormat="1" applyFont="1" applyFill="1" applyBorder="1"/>
    <xf numFmtId="166" fontId="45" fillId="0" borderId="0" xfId="0" applyNumberFormat="1" applyFont="1" applyFill="1" applyBorder="1"/>
    <xf numFmtId="0" fontId="32" fillId="0" borderId="0" xfId="8" quotePrefix="1" applyNumberFormat="1" applyFont="1" applyFill="1" applyBorder="1" applyAlignment="1">
      <alignment horizontal="center" vertical="center"/>
    </xf>
    <xf numFmtId="0" fontId="33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46" fillId="0" borderId="0" xfId="0" applyFont="1" applyFill="1" applyAlignment="1">
      <alignment horizontal="center"/>
    </xf>
    <xf numFmtId="0" fontId="47" fillId="0" borderId="0" xfId="0" applyFont="1" applyFill="1" applyAlignment="1">
      <alignment horizontal="center"/>
    </xf>
    <xf numFmtId="0" fontId="32" fillId="0" borderId="50" xfId="0" applyFont="1" applyFill="1" applyBorder="1" applyAlignment="1">
      <alignment horizontal="center"/>
    </xf>
    <xf numFmtId="3" fontId="34" fillId="0" borderId="1" xfId="3" applyNumberFormat="1" applyFont="1" applyFill="1" applyBorder="1" applyAlignment="1">
      <alignment horizontal="center"/>
    </xf>
    <xf numFmtId="0" fontId="32" fillId="0" borderId="0" xfId="0" applyFont="1" applyFill="1" applyBorder="1"/>
    <xf numFmtId="166" fontId="44" fillId="0" borderId="0" xfId="3" applyNumberFormat="1" applyFont="1" applyFill="1" applyBorder="1" applyAlignment="1">
      <alignment horizontal="left" vertical="center"/>
    </xf>
    <xf numFmtId="166" fontId="32" fillId="0" borderId="0" xfId="3" applyNumberFormat="1" applyFont="1" applyFill="1" applyBorder="1"/>
    <xf numFmtId="164" fontId="32" fillId="0" borderId="0" xfId="1" applyFont="1" applyFill="1" applyBorder="1"/>
    <xf numFmtId="164" fontId="32" fillId="0" borderId="0" xfId="1" applyFont="1" applyFill="1"/>
    <xf numFmtId="164" fontId="33" fillId="0" borderId="57" xfId="1" applyFont="1" applyFill="1" applyBorder="1" applyAlignment="1">
      <alignment vertical="center"/>
    </xf>
    <xf numFmtId="41" fontId="13" fillId="0" borderId="0" xfId="6" applyFont="1" applyFill="1" applyAlignment="1">
      <alignment vertical="center"/>
    </xf>
    <xf numFmtId="0" fontId="11" fillId="0" borderId="0" xfId="5" applyFill="1" applyAlignment="1">
      <alignment horizontal="left" vertical="center"/>
    </xf>
    <xf numFmtId="0" fontId="11" fillId="0" borderId="0" xfId="5" applyFill="1" applyAlignment="1">
      <alignment horizontal="center" vertical="center"/>
    </xf>
    <xf numFmtId="0" fontId="13" fillId="0" borderId="18" xfId="5" applyFont="1" applyFill="1" applyBorder="1" applyAlignment="1">
      <alignment horizontal="center" vertical="center"/>
    </xf>
    <xf numFmtId="0" fontId="13" fillId="0" borderId="28" xfId="5" applyFont="1" applyFill="1" applyBorder="1" applyAlignment="1">
      <alignment horizontal="center" vertical="center"/>
    </xf>
    <xf numFmtId="0" fontId="13" fillId="0" borderId="18" xfId="6" applyNumberFormat="1" applyFont="1" applyFill="1" applyBorder="1" applyAlignment="1">
      <alignment horizontal="center" vertical="center" wrapText="1"/>
    </xf>
    <xf numFmtId="0" fontId="13" fillId="0" borderId="8" xfId="6" applyNumberFormat="1" applyFont="1" applyFill="1" applyBorder="1" applyAlignment="1">
      <alignment horizontal="center" vertical="center" wrapText="1"/>
    </xf>
    <xf numFmtId="0" fontId="21" fillId="0" borderId="3" xfId="5" applyFont="1" applyFill="1" applyBorder="1" applyAlignment="1">
      <alignment horizontal="center" vertical="center"/>
    </xf>
    <xf numFmtId="0" fontId="21" fillId="0" borderId="3" xfId="6" applyNumberFormat="1" applyFont="1" applyFill="1" applyBorder="1" applyAlignment="1">
      <alignment horizontal="center" vertical="center"/>
    </xf>
    <xf numFmtId="0" fontId="22" fillId="0" borderId="0" xfId="5" applyFont="1" applyFill="1" applyAlignment="1">
      <alignment horizontal="center" vertical="center"/>
    </xf>
    <xf numFmtId="0" fontId="23" fillId="0" borderId="19" xfId="0" applyFont="1" applyFill="1" applyBorder="1" applyAlignment="1">
      <alignment horizontal="left" vertical="center"/>
    </xf>
    <xf numFmtId="166" fontId="23" fillId="0" borderId="19" xfId="3" applyNumberFormat="1" applyFont="1" applyFill="1" applyBorder="1" applyAlignment="1">
      <alignment horizontal="right" vertical="center"/>
    </xf>
    <xf numFmtId="169" fontId="23" fillId="0" borderId="19" xfId="3" quotePrefix="1" applyNumberFormat="1" applyFont="1" applyFill="1" applyBorder="1" applyAlignment="1">
      <alignment horizontal="center" vertical="center"/>
    </xf>
    <xf numFmtId="167" fontId="15" fillId="0" borderId="34" xfId="5" applyNumberFormat="1" applyFont="1" applyFill="1" applyBorder="1" applyAlignment="1">
      <alignment horizontal="center" vertical="center"/>
    </xf>
    <xf numFmtId="0" fontId="15" fillId="0" borderId="19" xfId="10" applyFont="1" applyFill="1" applyBorder="1" applyAlignment="1">
      <alignment horizontal="center" vertical="center"/>
    </xf>
    <xf numFmtId="0" fontId="11" fillId="0" borderId="19" xfId="10" applyFill="1" applyBorder="1" applyAlignment="1">
      <alignment horizontal="center" vertical="center"/>
    </xf>
    <xf numFmtId="0" fontId="11" fillId="0" borderId="20" xfId="10" applyFill="1" applyBorder="1" applyAlignment="1">
      <alignment horizontal="center" vertical="center"/>
    </xf>
    <xf numFmtId="170" fontId="15" fillId="0" borderId="20" xfId="5" quotePrefix="1" applyNumberFormat="1" applyFont="1" applyFill="1" applyBorder="1" applyAlignment="1">
      <alignment horizontal="center" vertical="center"/>
    </xf>
    <xf numFmtId="166" fontId="11" fillId="0" borderId="20" xfId="8" applyNumberFormat="1" applyFont="1" applyFill="1" applyBorder="1" applyAlignment="1">
      <alignment vertical="center"/>
    </xf>
    <xf numFmtId="0" fontId="15" fillId="0" borderId="20" xfId="10" applyFont="1" applyFill="1" applyBorder="1" applyAlignment="1">
      <alignment horizontal="center" vertical="center"/>
    </xf>
    <xf numFmtId="169" fontId="23" fillId="0" borderId="20" xfId="3" quotePrefix="1" applyNumberFormat="1" applyFont="1" applyFill="1" applyBorder="1" applyAlignment="1">
      <alignment horizontal="center" vertical="center"/>
    </xf>
    <xf numFmtId="166" fontId="23" fillId="0" borderId="21" xfId="3" applyNumberFormat="1" applyFont="1" applyFill="1" applyBorder="1" applyAlignment="1">
      <alignment horizontal="right" vertical="center"/>
    </xf>
    <xf numFmtId="169" fontId="23" fillId="0" borderId="21" xfId="3" applyNumberFormat="1" applyFont="1" applyFill="1" applyBorder="1" applyAlignment="1">
      <alignment horizontal="center" vertical="center"/>
    </xf>
    <xf numFmtId="0" fontId="11" fillId="0" borderId="21" xfId="5" quotePrefix="1" applyFill="1" applyBorder="1" applyAlignment="1">
      <alignment horizontal="center" vertical="center"/>
    </xf>
    <xf numFmtId="166" fontId="23" fillId="0" borderId="21" xfId="3" quotePrefix="1" applyNumberFormat="1" applyFont="1" applyFill="1" applyBorder="1" applyAlignment="1">
      <alignment horizontal="right" vertical="center"/>
    </xf>
    <xf numFmtId="169" fontId="23" fillId="0" borderId="32" xfId="3" quotePrefix="1" applyNumberFormat="1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vertical="center"/>
    </xf>
    <xf numFmtId="0" fontId="30" fillId="0" borderId="20" xfId="0" applyFont="1" applyFill="1" applyBorder="1" applyAlignment="1">
      <alignment horizontal="center" vertical="center"/>
    </xf>
    <xf numFmtId="0" fontId="11" fillId="0" borderId="45" xfId="10" applyFill="1" applyBorder="1" applyAlignment="1">
      <alignment horizontal="center" vertical="center"/>
    </xf>
    <xf numFmtId="167" fontId="15" fillId="0" borderId="21" xfId="5" applyNumberFormat="1" applyFont="1" applyFill="1" applyBorder="1" applyAlignment="1">
      <alignment horizontal="left" vertical="center"/>
    </xf>
    <xf numFmtId="0" fontId="11" fillId="0" borderId="21" xfId="10" applyFill="1" applyBorder="1" applyAlignment="1">
      <alignment horizontal="center" vertical="center"/>
    </xf>
    <xf numFmtId="166" fontId="11" fillId="0" borderId="21" xfId="8" applyNumberFormat="1" applyFont="1" applyFill="1" applyBorder="1" applyAlignment="1">
      <alignment vertical="center"/>
    </xf>
    <xf numFmtId="167" fontId="15" fillId="0" borderId="20" xfId="5" applyNumberFormat="1" applyFont="1" applyFill="1" applyBorder="1" applyAlignment="1">
      <alignment horizontal="left" vertical="center"/>
    </xf>
    <xf numFmtId="0" fontId="13" fillId="0" borderId="31" xfId="5" quotePrefix="1" applyFont="1" applyFill="1" applyBorder="1" applyAlignment="1">
      <alignment vertical="center"/>
    </xf>
    <xf numFmtId="0" fontId="13" fillId="0" borderId="33" xfId="5" quotePrefix="1" applyFont="1" applyFill="1" applyBorder="1" applyAlignment="1">
      <alignment vertical="center"/>
    </xf>
    <xf numFmtId="166" fontId="13" fillId="0" borderId="31" xfId="3" applyNumberFormat="1" applyFont="1" applyFill="1" applyBorder="1" applyAlignment="1">
      <alignment vertical="center"/>
    </xf>
    <xf numFmtId="0" fontId="13" fillId="0" borderId="0" xfId="5" applyFont="1" applyFill="1" applyAlignment="1">
      <alignment vertical="center"/>
    </xf>
    <xf numFmtId="0" fontId="13" fillId="0" borderId="0" xfId="5" applyFont="1" applyFill="1"/>
    <xf numFmtId="0" fontId="11" fillId="0" borderId="0" xfId="5" applyFill="1"/>
    <xf numFmtId="0" fontId="11" fillId="0" borderId="0" xfId="11" applyFill="1"/>
    <xf numFmtId="0" fontId="11" fillId="0" borderId="0" xfId="11" applyFill="1" applyAlignment="1">
      <alignment horizontal="left"/>
    </xf>
    <xf numFmtId="0" fontId="11" fillId="0" borderId="0" xfId="11" applyFill="1" applyAlignment="1">
      <alignment vertical="center"/>
    </xf>
    <xf numFmtId="1" fontId="15" fillId="0" borderId="0" xfId="12" applyNumberFormat="1" applyFont="1" applyFill="1" applyAlignment="1">
      <alignment horizontal="left" vertical="center"/>
    </xf>
    <xf numFmtId="0" fontId="15" fillId="0" borderId="0" xfId="13" applyFont="1" applyFill="1"/>
    <xf numFmtId="0" fontId="15" fillId="0" borderId="0" xfId="5" applyFont="1" applyFill="1" applyAlignment="1">
      <alignment horizontal="left"/>
    </xf>
    <xf numFmtId="0" fontId="15" fillId="0" borderId="0" xfId="13" applyFont="1" applyFill="1" applyAlignment="1">
      <alignment vertical="center"/>
    </xf>
    <xf numFmtId="0" fontId="15" fillId="0" borderId="0" xfId="5" applyFont="1" applyFill="1"/>
    <xf numFmtId="0" fontId="15" fillId="0" borderId="0" xfId="14" applyFont="1" applyFill="1"/>
    <xf numFmtId="0" fontId="15" fillId="0" borderId="0" xfId="15" applyFill="1" applyAlignment="1">
      <alignment vertical="center"/>
    </xf>
    <xf numFmtId="0" fontId="15" fillId="0" borderId="0" xfId="16" applyFont="1" applyFill="1"/>
    <xf numFmtId="0" fontId="15" fillId="0" borderId="0" xfId="13" applyFont="1" applyFill="1" applyAlignment="1" applyProtection="1">
      <alignment vertical="center"/>
      <protection locked="0"/>
    </xf>
    <xf numFmtId="0" fontId="15" fillId="0" borderId="0" xfId="17" applyFont="1" applyFill="1" applyAlignment="1" applyProtection="1">
      <alignment vertical="center"/>
      <protection locked="0"/>
    </xf>
    <xf numFmtId="0" fontId="18" fillId="0" borderId="0" xfId="14" applyFont="1" applyFill="1"/>
    <xf numFmtId="0" fontId="15" fillId="0" borderId="0" xfId="14" applyFont="1" applyFill="1" applyAlignment="1">
      <alignment horizontal="left"/>
    </xf>
    <xf numFmtId="0" fontId="15" fillId="0" borderId="0" xfId="5" applyFont="1" applyFill="1" applyAlignment="1">
      <alignment vertical="center"/>
    </xf>
    <xf numFmtId="0" fontId="15" fillId="0" borderId="0" xfId="13" applyFont="1" applyFill="1" applyAlignment="1">
      <alignment horizontal="left"/>
    </xf>
    <xf numFmtId="0" fontId="11" fillId="0" borderId="0" xfId="5" applyFill="1" applyAlignment="1" applyProtection="1">
      <alignment horizontal="left" vertical="center"/>
      <protection locked="0"/>
    </xf>
    <xf numFmtId="0" fontId="15" fillId="0" borderId="0" xfId="5" applyFont="1" applyFill="1" applyAlignment="1" applyProtection="1">
      <alignment vertical="center"/>
      <protection locked="0"/>
    </xf>
    <xf numFmtId="0" fontId="15" fillId="0" borderId="0" xfId="13" applyFont="1" applyFill="1" applyAlignment="1" applyProtection="1">
      <alignment horizontal="left" vertical="center"/>
      <protection locked="0"/>
    </xf>
    <xf numFmtId="0" fontId="33" fillId="0" borderId="14" xfId="3" applyNumberFormat="1" applyFont="1" applyFill="1" applyBorder="1" applyAlignment="1">
      <alignment horizontal="center" vertical="top" wrapText="1"/>
    </xf>
    <xf numFmtId="0" fontId="33" fillId="0" borderId="1" xfId="3" applyNumberFormat="1" applyFont="1" applyFill="1" applyBorder="1" applyAlignment="1">
      <alignment horizontal="center" vertical="top" wrapText="1"/>
    </xf>
    <xf numFmtId="0" fontId="33" fillId="0" borderId="1" xfId="0" applyNumberFormat="1" applyFont="1" applyFill="1" applyBorder="1" applyAlignment="1">
      <alignment horizontal="center" vertical="top" wrapText="1"/>
    </xf>
    <xf numFmtId="0" fontId="33" fillId="0" borderId="55" xfId="3" applyNumberFormat="1" applyFont="1" applyFill="1" applyBorder="1" applyAlignment="1">
      <alignment horizontal="center" vertical="top" wrapText="1"/>
    </xf>
    <xf numFmtId="166" fontId="33" fillId="0" borderId="55" xfId="3" applyNumberFormat="1" applyFont="1" applyFill="1" applyBorder="1" applyAlignment="1">
      <alignment horizontal="center" vertical="top" wrapText="1"/>
    </xf>
    <xf numFmtId="166" fontId="33" fillId="0" borderId="1" xfId="3" applyNumberFormat="1" applyFont="1" applyFill="1" applyBorder="1" applyAlignment="1">
      <alignment horizontal="center" vertical="center" wrapText="1"/>
    </xf>
    <xf numFmtId="166" fontId="33" fillId="0" borderId="1" xfId="3" applyNumberFormat="1" applyFont="1" applyFill="1" applyBorder="1" applyAlignment="1">
      <alignment horizontal="center" vertical="top" wrapText="1"/>
    </xf>
    <xf numFmtId="166" fontId="48" fillId="0" borderId="1" xfId="8" applyNumberFormat="1" applyFont="1" applyFill="1" applyBorder="1" applyAlignment="1">
      <alignment horizontal="left" vertical="center" wrapText="1"/>
    </xf>
    <xf numFmtId="168" fontId="11" fillId="0" borderId="20" xfId="6" quotePrefix="1" applyNumberFormat="1" applyFont="1" applyFill="1" applyBorder="1" applyAlignment="1">
      <alignment horizontal="center" vertical="center"/>
    </xf>
    <xf numFmtId="0" fontId="33" fillId="9" borderId="0" xfId="0" applyFont="1" applyFill="1" applyAlignment="1">
      <alignment wrapText="1"/>
    </xf>
    <xf numFmtId="0" fontId="37" fillId="9" borderId="55" xfId="3" applyNumberFormat="1" applyFont="1" applyFill="1" applyBorder="1" applyAlignment="1">
      <alignment horizontal="left" vertical="top" wrapText="1"/>
    </xf>
    <xf numFmtId="2" fontId="33" fillId="9" borderId="1" xfId="0" applyNumberFormat="1" applyFont="1" applyFill="1" applyBorder="1" applyAlignment="1">
      <alignment horizontal="center" wrapText="1"/>
    </xf>
    <xf numFmtId="164" fontId="33" fillId="9" borderId="1" xfId="1" applyFont="1" applyFill="1" applyBorder="1" applyAlignment="1">
      <alignment wrapText="1"/>
    </xf>
    <xf numFmtId="41" fontId="33" fillId="9" borderId="0" xfId="0" applyNumberFormat="1" applyFont="1" applyFill="1" applyAlignment="1">
      <alignment wrapText="1"/>
    </xf>
    <xf numFmtId="164" fontId="33" fillId="9" borderId="0" xfId="1" applyFont="1" applyFill="1" applyAlignment="1">
      <alignment wrapText="1"/>
    </xf>
    <xf numFmtId="166" fontId="36" fillId="10" borderId="1" xfId="8" applyNumberFormat="1" applyFont="1" applyFill="1" applyBorder="1" applyAlignment="1">
      <alignment horizontal="center" vertical="center"/>
    </xf>
    <xf numFmtId="3" fontId="39" fillId="11" borderId="1" xfId="0" applyNumberFormat="1" applyFont="1" applyFill="1" applyBorder="1" applyAlignment="1"/>
    <xf numFmtId="3" fontId="38" fillId="11" borderId="51" xfId="8" applyNumberFormat="1" applyFont="1" applyFill="1" applyBorder="1" applyAlignment="1" applyProtection="1">
      <alignment horizontal="center" vertical="center" wrapText="1"/>
    </xf>
    <xf numFmtId="3" fontId="38" fillId="11" borderId="1" xfId="8" applyNumberFormat="1" applyFont="1" applyFill="1" applyBorder="1" applyAlignment="1" applyProtection="1">
      <alignment horizontal="center" vertical="center" wrapText="1"/>
    </xf>
    <xf numFmtId="166" fontId="38" fillId="11" borderId="1" xfId="8" applyNumberFormat="1" applyFont="1" applyFill="1" applyBorder="1" applyAlignment="1">
      <alignment vertical="center"/>
    </xf>
    <xf numFmtId="0" fontId="11" fillId="10" borderId="20" xfId="5" quotePrefix="1" applyFill="1" applyBorder="1" applyAlignment="1">
      <alignment horizontal="center" vertical="center"/>
    </xf>
    <xf numFmtId="0" fontId="23" fillId="10" borderId="20" xfId="0" applyFont="1" applyFill="1" applyBorder="1" applyAlignment="1">
      <alignment vertical="center"/>
    </xf>
    <xf numFmtId="168" fontId="11" fillId="10" borderId="20" xfId="6" applyNumberFormat="1" applyFont="1" applyFill="1" applyBorder="1" applyAlignment="1">
      <alignment horizontal="center" vertical="center"/>
    </xf>
    <xf numFmtId="169" fontId="15" fillId="10" borderId="20" xfId="6" quotePrefix="1" applyNumberFormat="1" applyFont="1" applyFill="1" applyBorder="1" applyAlignment="1" applyProtection="1">
      <alignment horizontal="center" vertical="center"/>
    </xf>
    <xf numFmtId="167" fontId="15" fillId="10" borderId="20" xfId="5" applyNumberFormat="1" applyFont="1" applyFill="1" applyBorder="1" applyAlignment="1">
      <alignment horizontal="left" vertical="center"/>
    </xf>
    <xf numFmtId="167" fontId="15" fillId="10" borderId="34" xfId="5" applyNumberFormat="1" applyFont="1" applyFill="1" applyBorder="1" applyAlignment="1">
      <alignment horizontal="center" vertical="center"/>
    </xf>
    <xf numFmtId="0" fontId="30" fillId="10" borderId="20" xfId="0" applyFont="1" applyFill="1" applyBorder="1" applyAlignment="1">
      <alignment horizontal="center" vertical="center"/>
    </xf>
    <xf numFmtId="0" fontId="11" fillId="10" borderId="20" xfId="10" applyFill="1" applyBorder="1" applyAlignment="1">
      <alignment horizontal="center" vertical="center"/>
    </xf>
    <xf numFmtId="170" fontId="15" fillId="10" borderId="20" xfId="5" quotePrefix="1" applyNumberFormat="1" applyFont="1" applyFill="1" applyBorder="1" applyAlignment="1">
      <alignment horizontal="center" vertical="center"/>
    </xf>
    <xf numFmtId="41" fontId="11" fillId="10" borderId="20" xfId="6" applyFont="1" applyFill="1" applyBorder="1" applyAlignment="1">
      <alignment vertical="center"/>
    </xf>
    <xf numFmtId="41" fontId="15" fillId="10" borderId="20" xfId="6" applyFont="1" applyFill="1" applyBorder="1" applyAlignment="1" applyProtection="1">
      <alignment horizontal="left" vertical="center"/>
    </xf>
    <xf numFmtId="166" fontId="11" fillId="10" borderId="20" xfId="8" applyNumberFormat="1" applyFont="1" applyFill="1" applyBorder="1" applyAlignment="1">
      <alignment vertical="center"/>
    </xf>
    <xf numFmtId="3" fontId="31" fillId="10" borderId="29" xfId="0" applyNumberFormat="1" applyFont="1" applyFill="1" applyBorder="1"/>
    <xf numFmtId="0" fontId="51" fillId="12" borderId="20" xfId="0" applyFont="1" applyFill="1" applyBorder="1" applyAlignment="1">
      <alignment vertical="center"/>
    </xf>
    <xf numFmtId="168" fontId="52" fillId="12" borderId="20" xfId="6" quotePrefix="1" applyNumberFormat="1" applyFont="1" applyFill="1" applyBorder="1" applyAlignment="1">
      <alignment horizontal="center" vertical="center"/>
    </xf>
    <xf numFmtId="166" fontId="51" fillId="12" borderId="20" xfId="3" quotePrefix="1" applyNumberFormat="1" applyFont="1" applyFill="1" applyBorder="1" applyAlignment="1">
      <alignment horizontal="right" vertical="center"/>
    </xf>
    <xf numFmtId="3" fontId="31" fillId="0" borderId="29" xfId="0" applyNumberFormat="1" applyFont="1" applyFill="1" applyBorder="1" applyAlignment="1">
      <alignment vertical="center"/>
    </xf>
    <xf numFmtId="3" fontId="11" fillId="0" borderId="0" xfId="11" applyNumberFormat="1" applyFill="1"/>
    <xf numFmtId="43" fontId="11" fillId="0" borderId="0" xfId="6" applyNumberFormat="1" applyFont="1" applyFill="1" applyAlignment="1">
      <alignment vertical="center"/>
    </xf>
    <xf numFmtId="166" fontId="11" fillId="0" borderId="0" xfId="7" applyNumberFormat="1" applyFont="1" applyFill="1" applyAlignment="1">
      <alignment vertical="center"/>
    </xf>
    <xf numFmtId="41" fontId="11" fillId="0" borderId="0" xfId="22" applyFont="1" applyFill="1" applyAlignment="1">
      <alignment horizontal="center" vertical="center"/>
    </xf>
    <xf numFmtId="41" fontId="11" fillId="0" borderId="0" xfId="22" applyFont="1" applyFill="1" applyAlignment="1">
      <alignment vertical="center"/>
    </xf>
    <xf numFmtId="41" fontId="54" fillId="0" borderId="0" xfId="22" applyFont="1" applyFill="1" applyAlignment="1">
      <alignment vertical="center"/>
    </xf>
    <xf numFmtId="3" fontId="11" fillId="0" borderId="0" xfId="11" applyNumberFormat="1" applyFont="1"/>
    <xf numFmtId="41" fontId="17" fillId="0" borderId="0" xfId="22" applyFont="1" applyFill="1" applyAlignment="1">
      <alignment vertical="center"/>
    </xf>
    <xf numFmtId="41" fontId="13" fillId="0" borderId="0" xfId="22" applyFont="1" applyFill="1" applyAlignment="1">
      <alignment vertical="center"/>
    </xf>
    <xf numFmtId="41" fontId="55" fillId="0" borderId="0" xfId="22" applyFont="1" applyFill="1" applyAlignment="1">
      <alignment horizontal="center" vertical="center"/>
    </xf>
    <xf numFmtId="41" fontId="53" fillId="0" borderId="0" xfId="22" applyFont="1" applyFill="1" applyAlignment="1">
      <alignment horizontal="center" vertical="center"/>
    </xf>
    <xf numFmtId="0" fontId="11" fillId="0" borderId="0" xfId="5" applyFill="1" applyBorder="1" applyAlignment="1">
      <alignment horizontal="center" vertical="center"/>
    </xf>
    <xf numFmtId="41" fontId="11" fillId="0" borderId="34" xfId="6" applyFont="1" applyFill="1" applyBorder="1" applyAlignment="1">
      <alignment vertical="center"/>
    </xf>
    <xf numFmtId="41" fontId="11" fillId="0" borderId="58" xfId="6" applyFont="1" applyFill="1" applyBorder="1" applyAlignment="1">
      <alignment vertical="center"/>
    </xf>
    <xf numFmtId="41" fontId="13" fillId="0" borderId="58" xfId="22" applyFont="1" applyFill="1" applyBorder="1" applyAlignment="1">
      <alignment horizontal="center" vertical="center"/>
    </xf>
    <xf numFmtId="41" fontId="11" fillId="0" borderId="58" xfId="22" applyFont="1" applyFill="1" applyBorder="1" applyAlignment="1">
      <alignment vertical="center"/>
    </xf>
    <xf numFmtId="41" fontId="53" fillId="0" borderId="58" xfId="22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11" fillId="0" borderId="0" xfId="22" applyFont="1" applyFill="1" applyAlignment="1">
      <alignment horizontal="center" vertical="center"/>
    </xf>
    <xf numFmtId="41" fontId="55" fillId="0" borderId="0" xfId="22" applyFont="1" applyFill="1" applyAlignment="1">
      <alignment horizontal="center" vertical="center"/>
    </xf>
    <xf numFmtId="41" fontId="11" fillId="0" borderId="0" xfId="22" applyFont="1" applyFill="1" applyBorder="1" applyAlignment="1">
      <alignment horizontal="center" vertical="center"/>
    </xf>
    <xf numFmtId="41" fontId="53" fillId="0" borderId="0" xfId="22" applyFont="1" applyFill="1" applyAlignment="1">
      <alignment horizontal="center" vertical="center"/>
    </xf>
    <xf numFmtId="0" fontId="13" fillId="0" borderId="22" xfId="6" applyNumberFormat="1" applyFont="1" applyFill="1" applyBorder="1" applyAlignment="1">
      <alignment horizontal="center" vertical="center" wrapText="1"/>
    </xf>
    <xf numFmtId="0" fontId="13" fillId="0" borderId="48" xfId="6" applyNumberFormat="1" applyFont="1" applyFill="1" applyBorder="1" applyAlignment="1">
      <alignment horizontal="center" vertical="center" wrapText="1"/>
    </xf>
    <xf numFmtId="0" fontId="13" fillId="0" borderId="18" xfId="6" applyNumberFormat="1" applyFont="1" applyFill="1" applyBorder="1" applyAlignment="1">
      <alignment horizontal="center" vertical="center" wrapText="1"/>
    </xf>
    <xf numFmtId="0" fontId="13" fillId="0" borderId="4" xfId="6" applyNumberFormat="1" applyFont="1" applyFill="1" applyBorder="1" applyAlignment="1">
      <alignment horizontal="center" vertical="center" wrapText="1"/>
    </xf>
    <xf numFmtId="0" fontId="13" fillId="0" borderId="11" xfId="6" applyNumberFormat="1" applyFont="1" applyFill="1" applyBorder="1" applyAlignment="1">
      <alignment horizontal="center" vertical="center" wrapText="1"/>
    </xf>
    <xf numFmtId="0" fontId="13" fillId="0" borderId="5" xfId="6" applyNumberFormat="1" applyFont="1" applyFill="1" applyBorder="1" applyAlignment="1">
      <alignment horizontal="center" vertical="center" wrapText="1"/>
    </xf>
    <xf numFmtId="0" fontId="13" fillId="0" borderId="49" xfId="6" applyNumberFormat="1" applyFont="1" applyFill="1" applyBorder="1" applyAlignment="1">
      <alignment horizontal="center" vertical="center" wrapText="1"/>
    </xf>
    <xf numFmtId="0" fontId="13" fillId="0" borderId="46" xfId="6" applyNumberFormat="1" applyFont="1" applyFill="1" applyBorder="1" applyAlignment="1">
      <alignment horizontal="center" vertical="center" wrapText="1"/>
    </xf>
    <xf numFmtId="0" fontId="13" fillId="0" borderId="8" xfId="6" applyNumberFormat="1" applyFont="1" applyFill="1" applyBorder="1" applyAlignment="1">
      <alignment horizontal="center" vertical="center" wrapText="1"/>
    </xf>
    <xf numFmtId="0" fontId="13" fillId="0" borderId="23" xfId="6" applyNumberFormat="1" applyFont="1" applyFill="1" applyBorder="1" applyAlignment="1">
      <alignment horizontal="center" vertical="center" wrapText="1"/>
    </xf>
    <xf numFmtId="0" fontId="13" fillId="0" borderId="47" xfId="6" applyNumberFormat="1" applyFont="1" applyFill="1" applyBorder="1" applyAlignment="1">
      <alignment horizontal="center" vertical="center" wrapText="1"/>
    </xf>
    <xf numFmtId="0" fontId="13" fillId="0" borderId="27" xfId="6" applyNumberFormat="1" applyFont="1" applyFill="1" applyBorder="1" applyAlignment="1">
      <alignment horizontal="center" vertical="center" wrapText="1"/>
    </xf>
    <xf numFmtId="0" fontId="13" fillId="0" borderId="7" xfId="6" applyNumberFormat="1" applyFont="1" applyFill="1" applyBorder="1" applyAlignment="1">
      <alignment horizontal="center" vertical="center" wrapText="1"/>
    </xf>
    <xf numFmtId="0" fontId="13" fillId="0" borderId="14" xfId="6" applyNumberFormat="1" applyFont="1" applyFill="1" applyBorder="1" applyAlignment="1">
      <alignment horizontal="center" vertical="center" wrapText="1"/>
    </xf>
    <xf numFmtId="0" fontId="13" fillId="0" borderId="2" xfId="6" applyNumberFormat="1" applyFont="1" applyFill="1" applyBorder="1" applyAlignment="1">
      <alignment horizontal="center" vertical="center"/>
    </xf>
    <xf numFmtId="0" fontId="13" fillId="0" borderId="16" xfId="6" applyNumberFormat="1" applyFont="1" applyFill="1" applyBorder="1" applyAlignment="1">
      <alignment horizontal="center" vertical="center"/>
    </xf>
    <xf numFmtId="0" fontId="13" fillId="0" borderId="6" xfId="6" applyNumberFormat="1" applyFont="1" applyFill="1" applyBorder="1" applyAlignment="1">
      <alignment horizontal="center" vertical="center"/>
    </xf>
    <xf numFmtId="0" fontId="13" fillId="0" borderId="17" xfId="6" applyNumberFormat="1" applyFont="1" applyFill="1" applyBorder="1" applyAlignment="1">
      <alignment horizontal="center" vertical="center"/>
    </xf>
    <xf numFmtId="0" fontId="13" fillId="0" borderId="7" xfId="6" applyNumberFormat="1" applyFont="1" applyFill="1" applyBorder="1" applyAlignment="1">
      <alignment horizontal="center" vertical="center"/>
    </xf>
    <xf numFmtId="0" fontId="13" fillId="0" borderId="18" xfId="6" applyNumberFormat="1" applyFont="1" applyFill="1" applyBorder="1" applyAlignment="1">
      <alignment horizontal="center" vertical="center"/>
    </xf>
    <xf numFmtId="0" fontId="13" fillId="0" borderId="22" xfId="6" applyNumberFormat="1" applyFont="1" applyFill="1" applyBorder="1" applyAlignment="1">
      <alignment horizontal="center" vertical="center"/>
    </xf>
    <xf numFmtId="0" fontId="13" fillId="0" borderId="24" xfId="6" applyNumberFormat="1" applyFont="1" applyFill="1" applyBorder="1" applyAlignment="1">
      <alignment horizontal="center" vertical="center"/>
    </xf>
    <xf numFmtId="0" fontId="13" fillId="0" borderId="3" xfId="6" applyNumberFormat="1" applyFont="1" applyFill="1" applyBorder="1" applyAlignment="1">
      <alignment horizontal="center" vertical="center" wrapText="1"/>
    </xf>
    <xf numFmtId="0" fontId="13" fillId="0" borderId="4" xfId="5" applyFont="1" applyFill="1" applyBorder="1" applyAlignment="1">
      <alignment horizontal="center" vertical="center"/>
    </xf>
    <xf numFmtId="0" fontId="13" fillId="0" borderId="10" xfId="5" applyFont="1" applyFill="1" applyBorder="1" applyAlignment="1">
      <alignment horizontal="center" vertical="center"/>
    </xf>
    <xf numFmtId="0" fontId="13" fillId="0" borderId="5" xfId="5" applyFont="1" applyFill="1" applyBorder="1" applyAlignment="1">
      <alignment horizontal="center" vertical="center"/>
    </xf>
    <xf numFmtId="0" fontId="13" fillId="0" borderId="15" xfId="5" applyFont="1" applyFill="1" applyBorder="1" applyAlignment="1">
      <alignment horizontal="center" vertical="center"/>
    </xf>
    <xf numFmtId="0" fontId="14" fillId="0" borderId="2" xfId="6" applyNumberFormat="1" applyFont="1" applyFill="1" applyBorder="1" applyAlignment="1">
      <alignment horizontal="center" vertical="center"/>
    </xf>
    <xf numFmtId="0" fontId="14" fillId="0" borderId="16" xfId="6" applyNumberFormat="1" applyFont="1" applyFill="1" applyBorder="1" applyAlignment="1">
      <alignment horizontal="center" vertical="center"/>
    </xf>
    <xf numFmtId="41" fontId="13" fillId="0" borderId="25" xfId="6" applyFont="1" applyFill="1" applyBorder="1" applyAlignment="1">
      <alignment horizontal="center" vertical="center"/>
    </xf>
    <xf numFmtId="41" fontId="13" fillId="0" borderId="26" xfId="6" applyFont="1" applyFill="1" applyBorder="1" applyAlignment="1">
      <alignment horizontal="center" vertical="center"/>
    </xf>
    <xf numFmtId="0" fontId="13" fillId="0" borderId="25" xfId="6" applyNumberFormat="1" applyFont="1" applyFill="1" applyBorder="1" applyAlignment="1">
      <alignment horizontal="center" vertical="center" wrapText="1"/>
    </xf>
    <xf numFmtId="0" fontId="13" fillId="0" borderId="26" xfId="6" applyNumberFormat="1" applyFont="1" applyFill="1" applyBorder="1" applyAlignment="1">
      <alignment horizontal="center" vertical="center"/>
    </xf>
    <xf numFmtId="0" fontId="13" fillId="0" borderId="10" xfId="6" applyNumberFormat="1" applyFont="1" applyFill="1" applyBorder="1" applyAlignment="1">
      <alignment horizontal="center" vertical="center" wrapText="1"/>
    </xf>
    <xf numFmtId="0" fontId="13" fillId="0" borderId="15" xfId="6" applyNumberFormat="1" applyFont="1" applyFill="1" applyBorder="1" applyAlignment="1">
      <alignment horizontal="center" vertical="center"/>
    </xf>
    <xf numFmtId="0" fontId="13" fillId="0" borderId="2" xfId="5" applyFont="1" applyFill="1" applyBorder="1" applyAlignment="1">
      <alignment horizontal="center" vertical="center" wrapText="1"/>
    </xf>
    <xf numFmtId="0" fontId="13" fillId="0" borderId="16" xfId="5" applyFont="1" applyFill="1" applyBorder="1" applyAlignment="1">
      <alignment horizontal="center" vertical="center" wrapText="1"/>
    </xf>
    <xf numFmtId="0" fontId="13" fillId="0" borderId="12" xfId="6" applyNumberFormat="1" applyFont="1" applyFill="1" applyBorder="1" applyAlignment="1">
      <alignment horizontal="center" vertical="center" wrapText="1"/>
    </xf>
    <xf numFmtId="0" fontId="13" fillId="0" borderId="24" xfId="6" applyNumberFormat="1" applyFont="1" applyFill="1" applyBorder="1" applyAlignment="1">
      <alignment horizontal="center" vertical="center" wrapText="1"/>
    </xf>
    <xf numFmtId="0" fontId="13" fillId="0" borderId="9" xfId="5" applyFont="1" applyFill="1" applyBorder="1" applyAlignment="1">
      <alignment horizontal="center" vertical="center" wrapText="1"/>
    </xf>
    <xf numFmtId="0" fontId="13" fillId="0" borderId="8" xfId="5" applyFont="1" applyFill="1" applyBorder="1" applyAlignment="1">
      <alignment horizontal="center" vertical="center" wrapText="1"/>
    </xf>
    <xf numFmtId="0" fontId="13" fillId="0" borderId="6" xfId="5" applyFont="1" applyFill="1" applyBorder="1" applyAlignment="1">
      <alignment horizontal="center" vertical="center" textRotation="90" wrapText="1"/>
    </xf>
    <xf numFmtId="0" fontId="13" fillId="0" borderId="13" xfId="5" applyFont="1" applyFill="1" applyBorder="1" applyAlignment="1">
      <alignment horizontal="center" vertical="center" textRotation="90" wrapText="1"/>
    </xf>
    <xf numFmtId="0" fontId="13" fillId="0" borderId="17" xfId="5" applyFont="1" applyFill="1" applyBorder="1" applyAlignment="1">
      <alignment horizontal="center" vertical="center" textRotation="90" wrapText="1"/>
    </xf>
    <xf numFmtId="41" fontId="13" fillId="0" borderId="7" xfId="6" applyFont="1" applyFill="1" applyBorder="1" applyAlignment="1">
      <alignment horizontal="center" vertical="center"/>
    </xf>
    <xf numFmtId="41" fontId="13" fillId="0" borderId="14" xfId="6" applyFont="1" applyFill="1" applyBorder="1" applyAlignment="1">
      <alignment horizontal="center" vertical="center"/>
    </xf>
    <xf numFmtId="41" fontId="13" fillId="0" borderId="18" xfId="6" applyFont="1" applyFill="1" applyBorder="1" applyAlignment="1">
      <alignment horizontal="center" vertical="center"/>
    </xf>
    <xf numFmtId="41" fontId="13" fillId="0" borderId="7" xfId="6" applyFont="1" applyFill="1" applyBorder="1" applyAlignment="1">
      <alignment horizontal="center" vertical="center" wrapText="1"/>
    </xf>
    <xf numFmtId="0" fontId="13" fillId="0" borderId="8" xfId="6" applyNumberFormat="1" applyFont="1" applyFill="1" applyBorder="1" applyAlignment="1">
      <alignment horizontal="center" vertical="center"/>
    </xf>
    <xf numFmtId="41" fontId="11" fillId="0" borderId="0" xfId="6" applyFont="1" applyFill="1" applyAlignment="1">
      <alignment horizontal="center" vertical="center"/>
    </xf>
    <xf numFmtId="0" fontId="34" fillId="5" borderId="50" xfId="0" applyNumberFormat="1" applyFont="1" applyFill="1" applyBorder="1" applyAlignment="1">
      <alignment horizontal="center" vertical="center"/>
    </xf>
    <xf numFmtId="0" fontId="34" fillId="5" borderId="55" xfId="0" applyNumberFormat="1" applyFont="1" applyFill="1" applyBorder="1" applyAlignment="1">
      <alignment horizontal="center" vertical="center"/>
    </xf>
    <xf numFmtId="0" fontId="35" fillId="5" borderId="50" xfId="0" applyFont="1" applyFill="1" applyBorder="1" applyAlignment="1">
      <alignment horizontal="center" vertical="center"/>
    </xf>
    <xf numFmtId="0" fontId="35" fillId="5" borderId="55" xfId="0" applyFont="1" applyFill="1" applyBorder="1" applyAlignment="1">
      <alignment horizontal="center" vertical="center"/>
    </xf>
    <xf numFmtId="0" fontId="35" fillId="5" borderId="50" xfId="0" applyFont="1" applyFill="1" applyBorder="1" applyAlignment="1">
      <alignment horizontal="center" vertical="center" wrapText="1"/>
    </xf>
    <xf numFmtId="0" fontId="35" fillId="5" borderId="55" xfId="0" applyFont="1" applyFill="1" applyBorder="1" applyAlignment="1">
      <alignment horizontal="center" vertical="center" wrapText="1"/>
    </xf>
    <xf numFmtId="0" fontId="34" fillId="8" borderId="2" xfId="0" applyFont="1" applyFill="1" applyBorder="1" applyAlignment="1">
      <alignment horizontal="center"/>
    </xf>
    <xf numFmtId="0" fontId="34" fillId="8" borderId="46" xfId="0" applyFont="1" applyFill="1" applyBorder="1" applyAlignment="1">
      <alignment horizontal="center"/>
    </xf>
    <xf numFmtId="3" fontId="34" fillId="5" borderId="50" xfId="0" applyNumberFormat="1" applyFont="1" applyFill="1" applyBorder="1" applyAlignment="1">
      <alignment horizontal="center" vertical="center"/>
    </xf>
    <xf numFmtId="3" fontId="34" fillId="5" borderId="55" xfId="0" applyNumberFormat="1" applyFont="1" applyFill="1" applyBorder="1" applyAlignment="1">
      <alignment horizontal="center" vertical="center"/>
    </xf>
    <xf numFmtId="3" fontId="34" fillId="5" borderId="50" xfId="0" applyNumberFormat="1" applyFont="1" applyFill="1" applyBorder="1" applyAlignment="1">
      <alignment horizontal="center" vertical="center" wrapText="1"/>
    </xf>
    <xf numFmtId="3" fontId="34" fillId="5" borderId="55" xfId="0" applyNumberFormat="1" applyFont="1" applyFill="1" applyBorder="1" applyAlignment="1">
      <alignment horizontal="center" vertical="center" wrapText="1"/>
    </xf>
    <xf numFmtId="0" fontId="34" fillId="5" borderId="50" xfId="0" applyFont="1" applyFill="1" applyBorder="1" applyAlignment="1">
      <alignment horizontal="center" vertical="center"/>
    </xf>
    <xf numFmtId="0" fontId="34" fillId="5" borderId="55" xfId="0" applyFont="1" applyFill="1" applyBorder="1" applyAlignment="1">
      <alignment horizontal="center" vertical="center"/>
    </xf>
    <xf numFmtId="0" fontId="34" fillId="5" borderId="50" xfId="0" applyFont="1" applyFill="1" applyBorder="1" applyAlignment="1">
      <alignment horizontal="center" vertical="center" wrapText="1"/>
    </xf>
    <xf numFmtId="0" fontId="34" fillId="5" borderId="55" xfId="0" applyFont="1" applyFill="1" applyBorder="1" applyAlignment="1">
      <alignment horizontal="center" vertical="center" wrapText="1"/>
    </xf>
    <xf numFmtId="0" fontId="34" fillId="8" borderId="50" xfId="0" applyFont="1" applyFill="1" applyBorder="1" applyAlignment="1">
      <alignment horizontal="center" vertical="center"/>
    </xf>
    <xf numFmtId="0" fontId="34" fillId="8" borderId="14" xfId="0" applyFont="1" applyFill="1" applyBorder="1" applyAlignment="1">
      <alignment horizontal="center" vertical="center"/>
    </xf>
    <xf numFmtId="0" fontId="34" fillId="8" borderId="55" xfId="0" applyFont="1" applyFill="1" applyBorder="1" applyAlignment="1">
      <alignment horizontal="center" vertical="center"/>
    </xf>
    <xf numFmtId="0" fontId="34" fillId="5" borderId="51" xfId="0" applyFont="1" applyFill="1" applyBorder="1" applyAlignment="1">
      <alignment horizontal="center" vertical="center"/>
    </xf>
    <xf numFmtId="0" fontId="34" fillId="5" borderId="52" xfId="0" applyFont="1" applyFill="1" applyBorder="1" applyAlignment="1">
      <alignment horizontal="center" vertical="center"/>
    </xf>
    <xf numFmtId="0" fontId="34" fillId="5" borderId="53" xfId="0" applyFont="1" applyFill="1" applyBorder="1" applyAlignment="1">
      <alignment horizontal="center" vertical="center"/>
    </xf>
    <xf numFmtId="0" fontId="34" fillId="0" borderId="50" xfId="0" applyFont="1" applyFill="1" applyBorder="1" applyAlignment="1">
      <alignment horizontal="center" vertical="center"/>
    </xf>
    <xf numFmtId="0" fontId="34" fillId="0" borderId="14" xfId="0" applyFont="1" applyFill="1" applyBorder="1" applyAlignment="1">
      <alignment horizontal="center" vertical="center"/>
    </xf>
    <xf numFmtId="0" fontId="34" fillId="0" borderId="55" xfId="0" applyFont="1" applyFill="1" applyBorder="1" applyAlignment="1">
      <alignment horizontal="center" vertical="center"/>
    </xf>
    <xf numFmtId="0" fontId="34" fillId="0" borderId="54" xfId="0" applyFont="1" applyFill="1" applyBorder="1" applyAlignment="1">
      <alignment horizontal="center" vertical="center"/>
    </xf>
    <xf numFmtId="0" fontId="34" fillId="0" borderId="48" xfId="0" applyFont="1" applyFill="1" applyBorder="1" applyAlignment="1">
      <alignment horizontal="center" vertical="center"/>
    </xf>
    <xf numFmtId="0" fontId="34" fillId="0" borderId="56" xfId="0" applyFont="1" applyFill="1" applyBorder="1" applyAlignment="1">
      <alignment horizontal="center" vertical="center"/>
    </xf>
    <xf numFmtId="0" fontId="34" fillId="0" borderId="51" xfId="0" applyFont="1" applyFill="1" applyBorder="1" applyAlignment="1">
      <alignment horizontal="center" vertical="center"/>
    </xf>
    <xf numFmtId="0" fontId="34" fillId="0" borderId="52" xfId="0" applyFont="1" applyFill="1" applyBorder="1" applyAlignment="1">
      <alignment horizontal="center" vertical="center"/>
    </xf>
    <xf numFmtId="0" fontId="34" fillId="0" borderId="53" xfId="0" applyFont="1" applyFill="1" applyBorder="1" applyAlignment="1">
      <alignment horizontal="center" vertical="center"/>
    </xf>
    <xf numFmtId="0" fontId="44" fillId="0" borderId="50" xfId="0" applyFont="1" applyFill="1" applyBorder="1" applyAlignment="1">
      <alignment horizontal="center" vertical="center" wrapText="1"/>
    </xf>
    <xf numFmtId="0" fontId="44" fillId="0" borderId="55" xfId="0" applyFont="1" applyFill="1" applyBorder="1" applyAlignment="1">
      <alignment horizontal="center" vertical="center" wrapText="1"/>
    </xf>
    <xf numFmtId="0" fontId="44" fillId="0" borderId="50" xfId="0" applyFont="1" applyFill="1" applyBorder="1" applyAlignment="1">
      <alignment horizontal="center" vertical="center"/>
    </xf>
    <xf numFmtId="0" fontId="44" fillId="0" borderId="55" xfId="0" applyFont="1" applyFill="1" applyBorder="1" applyAlignment="1">
      <alignment horizontal="center" vertical="center"/>
    </xf>
    <xf numFmtId="0" fontId="44" fillId="0" borderId="50" xfId="0" applyFont="1" applyFill="1" applyBorder="1" applyAlignment="1">
      <alignment horizontal="center" vertical="top" wrapText="1"/>
    </xf>
    <xf numFmtId="0" fontId="44" fillId="0" borderId="55" xfId="0" applyFont="1" applyFill="1" applyBorder="1" applyAlignment="1">
      <alignment horizontal="center" vertical="top" wrapText="1"/>
    </xf>
    <xf numFmtId="0" fontId="34" fillId="0" borderId="1" xfId="0" applyFont="1" applyFill="1" applyBorder="1" applyAlignment="1">
      <alignment horizontal="center" vertical="center"/>
    </xf>
    <xf numFmtId="0" fontId="34" fillId="0" borderId="2" xfId="0" applyFont="1" applyFill="1" applyBorder="1" applyAlignment="1">
      <alignment horizontal="center"/>
    </xf>
    <xf numFmtId="0" fontId="34" fillId="0" borderId="16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4" fillId="0" borderId="50" xfId="0" applyFont="1" applyFill="1" applyBorder="1" applyAlignment="1">
      <alignment horizontal="center" vertical="center" wrapText="1"/>
    </xf>
    <xf numFmtId="0" fontId="34" fillId="0" borderId="55" xfId="0" applyFont="1" applyFill="1" applyBorder="1" applyAlignment="1">
      <alignment horizontal="center" vertical="center" wrapText="1"/>
    </xf>
    <xf numFmtId="0" fontId="34" fillId="0" borderId="14" xfId="0" applyFont="1" applyFill="1" applyBorder="1" applyAlignment="1">
      <alignment horizontal="center" vertical="center" wrapText="1"/>
    </xf>
    <xf numFmtId="0" fontId="44" fillId="0" borderId="14" xfId="0" applyFont="1" applyFill="1" applyBorder="1" applyAlignment="1">
      <alignment horizontal="center" vertical="center" wrapText="1"/>
    </xf>
    <xf numFmtId="0" fontId="45" fillId="0" borderId="0" xfId="0" applyFont="1" applyFill="1" applyAlignment="1">
      <alignment horizontal="center" vertical="center"/>
    </xf>
    <xf numFmtId="0" fontId="34" fillId="0" borderId="51" xfId="0" applyFont="1" applyFill="1" applyBorder="1" applyAlignment="1">
      <alignment horizontal="center"/>
    </xf>
    <xf numFmtId="0" fontId="34" fillId="0" borderId="52" xfId="0" applyFont="1" applyFill="1" applyBorder="1" applyAlignment="1">
      <alignment horizontal="center"/>
    </xf>
    <xf numFmtId="0" fontId="34" fillId="0" borderId="53" xfId="0" applyFont="1" applyFill="1" applyBorder="1" applyAlignment="1">
      <alignment horizontal="center"/>
    </xf>
    <xf numFmtId="0" fontId="47" fillId="0" borderId="0" xfId="0" applyFont="1" applyFill="1" applyAlignment="1">
      <alignment horizontal="center"/>
    </xf>
    <xf numFmtId="0" fontId="33" fillId="0" borderId="47" xfId="0" applyFont="1" applyFill="1" applyBorder="1" applyAlignment="1">
      <alignment horizontal="center" vertical="center" wrapText="1"/>
    </xf>
    <xf numFmtId="0" fontId="33" fillId="0" borderId="27" xfId="0" applyFont="1" applyFill="1" applyBorder="1" applyAlignment="1">
      <alignment horizontal="center" vertical="center" wrapText="1"/>
    </xf>
    <xf numFmtId="164" fontId="33" fillId="0" borderId="1" xfId="1" applyFont="1" applyFill="1" applyBorder="1" applyAlignment="1">
      <alignment horizontal="center" vertical="center" wrapText="1"/>
    </xf>
    <xf numFmtId="164" fontId="33" fillId="0" borderId="57" xfId="1" applyFont="1" applyFill="1" applyBorder="1" applyAlignment="1">
      <alignment horizontal="center" vertical="center" wrapText="1"/>
    </xf>
    <xf numFmtId="164" fontId="33" fillId="0" borderId="50" xfId="1" applyFont="1" applyFill="1" applyBorder="1" applyAlignment="1">
      <alignment horizontal="center" vertical="center" wrapText="1"/>
    </xf>
    <xf numFmtId="164" fontId="33" fillId="0" borderId="18" xfId="1" applyFont="1" applyFill="1" applyBorder="1" applyAlignment="1">
      <alignment horizontal="center" vertical="center" wrapText="1"/>
    </xf>
    <xf numFmtId="164" fontId="33" fillId="0" borderId="1" xfId="1" applyFont="1" applyFill="1" applyBorder="1" applyAlignment="1">
      <alignment horizontal="center" wrapText="1"/>
    </xf>
    <xf numFmtId="0" fontId="34" fillId="0" borderId="50" xfId="0" applyNumberFormat="1" applyFont="1" applyFill="1" applyBorder="1" applyAlignment="1">
      <alignment horizontal="center" vertical="center"/>
    </xf>
    <xf numFmtId="0" fontId="34" fillId="0" borderId="55" xfId="0" applyNumberFormat="1" applyFont="1" applyFill="1" applyBorder="1" applyAlignment="1">
      <alignment horizontal="center" vertical="center"/>
    </xf>
    <xf numFmtId="0" fontId="32" fillId="0" borderId="51" xfId="0" applyFont="1" applyFill="1" applyBorder="1" applyAlignment="1">
      <alignment horizontal="center"/>
    </xf>
    <xf numFmtId="0" fontId="32" fillId="0" borderId="53" xfId="0" applyFont="1" applyFill="1" applyBorder="1" applyAlignment="1">
      <alignment horizontal="center"/>
    </xf>
  </cellXfs>
  <cellStyles count="23">
    <cellStyle name="Comma" xfId="3" builtinId="3"/>
    <cellStyle name="Comma [0]" xfId="1" builtinId="6"/>
    <cellStyle name="Comma [0] 2" xfId="9"/>
    <cellStyle name="Comma [0] 4" xfId="6"/>
    <cellStyle name="Comma [0] 4 5" xfId="22"/>
    <cellStyle name="Comma 2" xfId="8"/>
    <cellStyle name="Comma 3" xfId="19"/>
    <cellStyle name="Normal" xfId="0" builtinId="0"/>
    <cellStyle name="Normal 2" xfId="4"/>
    <cellStyle name="Normal 2 2" xfId="20"/>
    <cellStyle name="Normal 28" xfId="21"/>
    <cellStyle name="Normal 3" xfId="5"/>
    <cellStyle name="Normal 4" xfId="18"/>
    <cellStyle name="Normal 6 2" xfId="11"/>
    <cellStyle name="Normal_Absent2007 NEWOO" xfId="17"/>
    <cellStyle name="Normal_Book1" xfId="12"/>
    <cellStyle name="Normal_Sheet1" xfId="13"/>
    <cellStyle name="Normal_Sheet1_1" xfId="15"/>
    <cellStyle name="Normal_Sheet3" xfId="16"/>
    <cellStyle name="Normal_TAGIHAN APR-MEI'06" xfId="14"/>
    <cellStyle name="Normal_Tetap" xfId="10"/>
    <cellStyle name="Percent" xfId="2" builtinId="5"/>
    <cellStyle name="Percent 2" xfId="7"/>
  </cellStyles>
  <dxfs count="0"/>
  <tableStyles count="0" defaultTableStyle="TableStyleMedium2" defaultPivotStyle="PivotStyleLight16"/>
  <colors>
    <mruColors>
      <color rgb="FFC4E777"/>
      <color rgb="FFFFFFCC"/>
      <color rgb="FF99FF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ELD%20CONDUCTO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jak\Downloads\KERTAS-KERJA-PPH-21-PP-58-PPh-21-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GAJI%20AIR%20KUNYAL%20DESEMBER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PPH%20SETAHUN%20AIK%20KUNYAL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Jan'24"/>
      <sheetName val="Feb'24"/>
      <sheetName val="Maret'24"/>
      <sheetName val="April'24"/>
      <sheetName val="Mei'24"/>
      <sheetName val="Juni'24"/>
      <sheetName val="Juli'24"/>
      <sheetName val="Agust'24"/>
      <sheetName val="Sept'24"/>
      <sheetName val="Okt'24"/>
      <sheetName val="Nop'24"/>
      <sheetName val="Des'24"/>
      <sheetName val="Des"/>
    </sheetNames>
    <sheetDataSet>
      <sheetData sheetId="0" refreshError="1">
        <row r="3">
          <cell r="B3">
            <v>0</v>
          </cell>
          <cell r="C3" t="str">
            <v>s.d</v>
          </cell>
          <cell r="D3">
            <v>5400000</v>
          </cell>
          <cell r="E3">
            <v>0</v>
          </cell>
          <cell r="H3">
            <v>0</v>
          </cell>
          <cell r="I3" t="str">
            <v>s.d</v>
          </cell>
          <cell r="J3">
            <v>6200000</v>
          </cell>
          <cell r="K3">
            <v>0</v>
          </cell>
          <cell r="N3">
            <v>0</v>
          </cell>
          <cell r="O3" t="str">
            <v>s.d</v>
          </cell>
          <cell r="P3">
            <v>6600000</v>
          </cell>
          <cell r="Q3">
            <v>0</v>
          </cell>
        </row>
        <row r="4">
          <cell r="B4">
            <v>5400001</v>
          </cell>
          <cell r="C4" t="str">
            <v>s.d</v>
          </cell>
          <cell r="D4">
            <v>5650000</v>
          </cell>
          <cell r="E4">
            <v>2.5000000000000001E-3</v>
          </cell>
          <cell r="H4">
            <v>6200001</v>
          </cell>
          <cell r="I4" t="str">
            <v>s.d</v>
          </cell>
          <cell r="J4">
            <v>6500000</v>
          </cell>
          <cell r="K4">
            <v>2.5000000000000001E-3</v>
          </cell>
          <cell r="N4">
            <v>6600001</v>
          </cell>
          <cell r="O4" t="str">
            <v>s.d</v>
          </cell>
          <cell r="P4">
            <v>6950000</v>
          </cell>
          <cell r="Q4">
            <v>2.5000000000000001E-3</v>
          </cell>
        </row>
        <row r="5">
          <cell r="B5">
            <v>5650001</v>
          </cell>
          <cell r="C5" t="str">
            <v>s.d</v>
          </cell>
          <cell r="D5">
            <v>5950000</v>
          </cell>
          <cell r="E5">
            <v>5.0000000000000001E-3</v>
          </cell>
          <cell r="H5">
            <v>6500001</v>
          </cell>
          <cell r="I5" t="str">
            <v>s.d</v>
          </cell>
          <cell r="J5">
            <v>6850000</v>
          </cell>
          <cell r="K5">
            <v>5.0000000000000001E-3</v>
          </cell>
          <cell r="N5">
            <v>6950001</v>
          </cell>
          <cell r="O5" t="str">
            <v>s.d</v>
          </cell>
          <cell r="P5">
            <v>7350000</v>
          </cell>
          <cell r="Q5">
            <v>5.0000000000000001E-3</v>
          </cell>
        </row>
        <row r="6">
          <cell r="B6">
            <v>5950001</v>
          </cell>
          <cell r="C6" t="str">
            <v>s.d</v>
          </cell>
          <cell r="D6">
            <v>6300000</v>
          </cell>
          <cell r="E6">
            <v>7.4999999999999997E-3</v>
          </cell>
          <cell r="H6">
            <v>6850001</v>
          </cell>
          <cell r="I6" t="str">
            <v>s.d</v>
          </cell>
          <cell r="J6">
            <v>7300000</v>
          </cell>
          <cell r="K6">
            <v>7.4999999999999997E-3</v>
          </cell>
          <cell r="N6">
            <v>7350001</v>
          </cell>
          <cell r="O6" t="str">
            <v>s.d</v>
          </cell>
          <cell r="P6">
            <v>7800000</v>
          </cell>
          <cell r="Q6">
            <v>7.4999999999999997E-3</v>
          </cell>
        </row>
        <row r="7">
          <cell r="B7">
            <v>6300001</v>
          </cell>
          <cell r="C7" t="str">
            <v>s.d</v>
          </cell>
          <cell r="D7">
            <v>6750000</v>
          </cell>
          <cell r="E7">
            <v>0.01</v>
          </cell>
          <cell r="H7">
            <v>7300001</v>
          </cell>
          <cell r="I7" t="str">
            <v>s.d</v>
          </cell>
          <cell r="J7">
            <v>9200000</v>
          </cell>
          <cell r="K7">
            <v>0.01</v>
          </cell>
          <cell r="N7">
            <v>7800001</v>
          </cell>
          <cell r="O7" t="str">
            <v>s.d</v>
          </cell>
          <cell r="P7">
            <v>8850000</v>
          </cell>
          <cell r="Q7">
            <v>0.01</v>
          </cell>
        </row>
        <row r="8">
          <cell r="B8">
            <v>6750001</v>
          </cell>
          <cell r="C8" t="str">
            <v>s.d</v>
          </cell>
          <cell r="D8">
            <v>7500000</v>
          </cell>
          <cell r="E8">
            <v>1.2500000000000001E-2</v>
          </cell>
          <cell r="H8">
            <v>9200001</v>
          </cell>
          <cell r="I8" t="str">
            <v>s.d</v>
          </cell>
          <cell r="J8">
            <v>10750000</v>
          </cell>
          <cell r="K8">
            <v>1.4999999999999999E-2</v>
          </cell>
          <cell r="N8">
            <v>8850001</v>
          </cell>
          <cell r="O8" t="str">
            <v>s.d</v>
          </cell>
          <cell r="P8">
            <v>9800000</v>
          </cell>
          <cell r="Q8">
            <v>1.2500000000000001E-2</v>
          </cell>
        </row>
        <row r="9">
          <cell r="B9">
            <v>7500001</v>
          </cell>
          <cell r="C9" t="str">
            <v>s.d</v>
          </cell>
          <cell r="D9">
            <v>8550000</v>
          </cell>
          <cell r="E9">
            <v>1.5000000000000001E-2</v>
          </cell>
          <cell r="H9">
            <v>10750001</v>
          </cell>
          <cell r="I9" t="str">
            <v>s.d</v>
          </cell>
          <cell r="J9">
            <v>11250000</v>
          </cell>
          <cell r="K9">
            <v>0.02</v>
          </cell>
          <cell r="N9">
            <v>9800001</v>
          </cell>
          <cell r="O9" t="str">
            <v>s.d</v>
          </cell>
          <cell r="P9">
            <v>10950000</v>
          </cell>
          <cell r="Q9">
            <v>1.5000000000000001E-2</v>
          </cell>
        </row>
        <row r="10">
          <cell r="B10">
            <v>8550001</v>
          </cell>
          <cell r="C10" t="str">
            <v>s.d</v>
          </cell>
          <cell r="D10">
            <v>9650000</v>
          </cell>
          <cell r="E10">
            <v>1.7500000000000002E-2</v>
          </cell>
          <cell r="H10">
            <v>11250001</v>
          </cell>
          <cell r="I10" t="str">
            <v>s.d</v>
          </cell>
          <cell r="J10">
            <v>11600000</v>
          </cell>
          <cell r="K10">
            <v>2.5000000000000001E-2</v>
          </cell>
          <cell r="N10">
            <v>10950001</v>
          </cell>
          <cell r="O10" t="str">
            <v>s.d</v>
          </cell>
          <cell r="P10">
            <v>11200000</v>
          </cell>
          <cell r="Q10">
            <v>1.7500000000000002E-2</v>
          </cell>
        </row>
        <row r="11">
          <cell r="B11">
            <v>9650001</v>
          </cell>
          <cell r="C11" t="str">
            <v>s.d</v>
          </cell>
          <cell r="D11">
            <v>10050000</v>
          </cell>
          <cell r="E11">
            <v>0.02</v>
          </cell>
          <cell r="H11">
            <v>11600001</v>
          </cell>
          <cell r="I11" t="str">
            <v>s.d</v>
          </cell>
          <cell r="J11">
            <v>12600000</v>
          </cell>
          <cell r="K11">
            <v>3.0000000000000002E-2</v>
          </cell>
          <cell r="N11">
            <v>11200001</v>
          </cell>
          <cell r="O11" t="str">
            <v>s.d</v>
          </cell>
          <cell r="P11">
            <v>12050000</v>
          </cell>
          <cell r="Q11">
            <v>0.02</v>
          </cell>
        </row>
        <row r="12">
          <cell r="B12">
            <v>10050001</v>
          </cell>
          <cell r="C12" t="str">
            <v>s.d</v>
          </cell>
          <cell r="D12">
            <v>10350000</v>
          </cell>
          <cell r="E12">
            <v>2.2499999999999999E-2</v>
          </cell>
          <cell r="H12">
            <v>12600001</v>
          </cell>
          <cell r="I12" t="str">
            <v>s.d</v>
          </cell>
          <cell r="J12">
            <v>13600000</v>
          </cell>
          <cell r="K12">
            <v>0.04</v>
          </cell>
          <cell r="N12">
            <v>12050001</v>
          </cell>
          <cell r="O12" t="str">
            <v>s.d</v>
          </cell>
          <cell r="P12">
            <v>12950000</v>
          </cell>
          <cell r="Q12">
            <v>0.03</v>
          </cell>
        </row>
        <row r="13">
          <cell r="B13">
            <v>10350001</v>
          </cell>
          <cell r="C13" t="str">
            <v>s.d</v>
          </cell>
          <cell r="D13">
            <v>10700000</v>
          </cell>
          <cell r="E13">
            <v>2.4999999999999998E-2</v>
          </cell>
          <cell r="H13">
            <v>13600001</v>
          </cell>
          <cell r="I13" t="str">
            <v>s.d</v>
          </cell>
          <cell r="J13">
            <v>14950000</v>
          </cell>
          <cell r="K13">
            <v>0.05</v>
          </cell>
          <cell r="N13">
            <v>12950001</v>
          </cell>
          <cell r="O13" t="str">
            <v>s.d</v>
          </cell>
          <cell r="P13">
            <v>14150000</v>
          </cell>
          <cell r="Q13">
            <v>0.04</v>
          </cell>
        </row>
        <row r="14">
          <cell r="B14">
            <v>10700001</v>
          </cell>
          <cell r="C14" t="str">
            <v>s.d</v>
          </cell>
          <cell r="D14">
            <v>11050000</v>
          </cell>
          <cell r="E14">
            <v>0.03</v>
          </cell>
          <cell r="H14">
            <v>14950001</v>
          </cell>
          <cell r="I14" t="str">
            <v>s.d</v>
          </cell>
          <cell r="J14">
            <v>16400000</v>
          </cell>
          <cell r="K14">
            <v>6.0000000000000005E-2</v>
          </cell>
          <cell r="N14">
            <v>14150001</v>
          </cell>
          <cell r="O14" t="str">
            <v>s.d</v>
          </cell>
          <cell r="P14">
            <v>1550000</v>
          </cell>
          <cell r="Q14">
            <v>0.05</v>
          </cell>
        </row>
        <row r="15">
          <cell r="B15">
            <v>11050001</v>
          </cell>
          <cell r="C15" t="str">
            <v>s.d</v>
          </cell>
          <cell r="D15">
            <v>11600000</v>
          </cell>
          <cell r="E15">
            <v>3.5000000000000003E-2</v>
          </cell>
          <cell r="H15">
            <v>16400001</v>
          </cell>
          <cell r="I15" t="str">
            <v>s.d</v>
          </cell>
          <cell r="J15">
            <v>18450000</v>
          </cell>
          <cell r="K15">
            <v>7.0000000000000007E-2</v>
          </cell>
          <cell r="N15">
            <v>1550001</v>
          </cell>
          <cell r="O15" t="str">
            <v>s.d</v>
          </cell>
          <cell r="P15">
            <v>17050000</v>
          </cell>
          <cell r="Q15">
            <v>6.0000000000000005E-2</v>
          </cell>
        </row>
        <row r="16">
          <cell r="B16">
            <v>11600001</v>
          </cell>
          <cell r="C16" t="str">
            <v>s.d</v>
          </cell>
          <cell r="D16">
            <v>12500000</v>
          </cell>
          <cell r="E16">
            <v>0.04</v>
          </cell>
          <cell r="H16">
            <v>18450001</v>
          </cell>
          <cell r="I16" t="str">
            <v>s.d</v>
          </cell>
          <cell r="J16">
            <v>21850000</v>
          </cell>
          <cell r="K16">
            <v>0.08</v>
          </cell>
          <cell r="N16">
            <v>17050001</v>
          </cell>
          <cell r="O16" t="str">
            <v>s.d</v>
          </cell>
          <cell r="P16">
            <v>19500000</v>
          </cell>
          <cell r="Q16">
            <v>7.0000000000000007E-2</v>
          </cell>
        </row>
        <row r="17">
          <cell r="B17">
            <v>12500001</v>
          </cell>
          <cell r="C17" t="str">
            <v>s.d</v>
          </cell>
          <cell r="D17">
            <v>13750000</v>
          </cell>
          <cell r="E17">
            <v>0.05</v>
          </cell>
          <cell r="H17">
            <v>21850001</v>
          </cell>
          <cell r="I17" t="str">
            <v>s.d</v>
          </cell>
          <cell r="J17">
            <v>26000000</v>
          </cell>
          <cell r="K17">
            <v>0.09</v>
          </cell>
          <cell r="N17">
            <v>19500001</v>
          </cell>
          <cell r="O17" t="str">
            <v>s.d</v>
          </cell>
          <cell r="P17">
            <v>22700000</v>
          </cell>
          <cell r="Q17">
            <v>0.08</v>
          </cell>
        </row>
        <row r="18">
          <cell r="B18">
            <v>13750001</v>
          </cell>
          <cell r="C18" t="str">
            <v>s.d</v>
          </cell>
          <cell r="D18">
            <v>15100000</v>
          </cell>
          <cell r="E18">
            <v>6.0000000000000005E-2</v>
          </cell>
          <cell r="H18">
            <v>26000001</v>
          </cell>
          <cell r="I18" t="str">
            <v>s.d</v>
          </cell>
          <cell r="J18">
            <v>27700000</v>
          </cell>
          <cell r="K18">
            <v>9.9999999999999992E-2</v>
          </cell>
          <cell r="N18">
            <v>22700001</v>
          </cell>
          <cell r="O18" t="str">
            <v>s.d</v>
          </cell>
          <cell r="P18">
            <v>26600000</v>
          </cell>
          <cell r="Q18">
            <v>0.09</v>
          </cell>
        </row>
        <row r="19">
          <cell r="B19">
            <v>15100001</v>
          </cell>
          <cell r="C19" t="str">
            <v>s.d</v>
          </cell>
          <cell r="D19">
            <v>16950000</v>
          </cell>
          <cell r="E19">
            <v>7.0000000000000007E-2</v>
          </cell>
          <cell r="H19">
            <v>27700001</v>
          </cell>
          <cell r="I19" t="str">
            <v>s.d</v>
          </cell>
          <cell r="J19">
            <v>29350000</v>
          </cell>
          <cell r="K19">
            <v>0.10999999999999999</v>
          </cell>
          <cell r="N19">
            <v>26600001</v>
          </cell>
          <cell r="O19" t="str">
            <v>s.d</v>
          </cell>
          <cell r="P19">
            <v>28100000</v>
          </cell>
          <cell r="Q19">
            <v>9.9999999999999992E-2</v>
          </cell>
        </row>
        <row r="20">
          <cell r="B20">
            <v>16950001</v>
          </cell>
          <cell r="C20" t="str">
            <v>s.d</v>
          </cell>
          <cell r="D20">
            <v>19750000</v>
          </cell>
          <cell r="E20">
            <v>0.08</v>
          </cell>
          <cell r="H20">
            <v>29350001</v>
          </cell>
          <cell r="I20" t="str">
            <v>s.d</v>
          </cell>
          <cell r="J20">
            <v>31450000</v>
          </cell>
          <cell r="K20">
            <v>0.11999999999999998</v>
          </cell>
          <cell r="N20">
            <v>28100001</v>
          </cell>
          <cell r="O20" t="str">
            <v>s.d</v>
          </cell>
          <cell r="P20">
            <v>30100000</v>
          </cell>
          <cell r="Q20">
            <v>0.10999999999999999</v>
          </cell>
        </row>
        <row r="21">
          <cell r="B21">
            <v>19750001</v>
          </cell>
          <cell r="C21" t="str">
            <v>s.d</v>
          </cell>
          <cell r="D21">
            <v>24150000</v>
          </cell>
          <cell r="E21">
            <v>0.09</v>
          </cell>
          <cell r="H21">
            <v>31450001</v>
          </cell>
          <cell r="I21" t="str">
            <v>s.d</v>
          </cell>
          <cell r="J21">
            <v>33950000</v>
          </cell>
          <cell r="K21">
            <v>0.12999999999999998</v>
          </cell>
          <cell r="N21">
            <v>30100001</v>
          </cell>
          <cell r="O21" t="str">
            <v>s.d</v>
          </cell>
          <cell r="P21">
            <v>32600000</v>
          </cell>
          <cell r="Q21">
            <v>0.11999999999999998</v>
          </cell>
        </row>
        <row r="22">
          <cell r="B22">
            <v>24150001</v>
          </cell>
          <cell r="C22" t="str">
            <v>s.d</v>
          </cell>
          <cell r="D22">
            <v>26450000</v>
          </cell>
          <cell r="E22">
            <v>9.9999999999999992E-2</v>
          </cell>
          <cell r="H22">
            <v>33950001</v>
          </cell>
          <cell r="I22" t="str">
            <v>s.d</v>
          </cell>
          <cell r="J22">
            <v>37100000</v>
          </cell>
          <cell r="K22">
            <v>0.13999999999999999</v>
          </cell>
          <cell r="N22">
            <v>32600001</v>
          </cell>
          <cell r="O22" t="str">
            <v>s.d</v>
          </cell>
          <cell r="P22">
            <v>35400000</v>
          </cell>
          <cell r="Q22">
            <v>0.12999999999999998</v>
          </cell>
        </row>
        <row r="23">
          <cell r="B23">
            <v>26450001</v>
          </cell>
          <cell r="C23" t="str">
            <v>s.d</v>
          </cell>
          <cell r="D23">
            <v>28000000</v>
          </cell>
          <cell r="E23">
            <v>0.10999999999999999</v>
          </cell>
          <cell r="H23">
            <v>37100001</v>
          </cell>
          <cell r="I23" t="str">
            <v>s.d</v>
          </cell>
          <cell r="J23">
            <v>41100000</v>
          </cell>
          <cell r="K23">
            <v>0.15</v>
          </cell>
          <cell r="N23">
            <v>35400001</v>
          </cell>
          <cell r="O23" t="str">
            <v>s.d</v>
          </cell>
          <cell r="P23">
            <v>38900000</v>
          </cell>
          <cell r="Q23">
            <v>0.13999999999999999</v>
          </cell>
        </row>
        <row r="24">
          <cell r="B24">
            <v>28000001</v>
          </cell>
          <cell r="C24" t="str">
            <v>s.d</v>
          </cell>
          <cell r="D24">
            <v>30050000</v>
          </cell>
          <cell r="E24">
            <v>0.11999999999999998</v>
          </cell>
          <cell r="H24">
            <v>41100001</v>
          </cell>
          <cell r="I24" t="str">
            <v>s.d</v>
          </cell>
          <cell r="J24">
            <v>45800000</v>
          </cell>
          <cell r="K24">
            <v>0.16</v>
          </cell>
          <cell r="N24">
            <v>38900001</v>
          </cell>
          <cell r="O24" t="str">
            <v>s.d</v>
          </cell>
          <cell r="P24">
            <v>43000000</v>
          </cell>
          <cell r="Q24">
            <v>0.15</v>
          </cell>
        </row>
        <row r="25">
          <cell r="B25">
            <v>30050001</v>
          </cell>
          <cell r="C25" t="str">
            <v>s.d</v>
          </cell>
          <cell r="D25">
            <v>32400000</v>
          </cell>
          <cell r="E25">
            <v>0.12999999999999998</v>
          </cell>
          <cell r="H25">
            <v>45800001</v>
          </cell>
          <cell r="I25" t="str">
            <v>s.d</v>
          </cell>
          <cell r="J25">
            <v>49500000</v>
          </cell>
          <cell r="K25">
            <v>0.17</v>
          </cell>
          <cell r="N25">
            <v>43000001</v>
          </cell>
          <cell r="O25" t="str">
            <v>s.d</v>
          </cell>
          <cell r="P25">
            <v>47400000</v>
          </cell>
          <cell r="Q25">
            <v>0.16</v>
          </cell>
        </row>
        <row r="26">
          <cell r="B26">
            <v>32400001</v>
          </cell>
          <cell r="C26" t="str">
            <v>s.d</v>
          </cell>
          <cell r="D26">
            <v>35400000</v>
          </cell>
          <cell r="E26">
            <v>0.13999999999999999</v>
          </cell>
          <cell r="H26">
            <v>49500001</v>
          </cell>
          <cell r="I26" t="str">
            <v>s.d</v>
          </cell>
          <cell r="J26">
            <v>53800000</v>
          </cell>
          <cell r="K26">
            <v>0.18000000000000002</v>
          </cell>
          <cell r="N26">
            <v>47400001</v>
          </cell>
          <cell r="O26" t="str">
            <v>s.d</v>
          </cell>
          <cell r="P26">
            <v>51200000</v>
          </cell>
          <cell r="Q26">
            <v>0.17</v>
          </cell>
        </row>
        <row r="27">
          <cell r="B27">
            <v>35400001</v>
          </cell>
          <cell r="C27" t="str">
            <v>s.d</v>
          </cell>
          <cell r="D27">
            <v>39100000</v>
          </cell>
          <cell r="E27">
            <v>0.15</v>
          </cell>
          <cell r="H27">
            <v>53800001</v>
          </cell>
          <cell r="I27" t="str">
            <v>s.d</v>
          </cell>
          <cell r="J27">
            <v>58500000</v>
          </cell>
          <cell r="K27">
            <v>0.19000000000000003</v>
          </cell>
          <cell r="N27">
            <v>51200001</v>
          </cell>
          <cell r="O27" t="str">
            <v>s.d</v>
          </cell>
          <cell r="P27">
            <v>55800000</v>
          </cell>
          <cell r="Q27">
            <v>0.18000000000000002</v>
          </cell>
        </row>
        <row r="28">
          <cell r="B28">
            <v>39100001</v>
          </cell>
          <cell r="C28" t="str">
            <v>s.d</v>
          </cell>
          <cell r="D28">
            <v>43850000</v>
          </cell>
          <cell r="E28">
            <v>0.16</v>
          </cell>
          <cell r="H28">
            <v>58500001</v>
          </cell>
          <cell r="I28" t="str">
            <v>s.d</v>
          </cell>
          <cell r="J28">
            <v>64000000</v>
          </cell>
          <cell r="K28">
            <v>0.20000000000000004</v>
          </cell>
          <cell r="N28">
            <v>55800001</v>
          </cell>
          <cell r="O28" t="str">
            <v>s.d</v>
          </cell>
          <cell r="P28">
            <v>60400000</v>
          </cell>
          <cell r="Q28">
            <v>0.19000000000000003</v>
          </cell>
        </row>
        <row r="29">
          <cell r="B29">
            <v>43850001</v>
          </cell>
          <cell r="C29" t="str">
            <v>s.d</v>
          </cell>
          <cell r="D29">
            <v>47800000</v>
          </cell>
          <cell r="E29">
            <v>0.17</v>
          </cell>
          <cell r="H29">
            <v>64000001</v>
          </cell>
          <cell r="I29" t="str">
            <v>s.d</v>
          </cell>
          <cell r="J29">
            <v>71000000</v>
          </cell>
          <cell r="K29">
            <v>0.21000000000000005</v>
          </cell>
          <cell r="N29">
            <v>60400001</v>
          </cell>
          <cell r="O29" t="str">
            <v>s.d</v>
          </cell>
          <cell r="P29">
            <v>66700000</v>
          </cell>
          <cell r="Q29">
            <v>0.20000000000000004</v>
          </cell>
        </row>
        <row r="30">
          <cell r="B30">
            <v>47800001</v>
          </cell>
          <cell r="C30" t="str">
            <v>s.d</v>
          </cell>
          <cell r="D30">
            <v>51400000</v>
          </cell>
          <cell r="E30">
            <v>0.18000000000000002</v>
          </cell>
          <cell r="H30">
            <v>71000001</v>
          </cell>
          <cell r="I30" t="str">
            <v>s.d</v>
          </cell>
          <cell r="J30">
            <v>80000000</v>
          </cell>
          <cell r="K30">
            <v>0.22000000000000006</v>
          </cell>
          <cell r="N30">
            <v>66700001</v>
          </cell>
          <cell r="O30" t="str">
            <v>s.d</v>
          </cell>
          <cell r="P30">
            <v>74500000</v>
          </cell>
          <cell r="Q30">
            <v>0.21000000000000005</v>
          </cell>
        </row>
        <row r="31">
          <cell r="B31">
            <v>51400001</v>
          </cell>
          <cell r="C31" t="str">
            <v>s.d</v>
          </cell>
          <cell r="D31">
            <v>56300000</v>
          </cell>
          <cell r="E31">
            <v>0.19000000000000003</v>
          </cell>
          <cell r="H31">
            <v>80000001</v>
          </cell>
          <cell r="I31" t="str">
            <v>s.d</v>
          </cell>
          <cell r="J31">
            <v>93000000</v>
          </cell>
          <cell r="K31">
            <v>0.23000000000000007</v>
          </cell>
          <cell r="N31">
            <v>74500001</v>
          </cell>
          <cell r="O31" t="str">
            <v>s.d</v>
          </cell>
          <cell r="P31">
            <v>83200000</v>
          </cell>
          <cell r="Q31">
            <v>0.22000000000000006</v>
          </cell>
        </row>
        <row r="32">
          <cell r="B32">
            <v>56300001</v>
          </cell>
          <cell r="C32" t="str">
            <v>s.d</v>
          </cell>
          <cell r="D32">
            <v>62200000</v>
          </cell>
          <cell r="E32">
            <v>0.20000000000000004</v>
          </cell>
          <cell r="H32">
            <v>93000001</v>
          </cell>
          <cell r="I32" t="str">
            <v>s.d</v>
          </cell>
          <cell r="J32">
            <v>109000000</v>
          </cell>
          <cell r="K32">
            <v>0.24000000000000007</v>
          </cell>
          <cell r="N32">
            <v>83200001</v>
          </cell>
          <cell r="O32" t="str">
            <v>s.d</v>
          </cell>
          <cell r="P32">
            <v>95600000</v>
          </cell>
          <cell r="Q32">
            <v>0.23000000000000007</v>
          </cell>
        </row>
        <row r="33">
          <cell r="B33">
            <v>62200001</v>
          </cell>
          <cell r="C33" t="str">
            <v>s.d</v>
          </cell>
          <cell r="D33">
            <v>68600000</v>
          </cell>
          <cell r="E33">
            <v>0.21000000000000005</v>
          </cell>
          <cell r="H33">
            <v>109000001</v>
          </cell>
          <cell r="I33" t="str">
            <v>s.d</v>
          </cell>
          <cell r="J33">
            <v>129000000</v>
          </cell>
          <cell r="K33">
            <v>0.25000000000000006</v>
          </cell>
          <cell r="N33">
            <v>95600001</v>
          </cell>
          <cell r="O33" t="str">
            <v>s.d</v>
          </cell>
          <cell r="P33">
            <v>110000000</v>
          </cell>
          <cell r="Q33">
            <v>0.24000000000000007</v>
          </cell>
        </row>
        <row r="34">
          <cell r="B34">
            <v>68600001</v>
          </cell>
          <cell r="C34" t="str">
            <v>s.d</v>
          </cell>
          <cell r="D34">
            <v>77500000</v>
          </cell>
          <cell r="E34">
            <v>0.22000000000000006</v>
          </cell>
          <cell r="H34">
            <v>129000001</v>
          </cell>
          <cell r="I34" t="str">
            <v>s.d</v>
          </cell>
          <cell r="J34">
            <v>163000000</v>
          </cell>
          <cell r="K34">
            <v>0.26000000000000006</v>
          </cell>
          <cell r="N34">
            <v>110000001</v>
          </cell>
          <cell r="O34" t="str">
            <v>s.d</v>
          </cell>
          <cell r="P34">
            <v>134000000</v>
          </cell>
          <cell r="Q34">
            <v>0.25000000000000006</v>
          </cell>
        </row>
        <row r="35">
          <cell r="B35">
            <v>77500001</v>
          </cell>
          <cell r="C35" t="str">
            <v>s.d</v>
          </cell>
          <cell r="D35">
            <v>89000000</v>
          </cell>
          <cell r="E35">
            <v>0.23000000000000007</v>
          </cell>
          <cell r="H35">
            <v>163000001</v>
          </cell>
          <cell r="I35" t="str">
            <v>s.d</v>
          </cell>
          <cell r="J35">
            <v>211000000</v>
          </cell>
          <cell r="K35">
            <v>0.27000000000000007</v>
          </cell>
          <cell r="N35">
            <v>134000001</v>
          </cell>
          <cell r="O35" t="str">
            <v>s.d</v>
          </cell>
          <cell r="P35">
            <v>169000000</v>
          </cell>
          <cell r="Q35">
            <v>0.26000000000000006</v>
          </cell>
        </row>
        <row r="36">
          <cell r="B36">
            <v>89000001</v>
          </cell>
          <cell r="C36" t="str">
            <v>s.d</v>
          </cell>
          <cell r="D36">
            <v>103000000</v>
          </cell>
          <cell r="E36">
            <v>0.24000000000000007</v>
          </cell>
          <cell r="H36">
            <v>211000001</v>
          </cell>
          <cell r="I36" t="str">
            <v>s.d</v>
          </cell>
          <cell r="J36">
            <v>374000000</v>
          </cell>
          <cell r="K36">
            <v>0.28000000000000008</v>
          </cell>
          <cell r="N36">
            <v>169000001</v>
          </cell>
          <cell r="O36" t="str">
            <v>s.d</v>
          </cell>
          <cell r="P36">
            <v>221000000</v>
          </cell>
          <cell r="Q36">
            <v>0.27000000000000007</v>
          </cell>
        </row>
        <row r="37">
          <cell r="B37">
            <v>103000001</v>
          </cell>
          <cell r="C37" t="str">
            <v>s.d</v>
          </cell>
          <cell r="D37">
            <v>125000000</v>
          </cell>
          <cell r="E37">
            <v>0.25000000000000006</v>
          </cell>
          <cell r="H37">
            <v>374000001</v>
          </cell>
          <cell r="I37" t="str">
            <v>s.d</v>
          </cell>
          <cell r="J37">
            <v>459000000</v>
          </cell>
          <cell r="K37">
            <v>0.29000000000000009</v>
          </cell>
          <cell r="N37">
            <v>221000001</v>
          </cell>
          <cell r="O37" t="str">
            <v>s.d</v>
          </cell>
          <cell r="P37">
            <v>390000000</v>
          </cell>
          <cell r="Q37">
            <v>0.28000000000000008</v>
          </cell>
        </row>
        <row r="38">
          <cell r="B38">
            <v>125000001</v>
          </cell>
          <cell r="C38" t="str">
            <v>s.d</v>
          </cell>
          <cell r="D38">
            <v>157000000</v>
          </cell>
          <cell r="E38">
            <v>0.26000000000000006</v>
          </cell>
          <cell r="H38">
            <v>459000001</v>
          </cell>
          <cell r="I38" t="str">
            <v>s.d</v>
          </cell>
          <cell r="J38">
            <v>555000000</v>
          </cell>
          <cell r="K38">
            <v>0.3000000000000001</v>
          </cell>
          <cell r="N38">
            <v>390000001</v>
          </cell>
          <cell r="O38" t="str">
            <v>s.d</v>
          </cell>
          <cell r="P38">
            <v>463000000</v>
          </cell>
          <cell r="Q38">
            <v>0.29000000000000009</v>
          </cell>
        </row>
        <row r="39">
          <cell r="B39">
            <v>157000001</v>
          </cell>
          <cell r="C39" t="str">
            <v>s.d</v>
          </cell>
          <cell r="D39">
            <v>206000000</v>
          </cell>
          <cell r="E39">
            <v>0.27000000000000007</v>
          </cell>
          <cell r="H39">
            <v>555000001</v>
          </cell>
          <cell r="I39" t="str">
            <v>s.d</v>
          </cell>
          <cell r="J39">
            <v>704000000</v>
          </cell>
          <cell r="K39">
            <v>0.31000000000000011</v>
          </cell>
          <cell r="N39">
            <v>463000001</v>
          </cell>
          <cell r="O39" t="str">
            <v>s.d</v>
          </cell>
          <cell r="P39">
            <v>561000000</v>
          </cell>
          <cell r="Q39">
            <v>0.3000000000000001</v>
          </cell>
        </row>
        <row r="40">
          <cell r="B40">
            <v>206000001</v>
          </cell>
          <cell r="C40" t="str">
            <v>s.d</v>
          </cell>
          <cell r="D40">
            <v>337000000</v>
          </cell>
          <cell r="E40">
            <v>0.28000000000000008</v>
          </cell>
          <cell r="H40">
            <v>704000001</v>
          </cell>
          <cell r="I40" t="str">
            <v>s.d</v>
          </cell>
          <cell r="J40">
            <v>957000000</v>
          </cell>
          <cell r="K40">
            <v>0.32000000000000012</v>
          </cell>
          <cell r="N40">
            <v>561000001</v>
          </cell>
          <cell r="O40" t="str">
            <v>s.d</v>
          </cell>
          <cell r="P40">
            <v>709000000</v>
          </cell>
          <cell r="Q40">
            <v>0.31000000000000011</v>
          </cell>
        </row>
        <row r="41">
          <cell r="B41">
            <v>337000001</v>
          </cell>
          <cell r="C41" t="str">
            <v>s.d</v>
          </cell>
          <cell r="D41">
            <v>454000000</v>
          </cell>
          <cell r="E41">
            <v>0.29000000000000009</v>
          </cell>
          <cell r="H41">
            <v>957000001</v>
          </cell>
          <cell r="I41" t="str">
            <v>s.d</v>
          </cell>
          <cell r="J41">
            <v>1405000000</v>
          </cell>
          <cell r="K41">
            <v>0.33000000000000013</v>
          </cell>
          <cell r="N41">
            <v>709000001</v>
          </cell>
          <cell r="O41" t="str">
            <v>s.d</v>
          </cell>
          <cell r="P41">
            <v>965000000</v>
          </cell>
          <cell r="Q41">
            <v>0.32000000000000012</v>
          </cell>
        </row>
        <row r="42">
          <cell r="B42">
            <v>454000001</v>
          </cell>
          <cell r="C42" t="str">
            <v>s.d</v>
          </cell>
          <cell r="D42">
            <v>550000000</v>
          </cell>
          <cell r="E42">
            <v>0.3000000000000001</v>
          </cell>
          <cell r="H42">
            <v>1405000001</v>
          </cell>
          <cell r="I42" t="str">
            <v>s.d</v>
          </cell>
          <cell r="J42" t="str">
            <v>~~</v>
          </cell>
          <cell r="K42">
            <v>0.34000000000000014</v>
          </cell>
          <cell r="N42">
            <v>965000001</v>
          </cell>
          <cell r="O42" t="str">
            <v>s.d</v>
          </cell>
          <cell r="P42">
            <v>1419000000</v>
          </cell>
          <cell r="Q42">
            <v>0.33000000000000013</v>
          </cell>
        </row>
        <row r="43">
          <cell r="B43">
            <v>550000001</v>
          </cell>
          <cell r="C43" t="str">
            <v>s.d</v>
          </cell>
          <cell r="D43">
            <v>695000000</v>
          </cell>
          <cell r="E43">
            <v>0.31000000000000011</v>
          </cell>
          <cell r="N43">
            <v>1419000001</v>
          </cell>
          <cell r="O43" t="str">
            <v>s.d</v>
          </cell>
          <cell r="P43" t="str">
            <v>~~</v>
          </cell>
          <cell r="Q43">
            <v>0.34000000000000014</v>
          </cell>
        </row>
        <row r="44">
          <cell r="B44">
            <v>695000001</v>
          </cell>
          <cell r="C44" t="str">
            <v>s.d</v>
          </cell>
          <cell r="D44">
            <v>910000000</v>
          </cell>
          <cell r="E44">
            <v>0.32000000000000012</v>
          </cell>
        </row>
        <row r="45">
          <cell r="B45">
            <v>910000001</v>
          </cell>
          <cell r="C45" t="str">
            <v>s.d</v>
          </cell>
          <cell r="D45">
            <v>1400000000</v>
          </cell>
          <cell r="E45">
            <v>0.33000000000000013</v>
          </cell>
        </row>
        <row r="46">
          <cell r="B46">
            <v>1400000001</v>
          </cell>
          <cell r="C46" t="str">
            <v>s.d</v>
          </cell>
          <cell r="D46" t="str">
            <v>~~</v>
          </cell>
          <cell r="E46">
            <v>0.34000000000000014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Bulanan (Jan s.d Nop)"/>
      <sheetName val="Des"/>
    </sheetNames>
    <sheetDataSet>
      <sheetData sheetId="0" refreshError="1">
        <row r="3">
          <cell r="B3">
            <v>0</v>
          </cell>
        </row>
        <row r="18">
          <cell r="S18" t="str">
            <v>TK/0</v>
          </cell>
          <cell r="T18">
            <v>0</v>
          </cell>
          <cell r="U18">
            <v>54000000</v>
          </cell>
        </row>
        <row r="19">
          <cell r="S19" t="str">
            <v>TK/1</v>
          </cell>
          <cell r="T19">
            <v>0</v>
          </cell>
          <cell r="U19">
            <v>58500000</v>
          </cell>
        </row>
        <row r="20">
          <cell r="S20" t="str">
            <v>TK/2</v>
          </cell>
          <cell r="T20">
            <v>0</v>
          </cell>
          <cell r="U20">
            <v>63000000</v>
          </cell>
        </row>
        <row r="21">
          <cell r="S21" t="str">
            <v>TK/3</v>
          </cell>
          <cell r="T21">
            <v>0</v>
          </cell>
          <cell r="U21">
            <v>67500000</v>
          </cell>
        </row>
        <row r="22">
          <cell r="S22" t="str">
            <v>K/0</v>
          </cell>
          <cell r="T22">
            <v>0</v>
          </cell>
          <cell r="U22">
            <v>58500000</v>
          </cell>
        </row>
        <row r="23">
          <cell r="S23" t="str">
            <v>K/1</v>
          </cell>
          <cell r="T23">
            <v>0</v>
          </cell>
          <cell r="U23">
            <v>63000000</v>
          </cell>
        </row>
        <row r="24">
          <cell r="S24" t="str">
            <v>K/2</v>
          </cell>
          <cell r="T24">
            <v>0</v>
          </cell>
          <cell r="U24">
            <v>67500000</v>
          </cell>
        </row>
        <row r="25">
          <cell r="S25" t="str">
            <v>K/3</v>
          </cell>
          <cell r="T25">
            <v>0</v>
          </cell>
          <cell r="U25">
            <v>72000000</v>
          </cell>
        </row>
      </sheetData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1"/>
      <sheetName val="REKON GAJI (2)"/>
      <sheetName val="CEKROL PANEN AIK KUNYAL"/>
      <sheetName val="PRODUKTIFITAS"/>
      <sheetName val="PREMI DAN KOREKSI"/>
      <sheetName val="INSENTIF PANEN"/>
      <sheetName val="PEMBAYARAN PRUNNING"/>
      <sheetName val="DAFTAR UPAH HARVESTING"/>
      <sheetName val="CEKROLL MAINT"/>
      <sheetName val="DAFTAR UPAH MAINTENANCE"/>
      <sheetName val="PREMI OPERATOR"/>
      <sheetName val="KONTANAN"/>
      <sheetName val="PREMI TON (2)"/>
      <sheetName val="PREMI PUPUK"/>
      <sheetName val="DAFTAR UPAH OPERATOR"/>
      <sheetName val="dist OPT AIK KUNYAL"/>
      <sheetName val="SLIP GAJI OPERATOR A KUNYAL"/>
      <sheetName val="PPh21"/>
      <sheetName val="DIST MAINT"/>
      <sheetName val="MAINT.A KUNYAL (BHL)"/>
      <sheetName val="DIST MAINT (BHL)"/>
      <sheetName val="Chart1"/>
      <sheetName val="CEKROL PANEN AIK KUNYAL (BHL)"/>
      <sheetName val="CEKROL PANEN AIK KUNYAL (4)"/>
      <sheetName val="Sheet23"/>
      <sheetName val="DIST HARVESTING  AIK KUNYAL"/>
      <sheetName val="HARVESTING A.KUNYAL (BHL)"/>
      <sheetName val="DIST HARVESTING A KUNYAL ( BHL)"/>
      <sheetName val="SLIP"/>
      <sheetName val="Slip2"/>
      <sheetName val="slip3"/>
      <sheetName val="Sheet1"/>
      <sheetName val="MAINTENANCE 3"/>
      <sheetName val="HARVESTING A.KUNYAL (PERCOBAAN)"/>
      <sheetName val="HARVESTING  KUNYAL PERCOBAAN"/>
      <sheetName val="CEKROLL MAINT (2)"/>
      <sheetName val="CEKROL PLASMA"/>
      <sheetName val="PRUNING PLASMA"/>
      <sheetName val="DAFTAR UPAH PLASMA"/>
      <sheetName val="PERAWATAN  PERCOBAAN AIK LIMPAS"/>
      <sheetName val="HARVESTING AIK LIMPAS PERCO (2"/>
      <sheetName val="PEMBAYARAN PRUNNING plasma"/>
      <sheetName val="dist (HARVESTING PLASMA)"/>
      <sheetName val="PPH"/>
      <sheetName val="Sheet25 (2)"/>
      <sheetName val="REKON GAJI"/>
      <sheetName val="REKENING BRI"/>
      <sheetName val="REKENING BRI (7)"/>
      <sheetName val="REKON"/>
      <sheetName val="FORM REKAP OT"/>
      <sheetName val="Sheet5"/>
      <sheetName val="Sheet6"/>
      <sheetName val="Sheet3"/>
      <sheetName val="BERAS"/>
      <sheetName val="Sheet2"/>
      <sheetName val="Sheet4"/>
      <sheetName val="REKENING BRI (2)"/>
      <sheetName val="Sheet7"/>
      <sheetName val="Sheet8"/>
      <sheetName val="Sheet9"/>
      <sheetName val="Sheet10"/>
      <sheetName val="TIKET"/>
      <sheetName val="REKENING BRI (3)"/>
      <sheetName val="REKENING BRI (4)"/>
      <sheetName val="Sheet12"/>
      <sheetName val="Sheet13"/>
      <sheetName val="Sheet14"/>
      <sheetName val="Sheet15"/>
      <sheetName val="REKENING BRI (5)"/>
      <sheetName val="Sheet16"/>
      <sheetName val="REKENING BRI (6)"/>
      <sheetName val="TENAGA KERJA"/>
      <sheetName val="Sheet19"/>
      <sheetName val="REKENING BRI (8)"/>
      <sheetName val="TIKET (2)"/>
      <sheetName val="REKENING BRI (9)"/>
      <sheetName val="Sheet18"/>
      <sheetName val="CEKROL PANEN AIK KUNYAL (5)"/>
      <sheetName val="Sheet21"/>
      <sheetName val="Sheet24"/>
      <sheetName val="CEKROL PANEN AIK KUNYAL (2)"/>
      <sheetName val="CEKROL PANEN AIK KUNYAL (3)"/>
      <sheetName val="KEHADIRAN"/>
      <sheetName val="DATA CUTI"/>
      <sheetName val="Sheet17"/>
      <sheetName val="Sheet20"/>
      <sheetName val="Sheet20 (2)"/>
      <sheetName val="Sheet20 (3)"/>
      <sheetName val="Sheet22"/>
      <sheetName val="POTONGAN TIKET"/>
      <sheetName val="SUMMARY"/>
      <sheetName val="Sheet27"/>
      <sheetName val="REKAP CUTI TAHUN"/>
      <sheetName val="Sheet28"/>
      <sheetName val="Sheet29"/>
      <sheetName val="REKON GAJI MANUAL VS PLANTW (2"/>
      <sheetName val="Sheet30"/>
      <sheetName val="TIKUS"/>
      <sheetName val="PREMI PUPUK (2)"/>
      <sheetName val="Sheet26"/>
      <sheetName val="Sheet25"/>
      <sheetName val="BERAS DAN MASA KERJA"/>
      <sheetName val="Sheet31"/>
      <sheetName val="Sheet32"/>
      <sheetName val="INSENTIF PANEN (2)"/>
      <sheetName val="Sheet33"/>
      <sheetName val="CEKROL PANEN AIK KUNYAL (6)"/>
      <sheetName val="Sheet34"/>
      <sheetName val="Sheet3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X10">
            <v>29</v>
          </cell>
          <cell r="CR10">
            <v>836922.84</v>
          </cell>
        </row>
        <row r="11">
          <cell r="X11">
            <v>31</v>
          </cell>
          <cell r="CR11">
            <v>1700050</v>
          </cell>
        </row>
        <row r="12">
          <cell r="CR12">
            <v>1481250</v>
          </cell>
        </row>
        <row r="13">
          <cell r="X13">
            <v>31</v>
          </cell>
          <cell r="CR13">
            <v>2443385</v>
          </cell>
        </row>
        <row r="14">
          <cell r="X14">
            <v>31</v>
          </cell>
          <cell r="CR14">
            <v>2513007</v>
          </cell>
        </row>
        <row r="15">
          <cell r="X15">
            <v>31</v>
          </cell>
          <cell r="CR15">
            <v>2109894</v>
          </cell>
        </row>
        <row r="16">
          <cell r="X16">
            <v>31</v>
          </cell>
          <cell r="CR16">
            <v>2371480</v>
          </cell>
        </row>
        <row r="17">
          <cell r="X17">
            <v>29</v>
          </cell>
          <cell r="CR17">
            <v>2150006.222222222</v>
          </cell>
        </row>
        <row r="18">
          <cell r="X18">
            <v>30</v>
          </cell>
          <cell r="CR18">
            <v>2276091</v>
          </cell>
        </row>
        <row r="19">
          <cell r="X19">
            <v>27</v>
          </cell>
          <cell r="CR19">
            <v>2000839.2222222222</v>
          </cell>
        </row>
        <row r="20">
          <cell r="X20">
            <v>30</v>
          </cell>
          <cell r="CR20">
            <v>2090701.4444444445</v>
          </cell>
        </row>
        <row r="21">
          <cell r="X21">
            <v>31</v>
          </cell>
          <cell r="CR21">
            <v>2113695</v>
          </cell>
        </row>
        <row r="22">
          <cell r="X22">
            <v>29</v>
          </cell>
          <cell r="CR22">
            <v>2124076.4444444445</v>
          </cell>
        </row>
        <row r="23">
          <cell r="X23">
            <v>30</v>
          </cell>
          <cell r="CR23">
            <v>2408483</v>
          </cell>
        </row>
        <row r="24">
          <cell r="X24">
            <v>31</v>
          </cell>
          <cell r="CR24">
            <v>2286512</v>
          </cell>
        </row>
        <row r="25">
          <cell r="X25">
            <v>31</v>
          </cell>
          <cell r="CR25">
            <v>1949975.111111111</v>
          </cell>
        </row>
        <row r="26">
          <cell r="X26">
            <v>31</v>
          </cell>
          <cell r="CR26">
            <v>2098725.4444444445</v>
          </cell>
        </row>
        <row r="27">
          <cell r="X27">
            <v>30</v>
          </cell>
          <cell r="CR27">
            <v>2028245.6666666665</v>
          </cell>
        </row>
        <row r="28">
          <cell r="X28">
            <v>29</v>
          </cell>
          <cell r="CR28">
            <v>2030137.7777777778</v>
          </cell>
        </row>
        <row r="29">
          <cell r="X29">
            <v>30</v>
          </cell>
          <cell r="CR29">
            <v>2112187.888888889</v>
          </cell>
        </row>
        <row r="30">
          <cell r="X30">
            <v>31</v>
          </cell>
          <cell r="CR30">
            <v>2327998</v>
          </cell>
        </row>
        <row r="31">
          <cell r="X31">
            <v>30</v>
          </cell>
          <cell r="CR31">
            <v>1997002.2222222222</v>
          </cell>
        </row>
        <row r="32">
          <cell r="X32">
            <v>31</v>
          </cell>
          <cell r="CR32">
            <v>2165982</v>
          </cell>
        </row>
        <row r="33">
          <cell r="X33">
            <v>31</v>
          </cell>
          <cell r="CR33">
            <v>2320614</v>
          </cell>
        </row>
        <row r="34">
          <cell r="X34">
            <v>30</v>
          </cell>
          <cell r="CR34">
            <v>1993940.6666666667</v>
          </cell>
        </row>
        <row r="35">
          <cell r="X35">
            <v>31</v>
          </cell>
          <cell r="CR35">
            <v>3450010.4833206213</v>
          </cell>
        </row>
        <row r="36">
          <cell r="X36">
            <v>31</v>
          </cell>
          <cell r="CR36">
            <v>2232285.111111111</v>
          </cell>
        </row>
      </sheetData>
      <sheetData sheetId="8" refreshError="1"/>
      <sheetData sheetId="9">
        <row r="9">
          <cell r="F9">
            <v>25</v>
          </cell>
          <cell r="J9">
            <v>0</v>
          </cell>
          <cell r="L9">
            <v>0</v>
          </cell>
          <cell r="N9">
            <v>0</v>
          </cell>
          <cell r="P9">
            <v>4</v>
          </cell>
          <cell r="R9">
            <v>1</v>
          </cell>
          <cell r="BN9">
            <v>496009.24</v>
          </cell>
        </row>
        <row r="10">
          <cell r="F10">
            <v>24</v>
          </cell>
          <cell r="J10">
            <v>2</v>
          </cell>
          <cell r="L10">
            <v>0</v>
          </cell>
          <cell r="N10">
            <v>0</v>
          </cell>
          <cell r="P10">
            <v>4</v>
          </cell>
          <cell r="R10">
            <v>1</v>
          </cell>
          <cell r="BN10">
            <v>3705495.98</v>
          </cell>
        </row>
        <row r="11">
          <cell r="F11">
            <v>19</v>
          </cell>
          <cell r="J11">
            <v>5</v>
          </cell>
          <cell r="L11">
            <v>0</v>
          </cell>
          <cell r="N11">
            <v>2</v>
          </cell>
          <cell r="P11">
            <v>4</v>
          </cell>
          <cell r="R11">
            <v>1</v>
          </cell>
          <cell r="BN11">
            <v>120250</v>
          </cell>
        </row>
        <row r="12">
          <cell r="F12">
            <v>22</v>
          </cell>
          <cell r="J12">
            <v>2</v>
          </cell>
          <cell r="L12">
            <v>0</v>
          </cell>
          <cell r="N12">
            <v>2</v>
          </cell>
          <cell r="P12">
            <v>4</v>
          </cell>
          <cell r="R12">
            <v>1</v>
          </cell>
          <cell r="BN12">
            <v>123750</v>
          </cell>
        </row>
        <row r="13">
          <cell r="F13">
            <v>22</v>
          </cell>
          <cell r="J13">
            <v>3</v>
          </cell>
          <cell r="L13">
            <v>1</v>
          </cell>
          <cell r="N13">
            <v>0</v>
          </cell>
          <cell r="P13">
            <v>4</v>
          </cell>
          <cell r="R13">
            <v>1</v>
          </cell>
          <cell r="BN13">
            <v>123750</v>
          </cell>
        </row>
        <row r="14">
          <cell r="F14">
            <v>25</v>
          </cell>
          <cell r="J14">
            <v>1</v>
          </cell>
          <cell r="L14">
            <v>0</v>
          </cell>
          <cell r="N14">
            <v>0</v>
          </cell>
          <cell r="P14">
            <v>4</v>
          </cell>
          <cell r="R14">
            <v>1</v>
          </cell>
          <cell r="BN14">
            <v>123750</v>
          </cell>
        </row>
        <row r="15">
          <cell r="F15">
            <v>20</v>
          </cell>
          <cell r="J15">
            <v>3</v>
          </cell>
          <cell r="L15">
            <v>1</v>
          </cell>
          <cell r="N15">
            <v>2</v>
          </cell>
          <cell r="P15">
            <v>4</v>
          </cell>
          <cell r="R15">
            <v>1</v>
          </cell>
          <cell r="BN15">
            <v>155250</v>
          </cell>
        </row>
        <row r="16">
          <cell r="F16">
            <v>23</v>
          </cell>
          <cell r="J16">
            <v>1</v>
          </cell>
          <cell r="L16">
            <v>1</v>
          </cell>
          <cell r="N16">
            <v>0</v>
          </cell>
          <cell r="P16">
            <v>4</v>
          </cell>
          <cell r="R16">
            <v>1</v>
          </cell>
          <cell r="BN16">
            <v>118000</v>
          </cell>
        </row>
        <row r="17">
          <cell r="F17">
            <v>18</v>
          </cell>
          <cell r="J17">
            <v>3</v>
          </cell>
          <cell r="L17">
            <v>3</v>
          </cell>
          <cell r="N17">
            <v>2</v>
          </cell>
          <cell r="P17">
            <v>4</v>
          </cell>
          <cell r="R17">
            <v>1</v>
          </cell>
          <cell r="BN17">
            <v>120250</v>
          </cell>
        </row>
        <row r="18">
          <cell r="F18">
            <v>20</v>
          </cell>
          <cell r="J18">
            <v>4</v>
          </cell>
          <cell r="L18">
            <v>0</v>
          </cell>
          <cell r="N18">
            <v>2</v>
          </cell>
          <cell r="P18">
            <v>4</v>
          </cell>
          <cell r="R18">
            <v>1</v>
          </cell>
          <cell r="BN18">
            <v>120250</v>
          </cell>
        </row>
        <row r="19">
          <cell r="F19">
            <v>21</v>
          </cell>
          <cell r="J19">
            <v>0</v>
          </cell>
          <cell r="L19">
            <v>2</v>
          </cell>
          <cell r="N19">
            <v>2</v>
          </cell>
          <cell r="P19">
            <v>4</v>
          </cell>
          <cell r="R19">
            <v>1</v>
          </cell>
          <cell r="BN19">
            <v>121500</v>
          </cell>
        </row>
        <row r="20">
          <cell r="F20">
            <v>22</v>
          </cell>
          <cell r="J20">
            <v>1</v>
          </cell>
          <cell r="L20">
            <v>1</v>
          </cell>
          <cell r="N20">
            <v>2</v>
          </cell>
          <cell r="P20">
            <v>4</v>
          </cell>
          <cell r="R20">
            <v>1</v>
          </cell>
          <cell r="BN20">
            <v>123750</v>
          </cell>
        </row>
        <row r="21">
          <cell r="F21">
            <v>26</v>
          </cell>
          <cell r="J21">
            <v>0</v>
          </cell>
          <cell r="L21">
            <v>0</v>
          </cell>
          <cell r="N21">
            <v>0</v>
          </cell>
          <cell r="P21">
            <v>4</v>
          </cell>
          <cell r="R21">
            <v>1</v>
          </cell>
          <cell r="BN21">
            <v>172200</v>
          </cell>
        </row>
        <row r="22">
          <cell r="F22">
            <v>19</v>
          </cell>
          <cell r="J22">
            <v>3</v>
          </cell>
          <cell r="L22">
            <v>2</v>
          </cell>
          <cell r="N22">
            <v>2</v>
          </cell>
          <cell r="P22">
            <v>4</v>
          </cell>
          <cell r="R22">
            <v>1</v>
          </cell>
          <cell r="BN22">
            <v>102750</v>
          </cell>
        </row>
        <row r="23">
          <cell r="F23">
            <v>20</v>
          </cell>
          <cell r="J23">
            <v>2</v>
          </cell>
          <cell r="L23">
            <v>2</v>
          </cell>
          <cell r="N23">
            <v>2</v>
          </cell>
          <cell r="P23">
            <v>4</v>
          </cell>
          <cell r="R23">
            <v>1</v>
          </cell>
          <cell r="BN23">
            <v>163200</v>
          </cell>
        </row>
        <row r="24">
          <cell r="F24">
            <v>24</v>
          </cell>
          <cell r="J24">
            <v>0</v>
          </cell>
          <cell r="L24">
            <v>0</v>
          </cell>
          <cell r="N24">
            <v>2</v>
          </cell>
          <cell r="P24">
            <v>4</v>
          </cell>
          <cell r="R24">
            <v>1</v>
          </cell>
          <cell r="BN24">
            <v>158750</v>
          </cell>
        </row>
        <row r="25">
          <cell r="F25">
            <v>23</v>
          </cell>
          <cell r="J25">
            <v>3</v>
          </cell>
          <cell r="L25">
            <v>0</v>
          </cell>
          <cell r="N25">
            <v>0</v>
          </cell>
          <cell r="P25">
            <v>4</v>
          </cell>
          <cell r="R25">
            <v>1</v>
          </cell>
          <cell r="BN25">
            <v>172200</v>
          </cell>
        </row>
        <row r="26">
          <cell r="BN26">
            <v>273078.32</v>
          </cell>
        </row>
        <row r="27">
          <cell r="F27">
            <v>24</v>
          </cell>
          <cell r="J27">
            <v>0</v>
          </cell>
          <cell r="L27">
            <v>1</v>
          </cell>
          <cell r="N27">
            <v>0</v>
          </cell>
          <cell r="P27">
            <v>4</v>
          </cell>
          <cell r="R27">
            <v>1</v>
          </cell>
          <cell r="BN27">
            <v>118000</v>
          </cell>
        </row>
        <row r="28">
          <cell r="F28">
            <v>18</v>
          </cell>
          <cell r="J28">
            <v>1</v>
          </cell>
          <cell r="L28">
            <v>7</v>
          </cell>
          <cell r="N28">
            <v>0</v>
          </cell>
          <cell r="P28">
            <v>4</v>
          </cell>
          <cell r="R28">
            <v>1</v>
          </cell>
          <cell r="BN28">
            <v>165150</v>
          </cell>
        </row>
        <row r="29">
          <cell r="F29">
            <v>26</v>
          </cell>
          <cell r="J29">
            <v>0</v>
          </cell>
          <cell r="L29">
            <v>0</v>
          </cell>
          <cell r="N29">
            <v>0</v>
          </cell>
          <cell r="P29">
            <v>4</v>
          </cell>
          <cell r="R29">
            <v>1</v>
          </cell>
          <cell r="BN29">
            <v>741832.08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>
        <row r="9">
          <cell r="X9">
            <v>31</v>
          </cell>
        </row>
        <row r="10">
          <cell r="X10">
            <v>31</v>
          </cell>
        </row>
        <row r="11">
          <cell r="X11">
            <v>30</v>
          </cell>
        </row>
        <row r="12">
          <cell r="X12">
            <v>31</v>
          </cell>
        </row>
        <row r="13">
          <cell r="X13">
            <v>31</v>
          </cell>
        </row>
        <row r="14">
          <cell r="X14">
            <v>31</v>
          </cell>
        </row>
      </sheetData>
      <sheetData sheetId="39" refreshError="1"/>
      <sheetData sheetId="40" refreshError="1"/>
      <sheetData sheetId="41" refreshError="1"/>
      <sheetData sheetId="42" refreshError="1"/>
      <sheetData sheetId="43">
        <row r="7">
          <cell r="K7">
            <v>4005820</v>
          </cell>
          <cell r="L7">
            <v>33017.040000000001</v>
          </cell>
          <cell r="M7">
            <v>157224</v>
          </cell>
        </row>
        <row r="8">
          <cell r="K8">
            <v>4005820</v>
          </cell>
          <cell r="L8">
            <v>32840.639999999999</v>
          </cell>
          <cell r="M8">
            <v>156384</v>
          </cell>
        </row>
        <row r="9">
          <cell r="L9">
            <v>32987.64</v>
          </cell>
          <cell r="M9">
            <v>157084</v>
          </cell>
        </row>
        <row r="10">
          <cell r="K10">
            <v>4005820</v>
          </cell>
          <cell r="L10">
            <v>33281.64</v>
          </cell>
          <cell r="M10">
            <v>158484</v>
          </cell>
        </row>
        <row r="11">
          <cell r="K11">
            <v>4005820</v>
          </cell>
          <cell r="L11">
            <v>32987.64</v>
          </cell>
          <cell r="M11">
            <v>157084</v>
          </cell>
        </row>
        <row r="12">
          <cell r="L12">
            <v>33017.040000000001</v>
          </cell>
          <cell r="M12">
            <v>157224</v>
          </cell>
        </row>
        <row r="13">
          <cell r="L13">
            <v>32987.64</v>
          </cell>
          <cell r="M13">
            <v>157084</v>
          </cell>
        </row>
        <row r="14">
          <cell r="L14">
            <v>32987.64</v>
          </cell>
          <cell r="M14">
            <v>157084</v>
          </cell>
        </row>
        <row r="15">
          <cell r="L15">
            <v>33017.040000000001</v>
          </cell>
          <cell r="M15">
            <v>157224</v>
          </cell>
        </row>
        <row r="16">
          <cell r="L16">
            <v>33017.040000000001</v>
          </cell>
          <cell r="M16">
            <v>157224</v>
          </cell>
        </row>
        <row r="17">
          <cell r="L17">
            <v>33017.040000000001</v>
          </cell>
          <cell r="M17">
            <v>157224</v>
          </cell>
        </row>
        <row r="18">
          <cell r="L18">
            <v>33281.64</v>
          </cell>
          <cell r="M18">
            <v>158484</v>
          </cell>
        </row>
        <row r="19">
          <cell r="L19">
            <v>32987.64</v>
          </cell>
          <cell r="M19">
            <v>157084</v>
          </cell>
        </row>
        <row r="20">
          <cell r="L20">
            <v>32987.64</v>
          </cell>
          <cell r="M20">
            <v>157084</v>
          </cell>
        </row>
        <row r="21">
          <cell r="L21">
            <v>32987.64</v>
          </cell>
          <cell r="M21">
            <v>157084</v>
          </cell>
        </row>
        <row r="22">
          <cell r="L22">
            <v>33017.040000000001</v>
          </cell>
          <cell r="M22">
            <v>157224</v>
          </cell>
        </row>
        <row r="23">
          <cell r="L23">
            <v>33017.040000000001</v>
          </cell>
          <cell r="M23">
            <v>157224</v>
          </cell>
        </row>
        <row r="24">
          <cell r="L24">
            <v>33046.439999999995</v>
          </cell>
          <cell r="M24">
            <v>157364</v>
          </cell>
        </row>
        <row r="25">
          <cell r="L25">
            <v>32840.639999999999</v>
          </cell>
          <cell r="M25">
            <v>156384</v>
          </cell>
        </row>
        <row r="26">
          <cell r="L26">
            <v>32840.639999999999</v>
          </cell>
          <cell r="M26">
            <v>156384</v>
          </cell>
        </row>
        <row r="27">
          <cell r="L27">
            <v>33311.040000000001</v>
          </cell>
          <cell r="M27">
            <v>158624</v>
          </cell>
        </row>
        <row r="28">
          <cell r="L28">
            <v>33046.439999999995</v>
          </cell>
          <cell r="M28">
            <v>157364</v>
          </cell>
        </row>
        <row r="29">
          <cell r="L29">
            <v>37384.199999999997</v>
          </cell>
          <cell r="M29">
            <v>178020</v>
          </cell>
        </row>
        <row r="30">
          <cell r="L30">
            <v>32987.64</v>
          </cell>
          <cell r="M30">
            <v>157084</v>
          </cell>
        </row>
        <row r="31">
          <cell r="L31">
            <v>32739.839999999997</v>
          </cell>
          <cell r="M31">
            <v>155904</v>
          </cell>
        </row>
        <row r="32">
          <cell r="L32">
            <v>32584.44</v>
          </cell>
          <cell r="M32">
            <v>155164</v>
          </cell>
        </row>
        <row r="33">
          <cell r="L33">
            <v>32605.439999999999</v>
          </cell>
          <cell r="M33">
            <v>155264</v>
          </cell>
        </row>
        <row r="34">
          <cell r="L34">
            <v>32790.239999999998</v>
          </cell>
          <cell r="M34">
            <v>156144</v>
          </cell>
        </row>
        <row r="35">
          <cell r="L35">
            <v>32790.239999999998</v>
          </cell>
          <cell r="M35">
            <v>156144</v>
          </cell>
        </row>
        <row r="36">
          <cell r="L36">
            <v>32790.239999999998</v>
          </cell>
          <cell r="M36">
            <v>156144</v>
          </cell>
        </row>
        <row r="37">
          <cell r="L37">
            <v>32790.239999999998</v>
          </cell>
          <cell r="M37">
            <v>156144</v>
          </cell>
        </row>
        <row r="38">
          <cell r="L38">
            <v>32790.239999999998</v>
          </cell>
          <cell r="M38">
            <v>156144</v>
          </cell>
        </row>
        <row r="39">
          <cell r="L39">
            <v>32790.239999999998</v>
          </cell>
          <cell r="M39">
            <v>156144</v>
          </cell>
        </row>
        <row r="40">
          <cell r="L40">
            <v>32765.039999999997</v>
          </cell>
          <cell r="M40">
            <v>156024</v>
          </cell>
        </row>
        <row r="41">
          <cell r="L41">
            <v>32739.839999999997</v>
          </cell>
          <cell r="M41">
            <v>155904</v>
          </cell>
        </row>
        <row r="42">
          <cell r="L42">
            <v>32840.639999999999</v>
          </cell>
          <cell r="M42">
            <v>156384</v>
          </cell>
        </row>
        <row r="43">
          <cell r="L43">
            <v>32790.239999999998</v>
          </cell>
          <cell r="M43">
            <v>156144</v>
          </cell>
        </row>
        <row r="44">
          <cell r="L44">
            <v>32790.239999999998</v>
          </cell>
          <cell r="M44">
            <v>156144</v>
          </cell>
        </row>
        <row r="45">
          <cell r="L45">
            <v>32790.239999999998</v>
          </cell>
          <cell r="M45">
            <v>156144</v>
          </cell>
        </row>
        <row r="46">
          <cell r="L46">
            <v>32739.839999999997</v>
          </cell>
          <cell r="M46">
            <v>155904</v>
          </cell>
        </row>
        <row r="47">
          <cell r="L47">
            <v>32790.239999999998</v>
          </cell>
          <cell r="M47">
            <v>156144</v>
          </cell>
        </row>
        <row r="48">
          <cell r="L48">
            <v>32790.239999999998</v>
          </cell>
          <cell r="M48">
            <v>156144</v>
          </cell>
        </row>
        <row r="49">
          <cell r="L49">
            <v>32668.44</v>
          </cell>
          <cell r="M49">
            <v>155564</v>
          </cell>
        </row>
        <row r="50">
          <cell r="L50">
            <v>32626.44</v>
          </cell>
          <cell r="M50">
            <v>155364</v>
          </cell>
        </row>
        <row r="51">
          <cell r="L51">
            <v>32790.239999999998</v>
          </cell>
          <cell r="M51">
            <v>156144</v>
          </cell>
        </row>
        <row r="52">
          <cell r="L52">
            <v>32739.839999999997</v>
          </cell>
          <cell r="M52">
            <v>155904</v>
          </cell>
        </row>
        <row r="53">
          <cell r="L53">
            <v>32739.839999999997</v>
          </cell>
          <cell r="M53">
            <v>155904</v>
          </cell>
        </row>
        <row r="54">
          <cell r="L54">
            <v>32790.239999999998</v>
          </cell>
          <cell r="M54">
            <v>156144</v>
          </cell>
        </row>
        <row r="55">
          <cell r="L55">
            <v>32605.439999999999</v>
          </cell>
          <cell r="M55">
            <v>155264</v>
          </cell>
        </row>
        <row r="56">
          <cell r="L56">
            <v>32584.44</v>
          </cell>
          <cell r="M56">
            <v>155164</v>
          </cell>
        </row>
        <row r="57">
          <cell r="L57">
            <v>32584.44</v>
          </cell>
          <cell r="M57">
            <v>155164</v>
          </cell>
        </row>
        <row r="58">
          <cell r="L58">
            <v>32584.44</v>
          </cell>
          <cell r="M58">
            <v>155164</v>
          </cell>
        </row>
        <row r="60">
          <cell r="L60">
            <v>33021.24</v>
          </cell>
          <cell r="M60">
            <v>157244</v>
          </cell>
        </row>
        <row r="61">
          <cell r="L61">
            <v>32790.239999999998</v>
          </cell>
          <cell r="M61">
            <v>156144</v>
          </cell>
        </row>
        <row r="62">
          <cell r="L62">
            <v>32790.239999999998</v>
          </cell>
          <cell r="M62">
            <v>156144</v>
          </cell>
        </row>
        <row r="63">
          <cell r="L63">
            <v>32790.239999999998</v>
          </cell>
          <cell r="M63">
            <v>156144</v>
          </cell>
        </row>
        <row r="64">
          <cell r="L64">
            <v>32790.239999999998</v>
          </cell>
          <cell r="M64">
            <v>156144</v>
          </cell>
        </row>
        <row r="65">
          <cell r="L65">
            <v>32790.239999999998</v>
          </cell>
          <cell r="M65">
            <v>156144</v>
          </cell>
        </row>
        <row r="66">
          <cell r="L66">
            <v>32840.639999999999</v>
          </cell>
          <cell r="M66">
            <v>156384</v>
          </cell>
        </row>
        <row r="67">
          <cell r="L67">
            <v>32790.239999999998</v>
          </cell>
          <cell r="M67">
            <v>156144</v>
          </cell>
        </row>
      </sheetData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LANAN PTKP BARU"/>
      <sheetName val="TAHUNAN"/>
      <sheetName val="Sheet2"/>
      <sheetName val="Sheet3"/>
      <sheetName val="Sheet1 (3)"/>
      <sheetName val="Sheet4"/>
      <sheetName val="Sheet4 (2)"/>
      <sheetName val="Sheet1 (4)"/>
      <sheetName val="Sheet7"/>
      <sheetName val="BPJS KESEHATAN"/>
      <sheetName val="SELISIH"/>
      <sheetName val="data karyawan (2)"/>
      <sheetName val="data karyawan"/>
    </sheetNames>
    <sheetDataSet>
      <sheetData sheetId="0" refreshError="1">
        <row r="8">
          <cell r="A8">
            <v>1</v>
          </cell>
        </row>
        <row r="9">
          <cell r="A9">
            <v>2</v>
          </cell>
        </row>
        <row r="10">
          <cell r="A10">
            <v>3</v>
          </cell>
        </row>
        <row r="11">
          <cell r="A11">
            <v>4</v>
          </cell>
        </row>
        <row r="12">
          <cell r="A12">
            <v>5</v>
          </cell>
        </row>
        <row r="13">
          <cell r="A13">
            <v>6</v>
          </cell>
        </row>
        <row r="14">
          <cell r="A14">
            <v>7</v>
          </cell>
        </row>
        <row r="15">
          <cell r="A15">
            <v>8</v>
          </cell>
        </row>
        <row r="16">
          <cell r="A16">
            <v>9</v>
          </cell>
        </row>
        <row r="17">
          <cell r="A17">
            <v>10</v>
          </cell>
        </row>
        <row r="18">
          <cell r="A18">
            <v>11</v>
          </cell>
        </row>
        <row r="19">
          <cell r="A19">
            <v>12</v>
          </cell>
        </row>
        <row r="20">
          <cell r="A20">
            <v>13</v>
          </cell>
        </row>
        <row r="21">
          <cell r="A21">
            <v>14</v>
          </cell>
        </row>
        <row r="22">
          <cell r="A22">
            <v>15</v>
          </cell>
        </row>
        <row r="23">
          <cell r="A23">
            <v>16</v>
          </cell>
        </row>
        <row r="24">
          <cell r="A24">
            <v>17</v>
          </cell>
        </row>
        <row r="25">
          <cell r="A25">
            <v>18</v>
          </cell>
        </row>
        <row r="26">
          <cell r="A26">
            <v>19</v>
          </cell>
        </row>
        <row r="27">
          <cell r="A27">
            <v>20</v>
          </cell>
        </row>
        <row r="28">
          <cell r="A28">
            <v>21</v>
          </cell>
        </row>
        <row r="29">
          <cell r="A29">
            <v>22</v>
          </cell>
        </row>
        <row r="30">
          <cell r="A30">
            <v>23</v>
          </cell>
        </row>
        <row r="31">
          <cell r="A31">
            <v>24</v>
          </cell>
        </row>
        <row r="32">
          <cell r="A32">
            <v>25</v>
          </cell>
        </row>
        <row r="33">
          <cell r="A33">
            <v>26</v>
          </cell>
        </row>
        <row r="34">
          <cell r="A34">
            <v>27</v>
          </cell>
        </row>
        <row r="35">
          <cell r="A35">
            <v>28</v>
          </cell>
        </row>
        <row r="36">
          <cell r="A36">
            <v>29</v>
          </cell>
        </row>
        <row r="37">
          <cell r="A37">
            <v>30</v>
          </cell>
        </row>
        <row r="38">
          <cell r="A38">
            <v>31</v>
          </cell>
        </row>
        <row r="39">
          <cell r="A39">
            <v>32</v>
          </cell>
        </row>
        <row r="40">
          <cell r="A40">
            <v>33</v>
          </cell>
        </row>
        <row r="41">
          <cell r="A41">
            <v>34</v>
          </cell>
        </row>
        <row r="42">
          <cell r="A42">
            <v>35</v>
          </cell>
        </row>
        <row r="43">
          <cell r="A43">
            <v>36</v>
          </cell>
        </row>
        <row r="44">
          <cell r="A44">
            <v>37</v>
          </cell>
        </row>
        <row r="45">
          <cell r="A45">
            <v>38</v>
          </cell>
        </row>
        <row r="46">
          <cell r="A46">
            <v>39</v>
          </cell>
        </row>
        <row r="47">
          <cell r="A47">
            <v>40</v>
          </cell>
        </row>
        <row r="48">
          <cell r="A48">
            <v>41</v>
          </cell>
        </row>
        <row r="49">
          <cell r="A49">
            <v>42</v>
          </cell>
        </row>
        <row r="50">
          <cell r="A50">
            <v>43</v>
          </cell>
        </row>
        <row r="51">
          <cell r="A51">
            <v>44</v>
          </cell>
        </row>
        <row r="52">
          <cell r="A52">
            <v>45</v>
          </cell>
        </row>
        <row r="53">
          <cell r="A53">
            <v>46</v>
          </cell>
        </row>
        <row r="54">
          <cell r="A54">
            <v>47</v>
          </cell>
        </row>
        <row r="55">
          <cell r="A55">
            <v>48</v>
          </cell>
        </row>
        <row r="56">
          <cell r="A56">
            <v>49</v>
          </cell>
        </row>
        <row r="57">
          <cell r="A57">
            <v>50</v>
          </cell>
        </row>
        <row r="58">
          <cell r="A58">
            <v>51</v>
          </cell>
        </row>
        <row r="59">
          <cell r="A59">
            <v>52</v>
          </cell>
        </row>
        <row r="60">
          <cell r="A60">
            <v>53</v>
          </cell>
        </row>
        <row r="61">
          <cell r="A61">
            <v>54</v>
          </cell>
        </row>
        <row r="62">
          <cell r="A62">
            <v>55</v>
          </cell>
        </row>
        <row r="63">
          <cell r="A63">
            <v>56</v>
          </cell>
        </row>
        <row r="64">
          <cell r="A64">
            <v>57</v>
          </cell>
        </row>
        <row r="65">
          <cell r="A65">
            <v>58</v>
          </cell>
        </row>
        <row r="66">
          <cell r="A66">
            <v>59</v>
          </cell>
        </row>
        <row r="67">
          <cell r="A67">
            <v>60</v>
          </cell>
        </row>
        <row r="68">
          <cell r="A68">
            <v>61</v>
          </cell>
        </row>
        <row r="69">
          <cell r="A69">
            <v>62</v>
          </cell>
        </row>
        <row r="70">
          <cell r="A70">
            <v>63</v>
          </cell>
        </row>
        <row r="71">
          <cell r="A71">
            <v>64</v>
          </cell>
        </row>
        <row r="72">
          <cell r="A72">
            <v>65</v>
          </cell>
        </row>
        <row r="73">
          <cell r="A73">
            <v>66</v>
          </cell>
        </row>
        <row r="74">
          <cell r="A74">
            <v>67</v>
          </cell>
        </row>
        <row r="75">
          <cell r="A75">
            <v>68</v>
          </cell>
        </row>
        <row r="76">
          <cell r="A76">
            <v>69</v>
          </cell>
        </row>
        <row r="77">
          <cell r="A77">
            <v>70</v>
          </cell>
        </row>
        <row r="78">
          <cell r="A78">
            <v>71</v>
          </cell>
        </row>
        <row r="79">
          <cell r="A79">
            <v>72</v>
          </cell>
        </row>
        <row r="80">
          <cell r="A80">
            <v>73</v>
          </cell>
        </row>
        <row r="81">
          <cell r="A81">
            <v>74</v>
          </cell>
        </row>
        <row r="82">
          <cell r="A82">
            <v>75</v>
          </cell>
        </row>
        <row r="83">
          <cell r="A83">
            <v>76</v>
          </cell>
        </row>
        <row r="84">
          <cell r="A84">
            <v>77</v>
          </cell>
        </row>
        <row r="85">
          <cell r="A85">
            <v>78</v>
          </cell>
        </row>
        <row r="86">
          <cell r="A86">
            <v>79</v>
          </cell>
        </row>
        <row r="87">
          <cell r="A87">
            <v>80</v>
          </cell>
        </row>
        <row r="88">
          <cell r="A88">
            <v>81</v>
          </cell>
        </row>
        <row r="89">
          <cell r="A89">
            <v>82</v>
          </cell>
        </row>
        <row r="90">
          <cell r="A90">
            <v>83</v>
          </cell>
        </row>
        <row r="91">
          <cell r="A91">
            <v>84</v>
          </cell>
        </row>
        <row r="92">
          <cell r="A92">
            <v>85</v>
          </cell>
        </row>
        <row r="93">
          <cell r="A93">
            <v>86</v>
          </cell>
        </row>
        <row r="94">
          <cell r="A94">
            <v>87</v>
          </cell>
        </row>
        <row r="95">
          <cell r="A95">
            <v>88</v>
          </cell>
        </row>
        <row r="96">
          <cell r="A96">
            <v>89</v>
          </cell>
        </row>
        <row r="97">
          <cell r="A97">
            <v>90</v>
          </cell>
        </row>
        <row r="98">
          <cell r="A98">
            <v>91</v>
          </cell>
        </row>
        <row r="99">
          <cell r="A99">
            <v>92</v>
          </cell>
        </row>
        <row r="100">
          <cell r="A100">
            <v>93</v>
          </cell>
        </row>
        <row r="101">
          <cell r="A101">
            <v>94</v>
          </cell>
        </row>
        <row r="102">
          <cell r="A102">
            <v>95</v>
          </cell>
        </row>
        <row r="103">
          <cell r="A103">
            <v>96</v>
          </cell>
        </row>
        <row r="104">
          <cell r="A104">
            <v>97</v>
          </cell>
        </row>
        <row r="105">
          <cell r="A105">
            <v>98</v>
          </cell>
        </row>
        <row r="106">
          <cell r="A106">
            <v>99</v>
          </cell>
        </row>
        <row r="107">
          <cell r="A107">
            <v>100</v>
          </cell>
        </row>
        <row r="108">
          <cell r="A108">
            <v>101</v>
          </cell>
        </row>
        <row r="109">
          <cell r="A109">
            <v>102</v>
          </cell>
        </row>
        <row r="123">
          <cell r="W123">
            <v>328681</v>
          </cell>
        </row>
        <row r="124">
          <cell r="W124">
            <v>290437</v>
          </cell>
        </row>
        <row r="125">
          <cell r="W125">
            <v>400569</v>
          </cell>
        </row>
        <row r="126">
          <cell r="W126">
            <v>308597</v>
          </cell>
        </row>
        <row r="127">
          <cell r="W127">
            <v>316301</v>
          </cell>
        </row>
        <row r="128">
          <cell r="W128">
            <v>316860</v>
          </cell>
        </row>
        <row r="129">
          <cell r="W129">
            <v>81185</v>
          </cell>
        </row>
        <row r="131">
          <cell r="W131">
            <v>117052</v>
          </cell>
        </row>
        <row r="132">
          <cell r="W132">
            <v>117159</v>
          </cell>
        </row>
        <row r="133">
          <cell r="W133">
            <v>117159</v>
          </cell>
        </row>
        <row r="134">
          <cell r="W134">
            <v>117159</v>
          </cell>
        </row>
        <row r="135">
          <cell r="W135">
            <v>115734</v>
          </cell>
        </row>
        <row r="136">
          <cell r="W136">
            <v>115198</v>
          </cell>
        </row>
        <row r="137">
          <cell r="W137">
            <v>117052</v>
          </cell>
        </row>
        <row r="138">
          <cell r="W138">
            <v>117052</v>
          </cell>
        </row>
        <row r="139">
          <cell r="W139">
            <v>117212</v>
          </cell>
        </row>
        <row r="140">
          <cell r="W140">
            <v>117159</v>
          </cell>
        </row>
        <row r="141">
          <cell r="W141">
            <v>118501</v>
          </cell>
        </row>
        <row r="142">
          <cell r="W142">
            <v>116547</v>
          </cell>
        </row>
        <row r="143">
          <cell r="W143">
            <v>116547</v>
          </cell>
        </row>
        <row r="144">
          <cell r="W144">
            <v>79504</v>
          </cell>
        </row>
        <row r="145">
          <cell r="W145">
            <v>117587</v>
          </cell>
        </row>
        <row r="146">
          <cell r="W146">
            <v>119606</v>
          </cell>
        </row>
        <row r="147">
          <cell r="W147">
            <v>142950</v>
          </cell>
        </row>
        <row r="148">
          <cell r="W148">
            <v>117052</v>
          </cell>
        </row>
        <row r="149">
          <cell r="W149">
            <v>516627</v>
          </cell>
        </row>
        <row r="150">
          <cell r="W150">
            <v>118443</v>
          </cell>
        </row>
        <row r="151">
          <cell r="W151">
            <v>113851</v>
          </cell>
        </row>
        <row r="152">
          <cell r="W152">
            <v>222758</v>
          </cell>
        </row>
        <row r="153">
          <cell r="W153">
            <v>180239</v>
          </cell>
        </row>
        <row r="154">
          <cell r="W154">
            <v>141990</v>
          </cell>
        </row>
        <row r="155">
          <cell r="W155">
            <v>139592</v>
          </cell>
        </row>
        <row r="156">
          <cell r="W156">
            <v>141292</v>
          </cell>
        </row>
        <row r="157">
          <cell r="W157">
            <v>141781</v>
          </cell>
        </row>
        <row r="158">
          <cell r="W158">
            <v>173703</v>
          </cell>
        </row>
        <row r="159">
          <cell r="W159">
            <v>91103</v>
          </cell>
        </row>
        <row r="160">
          <cell r="W160">
            <v>138277</v>
          </cell>
        </row>
        <row r="161">
          <cell r="W161">
            <v>141161</v>
          </cell>
        </row>
        <row r="162">
          <cell r="W162">
            <v>141511</v>
          </cell>
        </row>
        <row r="163">
          <cell r="W163">
            <v>143772</v>
          </cell>
        </row>
        <row r="164">
          <cell r="W164">
            <v>202517</v>
          </cell>
        </row>
        <row r="165">
          <cell r="W165">
            <v>207620</v>
          </cell>
        </row>
        <row r="166">
          <cell r="W166">
            <v>166737</v>
          </cell>
        </row>
        <row r="167">
          <cell r="W167">
            <v>203993</v>
          </cell>
        </row>
        <row r="168">
          <cell r="W168">
            <v>140830</v>
          </cell>
        </row>
        <row r="169">
          <cell r="W169">
            <v>172504</v>
          </cell>
        </row>
        <row r="170">
          <cell r="W170">
            <v>141008</v>
          </cell>
        </row>
        <row r="171">
          <cell r="W171">
            <v>144598</v>
          </cell>
        </row>
        <row r="172">
          <cell r="W172">
            <v>292243</v>
          </cell>
        </row>
        <row r="173">
          <cell r="W173">
            <v>175761</v>
          </cell>
        </row>
        <row r="174">
          <cell r="W174">
            <v>218355</v>
          </cell>
        </row>
        <row r="175">
          <cell r="W175">
            <v>91577</v>
          </cell>
        </row>
        <row r="176">
          <cell r="W176">
            <v>87029</v>
          </cell>
        </row>
        <row r="177">
          <cell r="W177">
            <v>139307</v>
          </cell>
        </row>
        <row r="178">
          <cell r="W178">
            <v>74850</v>
          </cell>
        </row>
        <row r="179">
          <cell r="W179">
            <v>63527</v>
          </cell>
        </row>
        <row r="180">
          <cell r="W180">
            <v>52692</v>
          </cell>
        </row>
        <row r="181">
          <cell r="W181">
            <v>88947</v>
          </cell>
        </row>
        <row r="182">
          <cell r="W182">
            <v>139803</v>
          </cell>
        </row>
        <row r="183">
          <cell r="W183">
            <v>81419</v>
          </cell>
        </row>
        <row r="184">
          <cell r="W184">
            <v>91816</v>
          </cell>
        </row>
        <row r="185">
          <cell r="W185">
            <v>158445</v>
          </cell>
        </row>
        <row r="186">
          <cell r="W186">
            <v>159174</v>
          </cell>
        </row>
        <row r="187">
          <cell r="W187">
            <v>138356</v>
          </cell>
        </row>
        <row r="188">
          <cell r="W188">
            <v>90785</v>
          </cell>
        </row>
        <row r="189">
          <cell r="W189">
            <v>0</v>
          </cell>
        </row>
        <row r="190">
          <cell r="W190">
            <v>0</v>
          </cell>
        </row>
        <row r="191">
          <cell r="W191">
            <v>192443</v>
          </cell>
        </row>
        <row r="192">
          <cell r="W192">
            <v>54643</v>
          </cell>
        </row>
        <row r="193">
          <cell r="W193">
            <v>0</v>
          </cell>
        </row>
        <row r="194">
          <cell r="W194">
            <v>0</v>
          </cell>
        </row>
        <row r="195">
          <cell r="W195">
            <v>0</v>
          </cell>
        </row>
        <row r="196">
          <cell r="W196">
            <v>0</v>
          </cell>
        </row>
        <row r="197">
          <cell r="W197">
            <v>0</v>
          </cell>
        </row>
        <row r="198">
          <cell r="W198">
            <v>0</v>
          </cell>
        </row>
        <row r="199">
          <cell r="W199">
            <v>0</v>
          </cell>
        </row>
        <row r="200">
          <cell r="W200">
            <v>0</v>
          </cell>
        </row>
        <row r="201">
          <cell r="W201">
            <v>0</v>
          </cell>
        </row>
        <row r="202">
          <cell r="W202">
            <v>0</v>
          </cell>
        </row>
        <row r="203">
          <cell r="W203">
            <v>0</v>
          </cell>
        </row>
        <row r="204">
          <cell r="W204">
            <v>0</v>
          </cell>
        </row>
        <row r="205">
          <cell r="W205">
            <v>0</v>
          </cell>
        </row>
        <row r="206">
          <cell r="W206">
            <v>0</v>
          </cell>
        </row>
        <row r="207">
          <cell r="W207">
            <v>0</v>
          </cell>
        </row>
        <row r="208">
          <cell r="W208">
            <v>0</v>
          </cell>
        </row>
        <row r="209">
          <cell r="W209">
            <v>0</v>
          </cell>
        </row>
        <row r="210">
          <cell r="W210">
            <v>0</v>
          </cell>
        </row>
        <row r="211">
          <cell r="W211">
            <v>0</v>
          </cell>
        </row>
        <row r="212">
          <cell r="W212">
            <v>0</v>
          </cell>
        </row>
        <row r="213">
          <cell r="W213">
            <v>0</v>
          </cell>
        </row>
        <row r="214">
          <cell r="W214">
            <v>0</v>
          </cell>
        </row>
        <row r="215">
          <cell r="W215">
            <v>0</v>
          </cell>
        </row>
        <row r="216">
          <cell r="W216">
            <v>0</v>
          </cell>
        </row>
        <row r="217">
          <cell r="W217">
            <v>0</v>
          </cell>
        </row>
        <row r="218">
          <cell r="W218">
            <v>0</v>
          </cell>
        </row>
        <row r="219">
          <cell r="W219">
            <v>0</v>
          </cell>
        </row>
        <row r="220">
          <cell r="W220">
            <v>0</v>
          </cell>
        </row>
        <row r="221">
          <cell r="W221">
            <v>0</v>
          </cell>
        </row>
        <row r="222">
          <cell r="W222">
            <v>0</v>
          </cell>
        </row>
        <row r="223">
          <cell r="W223">
            <v>0</v>
          </cell>
        </row>
        <row r="224">
          <cell r="W224">
            <v>0</v>
          </cell>
        </row>
        <row r="225">
          <cell r="W225">
            <v>0</v>
          </cell>
        </row>
        <row r="226">
          <cell r="W226">
            <v>0</v>
          </cell>
        </row>
        <row r="227">
          <cell r="W227">
            <v>0</v>
          </cell>
        </row>
        <row r="228">
          <cell r="W228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1"/>
  <sheetViews>
    <sheetView topLeftCell="D1" workbookViewId="0">
      <selection activeCell="AA23" sqref="AA23"/>
    </sheetView>
  </sheetViews>
  <sheetFormatPr defaultColWidth="8.7109375" defaultRowHeight="15" customHeight="1"/>
  <cols>
    <col min="1" max="1" width="4.7109375" style="68" customWidth="1"/>
    <col min="2" max="2" width="13.7109375" style="9" customWidth="1"/>
    <col min="3" max="3" width="4.7109375" style="68" customWidth="1"/>
    <col min="4" max="4" width="14.7109375" style="9" customWidth="1"/>
    <col min="5" max="5" width="8.7109375" style="16" customWidth="1"/>
    <col min="6" max="7" width="4.7109375" style="68" customWidth="1"/>
    <col min="8" max="8" width="13.7109375" style="68" customWidth="1"/>
    <col min="9" max="9" width="4.7109375" style="68" customWidth="1"/>
    <col min="10" max="10" width="14.7109375" style="68" customWidth="1"/>
    <col min="11" max="11" width="8.7109375" style="14" customWidth="1"/>
    <col min="12" max="13" width="4.7109375" style="68" customWidth="1"/>
    <col min="14" max="14" width="13.7109375" style="68" customWidth="1"/>
    <col min="15" max="15" width="4.7109375" style="68" customWidth="1"/>
    <col min="16" max="16" width="14.7109375" style="68" customWidth="1"/>
    <col min="17" max="17" width="8.7109375" style="14" customWidth="1"/>
    <col min="18" max="18" width="4.7109375" style="68" customWidth="1"/>
    <col min="19" max="19" width="14.28515625" style="3" customWidth="1"/>
    <col min="20" max="20" width="4.7109375" style="3" customWidth="1"/>
    <col min="21" max="21" width="13.85546875" style="3" customWidth="1"/>
    <col min="22" max="22" width="8.7109375" style="3" customWidth="1"/>
    <col min="23" max="23" width="4.7109375" style="22" customWidth="1"/>
    <col min="24" max="24" width="4.7109375" style="14" customWidth="1"/>
    <col min="25" max="25" width="8.7109375" style="3"/>
    <col min="26" max="16384" width="8.7109375" style="68"/>
  </cols>
  <sheetData>
    <row r="1" spans="1:25" s="11" customFormat="1" ht="20.100000000000001" customHeight="1">
      <c r="A1" s="2" t="s">
        <v>60</v>
      </c>
      <c r="E1" s="15"/>
      <c r="F1" s="1"/>
      <c r="G1" s="2" t="s">
        <v>61</v>
      </c>
      <c r="H1" s="1"/>
      <c r="I1" s="1"/>
      <c r="J1" s="1"/>
      <c r="K1" s="12"/>
      <c r="M1" s="2" t="s">
        <v>62</v>
      </c>
      <c r="Q1" s="12"/>
      <c r="S1" s="2" t="s">
        <v>21</v>
      </c>
      <c r="T1" s="6"/>
      <c r="U1" s="6"/>
      <c r="V1" s="6"/>
      <c r="W1" s="21"/>
      <c r="X1" s="25"/>
      <c r="Y1" s="6"/>
    </row>
    <row r="2" spans="1:25" ht="20.100000000000001" customHeight="1">
      <c r="A2" s="69" t="s">
        <v>0</v>
      </c>
      <c r="B2" s="406" t="s">
        <v>3</v>
      </c>
      <c r="C2" s="406"/>
      <c r="D2" s="406"/>
      <c r="E2" s="5" t="s">
        <v>1</v>
      </c>
      <c r="G2" s="69" t="s">
        <v>0</v>
      </c>
      <c r="H2" s="406" t="s">
        <v>3</v>
      </c>
      <c r="I2" s="406"/>
      <c r="J2" s="406"/>
      <c r="K2" s="5" t="s">
        <v>4</v>
      </c>
      <c r="M2" s="69" t="s">
        <v>0</v>
      </c>
      <c r="N2" s="406" t="s">
        <v>3</v>
      </c>
      <c r="O2" s="406"/>
      <c r="P2" s="406"/>
      <c r="Q2" s="5" t="s">
        <v>5</v>
      </c>
      <c r="S2" s="406" t="s">
        <v>14</v>
      </c>
      <c r="T2" s="406"/>
      <c r="U2" s="406"/>
      <c r="V2" s="69" t="s">
        <v>13</v>
      </c>
      <c r="X2" s="26"/>
    </row>
    <row r="3" spans="1:25" ht="15" customHeight="1">
      <c r="A3" s="70">
        <v>1</v>
      </c>
      <c r="B3" s="19">
        <v>0</v>
      </c>
      <c r="C3" s="70" t="s">
        <v>2</v>
      </c>
      <c r="D3" s="7">
        <v>5400000</v>
      </c>
      <c r="E3" s="13">
        <v>0</v>
      </c>
      <c r="G3" s="70">
        <v>1</v>
      </c>
      <c r="H3" s="19">
        <v>0</v>
      </c>
      <c r="I3" s="70" t="s">
        <v>2</v>
      </c>
      <c r="J3" s="7">
        <v>6200000</v>
      </c>
      <c r="K3" s="13">
        <v>0</v>
      </c>
      <c r="M3" s="70">
        <v>1</v>
      </c>
      <c r="N3" s="19">
        <v>0</v>
      </c>
      <c r="O3" s="70" t="s">
        <v>2</v>
      </c>
      <c r="P3" s="7">
        <v>6600000</v>
      </c>
      <c r="Q3" s="13">
        <v>0</v>
      </c>
      <c r="S3" s="19">
        <v>0</v>
      </c>
      <c r="T3" s="70" t="s">
        <v>2</v>
      </c>
      <c r="U3" s="4">
        <v>450000</v>
      </c>
      <c r="V3" s="17">
        <v>0</v>
      </c>
      <c r="X3" s="26"/>
    </row>
    <row r="4" spans="1:25" ht="15" customHeight="1">
      <c r="A4" s="70">
        <f>A3+1</f>
        <v>2</v>
      </c>
      <c r="B4" s="7">
        <f>D3+1</f>
        <v>5400001</v>
      </c>
      <c r="C4" s="70" t="s">
        <v>2</v>
      </c>
      <c r="D4" s="7">
        <v>5650000</v>
      </c>
      <c r="E4" s="13">
        <v>2.5000000000000001E-3</v>
      </c>
      <c r="G4" s="70">
        <f>G3+1</f>
        <v>2</v>
      </c>
      <c r="H4" s="7">
        <f>J3+1</f>
        <v>6200001</v>
      </c>
      <c r="I4" s="70" t="s">
        <v>2</v>
      </c>
      <c r="J4" s="7">
        <v>6500000</v>
      </c>
      <c r="K4" s="13">
        <v>2.5000000000000001E-3</v>
      </c>
      <c r="M4" s="70">
        <f>M3+1</f>
        <v>2</v>
      </c>
      <c r="N4" s="7">
        <f>P3+1</f>
        <v>6600001</v>
      </c>
      <c r="O4" s="70" t="s">
        <v>2</v>
      </c>
      <c r="P4" s="7">
        <v>6950000</v>
      </c>
      <c r="Q4" s="13">
        <v>2.5000000000000001E-3</v>
      </c>
      <c r="S4" s="4">
        <v>450001</v>
      </c>
      <c r="T4" s="70" t="s">
        <v>2</v>
      </c>
      <c r="U4" s="4">
        <v>2500000</v>
      </c>
      <c r="V4" s="18">
        <v>5.0000000000000001E-3</v>
      </c>
      <c r="X4" s="26"/>
    </row>
    <row r="5" spans="1:25" ht="15" customHeight="1">
      <c r="A5" s="70">
        <f t="shared" ref="A5:A46" si="0">A4+1</f>
        <v>3</v>
      </c>
      <c r="B5" s="7">
        <f t="shared" ref="B5:B46" si="1">D4+1</f>
        <v>5650001</v>
      </c>
      <c r="C5" s="70" t="s">
        <v>2</v>
      </c>
      <c r="D5" s="7">
        <v>5950000</v>
      </c>
      <c r="E5" s="13">
        <v>5.0000000000000001E-3</v>
      </c>
      <c r="G5" s="70">
        <f t="shared" ref="G5:G42" si="2">G4+1</f>
        <v>3</v>
      </c>
      <c r="H5" s="7">
        <f t="shared" ref="H5:H42" si="3">J4+1</f>
        <v>6500001</v>
      </c>
      <c r="I5" s="70" t="s">
        <v>2</v>
      </c>
      <c r="J5" s="7">
        <v>6850000</v>
      </c>
      <c r="K5" s="13">
        <v>5.0000000000000001E-3</v>
      </c>
      <c r="M5" s="70">
        <f t="shared" ref="M5:M42" si="4">M4+1</f>
        <v>3</v>
      </c>
      <c r="N5" s="7">
        <f t="shared" ref="N5:N43" si="5">P4+1</f>
        <v>6950001</v>
      </c>
      <c r="O5" s="70" t="s">
        <v>2</v>
      </c>
      <c r="P5" s="7">
        <v>7350000</v>
      </c>
      <c r="Q5" s="13">
        <v>5.0000000000000001E-3</v>
      </c>
    </row>
    <row r="6" spans="1:25" ht="15" customHeight="1">
      <c r="A6" s="70">
        <f t="shared" si="0"/>
        <v>4</v>
      </c>
      <c r="B6" s="7">
        <f t="shared" si="1"/>
        <v>5950001</v>
      </c>
      <c r="C6" s="70" t="s">
        <v>2</v>
      </c>
      <c r="D6" s="7">
        <v>6300000</v>
      </c>
      <c r="E6" s="13">
        <v>7.4999999999999997E-3</v>
      </c>
      <c r="G6" s="70">
        <f t="shared" si="2"/>
        <v>4</v>
      </c>
      <c r="H6" s="7">
        <f t="shared" si="3"/>
        <v>6850001</v>
      </c>
      <c r="I6" s="70" t="s">
        <v>2</v>
      </c>
      <c r="J6" s="7">
        <v>7300000</v>
      </c>
      <c r="K6" s="13">
        <v>7.4999999999999997E-3</v>
      </c>
      <c r="M6" s="70">
        <f t="shared" si="4"/>
        <v>4</v>
      </c>
      <c r="N6" s="7">
        <f t="shared" si="5"/>
        <v>7350001</v>
      </c>
      <c r="O6" s="70" t="s">
        <v>2</v>
      </c>
      <c r="P6" s="7">
        <v>7800000</v>
      </c>
      <c r="Q6" s="13">
        <v>7.4999999999999997E-3</v>
      </c>
    </row>
    <row r="7" spans="1:25" ht="15" customHeight="1">
      <c r="A7" s="70">
        <f t="shared" si="0"/>
        <v>5</v>
      </c>
      <c r="B7" s="7">
        <f t="shared" si="1"/>
        <v>6300001</v>
      </c>
      <c r="C7" s="70" t="s">
        <v>2</v>
      </c>
      <c r="D7" s="7">
        <v>6750000</v>
      </c>
      <c r="E7" s="13">
        <v>0.01</v>
      </c>
      <c r="G7" s="70">
        <f t="shared" si="2"/>
        <v>5</v>
      </c>
      <c r="H7" s="7">
        <f t="shared" si="3"/>
        <v>7300001</v>
      </c>
      <c r="I7" s="70" t="s">
        <v>2</v>
      </c>
      <c r="J7" s="7">
        <v>9200000</v>
      </c>
      <c r="K7" s="13">
        <v>0.01</v>
      </c>
      <c r="M7" s="70">
        <f t="shared" si="4"/>
        <v>5</v>
      </c>
      <c r="N7" s="7">
        <f t="shared" si="5"/>
        <v>7800001</v>
      </c>
      <c r="O7" s="70" t="s">
        <v>2</v>
      </c>
      <c r="P7" s="7">
        <v>8850000</v>
      </c>
      <c r="Q7" s="13">
        <v>0.01</v>
      </c>
      <c r="S7" s="2" t="s">
        <v>23</v>
      </c>
      <c r="T7" s="6"/>
      <c r="U7" s="6"/>
      <c r="V7" s="6"/>
    </row>
    <row r="8" spans="1:25" ht="15" customHeight="1">
      <c r="A8" s="70">
        <f t="shared" si="0"/>
        <v>6</v>
      </c>
      <c r="B8" s="7">
        <f t="shared" si="1"/>
        <v>6750001</v>
      </c>
      <c r="C8" s="70" t="s">
        <v>2</v>
      </c>
      <c r="D8" s="7">
        <v>7500000</v>
      </c>
      <c r="E8" s="13">
        <v>1.2500000000000001E-2</v>
      </c>
      <c r="G8" s="70">
        <f t="shared" si="2"/>
        <v>6</v>
      </c>
      <c r="H8" s="7">
        <f t="shared" si="3"/>
        <v>9200001</v>
      </c>
      <c r="I8" s="70" t="s">
        <v>2</v>
      </c>
      <c r="J8" s="7">
        <v>10750000</v>
      </c>
      <c r="K8" s="13">
        <v>1.4999999999999999E-2</v>
      </c>
      <c r="M8" s="70">
        <f t="shared" si="4"/>
        <v>6</v>
      </c>
      <c r="N8" s="7">
        <f t="shared" si="5"/>
        <v>8850001</v>
      </c>
      <c r="O8" s="70" t="s">
        <v>2</v>
      </c>
      <c r="P8" s="7">
        <v>9800000</v>
      </c>
      <c r="Q8" s="13">
        <v>1.2500000000000001E-2</v>
      </c>
      <c r="S8" s="406" t="s">
        <v>22</v>
      </c>
      <c r="T8" s="406"/>
      <c r="U8" s="406"/>
      <c r="V8" s="69" t="s">
        <v>13</v>
      </c>
    </row>
    <row r="9" spans="1:25" ht="15" customHeight="1">
      <c r="A9" s="70">
        <f t="shared" si="0"/>
        <v>7</v>
      </c>
      <c r="B9" s="7">
        <f t="shared" si="1"/>
        <v>7500001</v>
      </c>
      <c r="C9" s="70" t="s">
        <v>2</v>
      </c>
      <c r="D9" s="7">
        <v>8550000</v>
      </c>
      <c r="E9" s="13">
        <v>1.5000000000000001E-2</v>
      </c>
      <c r="G9" s="70">
        <f t="shared" si="2"/>
        <v>7</v>
      </c>
      <c r="H9" s="7">
        <f t="shared" si="3"/>
        <v>10750001</v>
      </c>
      <c r="I9" s="70" t="s">
        <v>2</v>
      </c>
      <c r="J9" s="7">
        <v>11250000</v>
      </c>
      <c r="K9" s="13">
        <v>0.02</v>
      </c>
      <c r="M9" s="70">
        <f t="shared" si="4"/>
        <v>7</v>
      </c>
      <c r="N9" s="7">
        <f t="shared" si="5"/>
        <v>9800001</v>
      </c>
      <c r="O9" s="70" t="s">
        <v>2</v>
      </c>
      <c r="P9" s="7">
        <v>10950000</v>
      </c>
      <c r="Q9" s="13">
        <v>1.5000000000000001E-2</v>
      </c>
      <c r="S9" s="19">
        <v>0</v>
      </c>
      <c r="T9" s="70" t="s">
        <v>2</v>
      </c>
      <c r="U9" s="4">
        <v>60000000</v>
      </c>
      <c r="V9" s="17">
        <v>0.05</v>
      </c>
    </row>
    <row r="10" spans="1:25" ht="15" customHeight="1">
      <c r="A10" s="70">
        <f t="shared" si="0"/>
        <v>8</v>
      </c>
      <c r="B10" s="7">
        <f t="shared" si="1"/>
        <v>8550001</v>
      </c>
      <c r="C10" s="70" t="s">
        <v>2</v>
      </c>
      <c r="D10" s="7">
        <v>9650000</v>
      </c>
      <c r="E10" s="13">
        <v>1.7500000000000002E-2</v>
      </c>
      <c r="G10" s="70">
        <f t="shared" si="2"/>
        <v>8</v>
      </c>
      <c r="H10" s="7">
        <f t="shared" si="3"/>
        <v>11250001</v>
      </c>
      <c r="I10" s="70" t="s">
        <v>2</v>
      </c>
      <c r="J10" s="7">
        <v>11600000</v>
      </c>
      <c r="K10" s="13">
        <v>2.5000000000000001E-2</v>
      </c>
      <c r="M10" s="70">
        <f t="shared" si="4"/>
        <v>8</v>
      </c>
      <c r="N10" s="7">
        <f t="shared" si="5"/>
        <v>10950001</v>
      </c>
      <c r="O10" s="70" t="s">
        <v>2</v>
      </c>
      <c r="P10" s="7">
        <v>11200000</v>
      </c>
      <c r="Q10" s="13">
        <v>1.7500000000000002E-2</v>
      </c>
      <c r="S10" s="4">
        <f>U9+1</f>
        <v>60000001</v>
      </c>
      <c r="T10" s="70" t="s">
        <v>2</v>
      </c>
      <c r="U10" s="4">
        <v>250000000</v>
      </c>
      <c r="V10" s="17">
        <v>0.15</v>
      </c>
    </row>
    <row r="11" spans="1:25" ht="15" customHeight="1">
      <c r="A11" s="70">
        <f t="shared" si="0"/>
        <v>9</v>
      </c>
      <c r="B11" s="7">
        <f t="shared" si="1"/>
        <v>9650001</v>
      </c>
      <c r="C11" s="70" t="s">
        <v>2</v>
      </c>
      <c r="D11" s="7">
        <v>10050000</v>
      </c>
      <c r="E11" s="13">
        <v>0.02</v>
      </c>
      <c r="G11" s="70">
        <f t="shared" si="2"/>
        <v>9</v>
      </c>
      <c r="H11" s="7">
        <f t="shared" si="3"/>
        <v>11600001</v>
      </c>
      <c r="I11" s="70" t="s">
        <v>2</v>
      </c>
      <c r="J11" s="7">
        <v>12600000</v>
      </c>
      <c r="K11" s="13">
        <v>3.0000000000000002E-2</v>
      </c>
      <c r="M11" s="70">
        <f t="shared" si="4"/>
        <v>9</v>
      </c>
      <c r="N11" s="7">
        <f t="shared" si="5"/>
        <v>11200001</v>
      </c>
      <c r="O11" s="70" t="s">
        <v>2</v>
      </c>
      <c r="P11" s="7">
        <v>12050000</v>
      </c>
      <c r="Q11" s="13">
        <v>0.02</v>
      </c>
      <c r="S11" s="4">
        <f t="shared" ref="S11:S13" si="6">U10+1</f>
        <v>250000001</v>
      </c>
      <c r="T11" s="70" t="s">
        <v>2</v>
      </c>
      <c r="U11" s="4">
        <v>500000000</v>
      </c>
      <c r="V11" s="17">
        <v>0.25</v>
      </c>
    </row>
    <row r="12" spans="1:25" ht="15" customHeight="1">
      <c r="A12" s="70">
        <f t="shared" si="0"/>
        <v>10</v>
      </c>
      <c r="B12" s="7">
        <f t="shared" si="1"/>
        <v>10050001</v>
      </c>
      <c r="C12" s="70" t="s">
        <v>2</v>
      </c>
      <c r="D12" s="7">
        <v>10350000</v>
      </c>
      <c r="E12" s="13">
        <v>2.2499999999999999E-2</v>
      </c>
      <c r="G12" s="70">
        <f t="shared" si="2"/>
        <v>10</v>
      </c>
      <c r="H12" s="7">
        <f t="shared" si="3"/>
        <v>12600001</v>
      </c>
      <c r="I12" s="70" t="s">
        <v>2</v>
      </c>
      <c r="J12" s="7">
        <v>13600000</v>
      </c>
      <c r="K12" s="13">
        <v>0.04</v>
      </c>
      <c r="M12" s="70">
        <f t="shared" si="4"/>
        <v>10</v>
      </c>
      <c r="N12" s="7">
        <f t="shared" si="5"/>
        <v>12050001</v>
      </c>
      <c r="O12" s="70" t="s">
        <v>2</v>
      </c>
      <c r="P12" s="7">
        <v>12950000</v>
      </c>
      <c r="Q12" s="13">
        <v>0.03</v>
      </c>
      <c r="S12" s="4">
        <f t="shared" si="6"/>
        <v>500000001</v>
      </c>
      <c r="T12" s="70" t="s">
        <v>2</v>
      </c>
      <c r="U12" s="4">
        <v>5000000000</v>
      </c>
      <c r="V12" s="17">
        <v>0.3</v>
      </c>
    </row>
    <row r="13" spans="1:25" ht="15" customHeight="1">
      <c r="A13" s="70">
        <f t="shared" si="0"/>
        <v>11</v>
      </c>
      <c r="B13" s="7">
        <f t="shared" si="1"/>
        <v>10350001</v>
      </c>
      <c r="C13" s="70" t="s">
        <v>2</v>
      </c>
      <c r="D13" s="7">
        <v>10700000</v>
      </c>
      <c r="E13" s="13">
        <v>2.4999999999999998E-2</v>
      </c>
      <c r="G13" s="70">
        <f t="shared" si="2"/>
        <v>11</v>
      </c>
      <c r="H13" s="7">
        <f t="shared" si="3"/>
        <v>13600001</v>
      </c>
      <c r="I13" s="70" t="s">
        <v>2</v>
      </c>
      <c r="J13" s="7">
        <v>14950000</v>
      </c>
      <c r="K13" s="13">
        <v>0.05</v>
      </c>
      <c r="M13" s="70">
        <f t="shared" si="4"/>
        <v>11</v>
      </c>
      <c r="N13" s="7">
        <f t="shared" si="5"/>
        <v>12950001</v>
      </c>
      <c r="O13" s="70" t="s">
        <v>2</v>
      </c>
      <c r="P13" s="7">
        <v>14150000</v>
      </c>
      <c r="Q13" s="13">
        <v>0.04</v>
      </c>
      <c r="S13" s="4">
        <f t="shared" si="6"/>
        <v>5000000001</v>
      </c>
      <c r="T13" s="70" t="s">
        <v>2</v>
      </c>
      <c r="U13" s="7" t="s">
        <v>18</v>
      </c>
      <c r="V13" s="17">
        <v>0.35</v>
      </c>
    </row>
    <row r="14" spans="1:25" ht="15" customHeight="1">
      <c r="A14" s="70">
        <f t="shared" si="0"/>
        <v>12</v>
      </c>
      <c r="B14" s="7">
        <f t="shared" si="1"/>
        <v>10700001</v>
      </c>
      <c r="C14" s="70" t="s">
        <v>2</v>
      </c>
      <c r="D14" s="7">
        <v>11050000</v>
      </c>
      <c r="E14" s="13">
        <v>0.03</v>
      </c>
      <c r="G14" s="70">
        <f t="shared" si="2"/>
        <v>12</v>
      </c>
      <c r="H14" s="7">
        <f t="shared" si="3"/>
        <v>14950001</v>
      </c>
      <c r="I14" s="70" t="s">
        <v>2</v>
      </c>
      <c r="J14" s="7">
        <v>16400000</v>
      </c>
      <c r="K14" s="13">
        <v>6.0000000000000005E-2</v>
      </c>
      <c r="M14" s="70">
        <f t="shared" si="4"/>
        <v>12</v>
      </c>
      <c r="N14" s="7">
        <f t="shared" si="5"/>
        <v>14150001</v>
      </c>
      <c r="O14" s="70" t="s">
        <v>2</v>
      </c>
      <c r="P14" s="7">
        <v>1550000</v>
      </c>
      <c r="Q14" s="13">
        <v>0.05</v>
      </c>
      <c r="T14" s="405"/>
      <c r="U14" s="405"/>
    </row>
    <row r="15" spans="1:25" ht="15" customHeight="1">
      <c r="A15" s="70">
        <f t="shared" si="0"/>
        <v>13</v>
      </c>
      <c r="B15" s="7">
        <f t="shared" si="1"/>
        <v>11050001</v>
      </c>
      <c r="C15" s="70" t="s">
        <v>2</v>
      </c>
      <c r="D15" s="7">
        <v>11600000</v>
      </c>
      <c r="E15" s="13">
        <v>3.5000000000000003E-2</v>
      </c>
      <c r="G15" s="70">
        <f t="shared" si="2"/>
        <v>13</v>
      </c>
      <c r="H15" s="7">
        <f t="shared" si="3"/>
        <v>16400001</v>
      </c>
      <c r="I15" s="70" t="s">
        <v>2</v>
      </c>
      <c r="J15" s="7">
        <v>18450000</v>
      </c>
      <c r="K15" s="13">
        <v>7.0000000000000007E-2</v>
      </c>
      <c r="M15" s="70">
        <f t="shared" si="4"/>
        <v>13</v>
      </c>
      <c r="N15" s="7">
        <f t="shared" si="5"/>
        <v>1550001</v>
      </c>
      <c r="O15" s="70" t="s">
        <v>2</v>
      </c>
      <c r="P15" s="7">
        <v>17050000</v>
      </c>
      <c r="Q15" s="13">
        <v>6.0000000000000005E-2</v>
      </c>
      <c r="U15" s="20"/>
    </row>
    <row r="16" spans="1:25" ht="15" customHeight="1">
      <c r="A16" s="70">
        <f t="shared" si="0"/>
        <v>14</v>
      </c>
      <c r="B16" s="7">
        <f t="shared" si="1"/>
        <v>11600001</v>
      </c>
      <c r="C16" s="70" t="s">
        <v>2</v>
      </c>
      <c r="D16" s="7">
        <v>12500000</v>
      </c>
      <c r="E16" s="13">
        <v>0.04</v>
      </c>
      <c r="G16" s="70">
        <f t="shared" si="2"/>
        <v>14</v>
      </c>
      <c r="H16" s="7">
        <f t="shared" si="3"/>
        <v>18450001</v>
      </c>
      <c r="I16" s="70" t="s">
        <v>2</v>
      </c>
      <c r="J16" s="7">
        <v>21850000</v>
      </c>
      <c r="K16" s="13">
        <v>0.08</v>
      </c>
      <c r="M16" s="70">
        <f t="shared" si="4"/>
        <v>14</v>
      </c>
      <c r="N16" s="7">
        <f t="shared" si="5"/>
        <v>17050001</v>
      </c>
      <c r="O16" s="70" t="s">
        <v>2</v>
      </c>
      <c r="P16" s="7">
        <v>19500000</v>
      </c>
      <c r="Q16" s="13">
        <v>7.0000000000000007E-2</v>
      </c>
      <c r="S16" s="2" t="s">
        <v>6</v>
      </c>
      <c r="T16" s="21"/>
      <c r="U16" s="20"/>
    </row>
    <row r="17" spans="1:25" ht="15" customHeight="1">
      <c r="A17" s="70">
        <f t="shared" si="0"/>
        <v>15</v>
      </c>
      <c r="B17" s="7">
        <f t="shared" si="1"/>
        <v>12500001</v>
      </c>
      <c r="C17" s="70" t="s">
        <v>2</v>
      </c>
      <c r="D17" s="7">
        <v>13750000</v>
      </c>
      <c r="E17" s="13">
        <v>0.05</v>
      </c>
      <c r="G17" s="70">
        <f t="shared" si="2"/>
        <v>15</v>
      </c>
      <c r="H17" s="7">
        <f t="shared" si="3"/>
        <v>21850001</v>
      </c>
      <c r="I17" s="70" t="s">
        <v>2</v>
      </c>
      <c r="J17" s="7">
        <v>26000000</v>
      </c>
      <c r="K17" s="13">
        <v>0.09</v>
      </c>
      <c r="M17" s="70">
        <f t="shared" si="4"/>
        <v>15</v>
      </c>
      <c r="N17" s="7">
        <f t="shared" si="5"/>
        <v>19500001</v>
      </c>
      <c r="O17" s="70" t="s">
        <v>2</v>
      </c>
      <c r="P17" s="7">
        <v>22700000</v>
      </c>
      <c r="Q17" s="13">
        <v>0.08</v>
      </c>
      <c r="S17" s="406" t="s">
        <v>19</v>
      </c>
      <c r="T17" s="406"/>
      <c r="U17" s="24" t="s">
        <v>20</v>
      </c>
      <c r="V17" s="68"/>
      <c r="W17" s="68"/>
      <c r="X17" s="68"/>
      <c r="Y17" s="68"/>
    </row>
    <row r="18" spans="1:25" ht="15" customHeight="1">
      <c r="A18" s="70">
        <f t="shared" si="0"/>
        <v>16</v>
      </c>
      <c r="B18" s="7">
        <f t="shared" si="1"/>
        <v>13750001</v>
      </c>
      <c r="C18" s="70" t="s">
        <v>2</v>
      </c>
      <c r="D18" s="7">
        <v>15100000</v>
      </c>
      <c r="E18" s="13">
        <v>6.0000000000000005E-2</v>
      </c>
      <c r="G18" s="70">
        <f t="shared" si="2"/>
        <v>16</v>
      </c>
      <c r="H18" s="7">
        <f t="shared" si="3"/>
        <v>26000001</v>
      </c>
      <c r="I18" s="70" t="s">
        <v>2</v>
      </c>
      <c r="J18" s="7">
        <v>27700000</v>
      </c>
      <c r="K18" s="13">
        <v>9.9999999999999992E-2</v>
      </c>
      <c r="M18" s="70">
        <f t="shared" si="4"/>
        <v>16</v>
      </c>
      <c r="N18" s="7">
        <f t="shared" si="5"/>
        <v>22700001</v>
      </c>
      <c r="O18" s="70" t="s">
        <v>2</v>
      </c>
      <c r="P18" s="7">
        <v>26600000</v>
      </c>
      <c r="Q18" s="13">
        <v>0.09</v>
      </c>
      <c r="S18" s="407" t="s">
        <v>7</v>
      </c>
      <c r="T18" s="407"/>
      <c r="U18" s="23">
        <v>54000000</v>
      </c>
      <c r="V18" s="68"/>
      <c r="W18" s="68"/>
      <c r="X18" s="68"/>
      <c r="Y18" s="68"/>
    </row>
    <row r="19" spans="1:25" ht="15" customHeight="1">
      <c r="A19" s="70">
        <f t="shared" si="0"/>
        <v>17</v>
      </c>
      <c r="B19" s="7">
        <f t="shared" si="1"/>
        <v>15100001</v>
      </c>
      <c r="C19" s="70" t="s">
        <v>2</v>
      </c>
      <c r="D19" s="7">
        <v>16950000</v>
      </c>
      <c r="E19" s="13">
        <v>7.0000000000000007E-2</v>
      </c>
      <c r="G19" s="70">
        <f t="shared" si="2"/>
        <v>17</v>
      </c>
      <c r="H19" s="7">
        <f t="shared" si="3"/>
        <v>27700001</v>
      </c>
      <c r="I19" s="70" t="s">
        <v>2</v>
      </c>
      <c r="J19" s="7">
        <v>29350000</v>
      </c>
      <c r="K19" s="13">
        <v>0.10999999999999999</v>
      </c>
      <c r="M19" s="70">
        <f t="shared" si="4"/>
        <v>17</v>
      </c>
      <c r="N19" s="7">
        <f t="shared" si="5"/>
        <v>26600001</v>
      </c>
      <c r="O19" s="70" t="s">
        <v>2</v>
      </c>
      <c r="P19" s="7">
        <v>28100000</v>
      </c>
      <c r="Q19" s="13">
        <v>9.9999999999999992E-2</v>
      </c>
      <c r="S19" s="407" t="s">
        <v>16</v>
      </c>
      <c r="T19" s="407"/>
      <c r="U19" s="23">
        <v>58500000</v>
      </c>
      <c r="V19" s="68"/>
      <c r="W19" s="68"/>
      <c r="X19" s="68"/>
      <c r="Y19" s="68"/>
    </row>
    <row r="20" spans="1:25" ht="15" customHeight="1">
      <c r="A20" s="70">
        <f t="shared" si="0"/>
        <v>18</v>
      </c>
      <c r="B20" s="7">
        <f t="shared" si="1"/>
        <v>16950001</v>
      </c>
      <c r="C20" s="70" t="s">
        <v>2</v>
      </c>
      <c r="D20" s="7">
        <v>19750000</v>
      </c>
      <c r="E20" s="13">
        <v>0.08</v>
      </c>
      <c r="G20" s="70">
        <f t="shared" si="2"/>
        <v>18</v>
      </c>
      <c r="H20" s="7">
        <f t="shared" si="3"/>
        <v>29350001</v>
      </c>
      <c r="I20" s="70" t="s">
        <v>2</v>
      </c>
      <c r="J20" s="7">
        <v>31450000</v>
      </c>
      <c r="K20" s="13">
        <v>0.11999999999999998</v>
      </c>
      <c r="M20" s="70">
        <f t="shared" si="4"/>
        <v>18</v>
      </c>
      <c r="N20" s="7">
        <f t="shared" si="5"/>
        <v>28100001</v>
      </c>
      <c r="O20" s="70" t="s">
        <v>2</v>
      </c>
      <c r="P20" s="7">
        <v>30100000</v>
      </c>
      <c r="Q20" s="13">
        <v>0.10999999999999999</v>
      </c>
      <c r="S20" s="407" t="s">
        <v>8</v>
      </c>
      <c r="T20" s="407"/>
      <c r="U20" s="23">
        <v>63000000</v>
      </c>
      <c r="V20" s="68"/>
      <c r="W20" s="68"/>
      <c r="X20" s="68"/>
      <c r="Y20" s="68"/>
    </row>
    <row r="21" spans="1:25" ht="15" customHeight="1">
      <c r="A21" s="70">
        <f t="shared" si="0"/>
        <v>19</v>
      </c>
      <c r="B21" s="7">
        <f t="shared" si="1"/>
        <v>19750001</v>
      </c>
      <c r="C21" s="70" t="s">
        <v>2</v>
      </c>
      <c r="D21" s="7">
        <v>24150000</v>
      </c>
      <c r="E21" s="13">
        <v>0.09</v>
      </c>
      <c r="G21" s="70">
        <f t="shared" si="2"/>
        <v>19</v>
      </c>
      <c r="H21" s="7">
        <f t="shared" si="3"/>
        <v>31450001</v>
      </c>
      <c r="I21" s="70" t="s">
        <v>2</v>
      </c>
      <c r="J21" s="7">
        <v>33950000</v>
      </c>
      <c r="K21" s="13">
        <v>0.12999999999999998</v>
      </c>
      <c r="M21" s="70">
        <f t="shared" si="4"/>
        <v>19</v>
      </c>
      <c r="N21" s="7">
        <f t="shared" si="5"/>
        <v>30100001</v>
      </c>
      <c r="O21" s="70" t="s">
        <v>2</v>
      </c>
      <c r="P21" s="7">
        <v>32600000</v>
      </c>
      <c r="Q21" s="13">
        <v>0.11999999999999998</v>
      </c>
      <c r="S21" s="407" t="s">
        <v>10</v>
      </c>
      <c r="T21" s="407"/>
      <c r="U21" s="23">
        <v>67500000</v>
      </c>
      <c r="V21" s="68"/>
      <c r="W21" s="68"/>
      <c r="X21" s="68"/>
      <c r="Y21" s="68"/>
    </row>
    <row r="22" spans="1:25" ht="15" customHeight="1">
      <c r="A22" s="70">
        <f t="shared" si="0"/>
        <v>20</v>
      </c>
      <c r="B22" s="7">
        <f t="shared" si="1"/>
        <v>24150001</v>
      </c>
      <c r="C22" s="70" t="s">
        <v>2</v>
      </c>
      <c r="D22" s="7">
        <v>26450000</v>
      </c>
      <c r="E22" s="13">
        <v>9.9999999999999992E-2</v>
      </c>
      <c r="G22" s="70">
        <f t="shared" si="2"/>
        <v>20</v>
      </c>
      <c r="H22" s="7">
        <f t="shared" si="3"/>
        <v>33950001</v>
      </c>
      <c r="I22" s="70" t="s">
        <v>2</v>
      </c>
      <c r="J22" s="7">
        <v>37100000</v>
      </c>
      <c r="K22" s="13">
        <v>0.13999999999999999</v>
      </c>
      <c r="M22" s="70">
        <f t="shared" si="4"/>
        <v>20</v>
      </c>
      <c r="N22" s="7">
        <f t="shared" si="5"/>
        <v>32600001</v>
      </c>
      <c r="O22" s="70" t="s">
        <v>2</v>
      </c>
      <c r="P22" s="7">
        <v>35400000</v>
      </c>
      <c r="Q22" s="13">
        <v>0.12999999999999998</v>
      </c>
      <c r="S22" s="407" t="s">
        <v>17</v>
      </c>
      <c r="T22" s="407"/>
      <c r="U22" s="23">
        <v>58500000</v>
      </c>
      <c r="V22" s="68"/>
      <c r="W22" s="68"/>
      <c r="X22" s="68"/>
      <c r="Y22" s="68"/>
    </row>
    <row r="23" spans="1:25" ht="15" customHeight="1">
      <c r="A23" s="70">
        <f t="shared" si="0"/>
        <v>21</v>
      </c>
      <c r="B23" s="7">
        <f t="shared" si="1"/>
        <v>26450001</v>
      </c>
      <c r="C23" s="70" t="s">
        <v>2</v>
      </c>
      <c r="D23" s="7">
        <v>28000000</v>
      </c>
      <c r="E23" s="13">
        <v>0.10999999999999999</v>
      </c>
      <c r="G23" s="70">
        <f t="shared" si="2"/>
        <v>21</v>
      </c>
      <c r="H23" s="7">
        <f t="shared" si="3"/>
        <v>37100001</v>
      </c>
      <c r="I23" s="70" t="s">
        <v>2</v>
      </c>
      <c r="J23" s="7">
        <v>41100000</v>
      </c>
      <c r="K23" s="13">
        <v>0.15</v>
      </c>
      <c r="M23" s="70">
        <f t="shared" si="4"/>
        <v>21</v>
      </c>
      <c r="N23" s="7">
        <f t="shared" si="5"/>
        <v>35400001</v>
      </c>
      <c r="O23" s="70" t="s">
        <v>2</v>
      </c>
      <c r="P23" s="7">
        <v>38900000</v>
      </c>
      <c r="Q23" s="13">
        <v>0.13999999999999999</v>
      </c>
      <c r="S23" s="407" t="s">
        <v>9</v>
      </c>
      <c r="T23" s="407"/>
      <c r="U23" s="23">
        <v>63000000</v>
      </c>
      <c r="V23" s="68"/>
      <c r="W23" s="68"/>
      <c r="X23" s="68"/>
      <c r="Y23" s="68"/>
    </row>
    <row r="24" spans="1:25" ht="15" customHeight="1">
      <c r="A24" s="70">
        <f t="shared" si="0"/>
        <v>22</v>
      </c>
      <c r="B24" s="7">
        <f t="shared" si="1"/>
        <v>28000001</v>
      </c>
      <c r="C24" s="70" t="s">
        <v>2</v>
      </c>
      <c r="D24" s="7">
        <v>30050000</v>
      </c>
      <c r="E24" s="13">
        <v>0.11999999999999998</v>
      </c>
      <c r="G24" s="70">
        <f t="shared" si="2"/>
        <v>22</v>
      </c>
      <c r="H24" s="7">
        <f t="shared" si="3"/>
        <v>41100001</v>
      </c>
      <c r="I24" s="70" t="s">
        <v>2</v>
      </c>
      <c r="J24" s="7">
        <v>45800000</v>
      </c>
      <c r="K24" s="13">
        <v>0.16</v>
      </c>
      <c r="M24" s="70">
        <f t="shared" si="4"/>
        <v>22</v>
      </c>
      <c r="N24" s="7">
        <f t="shared" si="5"/>
        <v>38900001</v>
      </c>
      <c r="O24" s="70" t="s">
        <v>2</v>
      </c>
      <c r="P24" s="7">
        <v>43000000</v>
      </c>
      <c r="Q24" s="13">
        <v>0.15</v>
      </c>
      <c r="S24" s="407" t="s">
        <v>11</v>
      </c>
      <c r="T24" s="407"/>
      <c r="U24" s="23">
        <v>67500000</v>
      </c>
      <c r="V24" s="68"/>
      <c r="W24" s="68"/>
      <c r="X24" s="68"/>
      <c r="Y24" s="68"/>
    </row>
    <row r="25" spans="1:25" ht="15" customHeight="1">
      <c r="A25" s="70">
        <f t="shared" si="0"/>
        <v>23</v>
      </c>
      <c r="B25" s="7">
        <f t="shared" si="1"/>
        <v>30050001</v>
      </c>
      <c r="C25" s="70" t="s">
        <v>2</v>
      </c>
      <c r="D25" s="7">
        <v>32400000</v>
      </c>
      <c r="E25" s="13">
        <v>0.12999999999999998</v>
      </c>
      <c r="G25" s="70">
        <f t="shared" si="2"/>
        <v>23</v>
      </c>
      <c r="H25" s="7">
        <f t="shared" si="3"/>
        <v>45800001</v>
      </c>
      <c r="I25" s="70" t="s">
        <v>2</v>
      </c>
      <c r="J25" s="7">
        <v>49500000</v>
      </c>
      <c r="K25" s="13">
        <v>0.17</v>
      </c>
      <c r="M25" s="70">
        <f t="shared" si="4"/>
        <v>23</v>
      </c>
      <c r="N25" s="7">
        <f t="shared" si="5"/>
        <v>43000001</v>
      </c>
      <c r="O25" s="70" t="s">
        <v>2</v>
      </c>
      <c r="P25" s="7">
        <v>47400000</v>
      </c>
      <c r="Q25" s="13">
        <v>0.16</v>
      </c>
      <c r="S25" s="407" t="s">
        <v>12</v>
      </c>
      <c r="T25" s="407"/>
      <c r="U25" s="23">
        <v>72000000</v>
      </c>
      <c r="V25" s="68"/>
      <c r="W25" s="68"/>
      <c r="X25" s="68"/>
      <c r="Y25" s="68"/>
    </row>
    <row r="26" spans="1:25" ht="15" customHeight="1">
      <c r="A26" s="70">
        <f t="shared" si="0"/>
        <v>24</v>
      </c>
      <c r="B26" s="7">
        <f t="shared" si="1"/>
        <v>32400001</v>
      </c>
      <c r="C26" s="70" t="s">
        <v>2</v>
      </c>
      <c r="D26" s="7">
        <v>35400000</v>
      </c>
      <c r="E26" s="13">
        <v>0.13999999999999999</v>
      </c>
      <c r="G26" s="70">
        <f t="shared" si="2"/>
        <v>24</v>
      </c>
      <c r="H26" s="7">
        <f t="shared" si="3"/>
        <v>49500001</v>
      </c>
      <c r="I26" s="70" t="s">
        <v>2</v>
      </c>
      <c r="J26" s="7">
        <v>53800000</v>
      </c>
      <c r="K26" s="13">
        <v>0.18000000000000002</v>
      </c>
      <c r="M26" s="70">
        <f t="shared" si="4"/>
        <v>24</v>
      </c>
      <c r="N26" s="7">
        <f t="shared" si="5"/>
        <v>47400001</v>
      </c>
      <c r="O26" s="70" t="s">
        <v>2</v>
      </c>
      <c r="P26" s="7">
        <v>51200000</v>
      </c>
      <c r="Q26" s="13">
        <v>0.17</v>
      </c>
      <c r="V26" s="68"/>
      <c r="W26" s="68"/>
      <c r="X26" s="68"/>
      <c r="Y26" s="68"/>
    </row>
    <row r="27" spans="1:25" ht="15" customHeight="1">
      <c r="A27" s="70">
        <f t="shared" si="0"/>
        <v>25</v>
      </c>
      <c r="B27" s="7">
        <f t="shared" si="1"/>
        <v>35400001</v>
      </c>
      <c r="C27" s="70" t="s">
        <v>2</v>
      </c>
      <c r="D27" s="7">
        <v>39100000</v>
      </c>
      <c r="E27" s="13">
        <v>0.15</v>
      </c>
      <c r="G27" s="70">
        <f t="shared" si="2"/>
        <v>25</v>
      </c>
      <c r="H27" s="7">
        <f t="shared" si="3"/>
        <v>53800001</v>
      </c>
      <c r="I27" s="70" t="s">
        <v>2</v>
      </c>
      <c r="J27" s="7">
        <v>58500000</v>
      </c>
      <c r="K27" s="13">
        <v>0.19000000000000003</v>
      </c>
      <c r="M27" s="70">
        <f t="shared" si="4"/>
        <v>25</v>
      </c>
      <c r="N27" s="7">
        <f t="shared" si="5"/>
        <v>51200001</v>
      </c>
      <c r="O27" s="70" t="s">
        <v>2</v>
      </c>
      <c r="P27" s="7">
        <v>55800000</v>
      </c>
      <c r="Q27" s="13">
        <v>0.18000000000000002</v>
      </c>
      <c r="V27" s="68"/>
      <c r="W27" s="68"/>
      <c r="X27" s="68"/>
      <c r="Y27" s="68"/>
    </row>
    <row r="28" spans="1:25" ht="15" customHeight="1">
      <c r="A28" s="70">
        <f t="shared" si="0"/>
        <v>26</v>
      </c>
      <c r="B28" s="7">
        <f t="shared" si="1"/>
        <v>39100001</v>
      </c>
      <c r="C28" s="70" t="s">
        <v>2</v>
      </c>
      <c r="D28" s="7">
        <v>43850000</v>
      </c>
      <c r="E28" s="13">
        <v>0.16</v>
      </c>
      <c r="G28" s="70">
        <f t="shared" si="2"/>
        <v>26</v>
      </c>
      <c r="H28" s="7">
        <f t="shared" si="3"/>
        <v>58500001</v>
      </c>
      <c r="I28" s="70" t="s">
        <v>2</v>
      </c>
      <c r="J28" s="7">
        <v>64000000</v>
      </c>
      <c r="K28" s="13">
        <v>0.20000000000000004</v>
      </c>
      <c r="M28" s="70">
        <f t="shared" si="4"/>
        <v>26</v>
      </c>
      <c r="N28" s="7">
        <f t="shared" si="5"/>
        <v>55800001</v>
      </c>
      <c r="O28" s="70" t="s">
        <v>2</v>
      </c>
      <c r="P28" s="7">
        <v>60400000</v>
      </c>
      <c r="Q28" s="13">
        <v>0.19000000000000003</v>
      </c>
      <c r="V28" s="68"/>
      <c r="W28" s="68"/>
      <c r="X28" s="68"/>
      <c r="Y28" s="68"/>
    </row>
    <row r="29" spans="1:25" ht="15" customHeight="1">
      <c r="A29" s="70">
        <f t="shared" si="0"/>
        <v>27</v>
      </c>
      <c r="B29" s="7">
        <f t="shared" si="1"/>
        <v>43850001</v>
      </c>
      <c r="C29" s="70" t="s">
        <v>2</v>
      </c>
      <c r="D29" s="7">
        <v>47800000</v>
      </c>
      <c r="E29" s="13">
        <v>0.17</v>
      </c>
      <c r="G29" s="70">
        <f t="shared" si="2"/>
        <v>27</v>
      </c>
      <c r="H29" s="7">
        <f t="shared" si="3"/>
        <v>64000001</v>
      </c>
      <c r="I29" s="70" t="s">
        <v>2</v>
      </c>
      <c r="J29" s="7">
        <v>71000000</v>
      </c>
      <c r="K29" s="13">
        <v>0.21000000000000005</v>
      </c>
      <c r="M29" s="70">
        <f t="shared" si="4"/>
        <v>27</v>
      </c>
      <c r="N29" s="7">
        <f t="shared" si="5"/>
        <v>60400001</v>
      </c>
      <c r="O29" s="70" t="s">
        <v>2</v>
      </c>
      <c r="P29" s="7">
        <v>66700000</v>
      </c>
      <c r="Q29" s="13">
        <v>0.20000000000000004</v>
      </c>
      <c r="V29" s="68"/>
      <c r="W29" s="68"/>
      <c r="X29" s="68"/>
      <c r="Y29" s="68"/>
    </row>
    <row r="30" spans="1:25" ht="15" customHeight="1">
      <c r="A30" s="70">
        <f t="shared" si="0"/>
        <v>28</v>
      </c>
      <c r="B30" s="7">
        <f t="shared" si="1"/>
        <v>47800001</v>
      </c>
      <c r="C30" s="70" t="s">
        <v>2</v>
      </c>
      <c r="D30" s="7">
        <v>51400000</v>
      </c>
      <c r="E30" s="13">
        <v>0.18000000000000002</v>
      </c>
      <c r="G30" s="70">
        <f t="shared" si="2"/>
        <v>28</v>
      </c>
      <c r="H30" s="7">
        <f t="shared" si="3"/>
        <v>71000001</v>
      </c>
      <c r="I30" s="70" t="s">
        <v>2</v>
      </c>
      <c r="J30" s="7">
        <v>80000000</v>
      </c>
      <c r="K30" s="13">
        <v>0.22000000000000006</v>
      </c>
      <c r="M30" s="70">
        <f t="shared" si="4"/>
        <v>28</v>
      </c>
      <c r="N30" s="7">
        <f t="shared" si="5"/>
        <v>66700001</v>
      </c>
      <c r="O30" s="70" t="s">
        <v>2</v>
      </c>
      <c r="P30" s="7">
        <v>74500000</v>
      </c>
      <c r="Q30" s="13">
        <v>0.21000000000000005</v>
      </c>
      <c r="V30" s="68"/>
      <c r="W30" s="68"/>
      <c r="X30" s="68"/>
      <c r="Y30" s="68"/>
    </row>
    <row r="31" spans="1:25" ht="15" customHeight="1">
      <c r="A31" s="70">
        <f t="shared" si="0"/>
        <v>29</v>
      </c>
      <c r="B31" s="7">
        <f t="shared" si="1"/>
        <v>51400001</v>
      </c>
      <c r="C31" s="70" t="s">
        <v>2</v>
      </c>
      <c r="D31" s="7">
        <v>56300000</v>
      </c>
      <c r="E31" s="13">
        <v>0.19000000000000003</v>
      </c>
      <c r="G31" s="70">
        <f t="shared" si="2"/>
        <v>29</v>
      </c>
      <c r="H31" s="7">
        <f t="shared" si="3"/>
        <v>80000001</v>
      </c>
      <c r="I31" s="70" t="s">
        <v>2</v>
      </c>
      <c r="J31" s="7">
        <v>93000000</v>
      </c>
      <c r="K31" s="13">
        <v>0.23000000000000007</v>
      </c>
      <c r="M31" s="70">
        <f t="shared" si="4"/>
        <v>29</v>
      </c>
      <c r="N31" s="7">
        <f t="shared" si="5"/>
        <v>74500001</v>
      </c>
      <c r="O31" s="70" t="s">
        <v>2</v>
      </c>
      <c r="P31" s="7">
        <v>83200000</v>
      </c>
      <c r="Q31" s="13">
        <v>0.22000000000000006</v>
      </c>
      <c r="S31" s="57"/>
      <c r="U31" s="58"/>
      <c r="V31" s="68"/>
      <c r="W31" s="68"/>
      <c r="X31" s="68"/>
      <c r="Y31" s="68"/>
    </row>
    <row r="32" spans="1:25" ht="15" customHeight="1">
      <c r="A32" s="70">
        <f t="shared" si="0"/>
        <v>30</v>
      </c>
      <c r="B32" s="7">
        <f t="shared" si="1"/>
        <v>56300001</v>
      </c>
      <c r="C32" s="70" t="s">
        <v>2</v>
      </c>
      <c r="D32" s="7">
        <v>62200000</v>
      </c>
      <c r="E32" s="13">
        <v>0.20000000000000004</v>
      </c>
      <c r="G32" s="70">
        <f t="shared" si="2"/>
        <v>30</v>
      </c>
      <c r="H32" s="7">
        <f t="shared" si="3"/>
        <v>93000001</v>
      </c>
      <c r="I32" s="70" t="s">
        <v>2</v>
      </c>
      <c r="J32" s="7">
        <v>109000000</v>
      </c>
      <c r="K32" s="13">
        <v>0.24000000000000007</v>
      </c>
      <c r="M32" s="70">
        <f t="shared" si="4"/>
        <v>30</v>
      </c>
      <c r="N32" s="7">
        <f t="shared" si="5"/>
        <v>83200001</v>
      </c>
      <c r="O32" s="70" t="s">
        <v>2</v>
      </c>
      <c r="P32" s="7">
        <v>95600000</v>
      </c>
      <c r="Q32" s="13">
        <v>0.23000000000000007</v>
      </c>
      <c r="V32" s="68"/>
      <c r="W32" s="68"/>
      <c r="X32" s="68"/>
      <c r="Y32" s="68"/>
    </row>
    <row r="33" spans="1:25" ht="15" customHeight="1">
      <c r="A33" s="70">
        <f t="shared" si="0"/>
        <v>31</v>
      </c>
      <c r="B33" s="7">
        <f t="shared" si="1"/>
        <v>62200001</v>
      </c>
      <c r="C33" s="70" t="s">
        <v>2</v>
      </c>
      <c r="D33" s="7">
        <v>68600000</v>
      </c>
      <c r="E33" s="13">
        <v>0.21000000000000005</v>
      </c>
      <c r="G33" s="70">
        <f t="shared" si="2"/>
        <v>31</v>
      </c>
      <c r="H33" s="7">
        <f t="shared" si="3"/>
        <v>109000001</v>
      </c>
      <c r="I33" s="70" t="s">
        <v>2</v>
      </c>
      <c r="J33" s="7">
        <v>129000000</v>
      </c>
      <c r="K33" s="13">
        <v>0.25000000000000006</v>
      </c>
      <c r="M33" s="70">
        <f t="shared" si="4"/>
        <v>31</v>
      </c>
      <c r="N33" s="7">
        <f t="shared" si="5"/>
        <v>95600001</v>
      </c>
      <c r="O33" s="70" t="s">
        <v>2</v>
      </c>
      <c r="P33" s="7">
        <v>110000000</v>
      </c>
      <c r="Q33" s="13">
        <v>0.24000000000000007</v>
      </c>
      <c r="S33" s="59"/>
      <c r="T33" s="68"/>
      <c r="U33" s="68"/>
      <c r="V33" s="68"/>
      <c r="W33" s="68"/>
      <c r="X33" s="68"/>
      <c r="Y33" s="68"/>
    </row>
    <row r="34" spans="1:25" ht="15" customHeight="1">
      <c r="A34" s="70">
        <f t="shared" si="0"/>
        <v>32</v>
      </c>
      <c r="B34" s="7">
        <f t="shared" si="1"/>
        <v>68600001</v>
      </c>
      <c r="C34" s="70" t="s">
        <v>2</v>
      </c>
      <c r="D34" s="7">
        <v>77500000</v>
      </c>
      <c r="E34" s="13">
        <v>0.22000000000000006</v>
      </c>
      <c r="G34" s="70">
        <f t="shared" si="2"/>
        <v>32</v>
      </c>
      <c r="H34" s="7">
        <f t="shared" si="3"/>
        <v>129000001</v>
      </c>
      <c r="I34" s="70" t="s">
        <v>2</v>
      </c>
      <c r="J34" s="7">
        <v>163000000</v>
      </c>
      <c r="K34" s="13">
        <v>0.26000000000000006</v>
      </c>
      <c r="M34" s="70">
        <f t="shared" si="4"/>
        <v>32</v>
      </c>
      <c r="N34" s="7">
        <f t="shared" si="5"/>
        <v>110000001</v>
      </c>
      <c r="O34" s="70" t="s">
        <v>2</v>
      </c>
      <c r="P34" s="7">
        <v>134000000</v>
      </c>
      <c r="Q34" s="13">
        <v>0.25000000000000006</v>
      </c>
      <c r="T34" s="68"/>
      <c r="U34" s="68"/>
      <c r="V34" s="68"/>
      <c r="W34" s="68"/>
      <c r="X34" s="68"/>
      <c r="Y34" s="68"/>
    </row>
    <row r="35" spans="1:25" ht="15" customHeight="1">
      <c r="A35" s="70">
        <f t="shared" si="0"/>
        <v>33</v>
      </c>
      <c r="B35" s="7">
        <f t="shared" si="1"/>
        <v>77500001</v>
      </c>
      <c r="C35" s="70" t="s">
        <v>2</v>
      </c>
      <c r="D35" s="7">
        <v>89000000</v>
      </c>
      <c r="E35" s="13">
        <v>0.23000000000000007</v>
      </c>
      <c r="G35" s="70">
        <f t="shared" si="2"/>
        <v>33</v>
      </c>
      <c r="H35" s="7">
        <f t="shared" si="3"/>
        <v>163000001</v>
      </c>
      <c r="I35" s="70" t="s">
        <v>2</v>
      </c>
      <c r="J35" s="7">
        <v>211000000</v>
      </c>
      <c r="K35" s="13">
        <v>0.27000000000000007</v>
      </c>
      <c r="M35" s="70">
        <f t="shared" si="4"/>
        <v>33</v>
      </c>
      <c r="N35" s="7">
        <f t="shared" si="5"/>
        <v>134000001</v>
      </c>
      <c r="O35" s="70" t="s">
        <v>2</v>
      </c>
      <c r="P35" s="7">
        <v>169000000</v>
      </c>
      <c r="Q35" s="13">
        <v>0.26000000000000006</v>
      </c>
      <c r="T35" s="68"/>
      <c r="U35" s="68"/>
      <c r="V35" s="68"/>
      <c r="W35" s="68"/>
      <c r="X35" s="68"/>
      <c r="Y35" s="68"/>
    </row>
    <row r="36" spans="1:25" ht="15" customHeight="1">
      <c r="A36" s="70">
        <f t="shared" si="0"/>
        <v>34</v>
      </c>
      <c r="B36" s="7">
        <f t="shared" si="1"/>
        <v>89000001</v>
      </c>
      <c r="C36" s="70" t="s">
        <v>2</v>
      </c>
      <c r="D36" s="7">
        <v>103000000</v>
      </c>
      <c r="E36" s="13">
        <v>0.24000000000000007</v>
      </c>
      <c r="G36" s="70">
        <f t="shared" si="2"/>
        <v>34</v>
      </c>
      <c r="H36" s="7">
        <f t="shared" si="3"/>
        <v>211000001</v>
      </c>
      <c r="I36" s="70" t="s">
        <v>2</v>
      </c>
      <c r="J36" s="7">
        <v>374000000</v>
      </c>
      <c r="K36" s="13">
        <v>0.28000000000000008</v>
      </c>
      <c r="M36" s="70">
        <f t="shared" si="4"/>
        <v>34</v>
      </c>
      <c r="N36" s="7">
        <f t="shared" si="5"/>
        <v>169000001</v>
      </c>
      <c r="O36" s="70" t="s">
        <v>2</v>
      </c>
      <c r="P36" s="7">
        <v>221000000</v>
      </c>
      <c r="Q36" s="13">
        <v>0.27000000000000007</v>
      </c>
      <c r="T36" s="68"/>
      <c r="U36" s="68"/>
      <c r="V36" s="68"/>
      <c r="W36" s="68"/>
      <c r="X36" s="68"/>
      <c r="Y36" s="68"/>
    </row>
    <row r="37" spans="1:25" ht="15" customHeight="1">
      <c r="A37" s="70">
        <f t="shared" si="0"/>
        <v>35</v>
      </c>
      <c r="B37" s="7">
        <f t="shared" si="1"/>
        <v>103000001</v>
      </c>
      <c r="C37" s="70" t="s">
        <v>2</v>
      </c>
      <c r="D37" s="7">
        <v>125000000</v>
      </c>
      <c r="E37" s="13">
        <v>0.25000000000000006</v>
      </c>
      <c r="G37" s="70">
        <f t="shared" si="2"/>
        <v>35</v>
      </c>
      <c r="H37" s="7">
        <f t="shared" si="3"/>
        <v>374000001</v>
      </c>
      <c r="I37" s="70" t="s">
        <v>2</v>
      </c>
      <c r="J37" s="7">
        <v>459000000</v>
      </c>
      <c r="K37" s="13">
        <v>0.29000000000000009</v>
      </c>
      <c r="M37" s="70">
        <f t="shared" si="4"/>
        <v>35</v>
      </c>
      <c r="N37" s="7">
        <f t="shared" si="5"/>
        <v>221000001</v>
      </c>
      <c r="O37" s="70" t="s">
        <v>2</v>
      </c>
      <c r="P37" s="7">
        <v>390000000</v>
      </c>
      <c r="Q37" s="13">
        <v>0.28000000000000008</v>
      </c>
      <c r="T37" s="68"/>
      <c r="U37" s="68"/>
      <c r="V37" s="68"/>
      <c r="W37" s="68"/>
      <c r="X37" s="68"/>
      <c r="Y37" s="68"/>
    </row>
    <row r="38" spans="1:25" ht="15" customHeight="1">
      <c r="A38" s="70">
        <f t="shared" si="0"/>
        <v>36</v>
      </c>
      <c r="B38" s="7">
        <f t="shared" si="1"/>
        <v>125000001</v>
      </c>
      <c r="C38" s="70" t="s">
        <v>2</v>
      </c>
      <c r="D38" s="7">
        <v>157000000</v>
      </c>
      <c r="E38" s="13">
        <v>0.26000000000000006</v>
      </c>
      <c r="G38" s="70">
        <f t="shared" si="2"/>
        <v>36</v>
      </c>
      <c r="H38" s="7">
        <f t="shared" si="3"/>
        <v>459000001</v>
      </c>
      <c r="I38" s="70" t="s">
        <v>2</v>
      </c>
      <c r="J38" s="7">
        <v>555000000</v>
      </c>
      <c r="K38" s="13">
        <v>0.3000000000000001</v>
      </c>
      <c r="M38" s="70">
        <f t="shared" si="4"/>
        <v>36</v>
      </c>
      <c r="N38" s="7">
        <f t="shared" si="5"/>
        <v>390000001</v>
      </c>
      <c r="O38" s="70" t="s">
        <v>2</v>
      </c>
      <c r="P38" s="7">
        <v>463000000</v>
      </c>
      <c r="Q38" s="13">
        <v>0.29000000000000009</v>
      </c>
      <c r="T38" s="68"/>
      <c r="U38" s="68"/>
      <c r="V38" s="68"/>
      <c r="W38" s="68"/>
      <c r="X38" s="68"/>
      <c r="Y38" s="68"/>
    </row>
    <row r="39" spans="1:25" ht="15" customHeight="1">
      <c r="A39" s="70">
        <f t="shared" si="0"/>
        <v>37</v>
      </c>
      <c r="B39" s="7">
        <f t="shared" si="1"/>
        <v>157000001</v>
      </c>
      <c r="C39" s="70" t="s">
        <v>2</v>
      </c>
      <c r="D39" s="7">
        <v>206000000</v>
      </c>
      <c r="E39" s="13">
        <v>0.27000000000000007</v>
      </c>
      <c r="G39" s="70">
        <f t="shared" si="2"/>
        <v>37</v>
      </c>
      <c r="H39" s="7">
        <f t="shared" si="3"/>
        <v>555000001</v>
      </c>
      <c r="I39" s="70" t="s">
        <v>2</v>
      </c>
      <c r="J39" s="7">
        <v>704000000</v>
      </c>
      <c r="K39" s="13">
        <v>0.31000000000000011</v>
      </c>
      <c r="M39" s="70">
        <f t="shared" si="4"/>
        <v>37</v>
      </c>
      <c r="N39" s="7">
        <f t="shared" si="5"/>
        <v>463000001</v>
      </c>
      <c r="O39" s="70" t="s">
        <v>2</v>
      </c>
      <c r="P39" s="7">
        <v>561000000</v>
      </c>
      <c r="Q39" s="13">
        <v>0.3000000000000001</v>
      </c>
      <c r="T39" s="68"/>
      <c r="U39" s="68"/>
      <c r="V39" s="68"/>
      <c r="W39" s="68"/>
      <c r="X39" s="68"/>
      <c r="Y39" s="68"/>
    </row>
    <row r="40" spans="1:25" ht="15" customHeight="1">
      <c r="A40" s="70">
        <f t="shared" si="0"/>
        <v>38</v>
      </c>
      <c r="B40" s="7">
        <f t="shared" si="1"/>
        <v>206000001</v>
      </c>
      <c r="C40" s="70" t="s">
        <v>2</v>
      </c>
      <c r="D40" s="7">
        <v>337000000</v>
      </c>
      <c r="E40" s="13">
        <v>0.28000000000000008</v>
      </c>
      <c r="G40" s="70">
        <f t="shared" si="2"/>
        <v>38</v>
      </c>
      <c r="H40" s="7">
        <f t="shared" si="3"/>
        <v>704000001</v>
      </c>
      <c r="I40" s="70" t="s">
        <v>2</v>
      </c>
      <c r="J40" s="7">
        <v>957000000</v>
      </c>
      <c r="K40" s="13">
        <v>0.32000000000000012</v>
      </c>
      <c r="M40" s="70">
        <f t="shared" si="4"/>
        <v>38</v>
      </c>
      <c r="N40" s="7">
        <f t="shared" si="5"/>
        <v>561000001</v>
      </c>
      <c r="O40" s="70" t="s">
        <v>2</v>
      </c>
      <c r="P40" s="7">
        <v>709000000</v>
      </c>
      <c r="Q40" s="13">
        <v>0.31000000000000011</v>
      </c>
      <c r="T40" s="68"/>
      <c r="U40" s="68"/>
      <c r="V40" s="68"/>
      <c r="W40" s="68"/>
      <c r="X40" s="68"/>
      <c r="Y40" s="68"/>
    </row>
    <row r="41" spans="1:25" ht="15" customHeight="1">
      <c r="A41" s="70">
        <f t="shared" si="0"/>
        <v>39</v>
      </c>
      <c r="B41" s="7">
        <f t="shared" si="1"/>
        <v>337000001</v>
      </c>
      <c r="C41" s="70" t="s">
        <v>2</v>
      </c>
      <c r="D41" s="7">
        <v>454000000</v>
      </c>
      <c r="E41" s="13">
        <v>0.29000000000000009</v>
      </c>
      <c r="G41" s="70">
        <f t="shared" si="2"/>
        <v>39</v>
      </c>
      <c r="H41" s="7">
        <f t="shared" si="3"/>
        <v>957000001</v>
      </c>
      <c r="I41" s="70" t="s">
        <v>2</v>
      </c>
      <c r="J41" s="7">
        <v>1405000000</v>
      </c>
      <c r="K41" s="13">
        <v>0.33000000000000013</v>
      </c>
      <c r="M41" s="70">
        <f t="shared" si="4"/>
        <v>39</v>
      </c>
      <c r="N41" s="7">
        <f t="shared" si="5"/>
        <v>709000001</v>
      </c>
      <c r="O41" s="70" t="s">
        <v>2</v>
      </c>
      <c r="P41" s="7">
        <v>965000000</v>
      </c>
      <c r="Q41" s="13">
        <v>0.32000000000000012</v>
      </c>
      <c r="T41" s="68"/>
      <c r="U41" s="68"/>
      <c r="V41" s="68"/>
      <c r="W41" s="68"/>
      <c r="X41" s="68"/>
      <c r="Y41" s="68"/>
    </row>
    <row r="42" spans="1:25" ht="15" customHeight="1">
      <c r="A42" s="70">
        <f t="shared" si="0"/>
        <v>40</v>
      </c>
      <c r="B42" s="7">
        <f t="shared" si="1"/>
        <v>454000001</v>
      </c>
      <c r="C42" s="70" t="s">
        <v>2</v>
      </c>
      <c r="D42" s="7">
        <v>550000000</v>
      </c>
      <c r="E42" s="13">
        <v>0.3000000000000001</v>
      </c>
      <c r="G42" s="70">
        <f t="shared" si="2"/>
        <v>40</v>
      </c>
      <c r="H42" s="7">
        <f t="shared" si="3"/>
        <v>1405000001</v>
      </c>
      <c r="I42" s="70" t="s">
        <v>2</v>
      </c>
      <c r="J42" s="7" t="s">
        <v>18</v>
      </c>
      <c r="K42" s="13">
        <v>0.34000000000000014</v>
      </c>
      <c r="M42" s="70">
        <f t="shared" si="4"/>
        <v>40</v>
      </c>
      <c r="N42" s="7">
        <f t="shared" si="5"/>
        <v>965000001</v>
      </c>
      <c r="O42" s="70" t="s">
        <v>2</v>
      </c>
      <c r="P42" s="7">
        <v>1419000000</v>
      </c>
      <c r="Q42" s="13">
        <v>0.33000000000000013</v>
      </c>
      <c r="T42" s="68"/>
      <c r="U42" s="68"/>
      <c r="V42" s="68"/>
      <c r="W42" s="68"/>
      <c r="X42" s="68"/>
      <c r="Y42" s="68"/>
    </row>
    <row r="43" spans="1:25" ht="15" customHeight="1">
      <c r="A43" s="70">
        <f t="shared" si="0"/>
        <v>41</v>
      </c>
      <c r="B43" s="7">
        <f t="shared" si="1"/>
        <v>550000001</v>
      </c>
      <c r="C43" s="70" t="s">
        <v>2</v>
      </c>
      <c r="D43" s="7">
        <v>695000000</v>
      </c>
      <c r="E43" s="13">
        <v>0.31000000000000011</v>
      </c>
      <c r="M43" s="70">
        <f>M42+1</f>
        <v>41</v>
      </c>
      <c r="N43" s="7">
        <f t="shared" si="5"/>
        <v>1419000001</v>
      </c>
      <c r="O43" s="70" t="s">
        <v>2</v>
      </c>
      <c r="P43" s="7" t="s">
        <v>18</v>
      </c>
      <c r="Q43" s="13">
        <v>0.34000000000000014</v>
      </c>
      <c r="T43" s="68"/>
      <c r="U43" s="68"/>
      <c r="V43" s="68"/>
      <c r="W43" s="68"/>
      <c r="X43" s="68"/>
      <c r="Y43" s="68"/>
    </row>
    <row r="44" spans="1:25" ht="15" customHeight="1">
      <c r="A44" s="70">
        <f t="shared" si="0"/>
        <v>42</v>
      </c>
      <c r="B44" s="7">
        <f t="shared" si="1"/>
        <v>695000001</v>
      </c>
      <c r="C44" s="70" t="s">
        <v>2</v>
      </c>
      <c r="D44" s="7">
        <v>910000000</v>
      </c>
      <c r="E44" s="13">
        <v>0.32000000000000012</v>
      </c>
      <c r="T44" s="68"/>
      <c r="U44" s="68"/>
      <c r="V44" s="68"/>
      <c r="W44" s="68"/>
      <c r="X44" s="68"/>
      <c r="Y44" s="68"/>
    </row>
    <row r="45" spans="1:25" ht="15" customHeight="1">
      <c r="A45" s="70">
        <f t="shared" si="0"/>
        <v>43</v>
      </c>
      <c r="B45" s="7">
        <f t="shared" si="1"/>
        <v>910000001</v>
      </c>
      <c r="C45" s="70" t="s">
        <v>2</v>
      </c>
      <c r="D45" s="7">
        <v>1400000000</v>
      </c>
      <c r="E45" s="13">
        <v>0.33000000000000013</v>
      </c>
      <c r="T45" s="68"/>
      <c r="U45" s="68"/>
      <c r="V45" s="68"/>
      <c r="W45" s="68"/>
      <c r="X45" s="68"/>
      <c r="Y45" s="68"/>
    </row>
    <row r="46" spans="1:25" ht="15" customHeight="1">
      <c r="A46" s="70">
        <f t="shared" si="0"/>
        <v>44</v>
      </c>
      <c r="B46" s="7">
        <f t="shared" si="1"/>
        <v>1400000001</v>
      </c>
      <c r="C46" s="70" t="s">
        <v>2</v>
      </c>
      <c r="D46" s="7" t="s">
        <v>18</v>
      </c>
      <c r="E46" s="13">
        <v>0.34000000000000014</v>
      </c>
      <c r="J46" s="8"/>
      <c r="T46" s="68"/>
      <c r="U46" s="68"/>
      <c r="V46" s="68"/>
      <c r="W46" s="68"/>
      <c r="X46" s="68"/>
      <c r="Y46" s="68"/>
    </row>
    <row r="47" spans="1:25" ht="15" customHeight="1">
      <c r="J47" s="10"/>
      <c r="T47" s="68"/>
      <c r="U47" s="68"/>
      <c r="V47" s="68"/>
      <c r="W47" s="68"/>
      <c r="X47" s="68"/>
      <c r="Y47" s="68"/>
    </row>
    <row r="48" spans="1:25" ht="15" customHeight="1">
      <c r="J48" s="10"/>
      <c r="T48" s="68"/>
      <c r="U48" s="68"/>
      <c r="V48" s="68"/>
      <c r="W48" s="68"/>
      <c r="X48" s="68"/>
      <c r="Y48" s="68"/>
    </row>
    <row r="54" spans="2:25" ht="15" customHeight="1">
      <c r="B54" s="68"/>
      <c r="D54" s="68"/>
      <c r="E54" s="68"/>
      <c r="J54" s="22"/>
      <c r="K54" s="68"/>
      <c r="Q54" s="68"/>
      <c r="S54" s="68"/>
      <c r="T54" s="68"/>
      <c r="U54" s="68"/>
      <c r="V54" s="68"/>
      <c r="W54" s="68"/>
      <c r="X54" s="68"/>
      <c r="Y54" s="68"/>
    </row>
    <row r="55" spans="2:25" ht="15" customHeight="1">
      <c r="B55" s="68"/>
      <c r="D55" s="68"/>
      <c r="E55" s="68"/>
      <c r="J55" s="22">
        <v>20000000</v>
      </c>
      <c r="K55" s="68"/>
      <c r="Q55" s="68"/>
      <c r="S55" s="68"/>
      <c r="T55" s="68"/>
      <c r="U55" s="68"/>
      <c r="V55" s="68"/>
      <c r="W55" s="68"/>
      <c r="X55" s="68"/>
      <c r="Y55" s="68"/>
    </row>
    <row r="56" spans="2:25" ht="15" customHeight="1">
      <c r="B56" s="68"/>
      <c r="D56" s="68"/>
      <c r="E56" s="68"/>
      <c r="J56" s="22">
        <f ca="1">J61</f>
        <v>1739130.4347826089</v>
      </c>
      <c r="K56" s="68"/>
      <c r="Q56" s="68"/>
      <c r="S56" s="68"/>
      <c r="T56" s="68"/>
      <c r="U56" s="68"/>
      <c r="V56" s="68"/>
      <c r="W56" s="68"/>
      <c r="X56" s="68"/>
      <c r="Y56" s="68"/>
    </row>
    <row r="57" spans="2:25" ht="15" customHeight="1">
      <c r="B57" s="68"/>
      <c r="D57" s="68"/>
      <c r="E57" s="68"/>
      <c r="J57" s="22">
        <f ca="1">SUM(J55:J56)</f>
        <v>21739130.434782609</v>
      </c>
      <c r="K57" s="68"/>
      <c r="Q57" s="68"/>
      <c r="S57" s="68"/>
      <c r="T57" s="68"/>
      <c r="U57" s="68"/>
      <c r="V57" s="68"/>
      <c r="W57" s="68"/>
      <c r="X57" s="68"/>
      <c r="Y57" s="68"/>
    </row>
    <row r="59" spans="2:25" ht="15" customHeight="1">
      <c r="B59" s="68"/>
      <c r="D59" s="68"/>
      <c r="E59" s="68"/>
      <c r="J59" s="22"/>
      <c r="K59" s="68"/>
      <c r="Q59" s="68"/>
      <c r="S59" s="68"/>
      <c r="T59" s="68"/>
      <c r="U59" s="68"/>
      <c r="V59" s="68"/>
      <c r="W59" s="68"/>
      <c r="X59" s="68"/>
      <c r="Y59" s="68"/>
    </row>
    <row r="60" spans="2:25" ht="15" customHeight="1">
      <c r="B60" s="68"/>
      <c r="D60" s="68"/>
      <c r="E60" s="68"/>
      <c r="J60" s="22"/>
      <c r="K60" s="68"/>
      <c r="Q60" s="68"/>
      <c r="S60" s="68"/>
      <c r="T60" s="68"/>
      <c r="U60" s="68"/>
      <c r="V60" s="68"/>
      <c r="W60" s="68"/>
      <c r="X60" s="68"/>
      <c r="Y60" s="68"/>
    </row>
    <row r="61" spans="2:25" ht="15" customHeight="1">
      <c r="B61" s="68"/>
      <c r="D61" s="68"/>
      <c r="E61" s="68"/>
      <c r="J61" s="22">
        <f ca="1">J57*8%</f>
        <v>1739130.4347826089</v>
      </c>
      <c r="K61" s="68"/>
      <c r="Q61" s="68"/>
      <c r="S61" s="68"/>
      <c r="T61" s="68"/>
      <c r="U61" s="68"/>
      <c r="V61" s="68"/>
      <c r="W61" s="68"/>
      <c r="X61" s="68"/>
      <c r="Y61" s="68"/>
    </row>
  </sheetData>
  <mergeCells count="15">
    <mergeCell ref="S22:T22"/>
    <mergeCell ref="S23:T23"/>
    <mergeCell ref="S24:T24"/>
    <mergeCell ref="S25:T25"/>
    <mergeCell ref="S17:T17"/>
    <mergeCell ref="S18:T18"/>
    <mergeCell ref="S19:T19"/>
    <mergeCell ref="S20:T20"/>
    <mergeCell ref="S21:T21"/>
    <mergeCell ref="T14:U14"/>
    <mergeCell ref="S8:U8"/>
    <mergeCell ref="S2:U2"/>
    <mergeCell ref="B2:D2"/>
    <mergeCell ref="H2:J2"/>
    <mergeCell ref="N2:P2"/>
  </mergeCells>
  <phoneticPr fontId="5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BX537"/>
  <sheetViews>
    <sheetView tabSelected="1" view="pageBreakPreview" zoomScale="60" zoomScaleNormal="85" workbookViewId="0">
      <pane xSplit="12" ySplit="5" topLeftCell="M6" activePane="bottomRight" state="frozen"/>
      <selection pane="topRight" activeCell="M1" sqref="M1"/>
      <selection pane="bottomLeft" activeCell="A6" sqref="A6"/>
      <selection pane="bottomRight" activeCell="Q97" sqref="Q97"/>
    </sheetView>
  </sheetViews>
  <sheetFormatPr defaultColWidth="9.28515625" defaultRowHeight="12.75" outlineLevelCol="1"/>
  <cols>
    <col min="1" max="1" width="1.5703125" style="330" customWidth="1"/>
    <col min="2" max="2" width="5.7109375" style="136" customWidth="1"/>
    <col min="3" max="3" width="15.5703125" style="28" customWidth="1"/>
    <col min="4" max="4" width="17.42578125" style="222" customWidth="1" outlineLevel="1"/>
    <col min="5" max="5" width="17.85546875" style="29" customWidth="1" outlineLevel="1"/>
    <col min="6" max="6" width="21.42578125" style="28" customWidth="1" outlineLevel="1"/>
    <col min="7" max="7" width="16.5703125" style="293" customWidth="1" outlineLevel="1"/>
    <col min="8" max="8" width="5" style="294" customWidth="1" outlineLevel="1"/>
    <col min="9" max="9" width="6.7109375" style="294" customWidth="1" outlineLevel="1"/>
    <col min="10" max="10" width="7.85546875" style="294" customWidth="1" outlineLevel="1"/>
    <col min="11" max="12" width="5.28515625" style="294" customWidth="1" outlineLevel="1"/>
    <col min="13" max="13" width="17" style="28" bestFit="1" customWidth="1"/>
    <col min="14" max="14" width="16.85546875" style="28" bestFit="1" customWidth="1"/>
    <col min="15" max="15" width="17.7109375" style="28" bestFit="1" customWidth="1"/>
    <col min="16" max="16" width="7.7109375" style="28" customWidth="1"/>
    <col min="17" max="17" width="17.5703125" style="28" bestFit="1" customWidth="1"/>
    <col min="18" max="19" width="13.5703125" style="28" customWidth="1"/>
    <col min="20" max="20" width="8.85546875" style="28" customWidth="1"/>
    <col min="21" max="21" width="14.5703125" style="28" customWidth="1"/>
    <col min="22" max="23" width="13.5703125" style="28" customWidth="1"/>
    <col min="24" max="24" width="9.7109375" style="28" customWidth="1"/>
    <col min="25" max="25" width="11" style="28" customWidth="1"/>
    <col min="26" max="26" width="13.5703125" style="28" customWidth="1"/>
    <col min="27" max="27" width="14.5703125" style="28" customWidth="1"/>
    <col min="28" max="29" width="13.5703125" style="28" customWidth="1"/>
    <col min="30" max="30" width="15.42578125" style="28" customWidth="1"/>
    <col min="31" max="31" width="14.7109375" style="28" customWidth="1"/>
    <col min="32" max="32" width="12.85546875" style="28" customWidth="1"/>
    <col min="33" max="33" width="11.5703125" style="28" customWidth="1"/>
    <col min="34" max="34" width="18" style="28" bestFit="1" customWidth="1"/>
    <col min="35" max="35" width="11.85546875" style="31" customWidth="1"/>
    <col min="36" max="36" width="17.7109375" style="31" bestFit="1" customWidth="1"/>
    <col min="37" max="37" width="12.28515625" style="32" customWidth="1"/>
    <col min="38" max="38" width="12.28515625" style="33" customWidth="1"/>
    <col min="39" max="39" width="9.7109375" style="32" customWidth="1"/>
    <col min="40" max="40" width="12" style="33" customWidth="1"/>
    <col min="41" max="42" width="9.28515625" style="32" customWidth="1"/>
    <col min="43" max="54" width="9.28515625" style="136"/>
    <col min="55" max="16384" width="9.28515625" style="330"/>
  </cols>
  <sheetData>
    <row r="1" spans="2:42" s="136" customFormat="1" ht="17.649999999999999" customHeight="1" thickBot="1">
      <c r="C1" s="292" t="s">
        <v>40</v>
      </c>
      <c r="D1" s="222"/>
      <c r="E1" s="29" t="s">
        <v>458</v>
      </c>
      <c r="F1" s="28"/>
      <c r="G1" s="293"/>
      <c r="H1" s="294"/>
      <c r="I1" s="294"/>
      <c r="J1" s="294"/>
      <c r="K1" s="294"/>
      <c r="L1" s="294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31"/>
      <c r="AJ1" s="31"/>
      <c r="AK1" s="32"/>
      <c r="AL1" s="33"/>
      <c r="AM1" s="32"/>
      <c r="AN1" s="33"/>
      <c r="AO1" s="32"/>
      <c r="AP1" s="32"/>
    </row>
    <row r="2" spans="2:42" s="136" customFormat="1" ht="20.100000000000001" customHeight="1" thickBot="1">
      <c r="B2" s="453" t="s">
        <v>24</v>
      </c>
      <c r="C2" s="456" t="s">
        <v>25</v>
      </c>
      <c r="D2" s="459" t="s">
        <v>26</v>
      </c>
      <c r="E2" s="460" t="s">
        <v>27</v>
      </c>
      <c r="F2" s="456" t="s">
        <v>28</v>
      </c>
      <c r="G2" s="451" t="s">
        <v>29</v>
      </c>
      <c r="H2" s="435" t="s">
        <v>46</v>
      </c>
      <c r="I2" s="436"/>
      <c r="J2" s="436"/>
      <c r="K2" s="436"/>
      <c r="L2" s="436"/>
      <c r="M2" s="439" t="s">
        <v>31</v>
      </c>
      <c r="N2" s="440"/>
      <c r="O2" s="440"/>
      <c r="P2" s="440"/>
      <c r="Q2" s="440"/>
      <c r="R2" s="426" t="s">
        <v>173</v>
      </c>
      <c r="S2" s="427"/>
      <c r="T2" s="427"/>
      <c r="U2" s="434" t="s">
        <v>177</v>
      </c>
      <c r="V2" s="421" t="s">
        <v>178</v>
      </c>
      <c r="W2" s="424" t="s">
        <v>179</v>
      </c>
      <c r="X2" s="424" t="s">
        <v>180</v>
      </c>
      <c r="Y2" s="424" t="s">
        <v>181</v>
      </c>
      <c r="Z2" s="424" t="s">
        <v>182</v>
      </c>
      <c r="AA2" s="412" t="s">
        <v>183</v>
      </c>
      <c r="AB2" s="415" t="s">
        <v>184</v>
      </c>
      <c r="AC2" s="416"/>
      <c r="AD2" s="419" t="s">
        <v>185</v>
      </c>
      <c r="AE2" s="424" t="s">
        <v>32</v>
      </c>
      <c r="AF2" s="420" t="s">
        <v>33</v>
      </c>
      <c r="AG2" s="412" t="s">
        <v>55</v>
      </c>
      <c r="AH2" s="421"/>
      <c r="AI2" s="420" t="s">
        <v>34</v>
      </c>
      <c r="AJ2" s="449" t="s">
        <v>35</v>
      </c>
      <c r="AK2" s="32"/>
      <c r="AL2" s="33"/>
      <c r="AM2" s="32"/>
      <c r="AN2" s="33"/>
      <c r="AO2" s="32"/>
      <c r="AP2" s="32"/>
    </row>
    <row r="3" spans="2:42" s="136" customFormat="1" ht="13.9" customHeight="1" thickBot="1">
      <c r="B3" s="454"/>
      <c r="C3" s="457"/>
      <c r="D3" s="457"/>
      <c r="E3" s="460"/>
      <c r="F3" s="457"/>
      <c r="G3" s="451"/>
      <c r="H3" s="437"/>
      <c r="I3" s="438"/>
      <c r="J3" s="438"/>
      <c r="K3" s="438"/>
      <c r="L3" s="438"/>
      <c r="M3" s="441" t="s">
        <v>36</v>
      </c>
      <c r="N3" s="443" t="s">
        <v>43</v>
      </c>
      <c r="O3" s="443" t="s">
        <v>45</v>
      </c>
      <c r="P3" s="445" t="s">
        <v>44</v>
      </c>
      <c r="Q3" s="443" t="s">
        <v>41</v>
      </c>
      <c r="R3" s="428" t="s">
        <v>174</v>
      </c>
      <c r="S3" s="430" t="s">
        <v>175</v>
      </c>
      <c r="T3" s="432" t="s">
        <v>176</v>
      </c>
      <c r="U3" s="434"/>
      <c r="V3" s="422"/>
      <c r="W3" s="425"/>
      <c r="X3" s="425"/>
      <c r="Y3" s="425"/>
      <c r="Z3" s="425"/>
      <c r="AA3" s="413"/>
      <c r="AB3" s="417"/>
      <c r="AC3" s="418"/>
      <c r="AD3" s="419"/>
      <c r="AE3" s="425"/>
      <c r="AF3" s="420"/>
      <c r="AG3" s="450"/>
      <c r="AH3" s="423"/>
      <c r="AI3" s="420"/>
      <c r="AJ3" s="449"/>
      <c r="AK3" s="32"/>
      <c r="AL3" s="33"/>
      <c r="AM3" s="32"/>
      <c r="AN3" s="33"/>
      <c r="AO3" s="32"/>
      <c r="AP3" s="32"/>
    </row>
    <row r="4" spans="2:42" s="136" customFormat="1" ht="36.6" customHeight="1" thickBot="1">
      <c r="B4" s="455"/>
      <c r="C4" s="458"/>
      <c r="D4" s="458"/>
      <c r="E4" s="460"/>
      <c r="F4" s="458"/>
      <c r="G4" s="452"/>
      <c r="H4" s="295" t="s">
        <v>37</v>
      </c>
      <c r="I4" s="295" t="s">
        <v>6</v>
      </c>
      <c r="J4" s="296" t="s">
        <v>15</v>
      </c>
      <c r="K4" s="447" t="s">
        <v>30</v>
      </c>
      <c r="L4" s="448"/>
      <c r="M4" s="442"/>
      <c r="N4" s="444"/>
      <c r="O4" s="444"/>
      <c r="P4" s="446"/>
      <c r="Q4" s="444"/>
      <c r="R4" s="429"/>
      <c r="S4" s="431"/>
      <c r="T4" s="433"/>
      <c r="U4" s="434"/>
      <c r="V4" s="423"/>
      <c r="W4" s="414"/>
      <c r="X4" s="414"/>
      <c r="Y4" s="414"/>
      <c r="Z4" s="414"/>
      <c r="AA4" s="414"/>
      <c r="AB4" s="297" t="s">
        <v>186</v>
      </c>
      <c r="AC4" s="297" t="s">
        <v>187</v>
      </c>
      <c r="AD4" s="420"/>
      <c r="AE4" s="414"/>
      <c r="AF4" s="420"/>
      <c r="AG4" s="298" t="s">
        <v>54</v>
      </c>
      <c r="AH4" s="298" t="s">
        <v>53</v>
      </c>
      <c r="AI4" s="420"/>
      <c r="AJ4" s="449"/>
      <c r="AK4" s="32"/>
      <c r="AL4" s="33"/>
      <c r="AM4" s="32"/>
      <c r="AN4" s="33"/>
      <c r="AO4" s="32"/>
      <c r="AP4" s="32"/>
    </row>
    <row r="5" spans="2:42" s="301" customFormat="1" ht="21.4" customHeight="1" thickBot="1">
      <c r="B5" s="299">
        <v>1</v>
      </c>
      <c r="C5" s="300">
        <v>2</v>
      </c>
      <c r="D5" s="299">
        <v>3</v>
      </c>
      <c r="E5" s="300">
        <v>4</v>
      </c>
      <c r="F5" s="299">
        <v>5</v>
      </c>
      <c r="G5" s="300">
        <v>6</v>
      </c>
      <c r="H5" s="299">
        <v>7</v>
      </c>
      <c r="I5" s="300">
        <v>8</v>
      </c>
      <c r="J5" s="299">
        <v>9</v>
      </c>
      <c r="K5" s="300">
        <v>10</v>
      </c>
      <c r="L5" s="299">
        <v>11</v>
      </c>
      <c r="M5" s="300">
        <v>12</v>
      </c>
      <c r="N5" s="299">
        <v>13</v>
      </c>
      <c r="O5" s="300">
        <v>14</v>
      </c>
      <c r="P5" s="299">
        <v>15</v>
      </c>
      <c r="Q5" s="300">
        <v>16</v>
      </c>
      <c r="R5" s="299">
        <v>17</v>
      </c>
      <c r="S5" s="300">
        <v>18</v>
      </c>
      <c r="T5" s="299">
        <v>19</v>
      </c>
      <c r="U5" s="300">
        <v>20</v>
      </c>
      <c r="V5" s="299">
        <v>21</v>
      </c>
      <c r="W5" s="300">
        <v>22</v>
      </c>
      <c r="X5" s="299">
        <v>23</v>
      </c>
      <c r="Y5" s="300">
        <v>24</v>
      </c>
      <c r="Z5" s="299">
        <v>25</v>
      </c>
      <c r="AA5" s="300">
        <v>26</v>
      </c>
      <c r="AB5" s="299">
        <v>27</v>
      </c>
      <c r="AC5" s="300">
        <v>27</v>
      </c>
      <c r="AD5" s="299">
        <v>29</v>
      </c>
      <c r="AE5" s="300">
        <v>30</v>
      </c>
      <c r="AF5" s="299">
        <v>31</v>
      </c>
      <c r="AG5" s="300">
        <v>32</v>
      </c>
      <c r="AH5" s="299">
        <v>33</v>
      </c>
      <c r="AI5" s="300">
        <v>34</v>
      </c>
      <c r="AJ5" s="299">
        <v>35</v>
      </c>
      <c r="AK5" s="53"/>
      <c r="AL5" s="54"/>
      <c r="AM5" s="53"/>
      <c r="AN5" s="54"/>
      <c r="AO5" s="53"/>
      <c r="AP5" s="53"/>
    </row>
    <row r="6" spans="2:42" s="136" customFormat="1" ht="21" customHeight="1">
      <c r="B6" s="131">
        <v>1</v>
      </c>
      <c r="C6" s="302" t="str">
        <f>+PERBULAN!B8</f>
        <v>SUDARMONO</v>
      </c>
      <c r="D6" s="303" t="s">
        <v>198</v>
      </c>
      <c r="E6" s="304" t="s">
        <v>69</v>
      </c>
      <c r="F6" s="83" t="s">
        <v>195</v>
      </c>
      <c r="G6" s="305" t="s">
        <v>82</v>
      </c>
      <c r="H6" s="306" t="s">
        <v>39</v>
      </c>
      <c r="I6" s="307" t="s">
        <v>11</v>
      </c>
      <c r="J6" s="308" t="str">
        <f>IF(ISBLANK(I6),"",IF(OR(I6="TK/0",I6="TK/1",I6="K/0"),"TER A",IF(I6="K/3","TER C","TER B")))</f>
        <v>TER B</v>
      </c>
      <c r="K6" s="309">
        <v>1</v>
      </c>
      <c r="L6" s="309">
        <v>12</v>
      </c>
      <c r="M6" s="40">
        <f>[3]PPH!K7</f>
        <v>4005820</v>
      </c>
      <c r="N6" s="40">
        <v>3103853.0300000003</v>
      </c>
      <c r="O6" s="40">
        <f>[3]PPH!L7+[3]PPH!M7</f>
        <v>190241.04</v>
      </c>
      <c r="P6" s="40">
        <v>0</v>
      </c>
      <c r="Q6" s="40">
        <f t="shared" ref="Q6:Q7" si="0">SUM(M6:P6)</f>
        <v>7299914.0700000003</v>
      </c>
      <c r="R6" s="40">
        <f>+PERBULAN!S8</f>
        <v>4093600</v>
      </c>
      <c r="S6" s="40">
        <f>+SETAHUN!J8</f>
        <v>200000</v>
      </c>
      <c r="T6" s="40">
        <v>0</v>
      </c>
      <c r="U6" s="40">
        <f>+SETAHUN!F8+M6+N6</f>
        <v>82957494.189999998</v>
      </c>
      <c r="V6" s="40">
        <v>0</v>
      </c>
      <c r="W6" s="40">
        <f>+SETAHUN!V8+O6</f>
        <v>2279330.88</v>
      </c>
      <c r="X6" s="40">
        <v>0</v>
      </c>
      <c r="Y6" s="40">
        <v>0</v>
      </c>
      <c r="Z6" s="40">
        <f>SUM(R6:T6)</f>
        <v>4293600</v>
      </c>
      <c r="AA6" s="40">
        <f>SUM(U6:Z6)</f>
        <v>89530425.069999993</v>
      </c>
      <c r="AB6" s="40">
        <f>ROUND(IF((AA6)*5%&gt;6000000,6000000,(AA6)*5%),0)</f>
        <v>4476521</v>
      </c>
      <c r="AC6" s="40">
        <f>('ASTEK-DIISI SMPAI DES'!O8+'ASTEK-DIISI SMPAI DES'!O123)</f>
        <v>1405296</v>
      </c>
      <c r="AD6" s="40">
        <f>AA6-AB6-AC6</f>
        <v>83648608.069999993</v>
      </c>
      <c r="AE6" s="67">
        <f t="shared" ref="AE6:AE31" si="1">IFERROR(VLOOKUP(I6,TARIF,3,FALSE),0)</f>
        <v>67500000</v>
      </c>
      <c r="AF6" s="67">
        <f>ROUNDDOWN(IF(AD6&lt;=AE6,0,IF(AD6&gt;AE6,AD6-AE6)),-3)</f>
        <v>16148000</v>
      </c>
      <c r="AG6" s="310">
        <f>IF(AF6&gt;5000000000,AF6*35%-306000000,IF(AF6&gt;500000000,AF6*30%-56000000,IF(AF6&gt;250000000,AF6*25%-31000000,IF(AF6&gt;60000000,AF6*15%-6000000,AF6*5%))))</f>
        <v>807400</v>
      </c>
      <c r="AH6" s="310">
        <f>ROUND(IF(E6=0,AG6*120%,AG6),0)</f>
        <v>807400</v>
      </c>
      <c r="AI6" s="67">
        <f>+'PAJAK JAN-NOV'!R3</f>
        <v>767293</v>
      </c>
      <c r="AJ6" s="138">
        <f>IF(AG6&lt;=AI6,0,IF(AG6&gt;AI6,AG6-AI6))</f>
        <v>40107</v>
      </c>
      <c r="AK6" s="32"/>
      <c r="AL6" s="33">
        <f>AI6-AH6</f>
        <v>-40107</v>
      </c>
      <c r="AM6" s="32"/>
      <c r="AN6" s="33"/>
      <c r="AO6" s="32"/>
      <c r="AP6" s="32"/>
    </row>
    <row r="7" spans="2:42" s="136" customFormat="1" ht="21" customHeight="1">
      <c r="B7" s="131">
        <v>2</v>
      </c>
      <c r="C7" s="132" t="str">
        <f>+PERBULAN!B9</f>
        <v>ARDIYANSA</v>
      </c>
      <c r="D7" s="133" t="s">
        <v>224</v>
      </c>
      <c r="E7" s="143" t="s">
        <v>69</v>
      </c>
      <c r="F7" s="140" t="s">
        <v>290</v>
      </c>
      <c r="G7" s="305" t="s">
        <v>526</v>
      </c>
      <c r="H7" s="134" t="s">
        <v>39</v>
      </c>
      <c r="I7" s="135" t="s">
        <v>7</v>
      </c>
      <c r="J7" s="308" t="str">
        <f t="shared" ref="J7:J31" si="2">IF(ISBLANK(I7),"",IF(OR(I7="TK/0",I7="TK/1",I7="K/0"),"TER A",IF(I7="K/3","TER C","TER B")))</f>
        <v>TER A</v>
      </c>
      <c r="K7" s="309">
        <v>1</v>
      </c>
      <c r="L7" s="309">
        <v>12</v>
      </c>
      <c r="M7" s="40">
        <f>[3]PPH!K8</f>
        <v>4005820</v>
      </c>
      <c r="N7" s="40">
        <v>2696949.21</v>
      </c>
      <c r="O7" s="40">
        <f>[3]PPH!L8+[3]PPH!M8</f>
        <v>189224.64</v>
      </c>
      <c r="P7" s="40">
        <v>0</v>
      </c>
      <c r="Q7" s="40">
        <f t="shared" si="0"/>
        <v>6891993.8499999996</v>
      </c>
      <c r="R7" s="40">
        <f>+PERBULAN!S9</f>
        <v>3974100</v>
      </c>
      <c r="S7" s="40">
        <f>+SETAHUN!J9</f>
        <v>900000</v>
      </c>
      <c r="T7" s="40">
        <v>0</v>
      </c>
      <c r="U7" s="40">
        <f>+SETAHUN!F9+M7+N7</f>
        <v>82682031.569999993</v>
      </c>
      <c r="V7" s="40">
        <v>0</v>
      </c>
      <c r="W7" s="40">
        <f>+SETAHUN!V9+O7</f>
        <v>2268167.2800000003</v>
      </c>
      <c r="X7" s="40">
        <v>0</v>
      </c>
      <c r="Y7" s="40">
        <v>0</v>
      </c>
      <c r="Z7" s="40">
        <f t="shared" ref="Z7:Z31" si="3">SUM(R7:T7)</f>
        <v>4874100</v>
      </c>
      <c r="AA7" s="40">
        <f t="shared" ref="AA7:AA31" si="4">SUM(U7:Z7)</f>
        <v>89824298.849999994</v>
      </c>
      <c r="AB7" s="40">
        <f t="shared" ref="AB7:AB31" si="5">ROUND(IF((AA7)*5%&gt;6000000,6000000,(AA7)*5%),0)</f>
        <v>4491215</v>
      </c>
      <c r="AC7" s="40">
        <f>('ASTEK-DIISI SMPAI DES'!O9+'ASTEK-DIISI SMPAI DES'!O124)</f>
        <v>1401426</v>
      </c>
      <c r="AD7" s="40">
        <f>AA7-AB7-AC7</f>
        <v>83931657.849999994</v>
      </c>
      <c r="AE7" s="67">
        <f t="shared" si="1"/>
        <v>54000000</v>
      </c>
      <c r="AF7" s="67">
        <f>ROUNDDOWN(IF(AD7&lt;=AE7,0,IF(AD7&gt;AE7,AD7-AE7)),-3)</f>
        <v>29931000</v>
      </c>
      <c r="AG7" s="310">
        <f>IF(AF7&gt;5000000000,AF7*35%-306000000,IF(AF7&gt;500000000,AF7*30%-56000000,IF(AF7&gt;250000000,AF7*25%-31000000,IF(AF7&gt;60000000,AF7*15%-6000000,AF7*5%))))</f>
        <v>1496550</v>
      </c>
      <c r="AH7" s="310">
        <f>ROUND(IF(E7=0,AG7*120%,AG7),0)</f>
        <v>1496550</v>
      </c>
      <c r="AI7" s="67">
        <f>+'PAJAK JAN-NOV'!R4</f>
        <v>1294918</v>
      </c>
      <c r="AJ7" s="139">
        <f t="shared" ref="AJ7:AJ39" si="6">IF(AG7&lt;=AI7,0,IF(AG7&gt;AI7,AG7-AI7))</f>
        <v>201632</v>
      </c>
      <c r="AK7" s="32"/>
      <c r="AL7" s="33">
        <f t="shared" ref="AL7:AL65" si="7">AI7-AH7</f>
        <v>-201632</v>
      </c>
      <c r="AM7" s="32"/>
      <c r="AN7" s="33"/>
      <c r="AO7" s="32"/>
      <c r="AP7" s="32"/>
    </row>
    <row r="8" spans="2:42" s="136" customFormat="1" ht="21" customHeight="1">
      <c r="B8" s="131">
        <v>3</v>
      </c>
      <c r="C8" s="132" t="str">
        <f>+PERBULAN!B10</f>
        <v>INDRA JAYA</v>
      </c>
      <c r="D8" s="133" t="s">
        <v>200</v>
      </c>
      <c r="E8" s="143" t="s">
        <v>379</v>
      </c>
      <c r="F8" s="140" t="s">
        <v>274</v>
      </c>
      <c r="G8" s="305" t="s">
        <v>82</v>
      </c>
      <c r="H8" s="134" t="s">
        <v>39</v>
      </c>
      <c r="I8" s="135" t="s">
        <v>9</v>
      </c>
      <c r="J8" s="308" t="str">
        <f t="shared" si="2"/>
        <v>TER B</v>
      </c>
      <c r="K8" s="309">
        <v>1</v>
      </c>
      <c r="L8" s="309">
        <v>12</v>
      </c>
      <c r="M8" s="40">
        <f>28*129220</f>
        <v>3618160</v>
      </c>
      <c r="N8" s="40">
        <v>180700</v>
      </c>
      <c r="O8" s="40">
        <f>[3]PPH!L9+[3]PPH!M9</f>
        <v>190071.64</v>
      </c>
      <c r="P8" s="40">
        <v>0</v>
      </c>
      <c r="Q8" s="40">
        <f t="shared" ref="Q8:Q39" si="8">SUM(M8:P8)</f>
        <v>3988931.64</v>
      </c>
      <c r="R8" s="40">
        <f>+PERBULAN!S10</f>
        <v>4063100</v>
      </c>
      <c r="S8" s="40">
        <f>+SETAHUN!J10</f>
        <v>200000</v>
      </c>
      <c r="T8" s="40">
        <v>0</v>
      </c>
      <c r="U8" s="40">
        <f>+SETAHUN!F10+M8+N8</f>
        <v>56156458.159999996</v>
      </c>
      <c r="V8" s="40">
        <v>0</v>
      </c>
      <c r="W8" s="40">
        <f>+SETAHUN!V10+O8</f>
        <v>2277614.48</v>
      </c>
      <c r="X8" s="40">
        <v>0</v>
      </c>
      <c r="Y8" s="40">
        <v>0</v>
      </c>
      <c r="Z8" s="40">
        <f t="shared" si="3"/>
        <v>4263100</v>
      </c>
      <c r="AA8" s="40">
        <f t="shared" si="4"/>
        <v>62697172.639999993</v>
      </c>
      <c r="AB8" s="40">
        <f t="shared" si="5"/>
        <v>3134859</v>
      </c>
      <c r="AC8" s="40">
        <f>('ASTEK-DIISI SMPAI DES'!O10+'ASTEK-DIISI SMPAI DES'!O125)</f>
        <v>1404666</v>
      </c>
      <c r="AD8" s="40">
        <f t="shared" ref="AD8:AD31" si="9">AA8-AB8-AC8</f>
        <v>58157647.639999993</v>
      </c>
      <c r="AE8" s="67">
        <f t="shared" si="1"/>
        <v>63000000</v>
      </c>
      <c r="AF8" s="67">
        <f t="shared" ref="AF8:AF67" si="10">ROUNDDOWN(IF(AD8&lt;=AE8,0,IF(AD8&gt;AE8,AD8-AE8)),-3)</f>
        <v>0</v>
      </c>
      <c r="AG8" s="310">
        <f t="shared" ref="AG8:AG31" si="11">IF(AF8&gt;5000000000,AF8*35%-306000000,IF(AF8&gt;500000000,AF8*30%-56000000,IF(AF8&gt;250000000,AF8*25%-31000000,IF(AF8&gt;60000000,AF8*15%-6000000,AF8*5%))))</f>
        <v>0</v>
      </c>
      <c r="AH8" s="310">
        <f>ROUND(IF(E8=0,AG8*120%,AG8),0)</f>
        <v>0</v>
      </c>
      <c r="AI8" s="67">
        <f>+'PAJAK JAN-NOV'!R5</f>
        <v>142783</v>
      </c>
      <c r="AJ8" s="139">
        <f t="shared" si="6"/>
        <v>0</v>
      </c>
      <c r="AK8" s="32"/>
      <c r="AL8" s="33">
        <f t="shared" si="7"/>
        <v>142783</v>
      </c>
      <c r="AM8" s="32"/>
      <c r="AN8" s="33"/>
      <c r="AO8" s="32"/>
      <c r="AP8" s="32"/>
    </row>
    <row r="9" spans="2:42" s="136" customFormat="1" ht="21" customHeight="1">
      <c r="B9" s="131">
        <v>4</v>
      </c>
      <c r="C9" s="132" t="str">
        <f>+PERBULAN!B11</f>
        <v>USPANDI</v>
      </c>
      <c r="D9" s="133" t="s">
        <v>202</v>
      </c>
      <c r="E9" s="143" t="s">
        <v>381</v>
      </c>
      <c r="F9" s="140" t="s">
        <v>275</v>
      </c>
      <c r="G9" s="305" t="s">
        <v>82</v>
      </c>
      <c r="H9" s="134" t="s">
        <v>39</v>
      </c>
      <c r="I9" s="135" t="s">
        <v>11</v>
      </c>
      <c r="J9" s="308" t="str">
        <f t="shared" si="2"/>
        <v>TER B</v>
      </c>
      <c r="K9" s="309">
        <v>1</v>
      </c>
      <c r="L9" s="309">
        <v>12</v>
      </c>
      <c r="M9" s="40">
        <f>[3]PPH!K10</f>
        <v>4005820</v>
      </c>
      <c r="N9" s="40">
        <v>2284655.1800000002</v>
      </c>
      <c r="O9" s="40">
        <f>[3]PPH!L10+[3]PPH!M10</f>
        <v>191765.64</v>
      </c>
      <c r="P9" s="40">
        <v>0</v>
      </c>
      <c r="Q9" s="40">
        <f t="shared" si="8"/>
        <v>6482240.8199999994</v>
      </c>
      <c r="R9" s="40">
        <f>+PERBULAN!S11</f>
        <v>4128600</v>
      </c>
      <c r="S9" s="40">
        <f>+SETAHUN!J11</f>
        <v>900000</v>
      </c>
      <c r="T9" s="40">
        <v>0</v>
      </c>
      <c r="U9" s="40">
        <f>+SETAHUN!F11+M9+N9</f>
        <v>78541224.340000004</v>
      </c>
      <c r="V9" s="40">
        <v>0</v>
      </c>
      <c r="W9" s="40">
        <f>+SETAHUN!V11+O9</f>
        <v>2295898.48</v>
      </c>
      <c r="X9" s="40">
        <v>0</v>
      </c>
      <c r="Y9" s="40">
        <v>0</v>
      </c>
      <c r="Z9" s="40">
        <f t="shared" si="3"/>
        <v>5028600</v>
      </c>
      <c r="AA9" s="40">
        <f t="shared" si="4"/>
        <v>85865722.820000008</v>
      </c>
      <c r="AB9" s="40">
        <f t="shared" si="5"/>
        <v>4293286</v>
      </c>
      <c r="AC9" s="40">
        <f>('ASTEK-DIISI SMPAI DES'!O11+'ASTEK-DIISI SMPAI DES'!O126)</f>
        <v>1410966</v>
      </c>
      <c r="AD9" s="40">
        <f t="shared" si="9"/>
        <v>80161470.820000008</v>
      </c>
      <c r="AE9" s="67">
        <f t="shared" si="1"/>
        <v>67500000</v>
      </c>
      <c r="AF9" s="67">
        <f t="shared" si="10"/>
        <v>12661000</v>
      </c>
      <c r="AG9" s="310">
        <f t="shared" ref="AG9:AG28" si="12">IF(AF9&gt;5000000000,AF9*35%-306000000,IF(AF9&gt;500000000,AF9*30%-56000000,IF(AF9&gt;250000000,AF9*25%-31000000,IF(AF9&gt;60000000,AF9*15%-6000000,AF9*5%))))</f>
        <v>633050</v>
      </c>
      <c r="AH9" s="310">
        <f t="shared" ref="AH9:AH28" si="13">ROUND(IF(E9=0,AG9*120%,AG9),0)</f>
        <v>633050</v>
      </c>
      <c r="AI9" s="67">
        <f>+'PAJAK JAN-NOV'!R6</f>
        <v>613793</v>
      </c>
      <c r="AJ9" s="139">
        <f t="shared" si="6"/>
        <v>19257</v>
      </c>
      <c r="AK9" s="32"/>
      <c r="AL9" s="33">
        <f t="shared" si="7"/>
        <v>-19257</v>
      </c>
      <c r="AM9" s="32"/>
      <c r="AN9" s="33"/>
      <c r="AO9" s="32"/>
      <c r="AP9" s="32"/>
    </row>
    <row r="10" spans="2:42" s="136" customFormat="1" ht="21" customHeight="1">
      <c r="B10" s="131">
        <v>5</v>
      </c>
      <c r="C10" s="132" t="str">
        <f>+PERBULAN!B12</f>
        <v>NOVI SUHAIDI</v>
      </c>
      <c r="D10" s="133" t="s">
        <v>266</v>
      </c>
      <c r="E10" s="143" t="s">
        <v>406</v>
      </c>
      <c r="F10" s="140" t="s">
        <v>317</v>
      </c>
      <c r="G10" s="305" t="s">
        <v>526</v>
      </c>
      <c r="H10" s="134" t="s">
        <v>39</v>
      </c>
      <c r="I10" s="135" t="s">
        <v>11</v>
      </c>
      <c r="J10" s="308" t="str">
        <f t="shared" si="2"/>
        <v>TER B</v>
      </c>
      <c r="K10" s="309">
        <v>1</v>
      </c>
      <c r="L10" s="309">
        <v>12</v>
      </c>
      <c r="M10" s="40">
        <f>[3]PPH!K11</f>
        <v>4005820</v>
      </c>
      <c r="N10" s="40">
        <v>2160315.1800000002</v>
      </c>
      <c r="O10" s="40">
        <f>[3]PPH!L11+[3]PPH!M11</f>
        <v>190071.64</v>
      </c>
      <c r="P10" s="40">
        <v>0</v>
      </c>
      <c r="Q10" s="40">
        <f t="shared" si="8"/>
        <v>6356206.8199999994</v>
      </c>
      <c r="R10" s="40">
        <f>+PERBULAN!S12</f>
        <v>4090100</v>
      </c>
      <c r="S10" s="40">
        <f>+SETAHUN!J12</f>
        <v>600000</v>
      </c>
      <c r="T10" s="40">
        <v>0</v>
      </c>
      <c r="U10" s="40">
        <f>+SETAHUN!F12+M10+N10</f>
        <v>77376920.540000007</v>
      </c>
      <c r="V10" s="40">
        <v>0</v>
      </c>
      <c r="W10" s="40">
        <f>+SETAHUN!V12+O10</f>
        <v>2276686.2800000003</v>
      </c>
      <c r="X10" s="40">
        <v>0</v>
      </c>
      <c r="Y10" s="40">
        <v>0</v>
      </c>
      <c r="Z10" s="40">
        <f t="shared" si="3"/>
        <v>4690100</v>
      </c>
      <c r="AA10" s="40">
        <f t="shared" si="4"/>
        <v>84343706.820000008</v>
      </c>
      <c r="AB10" s="40">
        <f t="shared" si="5"/>
        <v>4217185</v>
      </c>
      <c r="AC10" s="40">
        <f>('ASTEK-DIISI SMPAI DES'!O12+'ASTEK-DIISI SMPAI DES'!O127)</f>
        <v>1404351</v>
      </c>
      <c r="AD10" s="40">
        <f t="shared" si="9"/>
        <v>78722170.820000008</v>
      </c>
      <c r="AE10" s="67">
        <f t="shared" si="1"/>
        <v>67500000</v>
      </c>
      <c r="AF10" s="67">
        <f t="shared" si="10"/>
        <v>11222000</v>
      </c>
      <c r="AG10" s="310">
        <f t="shared" si="12"/>
        <v>561100</v>
      </c>
      <c r="AH10" s="310">
        <f t="shared" si="13"/>
        <v>561100</v>
      </c>
      <c r="AI10" s="67">
        <f>+'PAJAK JAN-NOV'!R7</f>
        <v>516366</v>
      </c>
      <c r="AJ10" s="139">
        <f t="shared" si="6"/>
        <v>44734</v>
      </c>
      <c r="AK10" s="32"/>
      <c r="AL10" s="33">
        <f t="shared" si="7"/>
        <v>-44734</v>
      </c>
      <c r="AM10" s="32"/>
      <c r="AN10" s="33"/>
      <c r="AO10" s="32"/>
      <c r="AP10" s="32"/>
    </row>
    <row r="11" spans="2:42" s="136" customFormat="1" ht="21" customHeight="1">
      <c r="B11" s="131">
        <v>6</v>
      </c>
      <c r="C11" s="132" t="str">
        <f>+PERBULAN!B13</f>
        <v>ROSLI</v>
      </c>
      <c r="D11" s="133" t="s">
        <v>204</v>
      </c>
      <c r="E11" s="143" t="s">
        <v>382</v>
      </c>
      <c r="F11" s="140" t="s">
        <v>277</v>
      </c>
      <c r="G11" s="305" t="s">
        <v>83</v>
      </c>
      <c r="H11" s="134" t="s">
        <v>39</v>
      </c>
      <c r="I11" s="135" t="s">
        <v>11</v>
      </c>
      <c r="J11" s="308" t="str">
        <f t="shared" si="2"/>
        <v>TER B</v>
      </c>
      <c r="K11" s="309">
        <v>1</v>
      </c>
      <c r="L11" s="309">
        <v>12</v>
      </c>
      <c r="M11" s="40">
        <f>('[3]DAFTAR UPAH MAINTENANCE'!F9+'[3]DAFTAR UPAH MAINTENANCE'!J9+'[3]DAFTAR UPAH MAINTENANCE'!L9+'[3]DAFTAR UPAH MAINTENANCE'!N9+'[3]DAFTAR UPAH MAINTENANCE'!P9+'[3]DAFTAR UPAH MAINTENANCE'!R9)*129220</f>
        <v>3876600</v>
      </c>
      <c r="N11" s="40">
        <f>'[3]DAFTAR UPAH MAINTENANCE'!BN9</f>
        <v>496009.24</v>
      </c>
      <c r="O11" s="40">
        <f>[3]PPH!L12+[3]PPH!M12</f>
        <v>190241.04</v>
      </c>
      <c r="P11" s="40">
        <v>0</v>
      </c>
      <c r="Q11" s="40">
        <f t="shared" si="8"/>
        <v>4562850.28</v>
      </c>
      <c r="R11" s="40">
        <f>+PERBULAN!S13</f>
        <v>4093600</v>
      </c>
      <c r="S11" s="40">
        <f>+SETAHUN!J13</f>
        <v>600000</v>
      </c>
      <c r="T11" s="40">
        <v>0</v>
      </c>
      <c r="U11" s="40">
        <f>+SETAHUN!F13+M11+N11</f>
        <v>52045174.399999999</v>
      </c>
      <c r="V11" s="40">
        <v>0</v>
      </c>
      <c r="W11" s="40">
        <f>+SETAHUN!V13+O11</f>
        <v>2279470.88</v>
      </c>
      <c r="X11" s="40">
        <v>0</v>
      </c>
      <c r="Y11" s="40">
        <v>0</v>
      </c>
      <c r="Z11" s="40">
        <f t="shared" si="3"/>
        <v>4693600</v>
      </c>
      <c r="AA11" s="40">
        <f t="shared" si="4"/>
        <v>59018245.280000001</v>
      </c>
      <c r="AB11" s="40">
        <f t="shared" si="5"/>
        <v>2950912</v>
      </c>
      <c r="AC11" s="40">
        <f>('ASTEK-DIISI SMPAI DES'!O13+'ASTEK-DIISI SMPAI DES'!O128)</f>
        <v>1405296</v>
      </c>
      <c r="AD11" s="40">
        <f t="shared" si="9"/>
        <v>54662037.280000001</v>
      </c>
      <c r="AE11" s="67">
        <f t="shared" si="1"/>
        <v>67500000</v>
      </c>
      <c r="AF11" s="67">
        <f t="shared" si="10"/>
        <v>0</v>
      </c>
      <c r="AG11" s="310">
        <f t="shared" si="12"/>
        <v>0</v>
      </c>
      <c r="AH11" s="310">
        <f t="shared" si="13"/>
        <v>0</v>
      </c>
      <c r="AI11" s="67">
        <f>+'PAJAK JAN-NOV'!R8</f>
        <v>85116</v>
      </c>
      <c r="AJ11" s="139">
        <f t="shared" si="6"/>
        <v>0</v>
      </c>
      <c r="AK11" s="32"/>
      <c r="AL11" s="33">
        <f t="shared" si="7"/>
        <v>85116</v>
      </c>
      <c r="AM11" s="32"/>
      <c r="AN11" s="33"/>
      <c r="AO11" s="32"/>
      <c r="AP11" s="32"/>
    </row>
    <row r="12" spans="2:42" s="136" customFormat="1" ht="21" customHeight="1">
      <c r="B12" s="131">
        <v>7</v>
      </c>
      <c r="C12" s="132" t="str">
        <f>+PERBULAN!B14</f>
        <v>AMRIL</v>
      </c>
      <c r="D12" s="133" t="s">
        <v>205</v>
      </c>
      <c r="E12" s="143" t="s">
        <v>383</v>
      </c>
      <c r="F12" s="140" t="s">
        <v>278</v>
      </c>
      <c r="G12" s="305" t="s">
        <v>527</v>
      </c>
      <c r="H12" s="134" t="s">
        <v>39</v>
      </c>
      <c r="I12" s="135" t="s">
        <v>9</v>
      </c>
      <c r="J12" s="308" t="str">
        <f t="shared" si="2"/>
        <v>TER B</v>
      </c>
      <c r="K12" s="309">
        <v>1</v>
      </c>
      <c r="L12" s="309">
        <v>12</v>
      </c>
      <c r="M12" s="40">
        <f>('[3]DAFTAR UPAH MAINTENANCE'!F10+'[3]DAFTAR UPAH MAINTENANCE'!J10+'[3]DAFTAR UPAH MAINTENANCE'!L10+'[3]DAFTAR UPAH MAINTENANCE'!N10+'[3]DAFTAR UPAH MAINTENANCE'!P10+'[3]DAFTAR UPAH MAINTENANCE'!R10)*129220</f>
        <v>4005820</v>
      </c>
      <c r="N12" s="40">
        <f>'[3]DAFTAR UPAH MAINTENANCE'!BN10</f>
        <v>3705495.98</v>
      </c>
      <c r="O12" s="40">
        <f>[3]PPH!L13+[3]PPH!M13</f>
        <v>190071.64</v>
      </c>
      <c r="P12" s="40">
        <v>0</v>
      </c>
      <c r="Q12" s="40">
        <f t="shared" si="8"/>
        <v>7901387.6200000001</v>
      </c>
      <c r="R12" s="40">
        <f>+PERBULAN!S14</f>
        <v>4063100</v>
      </c>
      <c r="S12" s="40">
        <f>+SETAHUN!J14</f>
        <v>900000</v>
      </c>
      <c r="T12" s="40">
        <v>0</v>
      </c>
      <c r="U12" s="40">
        <f>+SETAHUN!F14+M12+N12</f>
        <v>91561347.140000001</v>
      </c>
      <c r="V12" s="40">
        <v>0</v>
      </c>
      <c r="W12" s="40">
        <f>+SETAHUN!V14+O12</f>
        <v>2277614.48</v>
      </c>
      <c r="X12" s="40">
        <v>0</v>
      </c>
      <c r="Y12" s="40">
        <v>0</v>
      </c>
      <c r="Z12" s="40">
        <f t="shared" si="3"/>
        <v>4963100</v>
      </c>
      <c r="AA12" s="40">
        <f t="shared" si="4"/>
        <v>98802061.620000005</v>
      </c>
      <c r="AB12" s="40">
        <f t="shared" si="5"/>
        <v>4940103</v>
      </c>
      <c r="AC12" s="40">
        <f>('ASTEK-DIISI SMPAI DES'!O14+'ASTEK-DIISI SMPAI DES'!O129)</f>
        <v>1404666</v>
      </c>
      <c r="AD12" s="40">
        <f t="shared" si="9"/>
        <v>92457292.620000005</v>
      </c>
      <c r="AE12" s="67">
        <f t="shared" si="1"/>
        <v>63000000</v>
      </c>
      <c r="AF12" s="67">
        <f t="shared" si="10"/>
        <v>29457000</v>
      </c>
      <c r="AG12" s="310">
        <f t="shared" si="12"/>
        <v>1472850</v>
      </c>
      <c r="AH12" s="310">
        <f t="shared" si="13"/>
        <v>1472850</v>
      </c>
      <c r="AI12" s="67">
        <f>+'PAJAK JAN-NOV'!R9</f>
        <v>1089445</v>
      </c>
      <c r="AJ12" s="387">
        <f t="shared" si="6"/>
        <v>383405</v>
      </c>
      <c r="AK12" s="32"/>
      <c r="AL12" s="33">
        <f t="shared" si="7"/>
        <v>-383405</v>
      </c>
      <c r="AM12" s="32"/>
      <c r="AN12" s="33"/>
      <c r="AO12" s="32"/>
      <c r="AP12" s="32"/>
    </row>
    <row r="13" spans="2:42" s="136" customFormat="1" ht="21" customHeight="1">
      <c r="B13" s="131">
        <v>8</v>
      </c>
      <c r="C13" s="132" t="str">
        <f>+PERBULAN!B15</f>
        <v>KARMILA</v>
      </c>
      <c r="D13" s="133" t="s">
        <v>206</v>
      </c>
      <c r="E13" s="143" t="s">
        <v>384</v>
      </c>
      <c r="F13" s="140" t="s">
        <v>279</v>
      </c>
      <c r="G13" s="305" t="s">
        <v>83</v>
      </c>
      <c r="H13" s="134" t="s">
        <v>38</v>
      </c>
      <c r="I13" s="135" t="s">
        <v>7</v>
      </c>
      <c r="J13" s="308" t="str">
        <f t="shared" si="2"/>
        <v>TER A</v>
      </c>
      <c r="K13" s="309">
        <v>1</v>
      </c>
      <c r="L13" s="309">
        <v>12</v>
      </c>
      <c r="M13" s="40">
        <f>('[3]DAFTAR UPAH MAINTENANCE'!F11+'[3]DAFTAR UPAH MAINTENANCE'!J11+'[3]DAFTAR UPAH MAINTENANCE'!L11+'[3]DAFTAR UPAH MAINTENANCE'!N11+'[3]DAFTAR UPAH MAINTENANCE'!P11+'[3]DAFTAR UPAH MAINTENANCE'!R11)*129220</f>
        <v>4005820</v>
      </c>
      <c r="N13" s="40">
        <f>'[3]DAFTAR UPAH MAINTENANCE'!BN11</f>
        <v>120250</v>
      </c>
      <c r="O13" s="40">
        <f>[3]PPH!L14+[3]PPH!M14</f>
        <v>190071.64</v>
      </c>
      <c r="P13" s="40">
        <v>0</v>
      </c>
      <c r="Q13" s="40">
        <f t="shared" si="8"/>
        <v>4316141.6399999997</v>
      </c>
      <c r="R13" s="40">
        <f>+PERBULAN!S15</f>
        <v>3991100</v>
      </c>
      <c r="S13" s="40">
        <f>+SETAHUN!J15</f>
        <v>900000</v>
      </c>
      <c r="T13" s="40">
        <v>0</v>
      </c>
      <c r="U13" s="40">
        <f>+SETAHUN!F15+M13+N13</f>
        <v>48578549.159999996</v>
      </c>
      <c r="V13" s="40">
        <v>0</v>
      </c>
      <c r="W13" s="40">
        <f>+SETAHUN!V15+O13</f>
        <v>2277754.48</v>
      </c>
      <c r="X13" s="40">
        <v>0</v>
      </c>
      <c r="Y13" s="40">
        <v>0</v>
      </c>
      <c r="Z13" s="40">
        <f t="shared" si="3"/>
        <v>4891100</v>
      </c>
      <c r="AA13" s="40">
        <f t="shared" si="4"/>
        <v>55747403.639999993</v>
      </c>
      <c r="AB13" s="40">
        <f t="shared" si="5"/>
        <v>2787370</v>
      </c>
      <c r="AC13" s="40">
        <f>('ASTEK-DIISI SMPAI DES'!O15+'ASTEK-DIISI SMPAI DES'!O130)</f>
        <v>1404666</v>
      </c>
      <c r="AD13" s="40">
        <f t="shared" si="9"/>
        <v>51555367.639999993</v>
      </c>
      <c r="AE13" s="67">
        <f t="shared" si="1"/>
        <v>54000000</v>
      </c>
      <c r="AF13" s="67">
        <f t="shared" si="10"/>
        <v>0</v>
      </c>
      <c r="AG13" s="310">
        <f t="shared" si="12"/>
        <v>0</v>
      </c>
      <c r="AH13" s="310">
        <f t="shared" si="13"/>
        <v>0</v>
      </c>
      <c r="AI13" s="67">
        <f>+'PAJAK JAN-NOV'!R10</f>
        <v>124548</v>
      </c>
      <c r="AJ13" s="139">
        <f t="shared" si="6"/>
        <v>0</v>
      </c>
      <c r="AK13" s="32"/>
      <c r="AL13" s="33">
        <f t="shared" si="7"/>
        <v>124548</v>
      </c>
      <c r="AM13" s="32"/>
      <c r="AN13" s="33"/>
      <c r="AO13" s="32"/>
      <c r="AP13" s="32"/>
    </row>
    <row r="14" spans="2:42" s="136" customFormat="1" ht="21" customHeight="1">
      <c r="B14" s="131">
        <v>9</v>
      </c>
      <c r="C14" s="132" t="str">
        <f>+PERBULAN!B16</f>
        <v>MARTUTI</v>
      </c>
      <c r="D14" s="133" t="s">
        <v>207</v>
      </c>
      <c r="E14" s="143" t="s">
        <v>385</v>
      </c>
      <c r="F14" s="140" t="s">
        <v>280</v>
      </c>
      <c r="G14" s="305" t="s">
        <v>83</v>
      </c>
      <c r="H14" s="134" t="s">
        <v>38</v>
      </c>
      <c r="I14" s="135" t="s">
        <v>7</v>
      </c>
      <c r="J14" s="308" t="str">
        <f t="shared" si="2"/>
        <v>TER A</v>
      </c>
      <c r="K14" s="309">
        <v>1</v>
      </c>
      <c r="L14" s="309">
        <v>12</v>
      </c>
      <c r="M14" s="40">
        <f>('[3]DAFTAR UPAH MAINTENANCE'!F12+'[3]DAFTAR UPAH MAINTENANCE'!J12+'[3]DAFTAR UPAH MAINTENANCE'!L12+'[3]DAFTAR UPAH MAINTENANCE'!N12+'[3]DAFTAR UPAH MAINTENANCE'!P12+'[3]DAFTAR UPAH MAINTENANCE'!R12)*129220</f>
        <v>4005820</v>
      </c>
      <c r="N14" s="40">
        <f>'[3]DAFTAR UPAH MAINTENANCE'!BN12</f>
        <v>123750</v>
      </c>
      <c r="O14" s="40">
        <f>[3]PPH!L15+[3]PPH!M15</f>
        <v>190241.04</v>
      </c>
      <c r="P14" s="40">
        <v>0</v>
      </c>
      <c r="Q14" s="40">
        <f t="shared" si="8"/>
        <v>4319811.04</v>
      </c>
      <c r="R14" s="40">
        <f>+PERBULAN!S16</f>
        <v>3994600</v>
      </c>
      <c r="S14" s="40">
        <f>+SETAHUN!J16</f>
        <v>900000</v>
      </c>
      <c r="T14" s="40">
        <v>0</v>
      </c>
      <c r="U14" s="40">
        <f>+SETAHUN!F16+M14+N14</f>
        <v>48599548.759999998</v>
      </c>
      <c r="V14" s="40">
        <v>0</v>
      </c>
      <c r="W14" s="40">
        <f>+SETAHUN!V16+O14</f>
        <v>2278653.2799999998</v>
      </c>
      <c r="X14" s="40">
        <v>0</v>
      </c>
      <c r="Y14" s="40">
        <v>0</v>
      </c>
      <c r="Z14" s="40">
        <f t="shared" si="3"/>
        <v>4894600</v>
      </c>
      <c r="AA14" s="40">
        <f t="shared" si="4"/>
        <v>55772802.039999999</v>
      </c>
      <c r="AB14" s="40">
        <f t="shared" si="5"/>
        <v>2788640</v>
      </c>
      <c r="AC14" s="40">
        <f>('ASTEK-DIISI SMPAI DES'!O16+'ASTEK-DIISI SMPAI DES'!O131)</f>
        <v>1404876</v>
      </c>
      <c r="AD14" s="40">
        <f t="shared" si="9"/>
        <v>51579286.039999999</v>
      </c>
      <c r="AE14" s="67">
        <f t="shared" si="1"/>
        <v>54000000</v>
      </c>
      <c r="AF14" s="67">
        <f t="shared" si="10"/>
        <v>0</v>
      </c>
      <c r="AG14" s="310">
        <f t="shared" si="12"/>
        <v>0</v>
      </c>
      <c r="AH14" s="310">
        <f t="shared" si="13"/>
        <v>0</v>
      </c>
      <c r="AI14" s="67">
        <f>+'PAJAK JAN-NOV'!R11</f>
        <v>124655</v>
      </c>
      <c r="AJ14" s="139">
        <f t="shared" si="6"/>
        <v>0</v>
      </c>
      <c r="AK14" s="32"/>
      <c r="AL14" s="33">
        <f t="shared" si="7"/>
        <v>124655</v>
      </c>
      <c r="AM14" s="32"/>
      <c r="AN14" s="33"/>
      <c r="AO14" s="32"/>
      <c r="AP14" s="32"/>
    </row>
    <row r="15" spans="2:42" s="136" customFormat="1" ht="21" customHeight="1">
      <c r="B15" s="131">
        <v>10</v>
      </c>
      <c r="C15" s="132" t="str">
        <f>+PERBULAN!B17</f>
        <v>HARNIAWATI</v>
      </c>
      <c r="D15" s="133" t="s">
        <v>208</v>
      </c>
      <c r="E15" s="143" t="s">
        <v>386</v>
      </c>
      <c r="F15" s="140" t="s">
        <v>281</v>
      </c>
      <c r="G15" s="305" t="s">
        <v>83</v>
      </c>
      <c r="H15" s="134" t="s">
        <v>38</v>
      </c>
      <c r="I15" s="135" t="s">
        <v>7</v>
      </c>
      <c r="J15" s="308" t="str">
        <f t="shared" si="2"/>
        <v>TER A</v>
      </c>
      <c r="K15" s="309">
        <v>1</v>
      </c>
      <c r="L15" s="309">
        <v>12</v>
      </c>
      <c r="M15" s="40">
        <f>('[3]DAFTAR UPAH MAINTENANCE'!F13+'[3]DAFTAR UPAH MAINTENANCE'!J13+'[3]DAFTAR UPAH MAINTENANCE'!L13+'[3]DAFTAR UPAH MAINTENANCE'!N13+'[3]DAFTAR UPAH MAINTENANCE'!P13+'[3]DAFTAR UPAH MAINTENANCE'!R13)*129220</f>
        <v>4005820</v>
      </c>
      <c r="N15" s="40">
        <f>'[3]DAFTAR UPAH MAINTENANCE'!BN13</f>
        <v>123750</v>
      </c>
      <c r="O15" s="40">
        <f>[3]PPH!L16+[3]PPH!M16</f>
        <v>190241.04</v>
      </c>
      <c r="P15" s="40">
        <v>0</v>
      </c>
      <c r="Q15" s="40">
        <f t="shared" si="8"/>
        <v>4319811.04</v>
      </c>
      <c r="R15" s="40">
        <f>+PERBULAN!S17</f>
        <v>3994600</v>
      </c>
      <c r="S15" s="40">
        <f>+SETAHUN!J17</f>
        <v>900000</v>
      </c>
      <c r="T15" s="40">
        <v>0</v>
      </c>
      <c r="U15" s="40">
        <f>+SETAHUN!F17+M15+N15</f>
        <v>48599548.759999998</v>
      </c>
      <c r="V15" s="40">
        <v>0</v>
      </c>
      <c r="W15" s="40">
        <f>+SETAHUN!V17+O15</f>
        <v>2278653.2799999998</v>
      </c>
      <c r="X15" s="40">
        <v>0</v>
      </c>
      <c r="Y15" s="40">
        <v>0</v>
      </c>
      <c r="Z15" s="40">
        <f t="shared" si="3"/>
        <v>4894600</v>
      </c>
      <c r="AA15" s="40">
        <f t="shared" si="4"/>
        <v>55772802.039999999</v>
      </c>
      <c r="AB15" s="40">
        <f t="shared" si="5"/>
        <v>2788640</v>
      </c>
      <c r="AC15" s="40">
        <f>('ASTEK-DIISI SMPAI DES'!O17+'ASTEK-DIISI SMPAI DES'!O132)</f>
        <v>1404876</v>
      </c>
      <c r="AD15" s="40">
        <f t="shared" si="9"/>
        <v>51579286.039999999</v>
      </c>
      <c r="AE15" s="67">
        <f t="shared" si="1"/>
        <v>54000000</v>
      </c>
      <c r="AF15" s="67">
        <f t="shared" si="10"/>
        <v>0</v>
      </c>
      <c r="AG15" s="310">
        <f t="shared" si="12"/>
        <v>0</v>
      </c>
      <c r="AH15" s="310">
        <f t="shared" si="13"/>
        <v>0</v>
      </c>
      <c r="AI15" s="67">
        <f>+'PAJAK JAN-NOV'!R12</f>
        <v>124655</v>
      </c>
      <c r="AJ15" s="139">
        <f t="shared" si="6"/>
        <v>0</v>
      </c>
      <c r="AK15" s="32"/>
      <c r="AL15" s="33">
        <f t="shared" si="7"/>
        <v>124655</v>
      </c>
      <c r="AM15" s="32"/>
      <c r="AN15" s="33"/>
      <c r="AO15" s="32"/>
      <c r="AP15" s="32"/>
    </row>
    <row r="16" spans="2:42" s="136" customFormat="1" ht="21" customHeight="1">
      <c r="B16" s="131">
        <v>11</v>
      </c>
      <c r="C16" s="132" t="str">
        <f>+PERBULAN!B18</f>
        <v>MARYATI</v>
      </c>
      <c r="D16" s="133" t="s">
        <v>209</v>
      </c>
      <c r="E16" s="143" t="s">
        <v>387</v>
      </c>
      <c r="F16" s="140" t="s">
        <v>275</v>
      </c>
      <c r="G16" s="305" t="s">
        <v>83</v>
      </c>
      <c r="H16" s="134" t="s">
        <v>38</v>
      </c>
      <c r="I16" s="135" t="s">
        <v>7</v>
      </c>
      <c r="J16" s="308" t="str">
        <f t="shared" si="2"/>
        <v>TER A</v>
      </c>
      <c r="K16" s="309">
        <v>1</v>
      </c>
      <c r="L16" s="309">
        <v>12</v>
      </c>
      <c r="M16" s="40">
        <f>('[3]DAFTAR UPAH MAINTENANCE'!F14+'[3]DAFTAR UPAH MAINTENANCE'!J14+'[3]DAFTAR UPAH MAINTENANCE'!L14+'[3]DAFTAR UPAH MAINTENANCE'!N14+'[3]DAFTAR UPAH MAINTENANCE'!P14+'[3]DAFTAR UPAH MAINTENANCE'!R14)*129220</f>
        <v>4005820</v>
      </c>
      <c r="N16" s="40">
        <f>'[3]DAFTAR UPAH MAINTENANCE'!BN14</f>
        <v>123750</v>
      </c>
      <c r="O16" s="40">
        <f>[3]PPH!L17+[3]PPH!M17</f>
        <v>190241.04</v>
      </c>
      <c r="P16" s="40">
        <v>0</v>
      </c>
      <c r="Q16" s="40">
        <f t="shared" si="8"/>
        <v>4319811.04</v>
      </c>
      <c r="R16" s="40">
        <f>+PERBULAN!S18</f>
        <v>3994600</v>
      </c>
      <c r="S16" s="40">
        <f>+SETAHUN!J18</f>
        <v>900000</v>
      </c>
      <c r="T16" s="40">
        <v>0</v>
      </c>
      <c r="U16" s="40">
        <f>+SETAHUN!F18+M16+N16</f>
        <v>48482077.160000004</v>
      </c>
      <c r="V16" s="40">
        <v>0</v>
      </c>
      <c r="W16" s="40">
        <f>+SETAHUN!V18+O16</f>
        <v>2279330.88</v>
      </c>
      <c r="X16" s="40">
        <v>0</v>
      </c>
      <c r="Y16" s="40">
        <v>0</v>
      </c>
      <c r="Z16" s="40">
        <f t="shared" si="3"/>
        <v>4894600</v>
      </c>
      <c r="AA16" s="40">
        <f t="shared" si="4"/>
        <v>55656008.040000007</v>
      </c>
      <c r="AB16" s="40">
        <f t="shared" si="5"/>
        <v>2782800</v>
      </c>
      <c r="AC16" s="40">
        <f>('ASTEK-DIISI SMPAI DES'!O18+'ASTEK-DIISI SMPAI DES'!O133)</f>
        <v>1405296</v>
      </c>
      <c r="AD16" s="40">
        <f t="shared" si="9"/>
        <v>51467912.040000007</v>
      </c>
      <c r="AE16" s="67">
        <f t="shared" si="1"/>
        <v>54000000</v>
      </c>
      <c r="AF16" s="67">
        <f t="shared" si="10"/>
        <v>0</v>
      </c>
      <c r="AG16" s="310">
        <f t="shared" si="12"/>
        <v>0</v>
      </c>
      <c r="AH16" s="310">
        <f t="shared" si="13"/>
        <v>0</v>
      </c>
      <c r="AI16" s="67">
        <f>+'PAJAK JAN-NOV'!R13</f>
        <v>124655</v>
      </c>
      <c r="AJ16" s="139">
        <f t="shared" si="6"/>
        <v>0</v>
      </c>
      <c r="AK16" s="32"/>
      <c r="AL16" s="33">
        <f t="shared" si="7"/>
        <v>124655</v>
      </c>
      <c r="AM16" s="32"/>
      <c r="AN16" s="33"/>
      <c r="AO16" s="32"/>
      <c r="AP16" s="32"/>
    </row>
    <row r="17" spans="2:42" s="136" customFormat="1" ht="21" customHeight="1">
      <c r="B17" s="131">
        <v>12</v>
      </c>
      <c r="C17" s="132" t="str">
        <f>+PERBULAN!B19</f>
        <v>KOPRIATI</v>
      </c>
      <c r="D17" s="133" t="s">
        <v>210</v>
      </c>
      <c r="E17" s="143" t="s">
        <v>388</v>
      </c>
      <c r="F17" s="140" t="s">
        <v>275</v>
      </c>
      <c r="G17" s="305" t="s">
        <v>83</v>
      </c>
      <c r="H17" s="134" t="s">
        <v>38</v>
      </c>
      <c r="I17" s="135" t="s">
        <v>7</v>
      </c>
      <c r="J17" s="308" t="str">
        <f t="shared" si="2"/>
        <v>TER A</v>
      </c>
      <c r="K17" s="309">
        <v>1</v>
      </c>
      <c r="L17" s="309">
        <v>12</v>
      </c>
      <c r="M17" s="40">
        <f>('[3]DAFTAR UPAH MAINTENANCE'!F15+'[3]DAFTAR UPAH MAINTENANCE'!J15+'[3]DAFTAR UPAH MAINTENANCE'!L15+'[3]DAFTAR UPAH MAINTENANCE'!N15+'[3]DAFTAR UPAH MAINTENANCE'!P15+'[3]DAFTAR UPAH MAINTENANCE'!R15)*129220</f>
        <v>4005820</v>
      </c>
      <c r="N17" s="40">
        <f>'[3]DAFTAR UPAH MAINTENANCE'!BN15</f>
        <v>155250</v>
      </c>
      <c r="O17" s="40">
        <f>[3]PPH!L18+[3]PPH!M18</f>
        <v>191765.64</v>
      </c>
      <c r="P17" s="40">
        <v>0</v>
      </c>
      <c r="Q17" s="40">
        <f t="shared" si="8"/>
        <v>4352835.6399999997</v>
      </c>
      <c r="R17" s="40">
        <f>+PERBULAN!S19</f>
        <v>4029600</v>
      </c>
      <c r="S17" s="40">
        <f>+SETAHUN!J19</f>
        <v>200000</v>
      </c>
      <c r="T17" s="40">
        <v>0</v>
      </c>
      <c r="U17" s="40">
        <f>+SETAHUN!F19+M17+N17</f>
        <v>48593639.159999996</v>
      </c>
      <c r="V17" s="40">
        <v>0</v>
      </c>
      <c r="W17" s="40">
        <f>+SETAHUN!V19+O17</f>
        <v>2295898.48</v>
      </c>
      <c r="X17" s="40">
        <v>0</v>
      </c>
      <c r="Y17" s="40">
        <v>0</v>
      </c>
      <c r="Z17" s="40">
        <f t="shared" si="3"/>
        <v>4229600</v>
      </c>
      <c r="AA17" s="40">
        <f t="shared" si="4"/>
        <v>55119137.639999993</v>
      </c>
      <c r="AB17" s="40">
        <f t="shared" si="5"/>
        <v>2755957</v>
      </c>
      <c r="AC17" s="40">
        <f>('ASTEK-DIISI SMPAI DES'!O19+'ASTEK-DIISI SMPAI DES'!O134)</f>
        <v>1410966</v>
      </c>
      <c r="AD17" s="40">
        <f t="shared" si="9"/>
        <v>50952214.639999993</v>
      </c>
      <c r="AE17" s="67">
        <f t="shared" si="1"/>
        <v>54000000</v>
      </c>
      <c r="AF17" s="67">
        <f t="shared" si="10"/>
        <v>0</v>
      </c>
      <c r="AG17" s="310">
        <f t="shared" si="12"/>
        <v>0</v>
      </c>
      <c r="AH17" s="310">
        <f t="shared" si="13"/>
        <v>0</v>
      </c>
      <c r="AI17" s="67">
        <f>+'PAJAK JAN-NOV'!R14</f>
        <v>123754</v>
      </c>
      <c r="AJ17" s="139">
        <f t="shared" si="6"/>
        <v>0</v>
      </c>
      <c r="AK17" s="32"/>
      <c r="AL17" s="33">
        <f t="shared" si="7"/>
        <v>123754</v>
      </c>
      <c r="AM17" s="32"/>
      <c r="AN17" s="33"/>
      <c r="AO17" s="32"/>
      <c r="AP17" s="32"/>
    </row>
    <row r="18" spans="2:42" s="136" customFormat="1" ht="21" customHeight="1">
      <c r="B18" s="131">
        <v>13</v>
      </c>
      <c r="C18" s="132" t="str">
        <f>+PERBULAN!B20</f>
        <v>ASNIATI</v>
      </c>
      <c r="D18" s="133" t="s">
        <v>211</v>
      </c>
      <c r="E18" s="143" t="s">
        <v>389</v>
      </c>
      <c r="F18" s="140" t="s">
        <v>282</v>
      </c>
      <c r="G18" s="305" t="s">
        <v>83</v>
      </c>
      <c r="H18" s="134" t="s">
        <v>38</v>
      </c>
      <c r="I18" s="135" t="s">
        <v>7</v>
      </c>
      <c r="J18" s="308" t="str">
        <f t="shared" si="2"/>
        <v>TER A</v>
      </c>
      <c r="K18" s="309">
        <v>1</v>
      </c>
      <c r="L18" s="309">
        <v>12</v>
      </c>
      <c r="M18" s="40">
        <f>('[3]DAFTAR UPAH MAINTENANCE'!F16+'[3]DAFTAR UPAH MAINTENANCE'!J16+'[3]DAFTAR UPAH MAINTENANCE'!L16+'[3]DAFTAR UPAH MAINTENANCE'!N16+'[3]DAFTAR UPAH MAINTENANCE'!P16+'[3]DAFTAR UPAH MAINTENANCE'!R16)*129220</f>
        <v>3876600</v>
      </c>
      <c r="N18" s="40">
        <f>'[3]DAFTAR UPAH MAINTENANCE'!BN16</f>
        <v>118000</v>
      </c>
      <c r="O18" s="40">
        <f>[3]PPH!L19+[3]PPH!M19</f>
        <v>190071.64</v>
      </c>
      <c r="P18" s="40">
        <v>0</v>
      </c>
      <c r="Q18" s="40">
        <f t="shared" si="8"/>
        <v>4184671.64</v>
      </c>
      <c r="R18" s="40">
        <f>+PERBULAN!S20</f>
        <v>3991100</v>
      </c>
      <c r="S18" s="40">
        <f>+SETAHUN!J20</f>
        <v>600000</v>
      </c>
      <c r="T18" s="40">
        <v>0</v>
      </c>
      <c r="U18" s="40">
        <f>+SETAHUN!F20+M18+N18</f>
        <v>48443579.159999996</v>
      </c>
      <c r="V18" s="40">
        <v>0</v>
      </c>
      <c r="W18" s="40">
        <f>+SETAHUN!V20+O18</f>
        <v>2277614.48</v>
      </c>
      <c r="X18" s="40">
        <v>0</v>
      </c>
      <c r="Y18" s="40">
        <v>0</v>
      </c>
      <c r="Z18" s="40">
        <f t="shared" si="3"/>
        <v>4591100</v>
      </c>
      <c r="AA18" s="40">
        <f t="shared" si="4"/>
        <v>55312293.639999993</v>
      </c>
      <c r="AB18" s="40">
        <f t="shared" si="5"/>
        <v>2765615</v>
      </c>
      <c r="AC18" s="40">
        <f>('ASTEK-DIISI SMPAI DES'!O20+'ASTEK-DIISI SMPAI DES'!O135)</f>
        <v>1404666</v>
      </c>
      <c r="AD18" s="40">
        <f t="shared" si="9"/>
        <v>51142012.639999993</v>
      </c>
      <c r="AE18" s="67">
        <f t="shared" si="1"/>
        <v>54000000</v>
      </c>
      <c r="AF18" s="67">
        <f t="shared" si="10"/>
        <v>0</v>
      </c>
      <c r="AG18" s="310">
        <f t="shared" si="12"/>
        <v>0</v>
      </c>
      <c r="AH18" s="310">
        <f t="shared" si="13"/>
        <v>0</v>
      </c>
      <c r="AI18" s="67">
        <f>+'PAJAK JAN-NOV'!R15</f>
        <v>124548</v>
      </c>
      <c r="AJ18" s="139">
        <f t="shared" si="6"/>
        <v>0</v>
      </c>
      <c r="AK18" s="32"/>
      <c r="AL18" s="33">
        <f t="shared" si="7"/>
        <v>124548</v>
      </c>
      <c r="AM18" s="32"/>
      <c r="AN18" s="33"/>
      <c r="AO18" s="32"/>
      <c r="AP18" s="32"/>
    </row>
    <row r="19" spans="2:42" s="136" customFormat="1" ht="21" customHeight="1">
      <c r="B19" s="131">
        <v>14</v>
      </c>
      <c r="C19" s="132" t="str">
        <f>+PERBULAN!B21</f>
        <v>ANDIWATI</v>
      </c>
      <c r="D19" s="133" t="s">
        <v>212</v>
      </c>
      <c r="E19" s="143" t="s">
        <v>390</v>
      </c>
      <c r="F19" s="140" t="s">
        <v>283</v>
      </c>
      <c r="G19" s="305" t="s">
        <v>83</v>
      </c>
      <c r="H19" s="134" t="s">
        <v>38</v>
      </c>
      <c r="I19" s="135" t="s">
        <v>7</v>
      </c>
      <c r="J19" s="308" t="str">
        <f t="shared" si="2"/>
        <v>TER A</v>
      </c>
      <c r="K19" s="309">
        <v>1</v>
      </c>
      <c r="L19" s="309">
        <v>12</v>
      </c>
      <c r="M19" s="40">
        <f>('[3]DAFTAR UPAH MAINTENANCE'!F17+'[3]DAFTAR UPAH MAINTENANCE'!J17+'[3]DAFTAR UPAH MAINTENANCE'!L17+'[3]DAFTAR UPAH MAINTENANCE'!N17+'[3]DAFTAR UPAH MAINTENANCE'!P17+'[3]DAFTAR UPAH MAINTENANCE'!R17)*129220</f>
        <v>4005820</v>
      </c>
      <c r="N19" s="40">
        <f>'[3]DAFTAR UPAH MAINTENANCE'!BN17</f>
        <v>120250</v>
      </c>
      <c r="O19" s="40">
        <f>[3]PPH!L20+[3]PPH!M20</f>
        <v>190071.64</v>
      </c>
      <c r="P19" s="40">
        <v>0</v>
      </c>
      <c r="Q19" s="40">
        <f t="shared" si="8"/>
        <v>4316141.6399999997</v>
      </c>
      <c r="R19" s="40">
        <f>+PERBULAN!S21</f>
        <v>3991100</v>
      </c>
      <c r="S19" s="40">
        <f>+SETAHUN!J21</f>
        <v>600000</v>
      </c>
      <c r="T19" s="40">
        <v>0</v>
      </c>
      <c r="U19" s="40">
        <f>+SETAHUN!F21+M19+N19</f>
        <v>48564547.959999993</v>
      </c>
      <c r="V19" s="40">
        <v>0</v>
      </c>
      <c r="W19" s="40">
        <f>+SETAHUN!V21+O19</f>
        <v>2277135.6800000002</v>
      </c>
      <c r="X19" s="40">
        <v>0</v>
      </c>
      <c r="Y19" s="40">
        <v>0</v>
      </c>
      <c r="Z19" s="40">
        <f t="shared" si="3"/>
        <v>4591100</v>
      </c>
      <c r="AA19" s="40">
        <f t="shared" si="4"/>
        <v>55432783.639999993</v>
      </c>
      <c r="AB19" s="40">
        <f t="shared" si="5"/>
        <v>2771639</v>
      </c>
      <c r="AC19" s="40">
        <f>('ASTEK-DIISI SMPAI DES'!O21+'ASTEK-DIISI SMPAI DES'!O136)</f>
        <v>1404456</v>
      </c>
      <c r="AD19" s="40">
        <f t="shared" si="9"/>
        <v>51256688.639999993</v>
      </c>
      <c r="AE19" s="67">
        <f t="shared" si="1"/>
        <v>54000000</v>
      </c>
      <c r="AF19" s="67">
        <f t="shared" si="10"/>
        <v>0</v>
      </c>
      <c r="AG19" s="310">
        <f t="shared" si="12"/>
        <v>0</v>
      </c>
      <c r="AH19" s="310">
        <f t="shared" si="13"/>
        <v>0</v>
      </c>
      <c r="AI19" s="67">
        <f>+'PAJAK JAN-NOV'!R16</f>
        <v>124548</v>
      </c>
      <c r="AJ19" s="139">
        <f t="shared" si="6"/>
        <v>0</v>
      </c>
      <c r="AK19" s="32"/>
      <c r="AL19" s="33">
        <f t="shared" si="7"/>
        <v>124548</v>
      </c>
      <c r="AM19" s="32"/>
      <c r="AN19" s="33"/>
      <c r="AO19" s="32"/>
      <c r="AP19" s="32"/>
    </row>
    <row r="20" spans="2:42" s="136" customFormat="1" ht="21" customHeight="1">
      <c r="B20" s="131">
        <v>15</v>
      </c>
      <c r="C20" s="132" t="str">
        <f>+PERBULAN!B22</f>
        <v>MARYANA.So</v>
      </c>
      <c r="D20" s="133" t="s">
        <v>213</v>
      </c>
      <c r="E20" s="143" t="s">
        <v>391</v>
      </c>
      <c r="F20" s="140" t="s">
        <v>275</v>
      </c>
      <c r="G20" s="305" t="s">
        <v>83</v>
      </c>
      <c r="H20" s="311" t="s">
        <v>38</v>
      </c>
      <c r="I20" s="308" t="s">
        <v>7</v>
      </c>
      <c r="J20" s="308" t="str">
        <f t="shared" si="2"/>
        <v>TER A</v>
      </c>
      <c r="K20" s="309">
        <v>1</v>
      </c>
      <c r="L20" s="309">
        <v>12</v>
      </c>
      <c r="M20" s="40">
        <f>('[3]DAFTAR UPAH MAINTENANCE'!F18+'[3]DAFTAR UPAH MAINTENANCE'!J18+'[3]DAFTAR UPAH MAINTENANCE'!L18+'[3]DAFTAR UPAH MAINTENANCE'!N18+'[3]DAFTAR UPAH MAINTENANCE'!P18+'[3]DAFTAR UPAH MAINTENANCE'!R18)*129220</f>
        <v>4005820</v>
      </c>
      <c r="N20" s="40">
        <f>'[3]DAFTAR UPAH MAINTENANCE'!BN18</f>
        <v>120250</v>
      </c>
      <c r="O20" s="40">
        <f>[3]PPH!L21+[3]PPH!M21</f>
        <v>190071.64</v>
      </c>
      <c r="P20" s="40">
        <v>0</v>
      </c>
      <c r="Q20" s="40">
        <f t="shared" si="8"/>
        <v>4316141.6399999997</v>
      </c>
      <c r="R20" s="40">
        <f>+PERBULAN!S22</f>
        <v>3991100</v>
      </c>
      <c r="S20" s="40">
        <f>+SETAHUN!J22</f>
        <v>900000</v>
      </c>
      <c r="T20" s="40">
        <v>0</v>
      </c>
      <c r="U20" s="40">
        <f>+SETAHUN!F22+M20+N20</f>
        <v>48443579.159999996</v>
      </c>
      <c r="V20" s="40">
        <v>0</v>
      </c>
      <c r="W20" s="40">
        <f>+SETAHUN!V22+O20</f>
        <v>2277614.48</v>
      </c>
      <c r="X20" s="40">
        <v>0</v>
      </c>
      <c r="Y20" s="40">
        <v>0</v>
      </c>
      <c r="Z20" s="40">
        <f t="shared" si="3"/>
        <v>4891100</v>
      </c>
      <c r="AA20" s="40">
        <f t="shared" si="4"/>
        <v>55612293.639999993</v>
      </c>
      <c r="AB20" s="40">
        <f t="shared" si="5"/>
        <v>2780615</v>
      </c>
      <c r="AC20" s="40">
        <f>('ASTEK-DIISI SMPAI DES'!O22+'ASTEK-DIISI SMPAI DES'!O137)</f>
        <v>1404666</v>
      </c>
      <c r="AD20" s="40">
        <f t="shared" si="9"/>
        <v>51427012.639999993</v>
      </c>
      <c r="AE20" s="67">
        <f t="shared" si="1"/>
        <v>54000000</v>
      </c>
      <c r="AF20" s="67">
        <f t="shared" si="10"/>
        <v>0</v>
      </c>
      <c r="AG20" s="310">
        <f t="shared" si="12"/>
        <v>0</v>
      </c>
      <c r="AH20" s="310">
        <f t="shared" si="13"/>
        <v>0</v>
      </c>
      <c r="AI20" s="67">
        <f>+'PAJAK JAN-NOV'!R17</f>
        <v>124548</v>
      </c>
      <c r="AJ20" s="139">
        <f t="shared" si="6"/>
        <v>0</v>
      </c>
      <c r="AK20" s="32"/>
      <c r="AL20" s="33">
        <f t="shared" si="7"/>
        <v>124548</v>
      </c>
      <c r="AM20" s="32"/>
      <c r="AN20" s="33"/>
      <c r="AO20" s="32"/>
      <c r="AP20" s="32"/>
    </row>
    <row r="21" spans="2:42" s="136" customFormat="1" ht="21" customHeight="1">
      <c r="B21" s="131">
        <v>16</v>
      </c>
      <c r="C21" s="132" t="str">
        <f>+PERBULAN!B23</f>
        <v>TUTI</v>
      </c>
      <c r="D21" s="133" t="s">
        <v>214</v>
      </c>
      <c r="E21" s="312" t="s">
        <v>392</v>
      </c>
      <c r="F21" s="140" t="s">
        <v>190</v>
      </c>
      <c r="G21" s="305" t="s">
        <v>83</v>
      </c>
      <c r="H21" s="311" t="s">
        <v>38</v>
      </c>
      <c r="I21" s="308" t="s">
        <v>7</v>
      </c>
      <c r="J21" s="308" t="str">
        <f t="shared" si="2"/>
        <v>TER A</v>
      </c>
      <c r="K21" s="309">
        <v>1</v>
      </c>
      <c r="L21" s="309">
        <v>12</v>
      </c>
      <c r="M21" s="40">
        <f>('[3]DAFTAR UPAH MAINTENANCE'!F19+'[3]DAFTAR UPAH MAINTENANCE'!J19+'[3]DAFTAR UPAH MAINTENANCE'!L19+'[3]DAFTAR UPAH MAINTENANCE'!N19+'[3]DAFTAR UPAH MAINTENANCE'!P19+'[3]DAFTAR UPAH MAINTENANCE'!R19)*129220</f>
        <v>3876600</v>
      </c>
      <c r="N21" s="40">
        <f>'[3]DAFTAR UPAH MAINTENANCE'!BN19</f>
        <v>121500</v>
      </c>
      <c r="O21" s="40">
        <f>[3]PPH!L22+[3]PPH!M22</f>
        <v>190241.04</v>
      </c>
      <c r="P21" s="40">
        <v>0</v>
      </c>
      <c r="Q21" s="40">
        <f t="shared" si="8"/>
        <v>4188341.04</v>
      </c>
      <c r="R21" s="40">
        <f>+PERBULAN!S23</f>
        <v>3994600</v>
      </c>
      <c r="S21" s="40">
        <f>+SETAHUN!J23</f>
        <v>600000</v>
      </c>
      <c r="T21" s="40">
        <v>0</v>
      </c>
      <c r="U21" s="40">
        <f>+SETAHUN!F23+M21+N21</f>
        <v>48492577.160000004</v>
      </c>
      <c r="V21" s="40">
        <v>0</v>
      </c>
      <c r="W21" s="40">
        <f>+SETAHUN!V23+O21</f>
        <v>2279750.88</v>
      </c>
      <c r="X21" s="40">
        <v>0</v>
      </c>
      <c r="Y21" s="40">
        <v>0</v>
      </c>
      <c r="Z21" s="40">
        <f t="shared" si="3"/>
        <v>4594600</v>
      </c>
      <c r="AA21" s="40">
        <f t="shared" si="4"/>
        <v>55366928.040000007</v>
      </c>
      <c r="AB21" s="40">
        <f t="shared" si="5"/>
        <v>2768346</v>
      </c>
      <c r="AC21" s="40">
        <f>('ASTEK-DIISI SMPAI DES'!O23+'ASTEK-DIISI SMPAI DES'!O138)</f>
        <v>1405296</v>
      </c>
      <c r="AD21" s="40">
        <f t="shared" si="9"/>
        <v>51193286.040000007</v>
      </c>
      <c r="AE21" s="67">
        <f t="shared" si="1"/>
        <v>54000000</v>
      </c>
      <c r="AF21" s="67">
        <f t="shared" si="10"/>
        <v>0</v>
      </c>
      <c r="AG21" s="310">
        <f t="shared" si="12"/>
        <v>0</v>
      </c>
      <c r="AH21" s="310">
        <f t="shared" si="13"/>
        <v>0</v>
      </c>
      <c r="AI21" s="67">
        <f>+'PAJAK JAN-NOV'!R18</f>
        <v>124655</v>
      </c>
      <c r="AJ21" s="139">
        <f t="shared" si="6"/>
        <v>0</v>
      </c>
      <c r="AK21" s="32"/>
      <c r="AL21" s="33">
        <f t="shared" si="7"/>
        <v>124655</v>
      </c>
      <c r="AM21" s="32"/>
      <c r="AN21" s="33"/>
      <c r="AO21" s="32"/>
      <c r="AP21" s="32"/>
    </row>
    <row r="22" spans="2:42" s="136" customFormat="1" ht="21" customHeight="1">
      <c r="B22" s="131">
        <v>17</v>
      </c>
      <c r="C22" s="132" t="str">
        <f>+PERBULAN!B24</f>
        <v>AGUSTIANA</v>
      </c>
      <c r="D22" s="313" t="s">
        <v>215</v>
      </c>
      <c r="E22" s="314" t="s">
        <v>393</v>
      </c>
      <c r="F22" s="140" t="s">
        <v>284</v>
      </c>
      <c r="G22" s="305" t="s">
        <v>83</v>
      </c>
      <c r="H22" s="311" t="s">
        <v>38</v>
      </c>
      <c r="I22" s="308" t="s">
        <v>7</v>
      </c>
      <c r="J22" s="308" t="str">
        <f t="shared" si="2"/>
        <v>TER A</v>
      </c>
      <c r="K22" s="309">
        <v>1</v>
      </c>
      <c r="L22" s="309">
        <v>12</v>
      </c>
      <c r="M22" s="40">
        <f>('[3]DAFTAR UPAH MAINTENANCE'!F20+'[3]DAFTAR UPAH MAINTENANCE'!J20+'[3]DAFTAR UPAH MAINTENANCE'!L20+'[3]DAFTAR UPAH MAINTENANCE'!N20+'[3]DAFTAR UPAH MAINTENANCE'!P20+'[3]DAFTAR UPAH MAINTENANCE'!R20)*129220</f>
        <v>4005820</v>
      </c>
      <c r="N22" s="40">
        <f>'[3]DAFTAR UPAH MAINTENANCE'!BN20</f>
        <v>123750</v>
      </c>
      <c r="O22" s="40">
        <f>[3]PPH!L23+[3]PPH!M23</f>
        <v>190241.04</v>
      </c>
      <c r="P22" s="40">
        <v>0</v>
      </c>
      <c r="Q22" s="40">
        <f t="shared" si="8"/>
        <v>4319811.04</v>
      </c>
      <c r="R22" s="40">
        <f>+PERBULAN!S24</f>
        <v>3994600</v>
      </c>
      <c r="S22" s="40">
        <f>+SETAHUN!J24</f>
        <v>600000</v>
      </c>
      <c r="T22" s="40">
        <v>0</v>
      </c>
      <c r="U22" s="40">
        <f>+SETAHUN!F24+M22+N22</f>
        <v>48610047.560000002</v>
      </c>
      <c r="V22" s="40">
        <v>0</v>
      </c>
      <c r="W22" s="40">
        <f>+SETAHUN!V24+O22</f>
        <v>2279161.48</v>
      </c>
      <c r="X22" s="40">
        <v>0</v>
      </c>
      <c r="Y22" s="40">
        <v>0</v>
      </c>
      <c r="Z22" s="40">
        <f t="shared" si="3"/>
        <v>4594600</v>
      </c>
      <c r="AA22" s="40">
        <f t="shared" si="4"/>
        <v>55483809.039999999</v>
      </c>
      <c r="AB22" s="40">
        <f t="shared" si="5"/>
        <v>2774190</v>
      </c>
      <c r="AC22" s="40">
        <f>('ASTEK-DIISI SMPAI DES'!O24+'ASTEK-DIISI SMPAI DES'!O139)</f>
        <v>1405191</v>
      </c>
      <c r="AD22" s="40">
        <f t="shared" si="9"/>
        <v>51304428.039999999</v>
      </c>
      <c r="AE22" s="67">
        <f t="shared" si="1"/>
        <v>54000000</v>
      </c>
      <c r="AF22" s="67">
        <f t="shared" si="10"/>
        <v>0</v>
      </c>
      <c r="AG22" s="310">
        <f t="shared" si="12"/>
        <v>0</v>
      </c>
      <c r="AH22" s="310">
        <f t="shared" si="13"/>
        <v>0</v>
      </c>
      <c r="AI22" s="67">
        <f>+'PAJAK JAN-NOV'!R19</f>
        <v>124655</v>
      </c>
      <c r="AJ22" s="139">
        <f t="shared" si="6"/>
        <v>0</v>
      </c>
      <c r="AK22" s="32"/>
      <c r="AL22" s="33">
        <f t="shared" si="7"/>
        <v>124655</v>
      </c>
      <c r="AM22" s="32"/>
      <c r="AN22" s="33"/>
      <c r="AO22" s="32"/>
      <c r="AP22" s="32"/>
    </row>
    <row r="23" spans="2:42" s="136" customFormat="1" ht="21" customHeight="1">
      <c r="B23" s="131">
        <v>18</v>
      </c>
      <c r="C23" s="132" t="str">
        <f>+PERBULAN!B25</f>
        <v>SISWANTO</v>
      </c>
      <c r="D23" s="133" t="s">
        <v>216</v>
      </c>
      <c r="E23" s="143" t="s">
        <v>394</v>
      </c>
      <c r="F23" s="140" t="s">
        <v>190</v>
      </c>
      <c r="G23" s="305" t="s">
        <v>83</v>
      </c>
      <c r="H23" s="134" t="s">
        <v>39</v>
      </c>
      <c r="I23" s="135" t="s">
        <v>17</v>
      </c>
      <c r="J23" s="308" t="str">
        <f t="shared" si="2"/>
        <v>TER A</v>
      </c>
      <c r="K23" s="309">
        <v>1</v>
      </c>
      <c r="L23" s="309">
        <v>12</v>
      </c>
      <c r="M23" s="40">
        <f>('[3]DAFTAR UPAH MAINTENANCE'!F21+'[3]DAFTAR UPAH MAINTENANCE'!J21+'[3]DAFTAR UPAH MAINTENANCE'!L21+'[3]DAFTAR UPAH MAINTENANCE'!N21+'[3]DAFTAR UPAH MAINTENANCE'!P21+'[3]DAFTAR UPAH MAINTENANCE'!R21)*129220</f>
        <v>4005820</v>
      </c>
      <c r="N23" s="40">
        <f>'[3]DAFTAR UPAH MAINTENANCE'!BN21</f>
        <v>172200</v>
      </c>
      <c r="O23" s="40">
        <f>[3]PPH!L24+[3]PPH!M24</f>
        <v>190410.44</v>
      </c>
      <c r="P23" s="40">
        <v>0</v>
      </c>
      <c r="Q23" s="40">
        <f t="shared" si="8"/>
        <v>4368430.4400000004</v>
      </c>
      <c r="R23" s="40">
        <f>+PERBULAN!S25</f>
        <v>4041600</v>
      </c>
      <c r="S23" s="40">
        <f>+SETAHUN!J25</f>
        <v>200000</v>
      </c>
      <c r="T23" s="40">
        <v>0</v>
      </c>
      <c r="U23" s="40">
        <f>+SETAHUN!F25+M23+N23</f>
        <v>48775935.960000001</v>
      </c>
      <c r="V23" s="40">
        <v>0</v>
      </c>
      <c r="W23" s="40">
        <f>+SETAHUN!V25+O23</f>
        <v>2280848.48</v>
      </c>
      <c r="X23" s="40">
        <v>0</v>
      </c>
      <c r="Y23" s="40">
        <v>0</v>
      </c>
      <c r="Z23" s="40">
        <f t="shared" si="3"/>
        <v>4241600</v>
      </c>
      <c r="AA23" s="40">
        <f t="shared" si="4"/>
        <v>55298384.439999998</v>
      </c>
      <c r="AB23" s="40">
        <f t="shared" si="5"/>
        <v>2764919</v>
      </c>
      <c r="AC23" s="40">
        <f>('ASTEK-DIISI SMPAI DES'!O25+'ASTEK-DIISI SMPAI DES'!O140)</f>
        <v>1405716</v>
      </c>
      <c r="AD23" s="40">
        <f t="shared" si="9"/>
        <v>51127749.439999998</v>
      </c>
      <c r="AE23" s="67">
        <f t="shared" si="1"/>
        <v>58500000</v>
      </c>
      <c r="AF23" s="67">
        <f t="shared" si="10"/>
        <v>0</v>
      </c>
      <c r="AG23" s="310">
        <f t="shared" si="12"/>
        <v>0</v>
      </c>
      <c r="AH23" s="310">
        <f t="shared" si="13"/>
        <v>0</v>
      </c>
      <c r="AI23" s="67">
        <f>+'PAJAK JAN-NOV'!R20</f>
        <v>126089</v>
      </c>
      <c r="AJ23" s="139">
        <f t="shared" si="6"/>
        <v>0</v>
      </c>
      <c r="AK23" s="32"/>
      <c r="AL23" s="33">
        <f t="shared" si="7"/>
        <v>126089</v>
      </c>
      <c r="AM23" s="32"/>
      <c r="AN23" s="33"/>
      <c r="AO23" s="32"/>
      <c r="AP23" s="32"/>
    </row>
    <row r="24" spans="2:42" s="136" customFormat="1" ht="21" customHeight="1">
      <c r="B24" s="131">
        <v>19</v>
      </c>
      <c r="C24" s="132" t="str">
        <f>+PERBULAN!B26</f>
        <v>SUNDARI</v>
      </c>
      <c r="D24" s="133" t="s">
        <v>217</v>
      </c>
      <c r="E24" s="143" t="s">
        <v>69</v>
      </c>
      <c r="F24" s="140" t="s">
        <v>285</v>
      </c>
      <c r="G24" s="305" t="s">
        <v>83</v>
      </c>
      <c r="H24" s="134" t="s">
        <v>38</v>
      </c>
      <c r="I24" s="135" t="s">
        <v>7</v>
      </c>
      <c r="J24" s="308" t="str">
        <f t="shared" si="2"/>
        <v>TER A</v>
      </c>
      <c r="K24" s="309">
        <v>1</v>
      </c>
      <c r="L24" s="309">
        <v>12</v>
      </c>
      <c r="M24" s="40">
        <f>('[3]DAFTAR UPAH MAINTENANCE'!F22+'[3]DAFTAR UPAH MAINTENANCE'!J22+'[3]DAFTAR UPAH MAINTENANCE'!L22+'[3]DAFTAR UPAH MAINTENANCE'!N22+'[3]DAFTAR UPAH MAINTENANCE'!P22+'[3]DAFTAR UPAH MAINTENANCE'!R22)*129220</f>
        <v>4005820</v>
      </c>
      <c r="N24" s="40">
        <f>'[3]DAFTAR UPAH MAINTENANCE'!BN22</f>
        <v>102750</v>
      </c>
      <c r="O24" s="40">
        <f>[3]PPH!L25+[3]PPH!M25</f>
        <v>189224.64</v>
      </c>
      <c r="P24" s="40">
        <v>0</v>
      </c>
      <c r="Q24" s="40">
        <f t="shared" si="8"/>
        <v>4297794.6399999997</v>
      </c>
      <c r="R24" s="40">
        <f>+PERBULAN!S26</f>
        <v>3974100</v>
      </c>
      <c r="S24" s="40">
        <f>+SETAHUN!J26</f>
        <v>200000</v>
      </c>
      <c r="T24" s="40">
        <v>0</v>
      </c>
      <c r="U24" s="40">
        <f>+SETAHUN!F26+M24+N24</f>
        <v>48364549.159999996</v>
      </c>
      <c r="V24" s="40">
        <v>0</v>
      </c>
      <c r="W24" s="40">
        <f>+SETAHUN!V26+O24</f>
        <v>2268312.48</v>
      </c>
      <c r="X24" s="40">
        <v>0</v>
      </c>
      <c r="Y24" s="40">
        <v>0</v>
      </c>
      <c r="Z24" s="40">
        <f t="shared" si="3"/>
        <v>4174100</v>
      </c>
      <c r="AA24" s="40">
        <f t="shared" si="4"/>
        <v>54806961.639999993</v>
      </c>
      <c r="AB24" s="40">
        <f t="shared" si="5"/>
        <v>2740348</v>
      </c>
      <c r="AC24" s="40">
        <f>('ASTEK-DIISI SMPAI DES'!O26+'ASTEK-DIISI SMPAI DES'!O141)</f>
        <v>1401516</v>
      </c>
      <c r="AD24" s="40">
        <f t="shared" si="9"/>
        <v>50665097.639999993</v>
      </c>
      <c r="AE24" s="67">
        <f t="shared" si="1"/>
        <v>54000000</v>
      </c>
      <c r="AF24" s="67">
        <f t="shared" si="10"/>
        <v>0</v>
      </c>
      <c r="AG24" s="310">
        <f t="shared" si="12"/>
        <v>0</v>
      </c>
      <c r="AH24" s="310">
        <f t="shared" si="13"/>
        <v>0</v>
      </c>
      <c r="AI24" s="67">
        <f>+'PAJAK JAN-NOV'!R21</f>
        <v>124027</v>
      </c>
      <c r="AJ24" s="139">
        <f t="shared" si="6"/>
        <v>0</v>
      </c>
      <c r="AK24" s="32"/>
      <c r="AL24" s="33">
        <f t="shared" si="7"/>
        <v>124027</v>
      </c>
      <c r="AM24" s="32"/>
      <c r="AN24" s="33"/>
      <c r="AO24" s="32"/>
      <c r="AP24" s="32"/>
    </row>
    <row r="25" spans="2:42" s="136" customFormat="1" ht="21" customHeight="1">
      <c r="B25" s="131">
        <v>20</v>
      </c>
      <c r="C25" s="132" t="str">
        <f>+PERBULAN!B27</f>
        <v>SURYATI</v>
      </c>
      <c r="D25" s="133" t="s">
        <v>218</v>
      </c>
      <c r="E25" s="143" t="s">
        <v>395</v>
      </c>
      <c r="F25" s="140" t="s">
        <v>286</v>
      </c>
      <c r="G25" s="305" t="s">
        <v>83</v>
      </c>
      <c r="H25" s="311" t="s">
        <v>38</v>
      </c>
      <c r="I25" s="308" t="s">
        <v>8</v>
      </c>
      <c r="J25" s="308" t="str">
        <f t="shared" si="2"/>
        <v>TER B</v>
      </c>
      <c r="K25" s="309">
        <v>1</v>
      </c>
      <c r="L25" s="309">
        <v>12</v>
      </c>
      <c r="M25" s="40">
        <f>('[3]DAFTAR UPAH MAINTENANCE'!F23+'[3]DAFTAR UPAH MAINTENANCE'!J23+'[3]DAFTAR UPAH MAINTENANCE'!L23+'[3]DAFTAR UPAH MAINTENANCE'!N23+'[3]DAFTAR UPAH MAINTENANCE'!P23+'[3]DAFTAR UPAH MAINTENANCE'!R23)*129220</f>
        <v>4005820</v>
      </c>
      <c r="N25" s="40">
        <f>'[3]DAFTAR UPAH MAINTENANCE'!BN23</f>
        <v>163200</v>
      </c>
      <c r="O25" s="40">
        <f>[3]PPH!L26+[3]PPH!M26</f>
        <v>189224.64</v>
      </c>
      <c r="P25" s="40">
        <v>0</v>
      </c>
      <c r="Q25" s="40">
        <f t="shared" si="8"/>
        <v>4358244.6399999997</v>
      </c>
      <c r="R25" s="40">
        <f>+PERBULAN!S27</f>
        <v>4032600</v>
      </c>
      <c r="S25" s="40">
        <f>+SETAHUN!J27</f>
        <v>200000</v>
      </c>
      <c r="T25" s="40">
        <v>0</v>
      </c>
      <c r="U25" s="40">
        <f>+SETAHUN!F27+M25+N25</f>
        <v>49071649.159999996</v>
      </c>
      <c r="V25" s="40">
        <v>0</v>
      </c>
      <c r="W25" s="40">
        <f>+SETAHUN!V27+O25</f>
        <v>2268312.48</v>
      </c>
      <c r="X25" s="40">
        <v>0</v>
      </c>
      <c r="Y25" s="40">
        <v>0</v>
      </c>
      <c r="Z25" s="40">
        <f t="shared" si="3"/>
        <v>4232600</v>
      </c>
      <c r="AA25" s="40">
        <f t="shared" si="4"/>
        <v>55572561.639999993</v>
      </c>
      <c r="AB25" s="40">
        <f t="shared" si="5"/>
        <v>2778628</v>
      </c>
      <c r="AC25" s="40">
        <f>('ASTEK-DIISI SMPAI DES'!O27+'ASTEK-DIISI SMPAI DES'!O142)</f>
        <v>1401516</v>
      </c>
      <c r="AD25" s="40">
        <f t="shared" si="9"/>
        <v>51392417.639999993</v>
      </c>
      <c r="AE25" s="67">
        <f t="shared" si="1"/>
        <v>63000000</v>
      </c>
      <c r="AF25" s="67">
        <f t="shared" si="10"/>
        <v>0</v>
      </c>
      <c r="AG25" s="310">
        <f t="shared" si="12"/>
        <v>0</v>
      </c>
      <c r="AH25" s="310">
        <f t="shared" si="13"/>
        <v>0</v>
      </c>
      <c r="AI25" s="67">
        <f>+'PAJAK JAN-NOV'!R22</f>
        <v>83874</v>
      </c>
      <c r="AJ25" s="139">
        <f t="shared" si="6"/>
        <v>0</v>
      </c>
      <c r="AK25" s="32"/>
      <c r="AL25" s="33">
        <f t="shared" si="7"/>
        <v>83874</v>
      </c>
      <c r="AM25" s="32"/>
      <c r="AN25" s="33"/>
      <c r="AO25" s="32"/>
      <c r="AP25" s="32"/>
    </row>
    <row r="26" spans="2:42" s="136" customFormat="1" ht="21" customHeight="1">
      <c r="B26" s="131">
        <v>21</v>
      </c>
      <c r="C26" s="384" t="str">
        <f>+PERBULAN!B28</f>
        <v>SANTI</v>
      </c>
      <c r="D26" s="386" t="s">
        <v>220</v>
      </c>
      <c r="E26" s="143" t="s">
        <v>396</v>
      </c>
      <c r="F26" s="140" t="s">
        <v>273</v>
      </c>
      <c r="G26" s="305" t="s">
        <v>83</v>
      </c>
      <c r="H26" s="311" t="s">
        <v>38</v>
      </c>
      <c r="I26" s="308" t="s">
        <v>7</v>
      </c>
      <c r="J26" s="308" t="str">
        <f t="shared" si="2"/>
        <v>TER A</v>
      </c>
      <c r="K26" s="309">
        <v>1</v>
      </c>
      <c r="L26" s="309">
        <v>12</v>
      </c>
      <c r="M26" s="40">
        <f>('[3]DAFTAR UPAH MAINTENANCE'!F24+'[3]DAFTAR UPAH MAINTENANCE'!J24+'[3]DAFTAR UPAH MAINTENANCE'!L24+'[3]DAFTAR UPAH MAINTENANCE'!N24+'[3]DAFTAR UPAH MAINTENANCE'!P24+'[3]DAFTAR UPAH MAINTENANCE'!R24)*129220</f>
        <v>4005820</v>
      </c>
      <c r="N26" s="40">
        <f>'[3]DAFTAR UPAH MAINTENANCE'!BN24</f>
        <v>158750</v>
      </c>
      <c r="O26" s="40">
        <f>[3]PPH!L27+[3]PPH!M27</f>
        <v>191935.04</v>
      </c>
      <c r="P26" s="40">
        <v>0</v>
      </c>
      <c r="Q26" s="40">
        <f t="shared" si="8"/>
        <v>4356505.04</v>
      </c>
      <c r="R26" s="40">
        <f>+PERBULAN!S28</f>
        <v>4033100</v>
      </c>
      <c r="S26" s="40">
        <f>+SETAHUN!J28</f>
        <v>600000</v>
      </c>
      <c r="T26" s="40">
        <v>0</v>
      </c>
      <c r="U26" s="40">
        <f>+SETAHUN!F28+M26+N26</f>
        <v>48632137.160000004</v>
      </c>
      <c r="V26" s="40">
        <v>0</v>
      </c>
      <c r="W26" s="40">
        <f>+SETAHUN!V28+O26</f>
        <v>2297614.88</v>
      </c>
      <c r="X26" s="40">
        <v>0</v>
      </c>
      <c r="Y26" s="40">
        <v>0</v>
      </c>
      <c r="Z26" s="40">
        <f t="shared" si="3"/>
        <v>4633100</v>
      </c>
      <c r="AA26" s="40">
        <f t="shared" si="4"/>
        <v>55562852.040000007</v>
      </c>
      <c r="AB26" s="40">
        <f t="shared" si="5"/>
        <v>2778143</v>
      </c>
      <c r="AC26" s="40">
        <f>('ASTEK-DIISI SMPAI DES'!O28+'ASTEK-DIISI SMPAI DES'!O143)</f>
        <v>1411596</v>
      </c>
      <c r="AD26" s="40">
        <f t="shared" si="9"/>
        <v>51373113.040000007</v>
      </c>
      <c r="AE26" s="67">
        <f t="shared" si="1"/>
        <v>54000000</v>
      </c>
      <c r="AF26" s="67">
        <f t="shared" si="10"/>
        <v>0</v>
      </c>
      <c r="AG26" s="310">
        <f t="shared" si="12"/>
        <v>0</v>
      </c>
      <c r="AH26" s="310">
        <f t="shared" si="13"/>
        <v>0</v>
      </c>
      <c r="AI26" s="67">
        <f>+'PAJAK JAN-NOV'!R23</f>
        <v>125833</v>
      </c>
      <c r="AJ26" s="139">
        <f t="shared" si="6"/>
        <v>0</v>
      </c>
      <c r="AK26" s="32"/>
      <c r="AL26" s="33">
        <f t="shared" si="7"/>
        <v>125833</v>
      </c>
      <c r="AM26" s="32"/>
      <c r="AN26" s="33"/>
      <c r="AO26" s="32"/>
      <c r="AP26" s="32"/>
    </row>
    <row r="27" spans="2:42" s="136" customFormat="1" ht="21" customHeight="1">
      <c r="B27" s="131">
        <v>22</v>
      </c>
      <c r="C27" s="132" t="str">
        <f>+PERBULAN!B29</f>
        <v>HARYANI</v>
      </c>
      <c r="D27" s="133" t="s">
        <v>221</v>
      </c>
      <c r="E27" s="143" t="s">
        <v>397</v>
      </c>
      <c r="F27" s="140" t="s">
        <v>188</v>
      </c>
      <c r="G27" s="305" t="s">
        <v>83</v>
      </c>
      <c r="H27" s="311" t="s">
        <v>39</v>
      </c>
      <c r="I27" s="308" t="s">
        <v>17</v>
      </c>
      <c r="J27" s="308" t="str">
        <f t="shared" si="2"/>
        <v>TER A</v>
      </c>
      <c r="K27" s="309">
        <v>1</v>
      </c>
      <c r="L27" s="309">
        <v>12</v>
      </c>
      <c r="M27" s="40">
        <f>('[3]DAFTAR UPAH MAINTENANCE'!F25+'[3]DAFTAR UPAH MAINTENANCE'!J25+'[3]DAFTAR UPAH MAINTENANCE'!L25+'[3]DAFTAR UPAH MAINTENANCE'!N25+'[3]DAFTAR UPAH MAINTENANCE'!P25+'[3]DAFTAR UPAH MAINTENANCE'!R25)*129220</f>
        <v>4005820</v>
      </c>
      <c r="N27" s="40">
        <f>'[3]DAFTAR UPAH MAINTENANCE'!BN25</f>
        <v>172200</v>
      </c>
      <c r="O27" s="40">
        <f>[3]PPH!L28+[3]PPH!M28</f>
        <v>190410.44</v>
      </c>
      <c r="P27" s="40">
        <v>0</v>
      </c>
      <c r="Q27" s="40">
        <f t="shared" si="8"/>
        <v>4368430.4400000004</v>
      </c>
      <c r="R27" s="40">
        <f>+PERBULAN!S29</f>
        <v>4038600</v>
      </c>
      <c r="S27" s="40">
        <f>+SETAHUN!J29</f>
        <v>900000</v>
      </c>
      <c r="T27" s="40">
        <v>0</v>
      </c>
      <c r="U27" s="40">
        <f>+SETAHUN!F29+M27+N27</f>
        <v>49168396.359999999</v>
      </c>
      <c r="V27" s="40">
        <v>0</v>
      </c>
      <c r="W27" s="40">
        <f>+SETAHUN!V29+O27</f>
        <v>2280679.08</v>
      </c>
      <c r="X27" s="40">
        <v>0</v>
      </c>
      <c r="Y27" s="40">
        <v>0</v>
      </c>
      <c r="Z27" s="40">
        <f t="shared" si="3"/>
        <v>4938600</v>
      </c>
      <c r="AA27" s="40">
        <f t="shared" si="4"/>
        <v>56387675.439999998</v>
      </c>
      <c r="AB27" s="40">
        <f t="shared" si="5"/>
        <v>2819384</v>
      </c>
      <c r="AC27" s="40">
        <f>('ASTEK-DIISI SMPAI DES'!O29+'ASTEK-DIISI SMPAI DES'!O144)</f>
        <v>1405611</v>
      </c>
      <c r="AD27" s="40">
        <f t="shared" si="9"/>
        <v>52162680.439999998</v>
      </c>
      <c r="AE27" s="67">
        <f t="shared" si="1"/>
        <v>58500000</v>
      </c>
      <c r="AF27" s="67">
        <f t="shared" si="10"/>
        <v>0</v>
      </c>
      <c r="AG27" s="310">
        <f>IF(AF27&gt;5000000000,AF27*35%-306000000,IF(AF27&gt;500000000,AF27*30%-56000000,IF(AF27&gt;250000000,AF27*25%-31000000,IF(AF27&gt;60000000,AF27*15%-6000000,AF27*5%))))</f>
        <v>0</v>
      </c>
      <c r="AH27" s="310">
        <f t="shared" si="13"/>
        <v>0</v>
      </c>
      <c r="AI27" s="67">
        <f>+'PAJAK JAN-NOV'!R24</f>
        <v>126044</v>
      </c>
      <c r="AJ27" s="139">
        <f t="shared" si="6"/>
        <v>0</v>
      </c>
      <c r="AK27" s="32"/>
      <c r="AL27" s="33">
        <f t="shared" si="7"/>
        <v>126044</v>
      </c>
      <c r="AM27" s="32"/>
      <c r="AN27" s="33"/>
      <c r="AO27" s="32"/>
      <c r="AP27" s="32"/>
    </row>
    <row r="28" spans="2:42" s="136" customFormat="1" ht="21" customHeight="1">
      <c r="B28" s="131">
        <v>23</v>
      </c>
      <c r="C28" s="132" t="str">
        <f>+PERBULAN!B30</f>
        <v>SUWANDI</v>
      </c>
      <c r="D28" s="133" t="s">
        <v>222</v>
      </c>
      <c r="E28" s="143" t="s">
        <v>398</v>
      </c>
      <c r="F28" s="140" t="s">
        <v>288</v>
      </c>
      <c r="G28" s="305" t="s">
        <v>83</v>
      </c>
      <c r="H28" s="311" t="s">
        <v>39</v>
      </c>
      <c r="I28" s="308" t="s">
        <v>9</v>
      </c>
      <c r="J28" s="308" t="str">
        <f t="shared" si="2"/>
        <v>TER B</v>
      </c>
      <c r="K28" s="309">
        <v>1</v>
      </c>
      <c r="L28" s="309">
        <v>12</v>
      </c>
      <c r="M28" s="40">
        <f>(4400000/30)*31</f>
        <v>4546666.666666666</v>
      </c>
      <c r="N28" s="40">
        <f>'[3]DAFTAR UPAH MAINTENANCE'!BN26</f>
        <v>273078.32</v>
      </c>
      <c r="O28" s="40">
        <f>[3]PPH!L29+[3]PPH!M29</f>
        <v>215404.2</v>
      </c>
      <c r="P28" s="40">
        <v>0</v>
      </c>
      <c r="Q28" s="40">
        <f t="shared" si="8"/>
        <v>5035149.1866666665</v>
      </c>
      <c r="R28" s="40">
        <f>+PERBULAN!S30</f>
        <v>4590000</v>
      </c>
      <c r="S28" s="40">
        <f>+SETAHUN!J30</f>
        <v>600000</v>
      </c>
      <c r="T28" s="40">
        <v>0</v>
      </c>
      <c r="U28" s="40">
        <f>+SETAHUN!F30+M28+N28</f>
        <v>56746344.986666657</v>
      </c>
      <c r="V28" s="40">
        <v>0</v>
      </c>
      <c r="W28" s="40">
        <f>+SETAHUN!V30+O28</f>
        <v>2582165.2000000002</v>
      </c>
      <c r="X28" s="40">
        <v>0</v>
      </c>
      <c r="Y28" s="40">
        <v>0</v>
      </c>
      <c r="Z28" s="40">
        <f t="shared" si="3"/>
        <v>5190000</v>
      </c>
      <c r="AA28" s="40">
        <f t="shared" si="4"/>
        <v>64518510.18666666</v>
      </c>
      <c r="AB28" s="40">
        <f t="shared" si="5"/>
        <v>3225926</v>
      </c>
      <c r="AC28" s="40">
        <f>('ASTEK-DIISI SMPAI DES'!O30+'ASTEK-DIISI SMPAI DES'!O145)</f>
        <v>1530282</v>
      </c>
      <c r="AD28" s="40">
        <f t="shared" si="9"/>
        <v>59762302.18666666</v>
      </c>
      <c r="AE28" s="67">
        <f t="shared" si="1"/>
        <v>63000000</v>
      </c>
      <c r="AF28" s="67">
        <f t="shared" si="10"/>
        <v>0</v>
      </c>
      <c r="AG28" s="310">
        <f t="shared" si="12"/>
        <v>0</v>
      </c>
      <c r="AH28" s="310">
        <f t="shared" si="13"/>
        <v>0</v>
      </c>
      <c r="AI28" s="67">
        <f>+'PAJAK JAN-NOV'!R25</f>
        <v>143194</v>
      </c>
      <c r="AJ28" s="139">
        <f t="shared" si="6"/>
        <v>0</v>
      </c>
      <c r="AK28" s="32"/>
      <c r="AL28" s="33">
        <f t="shared" si="7"/>
        <v>143194</v>
      </c>
      <c r="AM28" s="32"/>
      <c r="AN28" s="33"/>
      <c r="AO28" s="32"/>
      <c r="AP28" s="32"/>
    </row>
    <row r="29" spans="2:42" s="136" customFormat="1" ht="21" customHeight="1">
      <c r="B29" s="131">
        <v>24</v>
      </c>
      <c r="C29" s="132" t="str">
        <f>+PERBULAN!B31</f>
        <v>YUMNA M</v>
      </c>
      <c r="D29" s="316" t="s">
        <v>223</v>
      </c>
      <c r="E29" s="317" t="s">
        <v>399</v>
      </c>
      <c r="F29" s="318" t="s">
        <v>289</v>
      </c>
      <c r="G29" s="305" t="s">
        <v>83</v>
      </c>
      <c r="H29" s="319" t="s">
        <v>38</v>
      </c>
      <c r="I29" s="142" t="s">
        <v>7</v>
      </c>
      <c r="J29" s="308" t="str">
        <f t="shared" si="2"/>
        <v>TER A</v>
      </c>
      <c r="K29" s="309">
        <v>1</v>
      </c>
      <c r="L29" s="309">
        <v>12</v>
      </c>
      <c r="M29" s="40">
        <f>('[3]DAFTAR UPAH MAINTENANCE'!F27+'[3]DAFTAR UPAH MAINTENANCE'!J27+'[3]DAFTAR UPAH MAINTENANCE'!L27+'[3]DAFTAR UPAH MAINTENANCE'!N27+'[3]DAFTAR UPAH MAINTENANCE'!P27+'[3]DAFTAR UPAH MAINTENANCE'!R27)*129220</f>
        <v>3876600</v>
      </c>
      <c r="N29" s="40">
        <f>'[3]DAFTAR UPAH MAINTENANCE'!BN27</f>
        <v>118000</v>
      </c>
      <c r="O29" s="40">
        <f>[3]PPH!L30+[3]PPH!M30</f>
        <v>190071.64</v>
      </c>
      <c r="P29" s="40">
        <v>0</v>
      </c>
      <c r="Q29" s="40">
        <f t="shared" ref="Q29:Q30" si="14">SUM(M29:P29)</f>
        <v>4184671.64</v>
      </c>
      <c r="R29" s="40">
        <f>+PERBULAN!S31</f>
        <v>3991100</v>
      </c>
      <c r="S29" s="40">
        <f>+SETAHUN!J31</f>
        <v>200000</v>
      </c>
      <c r="T29" s="40">
        <v>0</v>
      </c>
      <c r="U29" s="40">
        <f>+SETAHUN!F31+M29+N29</f>
        <v>47914199.159999996</v>
      </c>
      <c r="V29" s="40">
        <v>0</v>
      </c>
      <c r="W29" s="40">
        <f>+SETAHUN!V31+O29</f>
        <v>2277474.48</v>
      </c>
      <c r="X29" s="40">
        <v>0</v>
      </c>
      <c r="Y29" s="40">
        <v>0</v>
      </c>
      <c r="Z29" s="40">
        <f t="shared" si="3"/>
        <v>4191100</v>
      </c>
      <c r="AA29" s="40">
        <f t="shared" si="4"/>
        <v>54382773.639999993</v>
      </c>
      <c r="AB29" s="40">
        <f t="shared" si="5"/>
        <v>2719139</v>
      </c>
      <c r="AC29" s="40">
        <f>('ASTEK-DIISI SMPAI DES'!O31+'ASTEK-DIISI SMPAI DES'!O146)</f>
        <v>1404666</v>
      </c>
      <c r="AD29" s="40">
        <f t="shared" ref="AD29:AD30" si="15">AA29-AB29-AC29</f>
        <v>50258968.639999993</v>
      </c>
      <c r="AE29" s="67">
        <f t="shared" si="1"/>
        <v>54000000</v>
      </c>
      <c r="AF29" s="67">
        <f t="shared" si="10"/>
        <v>0</v>
      </c>
      <c r="AG29" s="310">
        <f t="shared" ref="AG29:AG30" si="16">IF(AF29&gt;5000000000,AF29*35%-306000000,IF(AF29&gt;500000000,AF29*30%-56000000,IF(AF29&gt;250000000,AF29*25%-31000000,IF(AF29&gt;60000000,AF29*15%-6000000,AF29*5%))))</f>
        <v>0</v>
      </c>
      <c r="AH29" s="310">
        <f t="shared" ref="AH29:AH30" si="17">ROUND(IF(E29=0,AG29*120%,AG29),0)</f>
        <v>0</v>
      </c>
      <c r="AI29" s="67">
        <f>+'PAJAK JAN-NOV'!R26</f>
        <v>122576</v>
      </c>
      <c r="AJ29" s="139">
        <f t="shared" si="6"/>
        <v>0</v>
      </c>
      <c r="AK29" s="32"/>
      <c r="AL29" s="33">
        <f t="shared" si="7"/>
        <v>122576</v>
      </c>
      <c r="AM29" s="32"/>
      <c r="AN29" s="33"/>
      <c r="AO29" s="32"/>
      <c r="AP29" s="32"/>
    </row>
    <row r="30" spans="2:42" s="136" customFormat="1" ht="21" customHeight="1">
      <c r="B30" s="131">
        <v>25</v>
      </c>
      <c r="C30" s="132" t="str">
        <f>+PERBULAN!B32</f>
        <v>ANDRES</v>
      </c>
      <c r="D30" s="316" t="s">
        <v>225</v>
      </c>
      <c r="E30" s="143" t="s">
        <v>69</v>
      </c>
      <c r="F30" s="318" t="s">
        <v>291</v>
      </c>
      <c r="G30" s="305" t="s">
        <v>83</v>
      </c>
      <c r="H30" s="319" t="s">
        <v>39</v>
      </c>
      <c r="I30" s="320" t="s">
        <v>9</v>
      </c>
      <c r="J30" s="308" t="str">
        <f t="shared" si="2"/>
        <v>TER B</v>
      </c>
      <c r="K30" s="309">
        <v>1</v>
      </c>
      <c r="L30" s="309">
        <v>12</v>
      </c>
      <c r="M30" s="40">
        <f>('[3]DAFTAR UPAH MAINTENANCE'!F28+'[3]DAFTAR UPAH MAINTENANCE'!J28+'[3]DAFTAR UPAH MAINTENANCE'!L28+'[3]DAFTAR UPAH MAINTENANCE'!N28+'[3]DAFTAR UPAH MAINTENANCE'!P28+'[3]DAFTAR UPAH MAINTENANCE'!R28)*129220</f>
        <v>4005820</v>
      </c>
      <c r="N30" s="40">
        <f>'[3]DAFTAR UPAH MAINTENANCE'!BN28</f>
        <v>165150</v>
      </c>
      <c r="O30" s="40">
        <f>[3]PPH!L31+[3]PPH!M31</f>
        <v>188643.84</v>
      </c>
      <c r="P30" s="40">
        <v>0</v>
      </c>
      <c r="Q30" s="40">
        <f t="shared" si="14"/>
        <v>4359613.84</v>
      </c>
      <c r="R30" s="40">
        <f>+PERBULAN!S32</f>
        <v>4034100</v>
      </c>
      <c r="S30" s="40">
        <f>+SETAHUN!J32</f>
        <v>200000</v>
      </c>
      <c r="T30" s="40">
        <v>0</v>
      </c>
      <c r="U30" s="40">
        <f>+SETAHUN!F32+M30+N30</f>
        <v>50646127.159999996</v>
      </c>
      <c r="V30" s="40">
        <v>0</v>
      </c>
      <c r="W30" s="40">
        <f>+SETAHUN!V32+O30</f>
        <v>2262067.6799999997</v>
      </c>
      <c r="X30" s="40">
        <v>0</v>
      </c>
      <c r="Y30" s="40">
        <v>0</v>
      </c>
      <c r="Z30" s="40">
        <f t="shared" si="3"/>
        <v>4234100</v>
      </c>
      <c r="AA30" s="40">
        <f t="shared" si="4"/>
        <v>57142294.839999996</v>
      </c>
      <c r="AB30" s="40">
        <f t="shared" si="5"/>
        <v>2857115</v>
      </c>
      <c r="AC30" s="40">
        <f>('ASTEK-DIISI SMPAI DES'!O32+'ASTEK-DIISI SMPAI DES'!O147)</f>
        <v>1399356</v>
      </c>
      <c r="AD30" s="40">
        <f t="shared" si="15"/>
        <v>52885823.839999996</v>
      </c>
      <c r="AE30" s="67">
        <f t="shared" si="1"/>
        <v>63000000</v>
      </c>
      <c r="AF30" s="67">
        <f t="shared" si="10"/>
        <v>0</v>
      </c>
      <c r="AG30" s="310">
        <f t="shared" si="16"/>
        <v>0</v>
      </c>
      <c r="AH30" s="310">
        <f t="shared" si="17"/>
        <v>0</v>
      </c>
      <c r="AI30" s="67">
        <f>+'PAJAK JAN-NOV'!R27</f>
        <v>83904</v>
      </c>
      <c r="AJ30" s="139">
        <f t="shared" si="6"/>
        <v>0</v>
      </c>
      <c r="AK30" s="32"/>
      <c r="AL30" s="33">
        <f t="shared" si="7"/>
        <v>83904</v>
      </c>
      <c r="AM30" s="32"/>
      <c r="AN30" s="33"/>
      <c r="AO30" s="32"/>
      <c r="AP30" s="32"/>
    </row>
    <row r="31" spans="2:42" s="136" customFormat="1" ht="21" customHeight="1">
      <c r="B31" s="131">
        <v>26</v>
      </c>
      <c r="C31" s="132" t="str">
        <f>+PERBULAN!B33</f>
        <v>SUDIAN</v>
      </c>
      <c r="D31" s="55" t="s">
        <v>268</v>
      </c>
      <c r="E31" s="141" t="s">
        <v>69</v>
      </c>
      <c r="F31" s="321" t="s">
        <v>528</v>
      </c>
      <c r="G31" s="305" t="s">
        <v>529</v>
      </c>
      <c r="H31" s="319" t="s">
        <v>39</v>
      </c>
      <c r="I31" s="322" t="s">
        <v>17</v>
      </c>
      <c r="J31" s="322" t="str">
        <f t="shared" si="2"/>
        <v>TER A</v>
      </c>
      <c r="K31" s="309">
        <v>1</v>
      </c>
      <c r="L31" s="309">
        <v>12</v>
      </c>
      <c r="M31" s="40">
        <f>('[3]DAFTAR UPAH MAINTENANCE'!F29+'[3]DAFTAR UPAH MAINTENANCE'!J29+'[3]DAFTAR UPAH MAINTENANCE'!L29+'[3]DAFTAR UPAH MAINTENANCE'!N29+'[3]DAFTAR UPAH MAINTENANCE'!P29+'[3]DAFTAR UPAH MAINTENANCE'!R29)*129220</f>
        <v>4005820</v>
      </c>
      <c r="N31" s="40">
        <f>'[3]DAFTAR UPAH MAINTENANCE'!BN29</f>
        <v>741832.08</v>
      </c>
      <c r="O31" s="40">
        <f>[3]PPH!L32+[3]PPH!M32</f>
        <v>187748.44</v>
      </c>
      <c r="P31" s="40">
        <v>0</v>
      </c>
      <c r="Q31" s="40">
        <f t="shared" si="8"/>
        <v>4935400.5200000005</v>
      </c>
      <c r="R31" s="40">
        <f>+PERBULAN!S33</f>
        <v>2990700</v>
      </c>
      <c r="S31" s="40">
        <f>+SETAHUN!J33</f>
        <v>450000</v>
      </c>
      <c r="T31" s="40">
        <v>0</v>
      </c>
      <c r="U31" s="40">
        <f>+SETAHUN!F33+M31+N31</f>
        <v>52624488.240000002</v>
      </c>
      <c r="V31" s="40">
        <v>0</v>
      </c>
      <c r="W31" s="40">
        <f>+SETAHUN!V33+O31</f>
        <v>2252355.2799999998</v>
      </c>
      <c r="X31" s="40">
        <v>0</v>
      </c>
      <c r="Y31" s="40">
        <v>0</v>
      </c>
      <c r="Z31" s="40">
        <f t="shared" si="3"/>
        <v>3440700</v>
      </c>
      <c r="AA31" s="40">
        <f t="shared" si="4"/>
        <v>58317543.520000003</v>
      </c>
      <c r="AB31" s="40">
        <f t="shared" si="5"/>
        <v>2915877</v>
      </c>
      <c r="AC31" s="40">
        <f>('ASTEK-DIISI SMPAI DES'!O33+'ASTEK-DIISI SMPAI DES'!O148)</f>
        <v>1396026</v>
      </c>
      <c r="AD31" s="40">
        <f t="shared" si="9"/>
        <v>54005640.520000003</v>
      </c>
      <c r="AE31" s="67">
        <f t="shared" si="1"/>
        <v>58500000</v>
      </c>
      <c r="AF31" s="67">
        <f t="shared" si="10"/>
        <v>0</v>
      </c>
      <c r="AG31" s="323">
        <f t="shared" si="11"/>
        <v>0</v>
      </c>
      <c r="AH31" s="310">
        <f>ROUND(IF(E31=0,AG31*120%,AG31),0)</f>
        <v>0</v>
      </c>
      <c r="AI31" s="67">
        <f>+'PAJAK JAN-NOV'!R28</f>
        <v>112718</v>
      </c>
      <c r="AJ31" s="139">
        <f t="shared" si="6"/>
        <v>0</v>
      </c>
      <c r="AK31" s="32"/>
      <c r="AL31" s="33">
        <f t="shared" si="7"/>
        <v>112718</v>
      </c>
      <c r="AM31" s="32"/>
      <c r="AN31" s="33"/>
      <c r="AO31" s="32"/>
      <c r="AP31" s="32"/>
    </row>
    <row r="32" spans="2:42" s="136" customFormat="1" ht="21" customHeight="1">
      <c r="B32" s="131">
        <v>27</v>
      </c>
      <c r="C32" s="132" t="str">
        <f>+PERBULAN!B34</f>
        <v>YUDA HERMAWAN</v>
      </c>
      <c r="D32" s="55" t="s">
        <v>227</v>
      </c>
      <c r="E32" s="56" t="s">
        <v>524</v>
      </c>
      <c r="F32" s="321" t="s">
        <v>293</v>
      </c>
      <c r="G32" s="305" t="s">
        <v>530</v>
      </c>
      <c r="H32" s="319" t="s">
        <v>39</v>
      </c>
      <c r="I32" s="322" t="s">
        <v>7</v>
      </c>
      <c r="J32" s="322" t="str">
        <f t="shared" ref="J32:J39" si="18">IF(ISBLANK(I32),"",IF(OR(I32="TK/0",I32="TK/1",I32="K/0"),"TER A",IF(I32="K/3","TER C","TER B")))</f>
        <v>TER A</v>
      </c>
      <c r="K32" s="309">
        <v>1</v>
      </c>
      <c r="L32" s="309">
        <v>12</v>
      </c>
      <c r="M32" s="40">
        <f>'[3]DAFTAR UPAH HARVESTING'!X10*129220</f>
        <v>3747380</v>
      </c>
      <c r="N32" s="40">
        <f>'[3]DAFTAR UPAH HARVESTING'!CR10</f>
        <v>836922.84</v>
      </c>
      <c r="O32" s="40">
        <f>[3]PPH!L33+[3]PPH!M33</f>
        <v>187869.44</v>
      </c>
      <c r="P32" s="40">
        <v>0</v>
      </c>
      <c r="Q32" s="40">
        <f t="shared" si="8"/>
        <v>4772172.28</v>
      </c>
      <c r="R32" s="40">
        <f>+PERBULAN!S34</f>
        <v>3946600</v>
      </c>
      <c r="S32" s="40">
        <f>+SETAHUN!J34</f>
        <v>200000</v>
      </c>
      <c r="T32" s="40">
        <v>0</v>
      </c>
      <c r="U32" s="40">
        <f>+SETAHUN!F34+M32+N32</f>
        <v>61625018.000000007</v>
      </c>
      <c r="V32" s="40">
        <v>0</v>
      </c>
      <c r="W32" s="40">
        <f>+SETAHUN!V34+O32</f>
        <v>2253681.2799999998</v>
      </c>
      <c r="X32" s="40">
        <v>0</v>
      </c>
      <c r="Y32" s="40">
        <v>0</v>
      </c>
      <c r="Z32" s="40">
        <f t="shared" ref="Z32:Z39" si="19">SUM(R32:T32)</f>
        <v>4146600</v>
      </c>
      <c r="AA32" s="40">
        <f t="shared" ref="AA32:AA39" si="20">SUM(U32:Z32)</f>
        <v>68025299.280000001</v>
      </c>
      <c r="AB32" s="40">
        <f t="shared" ref="AB32:AB39" si="21">ROUND(IF((AA32)*5%&gt;6000000,6000000,(AA32)*5%),0)</f>
        <v>3401265</v>
      </c>
      <c r="AC32" s="40">
        <f>('ASTEK-DIISI SMPAI DES'!O34+'ASTEK-DIISI SMPAI DES'!O149)</f>
        <v>1396476</v>
      </c>
      <c r="AD32" s="40">
        <f t="shared" ref="AD32:AD39" si="22">AA32-AB32-AC32</f>
        <v>63227558.280000001</v>
      </c>
      <c r="AE32" s="67">
        <f t="shared" ref="AE32:AE39" si="23">IFERROR(VLOOKUP(I32,TARIF,3,FALSE),0)</f>
        <v>54000000</v>
      </c>
      <c r="AF32" s="67">
        <f t="shared" si="10"/>
        <v>9227000</v>
      </c>
      <c r="AG32" s="323">
        <f t="shared" ref="AG32:AG39" si="24">IF(AF32&gt;5000000000,AF32*35%-306000000,IF(AF32&gt;500000000,AF32*30%-56000000,IF(AF32&gt;250000000,AF32*25%-31000000,IF(AF32&gt;60000000,AF32*15%-6000000,AF32*5%))))</f>
        <v>461350</v>
      </c>
      <c r="AH32" s="310">
        <f t="shared" ref="AH32:AH39" si="25">ROUND(IF(E32=0,AG32*120%,AG32),0)</f>
        <v>461350</v>
      </c>
      <c r="AI32" s="67">
        <f>+'PAJAK JAN-NOV'!R29</f>
        <v>246913</v>
      </c>
      <c r="AJ32" s="139">
        <f t="shared" si="6"/>
        <v>214437</v>
      </c>
      <c r="AK32" s="32"/>
      <c r="AL32" s="33">
        <f t="shared" si="7"/>
        <v>-214437</v>
      </c>
      <c r="AM32" s="32"/>
      <c r="AN32" s="33"/>
      <c r="AO32" s="32"/>
      <c r="AP32" s="32"/>
    </row>
    <row r="33" spans="2:42" s="136" customFormat="1" ht="21" customHeight="1">
      <c r="B33" s="131">
        <v>28</v>
      </c>
      <c r="C33" s="132" t="str">
        <f>+PERBULAN!B35</f>
        <v>SABIBI</v>
      </c>
      <c r="D33" s="55" t="s">
        <v>228</v>
      </c>
      <c r="E33" s="56" t="s">
        <v>69</v>
      </c>
      <c r="F33" s="321" t="s">
        <v>294</v>
      </c>
      <c r="G33" s="305" t="s">
        <v>531</v>
      </c>
      <c r="H33" s="319" t="s">
        <v>39</v>
      </c>
      <c r="I33" s="322" t="s">
        <v>11</v>
      </c>
      <c r="J33" s="322" t="str">
        <f t="shared" si="18"/>
        <v>TER B</v>
      </c>
      <c r="K33" s="309">
        <v>1</v>
      </c>
      <c r="L33" s="309">
        <v>12</v>
      </c>
      <c r="M33" s="40">
        <f>'[3]DAFTAR UPAH HARVESTING'!X11*129220</f>
        <v>4005820</v>
      </c>
      <c r="N33" s="40">
        <f>'[3]DAFTAR UPAH HARVESTING'!CR11</f>
        <v>1700050</v>
      </c>
      <c r="O33" s="40">
        <f>[3]PPH!L34+[3]PPH!M34</f>
        <v>188934.24</v>
      </c>
      <c r="P33" s="40">
        <v>0</v>
      </c>
      <c r="Q33" s="40">
        <f t="shared" si="8"/>
        <v>5894804.2400000002</v>
      </c>
      <c r="R33" s="40">
        <f>+PERBULAN!S35</f>
        <v>4067100</v>
      </c>
      <c r="S33" s="40">
        <f>+SETAHUN!J35</f>
        <v>200000</v>
      </c>
      <c r="T33" s="40">
        <v>0</v>
      </c>
      <c r="U33" s="40">
        <f>+SETAHUN!F35+M33+N33</f>
        <v>69837891.560000002</v>
      </c>
      <c r="V33" s="40">
        <v>0</v>
      </c>
      <c r="W33" s="40">
        <f>+SETAHUN!V35+O33</f>
        <v>2264599.6799999997</v>
      </c>
      <c r="X33" s="40">
        <v>0</v>
      </c>
      <c r="Y33" s="40">
        <v>0</v>
      </c>
      <c r="Z33" s="40">
        <f t="shared" si="19"/>
        <v>4267100</v>
      </c>
      <c r="AA33" s="40">
        <f t="shared" si="20"/>
        <v>76369591.24000001</v>
      </c>
      <c r="AB33" s="40">
        <f t="shared" si="21"/>
        <v>3818480</v>
      </c>
      <c r="AC33" s="40">
        <f>('ASTEK-DIISI SMPAI DES'!O35+'ASTEK-DIISI SMPAI DES'!O150)</f>
        <v>1400256</v>
      </c>
      <c r="AD33" s="40">
        <f t="shared" si="22"/>
        <v>71150855.24000001</v>
      </c>
      <c r="AE33" s="67">
        <f t="shared" si="23"/>
        <v>67500000</v>
      </c>
      <c r="AF33" s="67">
        <f t="shared" si="10"/>
        <v>3650000</v>
      </c>
      <c r="AG33" s="323">
        <f t="shared" si="24"/>
        <v>182500</v>
      </c>
      <c r="AH33" s="310">
        <f t="shared" si="25"/>
        <v>182500</v>
      </c>
      <c r="AI33" s="67">
        <f>+'PAJAK JAN-NOV'!R30</f>
        <v>248042</v>
      </c>
      <c r="AJ33" s="139">
        <f t="shared" si="6"/>
        <v>0</v>
      </c>
      <c r="AK33" s="32"/>
      <c r="AL33" s="33">
        <f t="shared" si="7"/>
        <v>65542</v>
      </c>
      <c r="AM33" s="32"/>
      <c r="AN33" s="33"/>
      <c r="AO33" s="32"/>
      <c r="AP33" s="32"/>
    </row>
    <row r="34" spans="2:42" s="136" customFormat="1" ht="21" customHeight="1">
      <c r="B34" s="131">
        <v>29</v>
      </c>
      <c r="C34" s="132" t="str">
        <f>+PERBULAN!B36</f>
        <v>ADI SANJAYA</v>
      </c>
      <c r="D34" s="55" t="s">
        <v>229</v>
      </c>
      <c r="E34" s="56" t="s">
        <v>69</v>
      </c>
      <c r="F34" s="321" t="s">
        <v>295</v>
      </c>
      <c r="G34" s="305" t="s">
        <v>532</v>
      </c>
      <c r="H34" s="319" t="s">
        <v>39</v>
      </c>
      <c r="I34" s="322" t="s">
        <v>11</v>
      </c>
      <c r="J34" s="322" t="str">
        <f t="shared" si="18"/>
        <v>TER B</v>
      </c>
      <c r="K34" s="309">
        <v>1</v>
      </c>
      <c r="L34" s="309">
        <v>12</v>
      </c>
      <c r="M34" s="40">
        <f>'[3]DAFTAR UPAH HARVESTING'!X13*129220</f>
        <v>4005820</v>
      </c>
      <c r="N34" s="40">
        <f>'[3]DAFTAR UPAH HARVESTING'!CR13</f>
        <v>2443385</v>
      </c>
      <c r="O34" s="40">
        <f>[3]PPH!L35+[3]PPH!M35</f>
        <v>188934.24</v>
      </c>
      <c r="P34" s="40">
        <v>0</v>
      </c>
      <c r="Q34" s="40">
        <f t="shared" si="8"/>
        <v>6638139.2400000002</v>
      </c>
      <c r="R34" s="40">
        <f>+PERBULAN!S36</f>
        <v>4067100</v>
      </c>
      <c r="S34" s="40">
        <f>+SETAHUN!J36</f>
        <v>900000</v>
      </c>
      <c r="T34" s="40">
        <v>0</v>
      </c>
      <c r="U34" s="40">
        <f>+SETAHUN!F36+M34+N34</f>
        <v>61648714.959999993</v>
      </c>
      <c r="V34" s="40">
        <v>0</v>
      </c>
      <c r="W34" s="40">
        <f>+SETAHUN!V36+O34</f>
        <v>2264549.2800000003</v>
      </c>
      <c r="X34" s="40">
        <v>0</v>
      </c>
      <c r="Y34" s="40">
        <v>0</v>
      </c>
      <c r="Z34" s="40">
        <f t="shared" si="19"/>
        <v>4967100</v>
      </c>
      <c r="AA34" s="40">
        <f t="shared" si="20"/>
        <v>68880364.239999995</v>
      </c>
      <c r="AB34" s="40">
        <f t="shared" si="21"/>
        <v>3444018</v>
      </c>
      <c r="AC34" s="40">
        <f>('ASTEK-DIISI SMPAI DES'!O36+'ASTEK-DIISI SMPAI DES'!O151)</f>
        <v>1400076</v>
      </c>
      <c r="AD34" s="40">
        <f t="shared" si="22"/>
        <v>64036270.239999995</v>
      </c>
      <c r="AE34" s="67">
        <f t="shared" si="23"/>
        <v>67500000</v>
      </c>
      <c r="AF34" s="67">
        <f t="shared" si="10"/>
        <v>0</v>
      </c>
      <c r="AG34" s="323">
        <f t="shared" si="24"/>
        <v>0</v>
      </c>
      <c r="AH34" s="310">
        <f t="shared" si="25"/>
        <v>0</v>
      </c>
      <c r="AI34" s="67">
        <f>+'PAJAK JAN-NOV'!R31</f>
        <v>151047</v>
      </c>
      <c r="AJ34" s="139">
        <f t="shared" si="6"/>
        <v>0</v>
      </c>
      <c r="AK34" s="32"/>
      <c r="AL34" s="33">
        <f t="shared" si="7"/>
        <v>151047</v>
      </c>
      <c r="AM34" s="32"/>
      <c r="AN34" s="33"/>
      <c r="AO34" s="32"/>
      <c r="AP34" s="32"/>
    </row>
    <row r="35" spans="2:42" s="136" customFormat="1" ht="21" customHeight="1">
      <c r="B35" s="131">
        <v>30</v>
      </c>
      <c r="C35" s="132" t="str">
        <f>+PERBULAN!B37</f>
        <v>ANDI ( ASNA )</v>
      </c>
      <c r="D35" s="55" t="s">
        <v>230</v>
      </c>
      <c r="E35" s="56" t="s">
        <v>69</v>
      </c>
      <c r="F35" s="321" t="s">
        <v>296</v>
      </c>
      <c r="G35" s="305" t="s">
        <v>532</v>
      </c>
      <c r="H35" s="319" t="s">
        <v>39</v>
      </c>
      <c r="I35" s="322" t="s">
        <v>11</v>
      </c>
      <c r="J35" s="322" t="str">
        <f t="shared" si="18"/>
        <v>TER B</v>
      </c>
      <c r="K35" s="309">
        <v>1</v>
      </c>
      <c r="L35" s="309">
        <v>12</v>
      </c>
      <c r="M35" s="40">
        <f>'[3]DAFTAR UPAH HARVESTING'!X14*129220</f>
        <v>4005820</v>
      </c>
      <c r="N35" s="40">
        <f>'[3]DAFTAR UPAH HARVESTING'!CR14</f>
        <v>2513007</v>
      </c>
      <c r="O35" s="40">
        <f>[3]PPH!L36+[3]PPH!M36</f>
        <v>188934.24</v>
      </c>
      <c r="P35" s="40">
        <v>0</v>
      </c>
      <c r="Q35" s="40">
        <f t="shared" si="8"/>
        <v>6707761.2400000002</v>
      </c>
      <c r="R35" s="40">
        <f>+PERBULAN!S37</f>
        <v>4067100</v>
      </c>
      <c r="S35" s="40">
        <f>+SETAHUN!J37</f>
        <v>600000</v>
      </c>
      <c r="T35" s="40">
        <v>0</v>
      </c>
      <c r="U35" s="40">
        <f>+SETAHUN!F37+M35+N35</f>
        <v>63357096.159999996</v>
      </c>
      <c r="V35" s="40">
        <v>0</v>
      </c>
      <c r="W35" s="40">
        <f>+SETAHUN!V37+O35</f>
        <v>2264404.08</v>
      </c>
      <c r="X35" s="40">
        <v>0</v>
      </c>
      <c r="Y35" s="40">
        <v>0</v>
      </c>
      <c r="Z35" s="40">
        <f t="shared" si="19"/>
        <v>4667100</v>
      </c>
      <c r="AA35" s="40">
        <f t="shared" si="20"/>
        <v>70288600.239999995</v>
      </c>
      <c r="AB35" s="40">
        <f t="shared" si="21"/>
        <v>3514430</v>
      </c>
      <c r="AC35" s="40">
        <f>('ASTEK-DIISI SMPAI DES'!O37+'ASTEK-DIISI SMPAI DES'!O152)</f>
        <v>1399986</v>
      </c>
      <c r="AD35" s="40">
        <f t="shared" si="22"/>
        <v>65374184.239999995</v>
      </c>
      <c r="AE35" s="67">
        <f t="shared" si="23"/>
        <v>67500000</v>
      </c>
      <c r="AF35" s="67">
        <f t="shared" si="10"/>
        <v>0</v>
      </c>
      <c r="AG35" s="323">
        <f t="shared" si="24"/>
        <v>0</v>
      </c>
      <c r="AH35" s="310">
        <f t="shared" si="25"/>
        <v>0</v>
      </c>
      <c r="AI35" s="67">
        <f>+'PAJAK JAN-NOV'!R32</f>
        <v>168427</v>
      </c>
      <c r="AJ35" s="139">
        <f t="shared" si="6"/>
        <v>0</v>
      </c>
      <c r="AK35" s="32"/>
      <c r="AL35" s="33">
        <f t="shared" si="7"/>
        <v>168427</v>
      </c>
      <c r="AM35" s="32"/>
      <c r="AN35" s="33"/>
      <c r="AO35" s="32"/>
      <c r="AP35" s="32"/>
    </row>
    <row r="36" spans="2:42" s="136" customFormat="1" ht="21" customHeight="1">
      <c r="B36" s="131">
        <v>31</v>
      </c>
      <c r="C36" s="132" t="str">
        <f>+PERBULAN!B38</f>
        <v>EFRIYONO</v>
      </c>
      <c r="D36" s="55" t="s">
        <v>231</v>
      </c>
      <c r="E36" s="56" t="s">
        <v>69</v>
      </c>
      <c r="F36" s="321" t="s">
        <v>275</v>
      </c>
      <c r="G36" s="305" t="s">
        <v>532</v>
      </c>
      <c r="H36" s="319" t="s">
        <v>39</v>
      </c>
      <c r="I36" s="322" t="s">
        <v>11</v>
      </c>
      <c r="J36" s="322" t="str">
        <f t="shared" si="18"/>
        <v>TER B</v>
      </c>
      <c r="K36" s="309">
        <v>1</v>
      </c>
      <c r="L36" s="309">
        <v>12</v>
      </c>
      <c r="M36" s="40">
        <f>'[3]DAFTAR UPAH HARVESTING'!X15*129220</f>
        <v>4005820</v>
      </c>
      <c r="N36" s="40">
        <f>'[3]DAFTAR UPAH HARVESTING'!CR15</f>
        <v>2109894</v>
      </c>
      <c r="O36" s="40">
        <f>[3]PPH!L37+[3]PPH!M37</f>
        <v>188934.24</v>
      </c>
      <c r="P36" s="40">
        <v>0</v>
      </c>
      <c r="Q36" s="40">
        <f t="shared" si="8"/>
        <v>6304648.2400000002</v>
      </c>
      <c r="R36" s="40">
        <f>+PERBULAN!S38</f>
        <v>4067100</v>
      </c>
      <c r="S36" s="40">
        <f>+SETAHUN!J38</f>
        <v>200000</v>
      </c>
      <c r="T36" s="40">
        <v>0</v>
      </c>
      <c r="U36" s="40">
        <f>+SETAHUN!F38+M36+N36</f>
        <v>60411279.159999989</v>
      </c>
      <c r="V36" s="40">
        <v>0</v>
      </c>
      <c r="W36" s="40">
        <f>+SETAHUN!V38+O36</f>
        <v>2265490.08</v>
      </c>
      <c r="X36" s="40">
        <v>0</v>
      </c>
      <c r="Y36" s="40">
        <v>0</v>
      </c>
      <c r="Z36" s="40">
        <f t="shared" si="19"/>
        <v>4267100</v>
      </c>
      <c r="AA36" s="40">
        <f t="shared" si="20"/>
        <v>66943869.239999987</v>
      </c>
      <c r="AB36" s="40">
        <f t="shared" si="21"/>
        <v>3347193</v>
      </c>
      <c r="AC36" s="40">
        <f>('ASTEK-DIISI SMPAI DES'!O38+'ASTEK-DIISI SMPAI DES'!O153)</f>
        <v>1400436</v>
      </c>
      <c r="AD36" s="40">
        <f t="shared" si="22"/>
        <v>62196240.239999987</v>
      </c>
      <c r="AE36" s="67">
        <f t="shared" si="23"/>
        <v>67500000</v>
      </c>
      <c r="AF36" s="67">
        <f t="shared" si="10"/>
        <v>0</v>
      </c>
      <c r="AG36" s="323">
        <f t="shared" si="24"/>
        <v>0</v>
      </c>
      <c r="AH36" s="310">
        <f t="shared" si="25"/>
        <v>0</v>
      </c>
      <c r="AI36" s="67">
        <f>+'PAJAK JAN-NOV'!R33</f>
        <v>150068</v>
      </c>
      <c r="AJ36" s="139">
        <f t="shared" si="6"/>
        <v>0</v>
      </c>
      <c r="AK36" s="32"/>
      <c r="AL36" s="33">
        <f t="shared" si="7"/>
        <v>150068</v>
      </c>
      <c r="AM36" s="32"/>
      <c r="AN36" s="33"/>
      <c r="AO36" s="32"/>
      <c r="AP36" s="32"/>
    </row>
    <row r="37" spans="2:42" s="136" customFormat="1" ht="21" customHeight="1">
      <c r="B37" s="131">
        <v>32</v>
      </c>
      <c r="C37" s="132" t="str">
        <f>+PERBULAN!B39</f>
        <v>ERI HANDRAYANI</v>
      </c>
      <c r="D37" s="55" t="s">
        <v>232</v>
      </c>
      <c r="E37" s="56" t="s">
        <v>69</v>
      </c>
      <c r="F37" s="321" t="s">
        <v>190</v>
      </c>
      <c r="G37" s="305" t="s">
        <v>532</v>
      </c>
      <c r="H37" s="319" t="s">
        <v>39</v>
      </c>
      <c r="I37" s="322" t="s">
        <v>11</v>
      </c>
      <c r="J37" s="322" t="str">
        <f t="shared" si="18"/>
        <v>TER B</v>
      </c>
      <c r="K37" s="309">
        <v>1</v>
      </c>
      <c r="L37" s="309">
        <v>12</v>
      </c>
      <c r="M37" s="40">
        <f>'[3]DAFTAR UPAH HARVESTING'!X16*129220</f>
        <v>4005820</v>
      </c>
      <c r="N37" s="40">
        <f>'[3]DAFTAR UPAH HARVESTING'!CR16</f>
        <v>2371480</v>
      </c>
      <c r="O37" s="40">
        <f>[3]PPH!L38+[3]PPH!M38</f>
        <v>188934.24</v>
      </c>
      <c r="P37" s="40">
        <v>0</v>
      </c>
      <c r="Q37" s="40">
        <f t="shared" si="8"/>
        <v>6566234.2400000002</v>
      </c>
      <c r="R37" s="40">
        <f>+PERBULAN!S39</f>
        <v>4067100</v>
      </c>
      <c r="S37" s="40">
        <f>+SETAHUN!J39</f>
        <v>900000</v>
      </c>
      <c r="T37" s="40">
        <v>0</v>
      </c>
      <c r="U37" s="40">
        <f>+SETAHUN!F39+M37+N37</f>
        <v>61971193.159999989</v>
      </c>
      <c r="V37" s="40">
        <v>0</v>
      </c>
      <c r="W37" s="40">
        <f>+SETAHUN!V39+O37</f>
        <v>2265490.08</v>
      </c>
      <c r="X37" s="40">
        <v>0</v>
      </c>
      <c r="Y37" s="40">
        <v>0</v>
      </c>
      <c r="Z37" s="40">
        <f t="shared" si="19"/>
        <v>4967100</v>
      </c>
      <c r="AA37" s="40">
        <f t="shared" si="20"/>
        <v>69203783.23999998</v>
      </c>
      <c r="AB37" s="40">
        <f t="shared" si="21"/>
        <v>3460189</v>
      </c>
      <c r="AC37" s="40">
        <f>('ASTEK-DIISI SMPAI DES'!O39+'ASTEK-DIISI SMPAI DES'!O154)</f>
        <v>1400436</v>
      </c>
      <c r="AD37" s="40">
        <f t="shared" si="22"/>
        <v>64343158.23999998</v>
      </c>
      <c r="AE37" s="67">
        <f t="shared" si="23"/>
        <v>67500000</v>
      </c>
      <c r="AF37" s="67">
        <f t="shared" si="10"/>
        <v>0</v>
      </c>
      <c r="AG37" s="323">
        <f t="shared" si="24"/>
        <v>0</v>
      </c>
      <c r="AH37" s="310">
        <f t="shared" si="25"/>
        <v>0</v>
      </c>
      <c r="AI37" s="67">
        <f>+'PAJAK JAN-NOV'!R34</f>
        <v>151051</v>
      </c>
      <c r="AJ37" s="139">
        <f t="shared" si="6"/>
        <v>0</v>
      </c>
      <c r="AK37" s="32"/>
      <c r="AL37" s="33">
        <f t="shared" si="7"/>
        <v>151051</v>
      </c>
      <c r="AM37" s="32"/>
      <c r="AN37" s="33"/>
      <c r="AO37" s="32"/>
      <c r="AP37" s="32"/>
    </row>
    <row r="38" spans="2:42" s="136" customFormat="1" ht="21" customHeight="1">
      <c r="B38" s="131">
        <v>33</v>
      </c>
      <c r="C38" s="132" t="str">
        <f>+PERBULAN!B40</f>
        <v>FERBI H</v>
      </c>
      <c r="D38" s="55" t="s">
        <v>233</v>
      </c>
      <c r="E38" s="56" t="s">
        <v>69</v>
      </c>
      <c r="F38" s="321" t="s">
        <v>190</v>
      </c>
      <c r="G38" s="305" t="s">
        <v>532</v>
      </c>
      <c r="H38" s="319" t="s">
        <v>39</v>
      </c>
      <c r="I38" s="322" t="s">
        <v>17</v>
      </c>
      <c r="J38" s="322" t="str">
        <f t="shared" si="18"/>
        <v>TER A</v>
      </c>
      <c r="K38" s="309">
        <v>1</v>
      </c>
      <c r="L38" s="309">
        <v>12</v>
      </c>
      <c r="M38" s="40">
        <f>'[3]DAFTAR UPAH HARVESTING'!X17*129220</f>
        <v>3747380</v>
      </c>
      <c r="N38" s="40">
        <f>'[3]DAFTAR UPAH HARVESTING'!CR17</f>
        <v>2150006.222222222</v>
      </c>
      <c r="O38" s="40">
        <f>[3]PPH!L39+[3]PPH!M39</f>
        <v>188934.24</v>
      </c>
      <c r="P38" s="40">
        <v>0</v>
      </c>
      <c r="Q38" s="40">
        <f t="shared" si="8"/>
        <v>6086320.4622222222</v>
      </c>
      <c r="R38" s="40">
        <f>+PERBULAN!S40</f>
        <v>4011600</v>
      </c>
      <c r="S38" s="40">
        <f>+SETAHUN!J40</f>
        <v>200000</v>
      </c>
      <c r="T38" s="40">
        <v>0</v>
      </c>
      <c r="U38" s="40">
        <f>+SETAHUN!F40+M38+N38</f>
        <v>56148057.782222211</v>
      </c>
      <c r="V38" s="40">
        <v>0</v>
      </c>
      <c r="W38" s="40">
        <f>+SETAHUN!V40+O38</f>
        <v>2264839.6799999997</v>
      </c>
      <c r="X38" s="40">
        <v>0</v>
      </c>
      <c r="Y38" s="40">
        <v>0</v>
      </c>
      <c r="Z38" s="40">
        <f t="shared" si="19"/>
        <v>4211600</v>
      </c>
      <c r="AA38" s="40">
        <f t="shared" si="20"/>
        <v>62624497.462222211</v>
      </c>
      <c r="AB38" s="40">
        <f t="shared" si="21"/>
        <v>3131225</v>
      </c>
      <c r="AC38" s="40">
        <f>('ASTEK-DIISI SMPAI DES'!O40+'ASTEK-DIISI SMPAI DES'!O155)</f>
        <v>1400256</v>
      </c>
      <c r="AD38" s="40">
        <f t="shared" si="22"/>
        <v>58093016.462222211</v>
      </c>
      <c r="AE38" s="67">
        <f t="shared" si="23"/>
        <v>58500000</v>
      </c>
      <c r="AF38" s="67">
        <f t="shared" si="10"/>
        <v>0</v>
      </c>
      <c r="AG38" s="323">
        <f t="shared" si="24"/>
        <v>0</v>
      </c>
      <c r="AH38" s="310">
        <f t="shared" si="25"/>
        <v>0</v>
      </c>
      <c r="AI38" s="67">
        <f>+'PAJAK JAN-NOV'!R35</f>
        <v>182504</v>
      </c>
      <c r="AJ38" s="139">
        <f t="shared" si="6"/>
        <v>0</v>
      </c>
      <c r="AK38" s="32"/>
      <c r="AL38" s="33">
        <f t="shared" si="7"/>
        <v>182504</v>
      </c>
      <c r="AM38" s="32"/>
      <c r="AN38" s="33"/>
      <c r="AO38" s="32"/>
      <c r="AP38" s="32"/>
    </row>
    <row r="39" spans="2:42" s="136" customFormat="1" ht="21" customHeight="1">
      <c r="B39" s="131">
        <v>34</v>
      </c>
      <c r="C39" s="132" t="str">
        <f>+PERBULAN!B41</f>
        <v>HAIDI</v>
      </c>
      <c r="D39" s="137" t="s">
        <v>234</v>
      </c>
      <c r="E39" s="56" t="s">
        <v>69</v>
      </c>
      <c r="F39" s="324" t="s">
        <v>297</v>
      </c>
      <c r="G39" s="305" t="s">
        <v>532</v>
      </c>
      <c r="H39" s="319" t="s">
        <v>39</v>
      </c>
      <c r="I39" s="308" t="s">
        <v>11</v>
      </c>
      <c r="J39" s="308" t="str">
        <f t="shared" si="18"/>
        <v>TER B</v>
      </c>
      <c r="K39" s="309">
        <v>1</v>
      </c>
      <c r="L39" s="309">
        <v>12</v>
      </c>
      <c r="M39" s="40">
        <f>'[3]DAFTAR UPAH HARVESTING'!X18*129220</f>
        <v>3876600</v>
      </c>
      <c r="N39" s="40">
        <f>'[3]DAFTAR UPAH HARVESTING'!CR18</f>
        <v>2276091</v>
      </c>
      <c r="O39" s="40">
        <f>[3]PPH!L40+[3]PPH!M40</f>
        <v>188789.04</v>
      </c>
      <c r="P39" s="40">
        <v>0</v>
      </c>
      <c r="Q39" s="40">
        <f t="shared" si="8"/>
        <v>6341480.04</v>
      </c>
      <c r="R39" s="40">
        <f>+PERBULAN!S41</f>
        <v>4064100</v>
      </c>
      <c r="S39" s="40">
        <f>+SETAHUN!J41</f>
        <v>200000</v>
      </c>
      <c r="T39" s="40">
        <v>0</v>
      </c>
      <c r="U39" s="40">
        <f>+SETAHUN!F41+M39+N39</f>
        <v>59292132.75999999</v>
      </c>
      <c r="V39" s="40">
        <v>0</v>
      </c>
      <c r="W39" s="40">
        <f>+SETAHUN!V41+O39</f>
        <v>2263103.2799999998</v>
      </c>
      <c r="X39" s="40">
        <v>0</v>
      </c>
      <c r="Y39" s="40">
        <v>0</v>
      </c>
      <c r="Z39" s="40">
        <f t="shared" si="19"/>
        <v>4264100</v>
      </c>
      <c r="AA39" s="40">
        <f t="shared" si="20"/>
        <v>65819336.039999992</v>
      </c>
      <c r="AB39" s="40">
        <f t="shared" si="21"/>
        <v>3290967</v>
      </c>
      <c r="AC39" s="40">
        <f>('ASTEK-DIISI SMPAI DES'!O41+'ASTEK-DIISI SMPAI DES'!O156)</f>
        <v>1399626</v>
      </c>
      <c r="AD39" s="40">
        <f t="shared" si="22"/>
        <v>61128743.039999992</v>
      </c>
      <c r="AE39" s="67">
        <f t="shared" si="23"/>
        <v>67500000</v>
      </c>
      <c r="AF39" s="67">
        <f t="shared" si="10"/>
        <v>0</v>
      </c>
      <c r="AG39" s="310">
        <f t="shared" si="24"/>
        <v>0</v>
      </c>
      <c r="AH39" s="310">
        <f t="shared" si="25"/>
        <v>0</v>
      </c>
      <c r="AI39" s="67">
        <f>+'PAJAK JAN-NOV'!R36</f>
        <v>150114</v>
      </c>
      <c r="AJ39" s="139">
        <f t="shared" si="6"/>
        <v>0</v>
      </c>
      <c r="AK39" s="32"/>
      <c r="AL39" s="33">
        <f t="shared" si="7"/>
        <v>150114</v>
      </c>
      <c r="AM39" s="32"/>
      <c r="AN39" s="33"/>
      <c r="AO39" s="32"/>
      <c r="AP39" s="32"/>
    </row>
    <row r="40" spans="2:42" s="136" customFormat="1" ht="21" customHeight="1">
      <c r="B40" s="131">
        <v>35</v>
      </c>
      <c r="C40" s="132" t="str">
        <f>+PERBULAN!B42</f>
        <v>IRHAS</v>
      </c>
      <c r="D40" s="137" t="s">
        <v>235</v>
      </c>
      <c r="E40" s="56" t="s">
        <v>69</v>
      </c>
      <c r="F40" s="324" t="s">
        <v>298</v>
      </c>
      <c r="G40" s="305" t="s">
        <v>532</v>
      </c>
      <c r="H40" s="319" t="s">
        <v>39</v>
      </c>
      <c r="I40" s="308" t="s">
        <v>11</v>
      </c>
      <c r="J40" s="308" t="str">
        <f t="shared" ref="J40:J80" si="26">IF(ISBLANK(I40),"",IF(OR(I40="TK/0",I40="TK/1",I40="K/0"),"TER A",IF(I40="K/3","TER C","TER B")))</f>
        <v>TER B</v>
      </c>
      <c r="K40" s="309">
        <v>1</v>
      </c>
      <c r="L40" s="309">
        <v>12</v>
      </c>
      <c r="M40" s="40">
        <f>'[3]DAFTAR UPAH HARVESTING'!X19*129220</f>
        <v>3488940</v>
      </c>
      <c r="N40" s="40">
        <f>'[3]DAFTAR UPAH HARVESTING'!CR19</f>
        <v>2000839.2222222222</v>
      </c>
      <c r="O40" s="40">
        <f>[3]PPH!L41+[3]PPH!M41</f>
        <v>188643.84</v>
      </c>
      <c r="P40" s="40">
        <v>0</v>
      </c>
      <c r="Q40" s="40">
        <f t="shared" ref="Q40:Q80" si="27">SUM(M40:P40)</f>
        <v>5678423.0622222219</v>
      </c>
      <c r="R40" s="40">
        <f>+PERBULAN!S42</f>
        <v>4061100</v>
      </c>
      <c r="S40" s="40">
        <f>+SETAHUN!J42</f>
        <v>200000</v>
      </c>
      <c r="T40" s="40">
        <v>0</v>
      </c>
      <c r="U40" s="40">
        <f>+SETAHUN!F42+M40+N40</f>
        <v>55340874.382222205</v>
      </c>
      <c r="V40" s="40">
        <v>0</v>
      </c>
      <c r="W40" s="40">
        <f>+SETAHUN!V42+O40</f>
        <v>2262187.6799999997</v>
      </c>
      <c r="X40" s="40">
        <v>0</v>
      </c>
      <c r="Y40" s="40">
        <v>0</v>
      </c>
      <c r="Z40" s="40">
        <f t="shared" ref="Z40:Z80" si="28">SUM(R40:T40)</f>
        <v>4261100</v>
      </c>
      <c r="AA40" s="40">
        <f t="shared" ref="AA40:AA80" si="29">SUM(U40:Z40)</f>
        <v>61864162.062222205</v>
      </c>
      <c r="AB40" s="40">
        <f t="shared" ref="AB40:AB80" si="30">ROUND(IF((AA40)*5%&gt;6000000,6000000,(AA40)*5%),0)</f>
        <v>3093208</v>
      </c>
      <c r="AC40" s="40">
        <f>('ASTEK-DIISI SMPAI DES'!O42+'ASTEK-DIISI SMPAI DES'!O157)</f>
        <v>1399356</v>
      </c>
      <c r="AD40" s="40">
        <f t="shared" ref="AD40:AD80" si="31">AA40-AB40-AC40</f>
        <v>57371598.062222205</v>
      </c>
      <c r="AE40" s="67">
        <f t="shared" ref="AE40:AE80" si="32">IFERROR(VLOOKUP(I40,TARIF,3,FALSE),0)</f>
        <v>67500000</v>
      </c>
      <c r="AF40" s="67">
        <f t="shared" si="10"/>
        <v>0</v>
      </c>
      <c r="AG40" s="310">
        <f t="shared" ref="AG40:AG80" si="33">IF(AF40&gt;5000000000,AF40*35%-306000000,IF(AF40&gt;500000000,AF40*30%-56000000,IF(AF40&gt;250000000,AF40*25%-31000000,IF(AF40&gt;60000000,AF40*15%-6000000,AF40*5%))))</f>
        <v>0</v>
      </c>
      <c r="AH40" s="310">
        <f t="shared" ref="AH40:AH80" si="34">ROUND(IF(E40=0,AG40*120%,AG40),0)</f>
        <v>0</v>
      </c>
      <c r="AI40" s="67">
        <f>+'PAJAK JAN-NOV'!R37</f>
        <v>144615</v>
      </c>
      <c r="AJ40" s="139">
        <f t="shared" ref="AJ40:AJ80" si="35">IF(AG40&lt;=AI40,0,IF(AG40&gt;AI40,AG40-AI40))</f>
        <v>0</v>
      </c>
      <c r="AK40" s="32"/>
      <c r="AL40" s="33">
        <f t="shared" si="7"/>
        <v>144615</v>
      </c>
      <c r="AM40" s="32"/>
      <c r="AN40" s="33"/>
      <c r="AO40" s="32"/>
      <c r="AP40" s="32"/>
    </row>
    <row r="41" spans="2:42" s="136" customFormat="1" ht="21" customHeight="1">
      <c r="B41" s="131">
        <v>36</v>
      </c>
      <c r="C41" s="132" t="str">
        <f>+PERBULAN!B43</f>
        <v>YANUAR</v>
      </c>
      <c r="D41" s="137" t="s">
        <v>236</v>
      </c>
      <c r="E41" s="56" t="s">
        <v>69</v>
      </c>
      <c r="F41" s="324" t="s">
        <v>190</v>
      </c>
      <c r="G41" s="305" t="s">
        <v>532</v>
      </c>
      <c r="H41" s="319" t="s">
        <v>39</v>
      </c>
      <c r="I41" s="308" t="s">
        <v>11</v>
      </c>
      <c r="J41" s="308" t="str">
        <f t="shared" si="26"/>
        <v>TER B</v>
      </c>
      <c r="K41" s="309">
        <v>1</v>
      </c>
      <c r="L41" s="309">
        <v>12</v>
      </c>
      <c r="M41" s="40">
        <f>'[3]DAFTAR UPAH HARVESTING'!X20*129220</f>
        <v>3876600</v>
      </c>
      <c r="N41" s="40">
        <f>'[3]DAFTAR UPAH HARVESTING'!CR20</f>
        <v>2090701.4444444445</v>
      </c>
      <c r="O41" s="40">
        <f>[3]PPH!L42+[3]PPH!M42</f>
        <v>189224.64</v>
      </c>
      <c r="P41" s="40">
        <v>0</v>
      </c>
      <c r="Q41" s="40">
        <f t="shared" si="27"/>
        <v>6156526.0844444437</v>
      </c>
      <c r="R41" s="40">
        <f>+PERBULAN!S43</f>
        <v>4032600</v>
      </c>
      <c r="S41" s="40">
        <f>+SETAHUN!J43</f>
        <v>600000</v>
      </c>
      <c r="T41" s="40">
        <v>0</v>
      </c>
      <c r="U41" s="40">
        <f>+SETAHUN!F43+M41+N41</f>
        <v>58595932.004444443</v>
      </c>
      <c r="V41" s="40">
        <v>0</v>
      </c>
      <c r="W41" s="40">
        <f>+SETAHUN!V43+O41</f>
        <v>2268022.08</v>
      </c>
      <c r="X41" s="40">
        <v>0</v>
      </c>
      <c r="Y41" s="40">
        <v>0</v>
      </c>
      <c r="Z41" s="40">
        <f t="shared" si="28"/>
        <v>4632600</v>
      </c>
      <c r="AA41" s="40">
        <f t="shared" si="29"/>
        <v>65496554.084444441</v>
      </c>
      <c r="AB41" s="40">
        <f t="shared" si="30"/>
        <v>3274828</v>
      </c>
      <c r="AC41" s="40">
        <f>('ASTEK-DIISI SMPAI DES'!O43+'ASTEK-DIISI SMPAI DES'!O158)</f>
        <v>1401336</v>
      </c>
      <c r="AD41" s="40">
        <f t="shared" si="31"/>
        <v>60820390.084444441</v>
      </c>
      <c r="AE41" s="67">
        <f t="shared" si="32"/>
        <v>67500000</v>
      </c>
      <c r="AF41" s="67">
        <f t="shared" si="10"/>
        <v>0</v>
      </c>
      <c r="AG41" s="310">
        <f t="shared" si="33"/>
        <v>0</v>
      </c>
      <c r="AH41" s="310">
        <f t="shared" si="34"/>
        <v>0</v>
      </c>
      <c r="AI41" s="67">
        <f>+'PAJAK JAN-NOV'!R38</f>
        <v>149121</v>
      </c>
      <c r="AJ41" s="139">
        <f t="shared" si="35"/>
        <v>0</v>
      </c>
      <c r="AK41" s="32"/>
      <c r="AL41" s="33">
        <f t="shared" si="7"/>
        <v>149121</v>
      </c>
      <c r="AM41" s="32"/>
      <c r="AN41" s="33"/>
      <c r="AO41" s="32"/>
      <c r="AP41" s="32"/>
    </row>
    <row r="42" spans="2:42" s="136" customFormat="1" ht="21" customHeight="1">
      <c r="B42" s="131">
        <v>37</v>
      </c>
      <c r="C42" s="132" t="str">
        <f>+PERBULAN!B44</f>
        <v>SEVENDRI</v>
      </c>
      <c r="D42" s="137" t="s">
        <v>237</v>
      </c>
      <c r="E42" s="56" t="s">
        <v>69</v>
      </c>
      <c r="F42" s="324" t="s">
        <v>299</v>
      </c>
      <c r="G42" s="305" t="s">
        <v>532</v>
      </c>
      <c r="H42" s="319" t="s">
        <v>39</v>
      </c>
      <c r="I42" s="308" t="s">
        <v>11</v>
      </c>
      <c r="J42" s="308" t="str">
        <f t="shared" si="26"/>
        <v>TER B</v>
      </c>
      <c r="K42" s="309">
        <v>1</v>
      </c>
      <c r="L42" s="309">
        <v>12</v>
      </c>
      <c r="M42" s="40">
        <f>'[3]DAFTAR UPAH HARVESTING'!X21*129220</f>
        <v>4005820</v>
      </c>
      <c r="N42" s="40">
        <f>'[3]DAFTAR UPAH HARVESTING'!CR21</f>
        <v>2113695</v>
      </c>
      <c r="O42" s="40">
        <f>[3]PPH!L43+[3]PPH!M43</f>
        <v>188934.24</v>
      </c>
      <c r="P42" s="40">
        <v>0</v>
      </c>
      <c r="Q42" s="40">
        <f t="shared" si="27"/>
        <v>6308449.2400000002</v>
      </c>
      <c r="R42" s="40">
        <f>+PERBULAN!S44</f>
        <v>4067100</v>
      </c>
      <c r="S42" s="40">
        <f>+SETAHUN!J44</f>
        <v>200000</v>
      </c>
      <c r="T42" s="40">
        <v>0</v>
      </c>
      <c r="U42" s="40">
        <f>+SETAHUN!F44+M42+N42</f>
        <v>60077364.159999989</v>
      </c>
      <c r="V42" s="40">
        <v>0</v>
      </c>
      <c r="W42" s="40">
        <f>+SETAHUN!V44+O42</f>
        <v>2264890.08</v>
      </c>
      <c r="X42" s="40">
        <v>0</v>
      </c>
      <c r="Y42" s="40">
        <v>0</v>
      </c>
      <c r="Z42" s="40">
        <f t="shared" si="28"/>
        <v>4267100</v>
      </c>
      <c r="AA42" s="40">
        <f t="shared" si="29"/>
        <v>66609354.239999987</v>
      </c>
      <c r="AB42" s="40">
        <f t="shared" si="30"/>
        <v>3330468</v>
      </c>
      <c r="AC42" s="40">
        <f>('ASTEK-DIISI SMPAI DES'!O44+'ASTEK-DIISI SMPAI DES'!O159)</f>
        <v>1400436</v>
      </c>
      <c r="AD42" s="40">
        <f t="shared" si="31"/>
        <v>61878450.239999987</v>
      </c>
      <c r="AE42" s="67">
        <f t="shared" si="32"/>
        <v>67500000</v>
      </c>
      <c r="AF42" s="67">
        <f t="shared" si="10"/>
        <v>0</v>
      </c>
      <c r="AG42" s="310">
        <f t="shared" si="33"/>
        <v>0</v>
      </c>
      <c r="AH42" s="310">
        <f t="shared" si="34"/>
        <v>0</v>
      </c>
      <c r="AI42" s="67">
        <f>+'PAJAK JAN-NOV'!R39</f>
        <v>152686</v>
      </c>
      <c r="AJ42" s="139">
        <f t="shared" si="35"/>
        <v>0</v>
      </c>
      <c r="AK42" s="32"/>
      <c r="AL42" s="33">
        <f t="shared" si="7"/>
        <v>152686</v>
      </c>
      <c r="AM42" s="32"/>
      <c r="AN42" s="33"/>
      <c r="AO42" s="32"/>
      <c r="AP42" s="32"/>
    </row>
    <row r="43" spans="2:42" s="136" customFormat="1" ht="21" customHeight="1">
      <c r="B43" s="131">
        <v>38</v>
      </c>
      <c r="C43" s="132" t="str">
        <f>+PERBULAN!B45</f>
        <v>PURGANDI</v>
      </c>
      <c r="D43" s="137" t="s">
        <v>239</v>
      </c>
      <c r="E43" s="56" t="s">
        <v>69</v>
      </c>
      <c r="F43" s="324" t="s">
        <v>189</v>
      </c>
      <c r="G43" s="305" t="s">
        <v>532</v>
      </c>
      <c r="H43" s="319" t="s">
        <v>39</v>
      </c>
      <c r="I43" s="308" t="s">
        <v>17</v>
      </c>
      <c r="J43" s="308" t="str">
        <f t="shared" si="26"/>
        <v>TER A</v>
      </c>
      <c r="K43" s="309">
        <v>1</v>
      </c>
      <c r="L43" s="309">
        <v>12</v>
      </c>
      <c r="M43" s="40">
        <f>'[3]DAFTAR UPAH HARVESTING'!X22*129220</f>
        <v>3747380</v>
      </c>
      <c r="N43" s="40">
        <f>'[3]DAFTAR UPAH HARVESTING'!CR22</f>
        <v>2124076.4444444445</v>
      </c>
      <c r="O43" s="40">
        <f>[3]PPH!L44+[3]PPH!M44</f>
        <v>188934.24</v>
      </c>
      <c r="P43" s="40">
        <v>0</v>
      </c>
      <c r="Q43" s="40">
        <f t="shared" si="27"/>
        <v>6060390.6844444443</v>
      </c>
      <c r="R43" s="40">
        <f>+PERBULAN!S45</f>
        <v>3998100</v>
      </c>
      <c r="S43" s="40">
        <f>+SETAHUN!J45</f>
        <v>600000</v>
      </c>
      <c r="T43" s="40">
        <v>0</v>
      </c>
      <c r="U43" s="40">
        <f>+SETAHUN!F45+M43+N43</f>
        <v>59134641.604444437</v>
      </c>
      <c r="V43" s="40">
        <v>0</v>
      </c>
      <c r="W43" s="40">
        <f>+SETAHUN!V45+O43</f>
        <v>2265490.08</v>
      </c>
      <c r="X43" s="40">
        <v>0</v>
      </c>
      <c r="Y43" s="40">
        <v>0</v>
      </c>
      <c r="Z43" s="40">
        <f t="shared" si="28"/>
        <v>4598100</v>
      </c>
      <c r="AA43" s="40">
        <f t="shared" si="29"/>
        <v>65998231.684444435</v>
      </c>
      <c r="AB43" s="40">
        <f t="shared" si="30"/>
        <v>3299912</v>
      </c>
      <c r="AC43" s="40">
        <f>('ASTEK-DIISI SMPAI DES'!O45+'ASTEK-DIISI SMPAI DES'!O160)</f>
        <v>1400436</v>
      </c>
      <c r="AD43" s="40">
        <f t="shared" si="31"/>
        <v>61297883.684444435</v>
      </c>
      <c r="AE43" s="67">
        <f t="shared" si="32"/>
        <v>58500000</v>
      </c>
      <c r="AF43" s="67">
        <f t="shared" si="10"/>
        <v>2797000</v>
      </c>
      <c r="AG43" s="310">
        <f t="shared" si="33"/>
        <v>139850</v>
      </c>
      <c r="AH43" s="310">
        <f t="shared" si="34"/>
        <v>139850</v>
      </c>
      <c r="AI43" s="67">
        <f>+'PAJAK JAN-NOV'!R40</f>
        <v>241112</v>
      </c>
      <c r="AJ43" s="139">
        <f t="shared" si="35"/>
        <v>0</v>
      </c>
      <c r="AK43" s="32"/>
      <c r="AL43" s="33">
        <f t="shared" si="7"/>
        <v>101262</v>
      </c>
      <c r="AM43" s="32"/>
      <c r="AN43" s="33"/>
      <c r="AO43" s="32"/>
      <c r="AP43" s="32"/>
    </row>
    <row r="44" spans="2:42" s="136" customFormat="1" ht="21" customHeight="1">
      <c r="B44" s="131">
        <v>39</v>
      </c>
      <c r="C44" s="132" t="str">
        <f>+PERBULAN!B46</f>
        <v>RICKI PUTRA</v>
      </c>
      <c r="D44" s="137" t="s">
        <v>240</v>
      </c>
      <c r="E44" s="56" t="s">
        <v>69</v>
      </c>
      <c r="F44" s="324" t="s">
        <v>301</v>
      </c>
      <c r="G44" s="305" t="s">
        <v>532</v>
      </c>
      <c r="H44" s="319" t="s">
        <v>39</v>
      </c>
      <c r="I44" s="308" t="s">
        <v>17</v>
      </c>
      <c r="J44" s="308" t="str">
        <f t="shared" si="26"/>
        <v>TER A</v>
      </c>
      <c r="K44" s="309">
        <v>1</v>
      </c>
      <c r="L44" s="309">
        <v>12</v>
      </c>
      <c r="M44" s="40">
        <f>'[3]DAFTAR UPAH HARVESTING'!X23*129220</f>
        <v>3876600</v>
      </c>
      <c r="N44" s="40">
        <f>'[3]DAFTAR UPAH HARVESTING'!CR23</f>
        <v>2408483</v>
      </c>
      <c r="O44" s="40">
        <f>[3]PPH!L45+[3]PPH!M45</f>
        <v>188934.24</v>
      </c>
      <c r="P44" s="40">
        <v>0</v>
      </c>
      <c r="Q44" s="40">
        <f t="shared" si="27"/>
        <v>6474017.2400000002</v>
      </c>
      <c r="R44" s="40">
        <f>+PERBULAN!S46</f>
        <v>4011600</v>
      </c>
      <c r="S44" s="40">
        <f>+SETAHUN!J46</f>
        <v>600000</v>
      </c>
      <c r="T44" s="40">
        <v>0</v>
      </c>
      <c r="U44" s="40">
        <f>+SETAHUN!F46+M44+N44</f>
        <v>61216555.159999996</v>
      </c>
      <c r="V44" s="40">
        <v>0</v>
      </c>
      <c r="W44" s="40">
        <f>+SETAHUN!V46+O44</f>
        <v>2264404.08</v>
      </c>
      <c r="X44" s="40">
        <v>0</v>
      </c>
      <c r="Y44" s="40">
        <v>0</v>
      </c>
      <c r="Z44" s="40">
        <f t="shared" si="28"/>
        <v>4611600</v>
      </c>
      <c r="AA44" s="40">
        <f t="shared" si="29"/>
        <v>68092559.239999995</v>
      </c>
      <c r="AB44" s="40">
        <f t="shared" si="30"/>
        <v>3404628</v>
      </c>
      <c r="AC44" s="40">
        <f>('ASTEK-DIISI SMPAI DES'!O46+'ASTEK-DIISI SMPAI DES'!O161)</f>
        <v>1399986</v>
      </c>
      <c r="AD44" s="40">
        <f t="shared" si="31"/>
        <v>63287945.239999995</v>
      </c>
      <c r="AE44" s="67">
        <f t="shared" si="32"/>
        <v>58500000</v>
      </c>
      <c r="AF44" s="67">
        <f t="shared" si="10"/>
        <v>4787000</v>
      </c>
      <c r="AG44" s="310">
        <f t="shared" si="33"/>
        <v>239350</v>
      </c>
      <c r="AH44" s="310">
        <f t="shared" si="34"/>
        <v>239350</v>
      </c>
      <c r="AI44" s="67">
        <f>+'PAJAK JAN-NOV'!R41</f>
        <v>314415</v>
      </c>
      <c r="AJ44" s="139">
        <f t="shared" si="35"/>
        <v>0</v>
      </c>
      <c r="AK44" s="32"/>
      <c r="AL44" s="33">
        <f t="shared" si="7"/>
        <v>75065</v>
      </c>
      <c r="AM44" s="32"/>
      <c r="AN44" s="33"/>
      <c r="AO44" s="32"/>
      <c r="AP44" s="32"/>
    </row>
    <row r="45" spans="2:42" s="136" customFormat="1" ht="21" customHeight="1">
      <c r="B45" s="131">
        <v>40</v>
      </c>
      <c r="C45" s="132" t="str">
        <f>+PERBULAN!B47</f>
        <v>ROLAND AGUSTA</v>
      </c>
      <c r="D45" s="137" t="s">
        <v>241</v>
      </c>
      <c r="E45" s="37" t="s">
        <v>69</v>
      </c>
      <c r="F45" s="324" t="s">
        <v>302</v>
      </c>
      <c r="G45" s="305" t="s">
        <v>532</v>
      </c>
      <c r="H45" s="319" t="s">
        <v>39</v>
      </c>
      <c r="I45" s="308" t="s">
        <v>9</v>
      </c>
      <c r="J45" s="308" t="str">
        <f t="shared" si="26"/>
        <v>TER B</v>
      </c>
      <c r="K45" s="309">
        <v>1</v>
      </c>
      <c r="L45" s="309">
        <v>12</v>
      </c>
      <c r="M45" s="40">
        <f>'[3]DAFTAR UPAH HARVESTING'!X24*129220</f>
        <v>4005820</v>
      </c>
      <c r="N45" s="40">
        <f>'[3]DAFTAR UPAH HARVESTING'!CR24</f>
        <v>2286512</v>
      </c>
      <c r="O45" s="40">
        <f>[3]PPH!L46+[3]PPH!M46</f>
        <v>188643.84</v>
      </c>
      <c r="P45" s="40">
        <v>0</v>
      </c>
      <c r="Q45" s="40">
        <f t="shared" si="27"/>
        <v>6480975.8399999999</v>
      </c>
      <c r="R45" s="40">
        <f>+PERBULAN!S47</f>
        <v>4034100</v>
      </c>
      <c r="S45" s="40">
        <f>+SETAHUN!J47</f>
        <v>200000</v>
      </c>
      <c r="T45" s="40">
        <v>0</v>
      </c>
      <c r="U45" s="40">
        <f>+SETAHUN!F47+M45+N45</f>
        <v>62329818.159999982</v>
      </c>
      <c r="V45" s="40">
        <v>0</v>
      </c>
      <c r="W45" s="40">
        <f>+SETAHUN!V47+O45</f>
        <v>2262067.6799999997</v>
      </c>
      <c r="X45" s="40">
        <v>0</v>
      </c>
      <c r="Y45" s="40">
        <v>0</v>
      </c>
      <c r="Z45" s="40">
        <f t="shared" si="28"/>
        <v>4234100</v>
      </c>
      <c r="AA45" s="40">
        <f t="shared" si="29"/>
        <v>68825985.839999974</v>
      </c>
      <c r="AB45" s="40">
        <f t="shared" si="30"/>
        <v>3441299</v>
      </c>
      <c r="AC45" s="40">
        <f>('ASTEK-DIISI SMPAI DES'!O47+'ASTEK-DIISI SMPAI DES'!O162)</f>
        <v>1399356</v>
      </c>
      <c r="AD45" s="40">
        <f t="shared" si="31"/>
        <v>63985330.839999974</v>
      </c>
      <c r="AE45" s="67">
        <f t="shared" si="32"/>
        <v>63000000</v>
      </c>
      <c r="AF45" s="67">
        <f t="shared" si="10"/>
        <v>985000</v>
      </c>
      <c r="AG45" s="310">
        <f t="shared" si="33"/>
        <v>49250</v>
      </c>
      <c r="AH45" s="310">
        <f t="shared" si="34"/>
        <v>49250</v>
      </c>
      <c r="AI45" s="67">
        <f>+'PAJAK JAN-NOV'!R42</f>
        <v>188553</v>
      </c>
      <c r="AJ45" s="139">
        <f t="shared" si="35"/>
        <v>0</v>
      </c>
      <c r="AK45" s="32"/>
      <c r="AL45" s="33">
        <f t="shared" si="7"/>
        <v>139303</v>
      </c>
      <c r="AM45" s="32"/>
      <c r="AN45" s="33"/>
      <c r="AO45" s="32"/>
      <c r="AP45" s="32"/>
    </row>
    <row r="46" spans="2:42" s="136" customFormat="1" ht="21" customHeight="1">
      <c r="B46" s="131">
        <v>41</v>
      </c>
      <c r="C46" s="384" t="str">
        <f>+PERBULAN!B48</f>
        <v>SAHDAN</v>
      </c>
      <c r="D46" s="385" t="s">
        <v>547</v>
      </c>
      <c r="E46" s="37" t="s">
        <v>69</v>
      </c>
      <c r="F46" s="324" t="s">
        <v>303</v>
      </c>
      <c r="G46" s="305" t="s">
        <v>532</v>
      </c>
      <c r="H46" s="319" t="s">
        <v>39</v>
      </c>
      <c r="I46" s="308" t="s">
        <v>17</v>
      </c>
      <c r="J46" s="308" t="str">
        <f t="shared" si="26"/>
        <v>TER A</v>
      </c>
      <c r="K46" s="309">
        <v>1</v>
      </c>
      <c r="L46" s="309">
        <v>12</v>
      </c>
      <c r="M46" s="40">
        <f>'[3]DAFTAR UPAH HARVESTING'!X25*129220</f>
        <v>4005820</v>
      </c>
      <c r="N46" s="40">
        <f>'[3]DAFTAR UPAH HARVESTING'!CR25</f>
        <v>1949975.111111111</v>
      </c>
      <c r="O46" s="40">
        <f>[3]PPH!L47+[3]PPH!M47</f>
        <v>188934.24</v>
      </c>
      <c r="P46" s="40">
        <v>0</v>
      </c>
      <c r="Q46" s="40">
        <f t="shared" si="27"/>
        <v>6144729.3511111112</v>
      </c>
      <c r="R46" s="40">
        <f>+PERBULAN!S48</f>
        <v>4011600</v>
      </c>
      <c r="S46" s="40">
        <f>+SETAHUN!J48</f>
        <v>200000</v>
      </c>
      <c r="T46" s="40">
        <v>0</v>
      </c>
      <c r="U46" s="40">
        <f>+SETAHUN!F48+M46+N46</f>
        <v>58754429.271111101</v>
      </c>
      <c r="V46" s="40">
        <v>0</v>
      </c>
      <c r="W46" s="40">
        <f>+SETAHUN!V48+O46</f>
        <v>2265250.08</v>
      </c>
      <c r="X46" s="40">
        <v>0</v>
      </c>
      <c r="Y46" s="40">
        <v>0</v>
      </c>
      <c r="Z46" s="40">
        <f t="shared" si="28"/>
        <v>4211600</v>
      </c>
      <c r="AA46" s="40">
        <f t="shared" si="29"/>
        <v>65231279.351111099</v>
      </c>
      <c r="AB46" s="40">
        <f t="shared" si="30"/>
        <v>3261564</v>
      </c>
      <c r="AC46" s="40">
        <f>('ASTEK-DIISI SMPAI DES'!O48+'ASTEK-DIISI SMPAI DES'!O163)</f>
        <v>1400436</v>
      </c>
      <c r="AD46" s="40">
        <f t="shared" si="31"/>
        <v>60569279.351111099</v>
      </c>
      <c r="AE46" s="67">
        <f t="shared" si="32"/>
        <v>58500000</v>
      </c>
      <c r="AF46" s="67">
        <f t="shared" si="10"/>
        <v>2069000</v>
      </c>
      <c r="AG46" s="310">
        <f t="shared" si="33"/>
        <v>103450</v>
      </c>
      <c r="AH46" s="310">
        <f t="shared" si="34"/>
        <v>103450</v>
      </c>
      <c r="AI46" s="67">
        <f>+'PAJAK JAN-NOV'!R43</f>
        <v>214850</v>
      </c>
      <c r="AJ46" s="139">
        <f t="shared" si="35"/>
        <v>0</v>
      </c>
      <c r="AK46" s="32"/>
      <c r="AL46" s="33">
        <f t="shared" si="7"/>
        <v>111400</v>
      </c>
      <c r="AM46" s="32"/>
      <c r="AN46" s="33"/>
      <c r="AO46" s="32"/>
      <c r="AP46" s="32"/>
    </row>
    <row r="47" spans="2:42" s="136" customFormat="1" ht="21" customHeight="1">
      <c r="B47" s="131">
        <v>42</v>
      </c>
      <c r="C47" s="132" t="str">
        <f>+PERBULAN!B49</f>
        <v>YOPIE ,T</v>
      </c>
      <c r="D47" s="137" t="s">
        <v>243</v>
      </c>
      <c r="E47" s="37" t="s">
        <v>69</v>
      </c>
      <c r="F47" s="324" t="s">
        <v>192</v>
      </c>
      <c r="G47" s="305" t="s">
        <v>532</v>
      </c>
      <c r="H47" s="319" t="s">
        <v>39</v>
      </c>
      <c r="I47" s="308" t="s">
        <v>11</v>
      </c>
      <c r="J47" s="308" t="str">
        <f t="shared" si="26"/>
        <v>TER B</v>
      </c>
      <c r="K47" s="309">
        <v>1</v>
      </c>
      <c r="L47" s="309">
        <v>12</v>
      </c>
      <c r="M47" s="40">
        <f>'[3]DAFTAR UPAH HARVESTING'!X26*129220</f>
        <v>4005820</v>
      </c>
      <c r="N47" s="40">
        <f>'[3]DAFTAR UPAH HARVESTING'!CR26</f>
        <v>2098725.4444444445</v>
      </c>
      <c r="O47" s="40">
        <f>[3]PPH!L48+[3]PPH!M48</f>
        <v>188934.24</v>
      </c>
      <c r="P47" s="40">
        <v>0</v>
      </c>
      <c r="Q47" s="40">
        <f t="shared" si="27"/>
        <v>6293479.6844444443</v>
      </c>
      <c r="R47" s="40">
        <f>+PERBULAN!S49</f>
        <v>4067100</v>
      </c>
      <c r="S47" s="40">
        <f>+SETAHUN!J49</f>
        <v>200000</v>
      </c>
      <c r="T47" s="40">
        <v>0</v>
      </c>
      <c r="U47" s="40">
        <f>+SETAHUN!F49+M47+N47</f>
        <v>60045273.604444437</v>
      </c>
      <c r="V47" s="40">
        <v>0</v>
      </c>
      <c r="W47" s="40">
        <f>+SETAHUN!V49+O47</f>
        <v>2265490.08</v>
      </c>
      <c r="X47" s="40">
        <v>0</v>
      </c>
      <c r="Y47" s="40">
        <v>0</v>
      </c>
      <c r="Z47" s="40">
        <f t="shared" si="28"/>
        <v>4267100</v>
      </c>
      <c r="AA47" s="40">
        <f t="shared" si="29"/>
        <v>66577863.684444435</v>
      </c>
      <c r="AB47" s="40">
        <f t="shared" si="30"/>
        <v>3328893</v>
      </c>
      <c r="AC47" s="40">
        <f>('ASTEK-DIISI SMPAI DES'!O49+'ASTEK-DIISI SMPAI DES'!O164)</f>
        <v>1400436</v>
      </c>
      <c r="AD47" s="40">
        <f t="shared" si="31"/>
        <v>61848534.684444435</v>
      </c>
      <c r="AE47" s="67">
        <f t="shared" si="32"/>
        <v>67500000</v>
      </c>
      <c r="AF47" s="67">
        <f t="shared" si="10"/>
        <v>0</v>
      </c>
      <c r="AG47" s="310">
        <f t="shared" si="33"/>
        <v>0</v>
      </c>
      <c r="AH47" s="310">
        <f t="shared" si="34"/>
        <v>0</v>
      </c>
      <c r="AI47" s="67">
        <f>+'PAJAK JAN-NOV'!R44</f>
        <v>163702</v>
      </c>
      <c r="AJ47" s="139">
        <f t="shared" si="35"/>
        <v>0</v>
      </c>
      <c r="AK47" s="32"/>
      <c r="AL47" s="33">
        <f t="shared" si="7"/>
        <v>163702</v>
      </c>
      <c r="AM47" s="32"/>
      <c r="AN47" s="33"/>
      <c r="AO47" s="32"/>
      <c r="AP47" s="32"/>
    </row>
    <row r="48" spans="2:42" s="136" customFormat="1" ht="21" customHeight="1">
      <c r="B48" s="131">
        <v>43</v>
      </c>
      <c r="C48" s="132" t="str">
        <f>+PERBULAN!B50</f>
        <v>ELYANDI</v>
      </c>
      <c r="D48" s="359" t="s">
        <v>244</v>
      </c>
      <c r="E48" s="37" t="s">
        <v>69</v>
      </c>
      <c r="F48" s="324" t="s">
        <v>304</v>
      </c>
      <c r="G48" s="305" t="s">
        <v>532</v>
      </c>
      <c r="H48" s="319" t="s">
        <v>39</v>
      </c>
      <c r="I48" s="308" t="s">
        <v>7</v>
      </c>
      <c r="J48" s="308" t="str">
        <f t="shared" si="26"/>
        <v>TER A</v>
      </c>
      <c r="K48" s="309">
        <v>1</v>
      </c>
      <c r="L48" s="309">
        <v>12</v>
      </c>
      <c r="M48" s="40">
        <f>'[3]DAFTAR UPAH HARVESTING'!X27*129220</f>
        <v>3876600</v>
      </c>
      <c r="N48" s="40">
        <f>'[3]DAFTAR UPAH HARVESTING'!CR27</f>
        <v>2028245.6666666665</v>
      </c>
      <c r="O48" s="40">
        <f>[3]PPH!L49+[3]PPH!M49</f>
        <v>188232.44</v>
      </c>
      <c r="P48" s="40">
        <v>0</v>
      </c>
      <c r="Q48" s="40">
        <f t="shared" si="27"/>
        <v>6093078.1066666665</v>
      </c>
      <c r="R48" s="40">
        <f>+PERBULAN!S50</f>
        <v>3954100</v>
      </c>
      <c r="S48" s="40">
        <f>+SETAHUN!J50</f>
        <v>200000</v>
      </c>
      <c r="T48" s="40">
        <v>0</v>
      </c>
      <c r="U48" s="40">
        <f>+SETAHUN!F50+M48+N48</f>
        <v>57997487.826666668</v>
      </c>
      <c r="V48" s="40">
        <v>0</v>
      </c>
      <c r="W48" s="40">
        <f>+SETAHUN!V50+O48</f>
        <v>2257438.2799999998</v>
      </c>
      <c r="X48" s="40">
        <v>0</v>
      </c>
      <c r="Y48" s="40">
        <v>0</v>
      </c>
      <c r="Z48" s="40">
        <f t="shared" si="28"/>
        <v>4154100</v>
      </c>
      <c r="AA48" s="40">
        <f t="shared" si="29"/>
        <v>64409026.106666669</v>
      </c>
      <c r="AB48" s="40">
        <f t="shared" si="30"/>
        <v>3220451</v>
      </c>
      <c r="AC48" s="40">
        <f>('ASTEK-DIISI SMPAI DES'!O50+'ASTEK-DIISI SMPAI DES'!O165)</f>
        <v>1397751</v>
      </c>
      <c r="AD48" s="40">
        <f t="shared" si="31"/>
        <v>59790824.106666669</v>
      </c>
      <c r="AE48" s="67">
        <f t="shared" si="32"/>
        <v>54000000</v>
      </c>
      <c r="AF48" s="67">
        <f t="shared" si="10"/>
        <v>5790000</v>
      </c>
      <c r="AG48" s="310">
        <f t="shared" si="33"/>
        <v>289500</v>
      </c>
      <c r="AH48" s="310">
        <f t="shared" si="34"/>
        <v>289500</v>
      </c>
      <c r="AI48" s="67">
        <f>+'PAJAK JAN-NOV'!R45</f>
        <v>236373</v>
      </c>
      <c r="AJ48" s="139">
        <f t="shared" si="35"/>
        <v>53127</v>
      </c>
      <c r="AK48" s="32"/>
      <c r="AL48" s="33">
        <f t="shared" si="7"/>
        <v>-53127</v>
      </c>
      <c r="AM48" s="32"/>
      <c r="AN48" s="33"/>
      <c r="AO48" s="32"/>
      <c r="AP48" s="32"/>
    </row>
    <row r="49" spans="2:42" s="136" customFormat="1" ht="21" customHeight="1">
      <c r="B49" s="131">
        <v>44</v>
      </c>
      <c r="C49" s="132" t="str">
        <f>+PERBULAN!B51</f>
        <v>ALI MAS DESI</v>
      </c>
      <c r="D49" s="137" t="s">
        <v>246</v>
      </c>
      <c r="E49" s="37" t="s">
        <v>69</v>
      </c>
      <c r="F49" s="324" t="s">
        <v>306</v>
      </c>
      <c r="G49" s="305" t="s">
        <v>532</v>
      </c>
      <c r="H49" s="319" t="s">
        <v>39</v>
      </c>
      <c r="I49" s="308" t="s">
        <v>9</v>
      </c>
      <c r="J49" s="308" t="str">
        <f t="shared" si="26"/>
        <v>TER B</v>
      </c>
      <c r="K49" s="309">
        <v>1</v>
      </c>
      <c r="L49" s="309">
        <v>12</v>
      </c>
      <c r="M49" s="40">
        <f>'[3]DAFTAR UPAH HARVESTING'!X28*129220</f>
        <v>3747380</v>
      </c>
      <c r="N49" s="40">
        <f>'[3]DAFTAR UPAH HARVESTING'!CR28</f>
        <v>2030137.7777777778</v>
      </c>
      <c r="O49" s="40">
        <f>[3]PPH!L50+[3]PPH!M50</f>
        <v>187990.44</v>
      </c>
      <c r="P49" s="40">
        <v>0</v>
      </c>
      <c r="Q49" s="40">
        <f t="shared" si="27"/>
        <v>5965508.2177777784</v>
      </c>
      <c r="R49" s="40">
        <f>+PERBULAN!S51</f>
        <v>4021100</v>
      </c>
      <c r="S49" s="40">
        <f>+SETAHUN!J51</f>
        <v>200000</v>
      </c>
      <c r="T49" s="40">
        <v>0</v>
      </c>
      <c r="U49" s="40">
        <f>+SETAHUN!F51+M49+N49</f>
        <v>62225119.93777778</v>
      </c>
      <c r="V49" s="40">
        <v>0</v>
      </c>
      <c r="W49" s="40">
        <f>+SETAHUN!V51+O49</f>
        <v>2255007.2799999998</v>
      </c>
      <c r="X49" s="40">
        <v>0</v>
      </c>
      <c r="Y49" s="40">
        <v>0</v>
      </c>
      <c r="Z49" s="40">
        <f t="shared" si="28"/>
        <v>4221100</v>
      </c>
      <c r="AA49" s="40">
        <f t="shared" si="29"/>
        <v>68701227.217777789</v>
      </c>
      <c r="AB49" s="40">
        <f t="shared" si="30"/>
        <v>3435061</v>
      </c>
      <c r="AC49" s="40">
        <f>('ASTEK-DIISI SMPAI DES'!O51+'ASTEK-DIISI SMPAI DES'!O166)</f>
        <v>1396926</v>
      </c>
      <c r="AD49" s="40">
        <f t="shared" si="31"/>
        <v>63869240.217777789</v>
      </c>
      <c r="AE49" s="67">
        <f t="shared" si="32"/>
        <v>63000000</v>
      </c>
      <c r="AF49" s="67">
        <f t="shared" si="10"/>
        <v>869000</v>
      </c>
      <c r="AG49" s="310">
        <f t="shared" si="33"/>
        <v>43450</v>
      </c>
      <c r="AH49" s="310">
        <f t="shared" si="34"/>
        <v>43450</v>
      </c>
      <c r="AI49" s="67">
        <f>+'PAJAK JAN-NOV'!R46</f>
        <v>170542</v>
      </c>
      <c r="AJ49" s="139">
        <f t="shared" si="35"/>
        <v>0</v>
      </c>
      <c r="AK49" s="32"/>
      <c r="AL49" s="33">
        <f t="shared" si="7"/>
        <v>127092</v>
      </c>
      <c r="AM49" s="32"/>
      <c r="AN49" s="33"/>
      <c r="AO49" s="32"/>
      <c r="AP49" s="32"/>
    </row>
    <row r="50" spans="2:42" s="136" customFormat="1" ht="21" customHeight="1">
      <c r="B50" s="131">
        <v>45</v>
      </c>
      <c r="C50" s="132" t="str">
        <f>+PERBULAN!B52</f>
        <v>HARYANTO</v>
      </c>
      <c r="D50" s="137" t="s">
        <v>248</v>
      </c>
      <c r="E50" s="37" t="s">
        <v>402</v>
      </c>
      <c r="F50" s="324" t="s">
        <v>194</v>
      </c>
      <c r="G50" s="305" t="s">
        <v>532</v>
      </c>
      <c r="H50" s="319" t="s">
        <v>39</v>
      </c>
      <c r="I50" s="308" t="s">
        <v>17</v>
      </c>
      <c r="J50" s="308" t="str">
        <f t="shared" si="26"/>
        <v>TER A</v>
      </c>
      <c r="K50" s="309">
        <v>1</v>
      </c>
      <c r="L50" s="309">
        <v>12</v>
      </c>
      <c r="M50" s="40">
        <f>'[3]DAFTAR UPAH HARVESTING'!X29*129220</f>
        <v>3876600</v>
      </c>
      <c r="N50" s="40">
        <f>'[3]DAFTAR UPAH HARVESTING'!CR29</f>
        <v>2112187.888888889</v>
      </c>
      <c r="O50" s="40">
        <f>[3]PPH!L51+[3]PPH!M51</f>
        <v>188934.24</v>
      </c>
      <c r="P50" s="40">
        <v>0</v>
      </c>
      <c r="Q50" s="40">
        <f t="shared" si="27"/>
        <v>6177722.1288888892</v>
      </c>
      <c r="R50" s="40">
        <f>+PERBULAN!S52</f>
        <v>4011600</v>
      </c>
      <c r="S50" s="40">
        <f>+SETAHUN!J52</f>
        <v>200000</v>
      </c>
      <c r="T50" s="40">
        <v>0</v>
      </c>
      <c r="U50" s="40">
        <f>+SETAHUN!F52+M50+N50</f>
        <v>58649169.448888876</v>
      </c>
      <c r="V50" s="40">
        <v>0</v>
      </c>
      <c r="W50" s="40">
        <f>+SETAHUN!V52+O50</f>
        <v>2264599.6799999997</v>
      </c>
      <c r="X50" s="40">
        <v>0</v>
      </c>
      <c r="Y50" s="40">
        <v>0</v>
      </c>
      <c r="Z50" s="40">
        <f t="shared" si="28"/>
        <v>4211600</v>
      </c>
      <c r="AA50" s="40">
        <f t="shared" si="29"/>
        <v>65125369.128888875</v>
      </c>
      <c r="AB50" s="40">
        <f t="shared" si="30"/>
        <v>3256268</v>
      </c>
      <c r="AC50" s="40">
        <f>('ASTEK-DIISI SMPAI DES'!O52+'ASTEK-DIISI SMPAI DES'!O167)</f>
        <v>1400256</v>
      </c>
      <c r="AD50" s="40">
        <f t="shared" si="31"/>
        <v>60468845.128888875</v>
      </c>
      <c r="AE50" s="67">
        <f t="shared" si="32"/>
        <v>58500000</v>
      </c>
      <c r="AF50" s="67">
        <f t="shared" si="10"/>
        <v>1968000</v>
      </c>
      <c r="AG50" s="310">
        <f t="shared" si="33"/>
        <v>98400</v>
      </c>
      <c r="AH50" s="310">
        <f t="shared" si="34"/>
        <v>98400</v>
      </c>
      <c r="AI50" s="67">
        <f>+'PAJAK JAN-NOV'!R47</f>
        <v>197067</v>
      </c>
      <c r="AJ50" s="139">
        <f t="shared" si="35"/>
        <v>0</v>
      </c>
      <c r="AK50" s="32"/>
      <c r="AL50" s="33">
        <f t="shared" si="7"/>
        <v>98667</v>
      </c>
      <c r="AM50" s="32"/>
      <c r="AN50" s="33"/>
      <c r="AO50" s="32"/>
      <c r="AP50" s="32"/>
    </row>
    <row r="51" spans="2:42" s="136" customFormat="1" ht="21" customHeight="1">
      <c r="B51" s="131">
        <v>46</v>
      </c>
      <c r="C51" s="132" t="str">
        <f>+PERBULAN!B53</f>
        <v>ROSMANSYAH</v>
      </c>
      <c r="D51" s="137" t="s">
        <v>249</v>
      </c>
      <c r="E51" s="37" t="s">
        <v>69</v>
      </c>
      <c r="F51" s="324" t="s">
        <v>308</v>
      </c>
      <c r="G51" s="305" t="s">
        <v>532</v>
      </c>
      <c r="H51" s="319" t="s">
        <v>39</v>
      </c>
      <c r="I51" s="308" t="s">
        <v>7</v>
      </c>
      <c r="J51" s="308" t="str">
        <f t="shared" si="26"/>
        <v>TER A</v>
      </c>
      <c r="K51" s="309">
        <v>1</v>
      </c>
      <c r="L51" s="309">
        <v>12</v>
      </c>
      <c r="M51" s="40">
        <f>'[3]DAFTAR UPAH HARVESTING'!X30*129220</f>
        <v>4005820</v>
      </c>
      <c r="N51" s="40">
        <f>'[3]DAFTAR UPAH HARVESTING'!CR30</f>
        <v>2327998</v>
      </c>
      <c r="O51" s="40">
        <f>[3]PPH!L52+[3]PPH!M52</f>
        <v>188643.84</v>
      </c>
      <c r="P51" s="40">
        <v>0</v>
      </c>
      <c r="Q51" s="40">
        <f t="shared" si="27"/>
        <v>6522461.8399999999</v>
      </c>
      <c r="R51" s="40">
        <f>+PERBULAN!S53</f>
        <v>3965100</v>
      </c>
      <c r="S51" s="40">
        <f>+SETAHUN!J53</f>
        <v>600000</v>
      </c>
      <c r="T51" s="40">
        <v>0</v>
      </c>
      <c r="U51" s="40">
        <f>+SETAHUN!F53+M51+N51</f>
        <v>60552762.159999982</v>
      </c>
      <c r="V51" s="40">
        <v>0</v>
      </c>
      <c r="W51" s="40">
        <f>+SETAHUN!V53+O51</f>
        <v>2262667.6799999997</v>
      </c>
      <c r="X51" s="40">
        <v>0</v>
      </c>
      <c r="Y51" s="40">
        <v>0</v>
      </c>
      <c r="Z51" s="40">
        <f t="shared" si="28"/>
        <v>4565100</v>
      </c>
      <c r="AA51" s="40">
        <f t="shared" si="29"/>
        <v>67380529.839999974</v>
      </c>
      <c r="AB51" s="40">
        <f t="shared" si="30"/>
        <v>3369026</v>
      </c>
      <c r="AC51" s="40">
        <f>('ASTEK-DIISI SMPAI DES'!O53+'ASTEK-DIISI SMPAI DES'!O168)</f>
        <v>1399356</v>
      </c>
      <c r="AD51" s="40">
        <f t="shared" si="31"/>
        <v>62612147.839999974</v>
      </c>
      <c r="AE51" s="67">
        <f t="shared" si="32"/>
        <v>54000000</v>
      </c>
      <c r="AF51" s="67">
        <f t="shared" si="10"/>
        <v>8612000</v>
      </c>
      <c r="AG51" s="310">
        <f t="shared" si="33"/>
        <v>430600</v>
      </c>
      <c r="AH51" s="310">
        <f t="shared" si="34"/>
        <v>430600</v>
      </c>
      <c r="AI51" s="67">
        <f>+'PAJAK JAN-NOV'!R48</f>
        <v>254554</v>
      </c>
      <c r="AJ51" s="139">
        <f t="shared" si="35"/>
        <v>176046</v>
      </c>
      <c r="AK51" s="32"/>
      <c r="AL51" s="33">
        <f t="shared" si="7"/>
        <v>-176046</v>
      </c>
      <c r="AM51" s="32"/>
      <c r="AN51" s="33"/>
      <c r="AO51" s="32"/>
      <c r="AP51" s="32"/>
    </row>
    <row r="52" spans="2:42" s="136" customFormat="1" ht="21" customHeight="1">
      <c r="B52" s="131">
        <v>47</v>
      </c>
      <c r="C52" s="132" t="str">
        <f>+PERBULAN!B54</f>
        <v>KAMALUDIN</v>
      </c>
      <c r="D52" s="137" t="s">
        <v>252</v>
      </c>
      <c r="E52" s="37" t="s">
        <v>69</v>
      </c>
      <c r="F52" s="324" t="s">
        <v>311</v>
      </c>
      <c r="G52" s="305" t="s">
        <v>532</v>
      </c>
      <c r="H52" s="319" t="s">
        <v>39</v>
      </c>
      <c r="I52" s="308" t="s">
        <v>9</v>
      </c>
      <c r="J52" s="308" t="str">
        <f t="shared" si="26"/>
        <v>TER B</v>
      </c>
      <c r="K52" s="309">
        <v>1</v>
      </c>
      <c r="L52" s="309">
        <v>12</v>
      </c>
      <c r="M52" s="40">
        <f>'[3]DAFTAR UPAH HARVESTING'!X31*129220</f>
        <v>3876600</v>
      </c>
      <c r="N52" s="40">
        <f>'[3]DAFTAR UPAH HARVESTING'!CR31</f>
        <v>1997002.2222222222</v>
      </c>
      <c r="O52" s="40">
        <f>[3]PPH!L53+[3]PPH!M53</f>
        <v>188643.84</v>
      </c>
      <c r="P52" s="40">
        <v>0</v>
      </c>
      <c r="Q52" s="40">
        <f t="shared" si="27"/>
        <v>6062246.0622222219</v>
      </c>
      <c r="R52" s="40">
        <f>+PERBULAN!S54</f>
        <v>4037100</v>
      </c>
      <c r="S52" s="40">
        <f>+SETAHUN!J54</f>
        <v>200000</v>
      </c>
      <c r="T52" s="40">
        <v>0</v>
      </c>
      <c r="U52" s="40">
        <f>+SETAHUN!F54+M52+N52</f>
        <v>56848642.382222205</v>
      </c>
      <c r="V52" s="40">
        <v>0</v>
      </c>
      <c r="W52" s="40">
        <f>+SETAHUN!V54+O52</f>
        <v>2262427.6799999997</v>
      </c>
      <c r="X52" s="40">
        <v>0</v>
      </c>
      <c r="Y52" s="40">
        <v>0</v>
      </c>
      <c r="Z52" s="40">
        <f t="shared" si="28"/>
        <v>4237100</v>
      </c>
      <c r="AA52" s="40">
        <f t="shared" si="29"/>
        <v>63348170.062222205</v>
      </c>
      <c r="AB52" s="40">
        <f t="shared" si="30"/>
        <v>3167409</v>
      </c>
      <c r="AC52" s="40">
        <f>('ASTEK-DIISI SMPAI DES'!O54+'ASTEK-DIISI SMPAI DES'!O169)</f>
        <v>1399356</v>
      </c>
      <c r="AD52" s="40">
        <f t="shared" si="31"/>
        <v>58781405.062222205</v>
      </c>
      <c r="AE52" s="67">
        <f t="shared" si="32"/>
        <v>63000000</v>
      </c>
      <c r="AF52" s="67">
        <f>ROUNDDOWN(IF(AD52&lt;=AE52,0,IF(AD52&gt;AE52,AD52-AE52)),-3)</f>
        <v>0</v>
      </c>
      <c r="AG52" s="310">
        <f t="shared" si="33"/>
        <v>0</v>
      </c>
      <c r="AH52" s="310">
        <f t="shared" si="34"/>
        <v>0</v>
      </c>
      <c r="AI52" s="67">
        <f>+'PAJAK JAN-NOV'!R49</f>
        <v>146413</v>
      </c>
      <c r="AJ52" s="139">
        <f t="shared" si="35"/>
        <v>0</v>
      </c>
      <c r="AK52" s="32"/>
      <c r="AL52" s="33">
        <f t="shared" si="7"/>
        <v>146413</v>
      </c>
      <c r="AM52" s="32"/>
      <c r="AN52" s="33"/>
      <c r="AO52" s="32"/>
      <c r="AP52" s="32"/>
    </row>
    <row r="53" spans="2:42" s="136" customFormat="1" ht="21" customHeight="1">
      <c r="B53" s="131">
        <v>48</v>
      </c>
      <c r="C53" s="132" t="str">
        <f>+PERBULAN!B55</f>
        <v>AZRI DONA</v>
      </c>
      <c r="D53" s="137" t="s">
        <v>256</v>
      </c>
      <c r="E53" s="37" t="s">
        <v>404</v>
      </c>
      <c r="F53" s="324" t="s">
        <v>533</v>
      </c>
      <c r="G53" s="305" t="s">
        <v>532</v>
      </c>
      <c r="H53" s="319" t="s">
        <v>39</v>
      </c>
      <c r="I53" s="308" t="s">
        <v>11</v>
      </c>
      <c r="J53" s="308" t="str">
        <f t="shared" si="26"/>
        <v>TER B</v>
      </c>
      <c r="K53" s="309">
        <v>1</v>
      </c>
      <c r="L53" s="309">
        <v>12</v>
      </c>
      <c r="M53" s="40">
        <f>'[3]DAFTAR UPAH HARVESTING'!X32*129220</f>
        <v>4005820</v>
      </c>
      <c r="N53" s="40">
        <f>'[3]DAFTAR UPAH HARVESTING'!CR32</f>
        <v>2165982</v>
      </c>
      <c r="O53" s="40">
        <f>[3]PPH!L54+[3]PPH!M54</f>
        <v>188934.24</v>
      </c>
      <c r="P53" s="40">
        <v>0</v>
      </c>
      <c r="Q53" s="40">
        <f t="shared" si="27"/>
        <v>6360736.2400000002</v>
      </c>
      <c r="R53" s="40">
        <f>+PERBULAN!S55</f>
        <v>4067100</v>
      </c>
      <c r="S53" s="40">
        <f>+SETAHUN!J55</f>
        <v>200000</v>
      </c>
      <c r="T53" s="40">
        <v>0</v>
      </c>
      <c r="U53" s="40">
        <f>+SETAHUN!F55+M53+N53</f>
        <v>59894763.359999985</v>
      </c>
      <c r="V53" s="40">
        <v>0</v>
      </c>
      <c r="W53" s="40">
        <f>+SETAHUN!V55+O53</f>
        <v>2264984.88</v>
      </c>
      <c r="X53" s="40">
        <v>0</v>
      </c>
      <c r="Y53" s="40">
        <v>0</v>
      </c>
      <c r="Z53" s="40">
        <f t="shared" si="28"/>
        <v>4267100</v>
      </c>
      <c r="AA53" s="40">
        <f t="shared" si="29"/>
        <v>66426848.239999987</v>
      </c>
      <c r="AB53" s="40">
        <f t="shared" si="30"/>
        <v>3321342</v>
      </c>
      <c r="AC53" s="40">
        <f>('ASTEK-DIISI SMPAI DES'!O55+'ASTEK-DIISI SMPAI DES'!O170)</f>
        <v>1400346</v>
      </c>
      <c r="AD53" s="40">
        <f t="shared" si="31"/>
        <v>61705160.239999987</v>
      </c>
      <c r="AE53" s="67">
        <f t="shared" si="32"/>
        <v>67500000</v>
      </c>
      <c r="AF53" s="67">
        <f t="shared" si="10"/>
        <v>0</v>
      </c>
      <c r="AG53" s="310">
        <f t="shared" si="33"/>
        <v>0</v>
      </c>
      <c r="AH53" s="310">
        <f t="shared" si="34"/>
        <v>0</v>
      </c>
      <c r="AI53" s="67">
        <f>+'PAJAK JAN-NOV'!R50</f>
        <v>149821</v>
      </c>
      <c r="AJ53" s="139">
        <f t="shared" si="35"/>
        <v>0</v>
      </c>
      <c r="AK53" s="32"/>
      <c r="AL53" s="33">
        <f t="shared" si="7"/>
        <v>149821</v>
      </c>
      <c r="AM53" s="32"/>
      <c r="AN53" s="33"/>
      <c r="AO53" s="32"/>
      <c r="AP53" s="32"/>
    </row>
    <row r="54" spans="2:42" s="136" customFormat="1" ht="21" customHeight="1">
      <c r="B54" s="131">
        <v>49</v>
      </c>
      <c r="C54" s="132" t="str">
        <f>+PERBULAN!B56</f>
        <v>HALIK</v>
      </c>
      <c r="D54" s="137" t="s">
        <v>267</v>
      </c>
      <c r="E54" s="37" t="s">
        <v>69</v>
      </c>
      <c r="F54" s="324" t="s">
        <v>318</v>
      </c>
      <c r="G54" s="305" t="s">
        <v>532</v>
      </c>
      <c r="H54" s="319" t="s">
        <v>39</v>
      </c>
      <c r="I54" s="308" t="s">
        <v>11</v>
      </c>
      <c r="J54" s="308" t="str">
        <f t="shared" si="26"/>
        <v>TER B</v>
      </c>
      <c r="K54" s="309">
        <v>1</v>
      </c>
      <c r="L54" s="309">
        <v>12</v>
      </c>
      <c r="M54" s="40">
        <f>'[3]DAFTAR UPAH HARVESTING'!X33*129220</f>
        <v>4005820</v>
      </c>
      <c r="N54" s="40">
        <f>'[3]DAFTAR UPAH HARVESTING'!CR33</f>
        <v>2320614</v>
      </c>
      <c r="O54" s="40">
        <f>[3]PPH!L55+[3]PPH!M55</f>
        <v>187869.44</v>
      </c>
      <c r="P54" s="40">
        <v>0</v>
      </c>
      <c r="Q54" s="40">
        <f t="shared" si="27"/>
        <v>6514303.4400000004</v>
      </c>
      <c r="R54" s="40">
        <f>+PERBULAN!S56</f>
        <v>4045600</v>
      </c>
      <c r="S54" s="40">
        <f>+SETAHUN!J56</f>
        <v>200000</v>
      </c>
      <c r="T54" s="40">
        <v>0</v>
      </c>
      <c r="U54" s="40">
        <f>+SETAHUN!F56+M54+N54</f>
        <v>62790211.160000004</v>
      </c>
      <c r="V54" s="40">
        <v>0</v>
      </c>
      <c r="W54" s="40">
        <f>+SETAHUN!V56+O54</f>
        <v>2253681.2799999998</v>
      </c>
      <c r="X54" s="40">
        <v>0</v>
      </c>
      <c r="Y54" s="40">
        <v>0</v>
      </c>
      <c r="Z54" s="40">
        <f t="shared" si="28"/>
        <v>4245600</v>
      </c>
      <c r="AA54" s="40">
        <f t="shared" si="29"/>
        <v>69289492.439999998</v>
      </c>
      <c r="AB54" s="40">
        <f t="shared" si="30"/>
        <v>3464475</v>
      </c>
      <c r="AC54" s="40">
        <f>('ASTEK-DIISI SMPAI DES'!O56+'ASTEK-DIISI SMPAI DES'!O171)</f>
        <v>1396476</v>
      </c>
      <c r="AD54" s="40">
        <f t="shared" si="31"/>
        <v>64428541.439999998</v>
      </c>
      <c r="AE54" s="67">
        <f t="shared" si="32"/>
        <v>67500000</v>
      </c>
      <c r="AF54" s="67">
        <f t="shared" si="10"/>
        <v>0</v>
      </c>
      <c r="AG54" s="310">
        <f t="shared" si="33"/>
        <v>0</v>
      </c>
      <c r="AH54" s="310">
        <f t="shared" si="34"/>
        <v>0</v>
      </c>
      <c r="AI54" s="67">
        <f>+'PAJAK JAN-NOV'!R51</f>
        <v>203964</v>
      </c>
      <c r="AJ54" s="139">
        <f t="shared" si="35"/>
        <v>0</v>
      </c>
      <c r="AK54" s="32"/>
      <c r="AL54" s="33">
        <f t="shared" si="7"/>
        <v>203964</v>
      </c>
      <c r="AM54" s="32"/>
      <c r="AN54" s="33"/>
      <c r="AO54" s="32"/>
      <c r="AP54" s="32"/>
    </row>
    <row r="55" spans="2:42" s="136" customFormat="1" ht="21" customHeight="1">
      <c r="B55" s="131">
        <v>50</v>
      </c>
      <c r="C55" s="132" t="str">
        <f>+PERBULAN!B57</f>
        <v>KARTONO</v>
      </c>
      <c r="D55" s="137" t="s">
        <v>269</v>
      </c>
      <c r="E55" s="37" t="s">
        <v>69</v>
      </c>
      <c r="F55" s="324" t="s">
        <v>275</v>
      </c>
      <c r="G55" s="305" t="s">
        <v>532</v>
      </c>
      <c r="H55" s="319" t="s">
        <v>39</v>
      </c>
      <c r="I55" s="308" t="s">
        <v>9</v>
      </c>
      <c r="J55" s="308" t="str">
        <f t="shared" si="26"/>
        <v>TER B</v>
      </c>
      <c r="K55" s="309">
        <v>1</v>
      </c>
      <c r="L55" s="309">
        <v>12</v>
      </c>
      <c r="M55" s="40">
        <f>'[3]DAFTAR UPAH HARVESTING'!X34*129220</f>
        <v>3876600</v>
      </c>
      <c r="N55" s="40">
        <f>'[3]DAFTAR UPAH HARVESTING'!CR34</f>
        <v>1993940.6666666667</v>
      </c>
      <c r="O55" s="40">
        <f>[3]PPH!L56+[3]PPH!M56</f>
        <v>187748.44</v>
      </c>
      <c r="P55" s="40">
        <v>0</v>
      </c>
      <c r="Q55" s="40">
        <f t="shared" si="27"/>
        <v>6058289.1066666674</v>
      </c>
      <c r="R55" s="40">
        <f>+PERBULAN!S57</f>
        <v>2668400</v>
      </c>
      <c r="S55" s="40">
        <f>+SETAHUN!J57</f>
        <v>250000</v>
      </c>
      <c r="T55" s="40">
        <v>0</v>
      </c>
      <c r="U55" s="40">
        <f>+SETAHUN!F57+M55+N55</f>
        <v>58660548.826666668</v>
      </c>
      <c r="V55" s="40">
        <v>0</v>
      </c>
      <c r="W55" s="40">
        <f>+SETAHUN!V57+O55</f>
        <v>2252255.2799999998</v>
      </c>
      <c r="X55" s="40">
        <v>0</v>
      </c>
      <c r="Y55" s="40">
        <v>0</v>
      </c>
      <c r="Z55" s="40">
        <f t="shared" si="28"/>
        <v>2918400</v>
      </c>
      <c r="AA55" s="40">
        <f t="shared" si="29"/>
        <v>63831204.106666669</v>
      </c>
      <c r="AB55" s="40">
        <f t="shared" si="30"/>
        <v>3191560</v>
      </c>
      <c r="AC55" s="40">
        <f>('ASTEK-DIISI SMPAI DES'!O57+'ASTEK-DIISI SMPAI DES'!O172)</f>
        <v>1396026</v>
      </c>
      <c r="AD55" s="40">
        <f t="shared" si="31"/>
        <v>59243618.106666669</v>
      </c>
      <c r="AE55" s="67">
        <f t="shared" si="32"/>
        <v>63000000</v>
      </c>
      <c r="AF55" s="67">
        <f t="shared" si="10"/>
        <v>0</v>
      </c>
      <c r="AG55" s="310">
        <f t="shared" si="33"/>
        <v>0</v>
      </c>
      <c r="AH55" s="310">
        <f t="shared" si="34"/>
        <v>0</v>
      </c>
      <c r="AI55" s="67">
        <f>+'PAJAK JAN-NOV'!R52</f>
        <v>84632</v>
      </c>
      <c r="AJ55" s="139">
        <f t="shared" si="35"/>
        <v>0</v>
      </c>
      <c r="AK55" s="32"/>
      <c r="AL55" s="33">
        <f t="shared" si="7"/>
        <v>84632</v>
      </c>
      <c r="AM55" s="32"/>
      <c r="AN55" s="33"/>
      <c r="AO55" s="32"/>
      <c r="AP55" s="32"/>
    </row>
    <row r="56" spans="2:42" s="136" customFormat="1" ht="21" customHeight="1">
      <c r="B56" s="131">
        <v>51</v>
      </c>
      <c r="C56" s="132" t="str">
        <f>+PERBULAN!B58</f>
        <v>LALU MANAR HADI</v>
      </c>
      <c r="D56" s="137" t="s">
        <v>203</v>
      </c>
      <c r="E56" s="37" t="s">
        <v>69</v>
      </c>
      <c r="F56" s="324" t="s">
        <v>276</v>
      </c>
      <c r="G56" s="305" t="s">
        <v>532</v>
      </c>
      <c r="H56" s="319" t="s">
        <v>39</v>
      </c>
      <c r="I56" s="308" t="s">
        <v>17</v>
      </c>
      <c r="J56" s="308" t="str">
        <f t="shared" si="26"/>
        <v>TER A</v>
      </c>
      <c r="K56" s="309">
        <v>1</v>
      </c>
      <c r="L56" s="309">
        <v>12</v>
      </c>
      <c r="M56" s="40">
        <f>'[3]DAFTAR UPAH HARVESTING'!X35*129220</f>
        <v>4005820</v>
      </c>
      <c r="N56" s="40">
        <f>'[3]DAFTAR UPAH HARVESTING'!CR35</f>
        <v>3450010.4833206213</v>
      </c>
      <c r="O56" s="40">
        <f>[3]PPH!L57+[3]PPH!M57</f>
        <v>187748.44</v>
      </c>
      <c r="P56" s="40">
        <v>0</v>
      </c>
      <c r="Q56" s="40">
        <f t="shared" si="27"/>
        <v>7643578.9233206222</v>
      </c>
      <c r="R56" s="40">
        <f>+PERBULAN!S58</f>
        <v>1993800</v>
      </c>
      <c r="S56" s="40">
        <f>+SETAHUN!J58</f>
        <v>50000</v>
      </c>
      <c r="T56" s="40">
        <v>0</v>
      </c>
      <c r="U56" s="40">
        <f>+SETAHUN!F58+M56+N56</f>
        <v>74055512.643320635</v>
      </c>
      <c r="V56" s="40">
        <v>0</v>
      </c>
      <c r="W56" s="40">
        <f>+SETAHUN!V58+O56</f>
        <v>2252013.2799999998</v>
      </c>
      <c r="X56" s="40">
        <v>0</v>
      </c>
      <c r="Y56" s="40">
        <v>0</v>
      </c>
      <c r="Z56" s="40">
        <f t="shared" si="28"/>
        <v>2043800</v>
      </c>
      <c r="AA56" s="40">
        <f t="shared" si="29"/>
        <v>78351325.923320636</v>
      </c>
      <c r="AB56" s="40">
        <f t="shared" si="30"/>
        <v>3917566</v>
      </c>
      <c r="AC56" s="40">
        <f>('ASTEK-DIISI SMPAI DES'!O58+'ASTEK-DIISI SMPAI DES'!O173)</f>
        <v>1395876</v>
      </c>
      <c r="AD56" s="40">
        <f t="shared" si="31"/>
        <v>73037883.923320636</v>
      </c>
      <c r="AE56" s="67">
        <f t="shared" si="32"/>
        <v>58500000</v>
      </c>
      <c r="AF56" s="67">
        <f t="shared" si="10"/>
        <v>14537000</v>
      </c>
      <c r="AG56" s="310">
        <f t="shared" si="33"/>
        <v>726850</v>
      </c>
      <c r="AH56" s="310">
        <f t="shared" si="34"/>
        <v>726850</v>
      </c>
      <c r="AI56" s="67">
        <f>+'PAJAK JAN-NOV'!R53</f>
        <v>642125</v>
      </c>
      <c r="AJ56" s="139">
        <f t="shared" si="35"/>
        <v>84725</v>
      </c>
      <c r="AK56" s="32"/>
      <c r="AL56" s="33">
        <f t="shared" si="7"/>
        <v>-84725</v>
      </c>
      <c r="AM56" s="32"/>
      <c r="AN56" s="33"/>
      <c r="AO56" s="32"/>
      <c r="AP56" s="32"/>
    </row>
    <row r="57" spans="2:42" s="136" customFormat="1" ht="21" customHeight="1">
      <c r="B57" s="131">
        <v>52</v>
      </c>
      <c r="C57" s="132" t="str">
        <f>+PERBULAN!B59</f>
        <v>ANHAR</v>
      </c>
      <c r="D57" s="359" t="s">
        <v>542</v>
      </c>
      <c r="E57" s="37" t="s">
        <v>69</v>
      </c>
      <c r="F57" s="324" t="s">
        <v>536</v>
      </c>
      <c r="G57" s="305" t="s">
        <v>532</v>
      </c>
      <c r="H57" s="319" t="s">
        <v>39</v>
      </c>
      <c r="I57" s="308" t="s">
        <v>11</v>
      </c>
      <c r="J57" s="308" t="str">
        <f t="shared" si="26"/>
        <v>TER B</v>
      </c>
      <c r="K57" s="309">
        <v>1</v>
      </c>
      <c r="L57" s="309">
        <v>12</v>
      </c>
      <c r="M57" s="40">
        <f>'[3]DAFTAR UPAH HARVESTING'!X36*129220</f>
        <v>4005820</v>
      </c>
      <c r="N57" s="40">
        <f>'[3]DAFTAR UPAH HARVESTING'!CR36</f>
        <v>2232285.111111111</v>
      </c>
      <c r="O57" s="40">
        <f>[3]PPH!L58+[3]PPH!M58</f>
        <v>187748.44</v>
      </c>
      <c r="P57" s="40">
        <v>0</v>
      </c>
      <c r="Q57" s="40">
        <f t="shared" si="27"/>
        <v>6425853.5511111114</v>
      </c>
      <c r="R57" s="40">
        <f>+PERBULAN!S59</f>
        <v>1010775</v>
      </c>
      <c r="S57" s="40">
        <f>+SETAHUN!J59</f>
        <v>0</v>
      </c>
      <c r="T57" s="40">
        <v>0</v>
      </c>
      <c r="U57" s="40">
        <f>+SETAHUN!F59+M57+N57</f>
        <v>62153273.271111116</v>
      </c>
      <c r="V57" s="40">
        <v>0</v>
      </c>
      <c r="W57" s="40">
        <f>+SETAHUN!V59+O57</f>
        <v>2251650.2799999998</v>
      </c>
      <c r="X57" s="40">
        <v>0</v>
      </c>
      <c r="Y57" s="40">
        <v>0</v>
      </c>
      <c r="Z57" s="40">
        <f t="shared" si="28"/>
        <v>1010775</v>
      </c>
      <c r="AA57" s="40">
        <f t="shared" si="29"/>
        <v>65415698.551111117</v>
      </c>
      <c r="AB57" s="40">
        <f t="shared" si="30"/>
        <v>3270785</v>
      </c>
      <c r="AC57" s="40">
        <f>('ASTEK-DIISI SMPAI DES'!O59+'ASTEK-DIISI SMPAI DES'!O174)</f>
        <v>1395651</v>
      </c>
      <c r="AD57" s="40">
        <f t="shared" si="31"/>
        <v>60749262.551111117</v>
      </c>
      <c r="AE57" s="67">
        <f t="shared" si="32"/>
        <v>67500000</v>
      </c>
      <c r="AF57" s="67">
        <f t="shared" si="10"/>
        <v>0</v>
      </c>
      <c r="AG57" s="310">
        <f t="shared" si="33"/>
        <v>0</v>
      </c>
      <c r="AH57" s="310">
        <f t="shared" si="34"/>
        <v>0</v>
      </c>
      <c r="AI57" s="67">
        <f>+'PAJAK JAN-NOV'!R54</f>
        <v>68517</v>
      </c>
      <c r="AJ57" s="139">
        <f t="shared" si="35"/>
        <v>0</v>
      </c>
      <c r="AK57" s="32"/>
      <c r="AL57" s="33">
        <f t="shared" si="7"/>
        <v>68517</v>
      </c>
      <c r="AM57" s="32"/>
      <c r="AN57" s="33"/>
      <c r="AO57" s="32"/>
      <c r="AP57" s="32"/>
    </row>
    <row r="58" spans="2:42" s="136" customFormat="1" ht="21" customHeight="1">
      <c r="B58" s="371">
        <v>53</v>
      </c>
      <c r="C58" s="372" t="str">
        <f>+PERBULAN!B60</f>
        <v>IRPAN SAMSUDIN</v>
      </c>
      <c r="D58" s="373" t="s">
        <v>543</v>
      </c>
      <c r="E58" s="374" t="s">
        <v>69</v>
      </c>
      <c r="F58" s="375" t="s">
        <v>537</v>
      </c>
      <c r="G58" s="376" t="s">
        <v>532</v>
      </c>
      <c r="H58" s="377" t="s">
        <v>39</v>
      </c>
      <c r="I58" s="378" t="s">
        <v>7</v>
      </c>
      <c r="J58" s="378" t="str">
        <f t="shared" si="26"/>
        <v>TER A</v>
      </c>
      <c r="K58" s="379">
        <v>1</v>
      </c>
      <c r="L58" s="309">
        <v>7</v>
      </c>
      <c r="M58" s="40"/>
      <c r="N58" s="40"/>
      <c r="O58" s="40">
        <f>[3]PPH!L59+[3]PPH!M59</f>
        <v>0</v>
      </c>
      <c r="P58" s="381">
        <v>0</v>
      </c>
      <c r="Q58" s="381">
        <f t="shared" si="27"/>
        <v>0</v>
      </c>
      <c r="R58" s="381">
        <f>+PERBULAN!S60</f>
        <v>996900</v>
      </c>
      <c r="S58" s="381">
        <f>+SETAHUN!J60</f>
        <v>0</v>
      </c>
      <c r="T58" s="381">
        <v>0</v>
      </c>
      <c r="U58" s="381">
        <f>+SETAHUN!F60+M58+N58</f>
        <v>29229929.919999994</v>
      </c>
      <c r="V58" s="381">
        <v>0</v>
      </c>
      <c r="W58" s="381">
        <f>+SETAHUN!V60+O58</f>
        <v>1313392.08</v>
      </c>
      <c r="X58" s="381">
        <v>0</v>
      </c>
      <c r="Y58" s="381">
        <v>0</v>
      </c>
      <c r="Z58" s="381">
        <f t="shared" si="28"/>
        <v>996900</v>
      </c>
      <c r="AA58" s="381">
        <f t="shared" si="29"/>
        <v>31540221.999999993</v>
      </c>
      <c r="AB58" s="381">
        <f t="shared" si="30"/>
        <v>1577011</v>
      </c>
      <c r="AC58" s="381">
        <f>('ASTEK-DIISI SMPAI DES'!O60+'ASTEK-DIISI SMPAI DES'!O175)</f>
        <v>814086</v>
      </c>
      <c r="AD58" s="381">
        <f t="shared" si="31"/>
        <v>29149124.999999993</v>
      </c>
      <c r="AE58" s="380">
        <f t="shared" si="32"/>
        <v>54000000</v>
      </c>
      <c r="AF58" s="380">
        <f t="shared" si="10"/>
        <v>0</v>
      </c>
      <c r="AG58" s="382">
        <f t="shared" si="33"/>
        <v>0</v>
      </c>
      <c r="AH58" s="382">
        <f t="shared" si="34"/>
        <v>0</v>
      </c>
      <c r="AI58" s="380">
        <f>+'PAJAK JAN-NOV'!R55</f>
        <v>66108</v>
      </c>
      <c r="AJ58" s="383">
        <f t="shared" si="35"/>
        <v>0</v>
      </c>
      <c r="AK58" s="32"/>
      <c r="AL58" s="33">
        <f t="shared" si="7"/>
        <v>66108</v>
      </c>
      <c r="AM58" s="32"/>
      <c r="AN58" s="33"/>
      <c r="AO58" s="32"/>
      <c r="AP58" s="32"/>
    </row>
    <row r="59" spans="2:42" s="136" customFormat="1" ht="21" customHeight="1">
      <c r="B59" s="131">
        <v>54</v>
      </c>
      <c r="C59" s="132" t="str">
        <f>+PERBULAN!B61</f>
        <v>ADI . JP</v>
      </c>
      <c r="D59" s="137" t="s">
        <v>258</v>
      </c>
      <c r="E59" s="37" t="s">
        <v>405</v>
      </c>
      <c r="F59" s="324" t="s">
        <v>193</v>
      </c>
      <c r="G59" s="305" t="s">
        <v>538</v>
      </c>
      <c r="H59" s="319" t="s">
        <v>39</v>
      </c>
      <c r="I59" s="308" t="s">
        <v>11</v>
      </c>
      <c r="J59" s="308" t="str">
        <f t="shared" si="26"/>
        <v>TER B</v>
      </c>
      <c r="K59" s="309">
        <v>1</v>
      </c>
      <c r="L59" s="309">
        <v>12</v>
      </c>
      <c r="M59" s="40">
        <f>'[3]DAFTAR UPAH PLASMA'!X9*129220</f>
        <v>4005820</v>
      </c>
      <c r="N59" s="40">
        <v>300050</v>
      </c>
      <c r="O59" s="40">
        <f>[3]PPH!L60+[3]PPH!M60</f>
        <v>190265.24</v>
      </c>
      <c r="P59" s="40">
        <v>0</v>
      </c>
      <c r="Q59" s="40">
        <f t="shared" si="27"/>
        <v>4496135.24</v>
      </c>
      <c r="R59" s="40">
        <f>+PERBULAN!S61</f>
        <v>4090100</v>
      </c>
      <c r="S59" s="40">
        <f>+SETAHUN!J61</f>
        <v>600000</v>
      </c>
      <c r="T59" s="40">
        <v>0</v>
      </c>
      <c r="U59" s="40">
        <f>+SETAHUN!F61+M59+N59</f>
        <v>50794896.159999989</v>
      </c>
      <c r="V59" s="40">
        <v>0</v>
      </c>
      <c r="W59" s="40">
        <f>+SETAHUN!V61+O59</f>
        <v>2278916.08</v>
      </c>
      <c r="X59" s="40">
        <v>0</v>
      </c>
      <c r="Y59" s="40">
        <v>0</v>
      </c>
      <c r="Z59" s="40">
        <f t="shared" si="28"/>
        <v>4690100</v>
      </c>
      <c r="AA59" s="40">
        <f t="shared" si="29"/>
        <v>57763912.239999987</v>
      </c>
      <c r="AB59" s="40">
        <f>ROUND(IF((AA59)*5%&gt;6000000,6000000,(AA59)*5%),0)</f>
        <v>2888196</v>
      </c>
      <c r="AC59" s="40">
        <f>('ASTEK-DIISI SMPAI DES'!O61+'ASTEK-DIISI SMPAI DES'!O176)</f>
        <v>1405386</v>
      </c>
      <c r="AD59" s="40">
        <f t="shared" si="31"/>
        <v>53470330.239999987</v>
      </c>
      <c r="AE59" s="67">
        <f t="shared" si="32"/>
        <v>67500000</v>
      </c>
      <c r="AF59" s="67">
        <f t="shared" si="10"/>
        <v>0</v>
      </c>
      <c r="AG59" s="310">
        <f t="shared" si="33"/>
        <v>0</v>
      </c>
      <c r="AH59" s="310">
        <f t="shared" si="34"/>
        <v>0</v>
      </c>
      <c r="AI59" s="67">
        <f>+'PAJAK JAN-NOV'!R56</f>
        <v>85885</v>
      </c>
      <c r="AJ59" s="139">
        <f t="shared" si="35"/>
        <v>0</v>
      </c>
      <c r="AK59" s="32"/>
      <c r="AL59" s="33">
        <f t="shared" si="7"/>
        <v>85885</v>
      </c>
      <c r="AM59" s="32"/>
      <c r="AN59" s="33"/>
      <c r="AO59" s="32"/>
      <c r="AP59" s="32"/>
    </row>
    <row r="60" spans="2:42" s="136" customFormat="1" ht="21" customHeight="1">
      <c r="B60" s="131">
        <v>55</v>
      </c>
      <c r="C60" s="132" t="str">
        <f>+PERBULAN!B62</f>
        <v>RUDI</v>
      </c>
      <c r="D60" s="137" t="s">
        <v>259</v>
      </c>
      <c r="E60" s="37" t="s">
        <v>69</v>
      </c>
      <c r="F60" s="324" t="s">
        <v>192</v>
      </c>
      <c r="G60" s="305" t="s">
        <v>539</v>
      </c>
      <c r="H60" s="319" t="s">
        <v>39</v>
      </c>
      <c r="I60" s="308" t="s">
        <v>11</v>
      </c>
      <c r="J60" s="308" t="str">
        <f t="shared" si="26"/>
        <v>TER B</v>
      </c>
      <c r="K60" s="309">
        <v>1</v>
      </c>
      <c r="L60" s="309">
        <v>12</v>
      </c>
      <c r="M60" s="40">
        <f>'[3]DAFTAR UPAH PLASMA'!X10*129220</f>
        <v>4005820</v>
      </c>
      <c r="N60" s="40">
        <v>1470500</v>
      </c>
      <c r="O60" s="40">
        <f>[3]PPH!L61+[3]PPH!M61</f>
        <v>188934.24</v>
      </c>
      <c r="P60" s="40">
        <v>0</v>
      </c>
      <c r="Q60" s="40">
        <f t="shared" si="27"/>
        <v>5665254.2400000002</v>
      </c>
      <c r="R60" s="40">
        <f>+PERBULAN!S62</f>
        <v>4067100</v>
      </c>
      <c r="S60" s="40">
        <f>+SETAHUN!J62</f>
        <v>200000</v>
      </c>
      <c r="T60" s="40">
        <v>0</v>
      </c>
      <c r="U60" s="40">
        <f>+SETAHUN!F62+M60+N60</f>
        <v>56318046.159999989</v>
      </c>
      <c r="V60" s="40">
        <v>0</v>
      </c>
      <c r="W60" s="40">
        <f>+SETAHUN!V62+O60</f>
        <v>2265490.08</v>
      </c>
      <c r="X60" s="40">
        <v>0</v>
      </c>
      <c r="Y60" s="40">
        <v>0</v>
      </c>
      <c r="Z60" s="40">
        <f t="shared" si="28"/>
        <v>4267100</v>
      </c>
      <c r="AA60" s="40">
        <f t="shared" si="29"/>
        <v>62850636.239999987</v>
      </c>
      <c r="AB60" s="40">
        <f t="shared" si="30"/>
        <v>3142532</v>
      </c>
      <c r="AC60" s="40">
        <f>('ASTEK-DIISI SMPAI DES'!O62+'ASTEK-DIISI SMPAI DES'!O177)</f>
        <v>1400436</v>
      </c>
      <c r="AD60" s="40">
        <f t="shared" si="31"/>
        <v>58307668.239999987</v>
      </c>
      <c r="AE60" s="67">
        <f t="shared" si="32"/>
        <v>67500000</v>
      </c>
      <c r="AF60" s="67">
        <f t="shared" si="10"/>
        <v>0</v>
      </c>
      <c r="AG60" s="310">
        <f t="shared" si="33"/>
        <v>0</v>
      </c>
      <c r="AH60" s="310">
        <f t="shared" si="34"/>
        <v>0</v>
      </c>
      <c r="AI60" s="67">
        <f>+'PAJAK JAN-NOV'!R57</f>
        <v>145757</v>
      </c>
      <c r="AJ60" s="139">
        <f t="shared" si="35"/>
        <v>0</v>
      </c>
      <c r="AK60" s="32"/>
      <c r="AL60" s="33">
        <f t="shared" si="7"/>
        <v>145757</v>
      </c>
      <c r="AM60" s="32"/>
      <c r="AN60" s="33"/>
      <c r="AO60" s="32"/>
      <c r="AP60" s="32"/>
    </row>
    <row r="61" spans="2:42" s="136" customFormat="1" ht="21" customHeight="1">
      <c r="B61" s="131">
        <v>56</v>
      </c>
      <c r="C61" s="132" t="str">
        <f>+PERBULAN!B63</f>
        <v>SUDIANTO</v>
      </c>
      <c r="D61" s="137" t="s">
        <v>260</v>
      </c>
      <c r="E61" s="37" t="s">
        <v>69</v>
      </c>
      <c r="F61" s="324" t="s">
        <v>284</v>
      </c>
      <c r="G61" s="305" t="s">
        <v>539</v>
      </c>
      <c r="H61" s="319" t="s">
        <v>39</v>
      </c>
      <c r="I61" s="308" t="s">
        <v>7</v>
      </c>
      <c r="J61" s="308" t="str">
        <f t="shared" si="26"/>
        <v>TER A</v>
      </c>
      <c r="K61" s="309">
        <v>1</v>
      </c>
      <c r="L61" s="309">
        <v>12</v>
      </c>
      <c r="M61" s="40">
        <f>'[3]DAFTAR UPAH PLASMA'!X11*129220</f>
        <v>3876600</v>
      </c>
      <c r="N61" s="40">
        <v>1405550</v>
      </c>
      <c r="O61" s="40">
        <f>[3]PPH!L62+[3]PPH!M62</f>
        <v>188934.24</v>
      </c>
      <c r="P61" s="40">
        <v>0</v>
      </c>
      <c r="Q61" s="40">
        <f t="shared" si="27"/>
        <v>5471084.2400000002</v>
      </c>
      <c r="R61" s="40">
        <f>+PERBULAN!S63</f>
        <v>3968100</v>
      </c>
      <c r="S61" s="40">
        <f>+SETAHUN!J63</f>
        <v>600000</v>
      </c>
      <c r="T61" s="40">
        <v>0</v>
      </c>
      <c r="U61" s="40">
        <f>+SETAHUN!F63+M61+N61</f>
        <v>54470586.159999989</v>
      </c>
      <c r="V61" s="40">
        <v>0</v>
      </c>
      <c r="W61" s="40">
        <f>+SETAHUN!V63+O61</f>
        <v>2265490.08</v>
      </c>
      <c r="X61" s="40">
        <v>0</v>
      </c>
      <c r="Y61" s="40">
        <v>0</v>
      </c>
      <c r="Z61" s="40">
        <f t="shared" si="28"/>
        <v>4568100</v>
      </c>
      <c r="AA61" s="40">
        <f t="shared" si="29"/>
        <v>61304176.239999987</v>
      </c>
      <c r="AB61" s="40">
        <f t="shared" si="30"/>
        <v>3065209</v>
      </c>
      <c r="AC61" s="40">
        <f>('ASTEK-DIISI SMPAI DES'!O63+'ASTEK-DIISI SMPAI DES'!O178)</f>
        <v>1400436</v>
      </c>
      <c r="AD61" s="40">
        <f t="shared" si="31"/>
        <v>56838531.239999987</v>
      </c>
      <c r="AE61" s="67">
        <f t="shared" si="32"/>
        <v>54000000</v>
      </c>
      <c r="AF61" s="67">
        <f t="shared" si="10"/>
        <v>2838000</v>
      </c>
      <c r="AG61" s="310">
        <f t="shared" si="33"/>
        <v>141900</v>
      </c>
      <c r="AH61" s="310">
        <f t="shared" si="34"/>
        <v>141900</v>
      </c>
      <c r="AI61" s="67">
        <f>+'PAJAK JAN-NOV'!R58</f>
        <v>194436</v>
      </c>
      <c r="AJ61" s="139">
        <f t="shared" si="35"/>
        <v>0</v>
      </c>
      <c r="AK61" s="32"/>
      <c r="AL61" s="33">
        <f t="shared" si="7"/>
        <v>52536</v>
      </c>
      <c r="AM61" s="32"/>
      <c r="AN61" s="33"/>
      <c r="AO61" s="32"/>
      <c r="AP61" s="32"/>
    </row>
    <row r="62" spans="2:42" s="136" customFormat="1" ht="21" customHeight="1">
      <c r="B62" s="131">
        <v>57</v>
      </c>
      <c r="C62" s="132" t="str">
        <f>+PERBULAN!B64</f>
        <v>SALEH</v>
      </c>
      <c r="D62" s="137" t="s">
        <v>261</v>
      </c>
      <c r="E62" s="37" t="s">
        <v>69</v>
      </c>
      <c r="F62" s="324" t="s">
        <v>190</v>
      </c>
      <c r="G62" s="305" t="s">
        <v>539</v>
      </c>
      <c r="H62" s="319" t="s">
        <v>39</v>
      </c>
      <c r="I62" s="308" t="s">
        <v>17</v>
      </c>
      <c r="J62" s="308" t="str">
        <f t="shared" si="26"/>
        <v>TER A</v>
      </c>
      <c r="K62" s="309">
        <v>1</v>
      </c>
      <c r="L62" s="309">
        <v>12</v>
      </c>
      <c r="M62" s="40">
        <f>'[3]DAFTAR UPAH PLASMA'!X12*129220</f>
        <v>4005820</v>
      </c>
      <c r="N62" s="40">
        <v>1421300</v>
      </c>
      <c r="O62" s="40">
        <f>[3]PPH!L63+[3]PPH!M63</f>
        <v>188934.24</v>
      </c>
      <c r="P62" s="40">
        <v>0</v>
      </c>
      <c r="Q62" s="40">
        <f t="shared" si="27"/>
        <v>5616054.2400000002</v>
      </c>
      <c r="R62" s="40">
        <f>+PERBULAN!S64</f>
        <v>4011600</v>
      </c>
      <c r="S62" s="40">
        <f>+SETAHUN!J64</f>
        <v>600000</v>
      </c>
      <c r="T62" s="40">
        <v>0</v>
      </c>
      <c r="U62" s="40">
        <f>+SETAHUN!F64+M62+N62</f>
        <v>55289746.159999989</v>
      </c>
      <c r="V62" s="40">
        <v>0</v>
      </c>
      <c r="W62" s="40">
        <f>+SETAHUN!V64+O62</f>
        <v>2265490.08</v>
      </c>
      <c r="X62" s="40">
        <v>0</v>
      </c>
      <c r="Y62" s="40">
        <v>0</v>
      </c>
      <c r="Z62" s="40">
        <f t="shared" si="28"/>
        <v>4611600</v>
      </c>
      <c r="AA62" s="40">
        <f t="shared" si="29"/>
        <v>62166836.239999987</v>
      </c>
      <c r="AB62" s="40">
        <f t="shared" si="30"/>
        <v>3108342</v>
      </c>
      <c r="AC62" s="40">
        <f>('ASTEK-DIISI SMPAI DES'!O64+'ASTEK-DIISI SMPAI DES'!O179)</f>
        <v>1400436</v>
      </c>
      <c r="AD62" s="40">
        <f t="shared" si="31"/>
        <v>57658058.239999987</v>
      </c>
      <c r="AE62" s="67">
        <f t="shared" si="32"/>
        <v>58500000</v>
      </c>
      <c r="AF62" s="67">
        <f>ROUNDDOWN(IF(AD62&lt;=AE62,0,IF(AD62&gt;AE62,AD62-AE62)),-3)</f>
        <v>0</v>
      </c>
      <c r="AG62" s="310">
        <f t="shared" si="33"/>
        <v>0</v>
      </c>
      <c r="AH62" s="310">
        <f t="shared" si="34"/>
        <v>0</v>
      </c>
      <c r="AI62" s="67">
        <f>+'PAJAK JAN-NOV'!R59</f>
        <v>221798</v>
      </c>
      <c r="AJ62" s="139">
        <f t="shared" si="35"/>
        <v>0</v>
      </c>
      <c r="AK62" s="32"/>
      <c r="AL62" s="33">
        <f t="shared" si="7"/>
        <v>221798</v>
      </c>
      <c r="AM62" s="32"/>
      <c r="AN62" s="33"/>
      <c r="AO62" s="32"/>
      <c r="AP62" s="32"/>
    </row>
    <row r="63" spans="2:42" s="136" customFormat="1" ht="21" customHeight="1">
      <c r="B63" s="131">
        <v>58</v>
      </c>
      <c r="C63" s="132" t="str">
        <f>+PERBULAN!B65</f>
        <v>ANDRIANSYAH</v>
      </c>
      <c r="D63" s="137" t="s">
        <v>262</v>
      </c>
      <c r="E63" s="37" t="s">
        <v>69</v>
      </c>
      <c r="F63" s="324" t="s">
        <v>190</v>
      </c>
      <c r="G63" s="305" t="s">
        <v>539</v>
      </c>
      <c r="H63" s="319" t="s">
        <v>39</v>
      </c>
      <c r="I63" s="308" t="s">
        <v>11</v>
      </c>
      <c r="J63" s="308" t="str">
        <f t="shared" si="26"/>
        <v>TER B</v>
      </c>
      <c r="K63" s="309">
        <v>1</v>
      </c>
      <c r="L63" s="309">
        <v>12</v>
      </c>
      <c r="M63" s="40">
        <f>'[3]DAFTAR UPAH PLASMA'!X13*129220</f>
        <v>4005820</v>
      </c>
      <c r="N63" s="40">
        <v>1544750</v>
      </c>
      <c r="O63" s="40">
        <f>[3]PPH!L64+[3]PPH!M64</f>
        <v>188934.24</v>
      </c>
      <c r="P63" s="40">
        <v>0</v>
      </c>
      <c r="Q63" s="40">
        <f t="shared" si="27"/>
        <v>5739504.2400000002</v>
      </c>
      <c r="R63" s="40">
        <f>+PERBULAN!S65</f>
        <v>4067100</v>
      </c>
      <c r="S63" s="40">
        <f>+SETAHUN!J65</f>
        <v>200000</v>
      </c>
      <c r="T63" s="40">
        <v>0</v>
      </c>
      <c r="U63" s="40">
        <f>+SETAHUN!F65+M63+N63</f>
        <v>56445946.159999989</v>
      </c>
      <c r="V63" s="40">
        <v>0</v>
      </c>
      <c r="W63" s="40">
        <f>+SETAHUN!V65+O63</f>
        <v>2265490.08</v>
      </c>
      <c r="X63" s="40">
        <v>0</v>
      </c>
      <c r="Y63" s="40">
        <v>0</v>
      </c>
      <c r="Z63" s="40">
        <f t="shared" si="28"/>
        <v>4267100</v>
      </c>
      <c r="AA63" s="40">
        <f t="shared" si="29"/>
        <v>62978536.239999987</v>
      </c>
      <c r="AB63" s="40">
        <f t="shared" si="30"/>
        <v>3148927</v>
      </c>
      <c r="AC63" s="40">
        <f>('ASTEK-DIISI SMPAI DES'!O65+'ASTEK-DIISI SMPAI DES'!O180)</f>
        <v>1400436</v>
      </c>
      <c r="AD63" s="40">
        <f t="shared" si="31"/>
        <v>58429173.239999987</v>
      </c>
      <c r="AE63" s="67">
        <f t="shared" si="32"/>
        <v>67500000</v>
      </c>
      <c r="AF63" s="67">
        <f t="shared" si="10"/>
        <v>0</v>
      </c>
      <c r="AG63" s="310">
        <f t="shared" si="33"/>
        <v>0</v>
      </c>
      <c r="AH63" s="310">
        <f t="shared" si="34"/>
        <v>0</v>
      </c>
      <c r="AI63" s="67">
        <f>+'PAJAK JAN-NOV'!R60</f>
        <v>146880</v>
      </c>
      <c r="AJ63" s="139">
        <f t="shared" si="35"/>
        <v>0</v>
      </c>
      <c r="AK63" s="32"/>
      <c r="AL63" s="33">
        <f t="shared" si="7"/>
        <v>146880</v>
      </c>
      <c r="AM63" s="32"/>
      <c r="AN63" s="33"/>
      <c r="AO63" s="32"/>
      <c r="AP63" s="32"/>
    </row>
    <row r="64" spans="2:42" s="136" customFormat="1" ht="21" customHeight="1">
      <c r="B64" s="131">
        <v>59</v>
      </c>
      <c r="C64" s="132" t="str">
        <f>+PERBULAN!B66</f>
        <v>HENDRI</v>
      </c>
      <c r="D64" s="137" t="s">
        <v>263</v>
      </c>
      <c r="E64" s="37" t="s">
        <v>69</v>
      </c>
      <c r="F64" s="324" t="s">
        <v>311</v>
      </c>
      <c r="G64" s="305" t="s">
        <v>539</v>
      </c>
      <c r="H64" s="319" t="s">
        <v>39</v>
      </c>
      <c r="I64" s="308" t="s">
        <v>11</v>
      </c>
      <c r="J64" s="308" t="str">
        <f t="shared" si="26"/>
        <v>TER B</v>
      </c>
      <c r="K64" s="309">
        <v>1</v>
      </c>
      <c r="L64" s="309">
        <v>12</v>
      </c>
      <c r="M64" s="40">
        <f>'[3]DAFTAR UPAH PLASMA'!X14*129220</f>
        <v>4005820</v>
      </c>
      <c r="N64" s="40">
        <v>1467300</v>
      </c>
      <c r="O64" s="40">
        <f>[3]PPH!L65+[3]PPH!M65</f>
        <v>188934.24</v>
      </c>
      <c r="P64" s="40">
        <v>0</v>
      </c>
      <c r="Q64" s="40">
        <f t="shared" si="27"/>
        <v>5662054.2400000002</v>
      </c>
      <c r="R64" s="40">
        <f>+PERBULAN!S66</f>
        <v>4067100</v>
      </c>
      <c r="S64" s="40">
        <f>+SETAHUN!J66</f>
        <v>600000</v>
      </c>
      <c r="T64" s="40">
        <v>0</v>
      </c>
      <c r="U64" s="40">
        <f>+SETAHUN!F66+M64+N64</f>
        <v>55810426.159999989</v>
      </c>
      <c r="V64" s="40">
        <v>0</v>
      </c>
      <c r="W64" s="40">
        <f>+SETAHUN!V66+O64</f>
        <v>2265490.08</v>
      </c>
      <c r="X64" s="40">
        <v>0</v>
      </c>
      <c r="Y64" s="40">
        <v>0</v>
      </c>
      <c r="Z64" s="40">
        <f t="shared" si="28"/>
        <v>4667100</v>
      </c>
      <c r="AA64" s="40">
        <f t="shared" si="29"/>
        <v>62743016.239999987</v>
      </c>
      <c r="AB64" s="40">
        <f t="shared" si="30"/>
        <v>3137151</v>
      </c>
      <c r="AC64" s="40">
        <f>('ASTEK-DIISI SMPAI DES'!O66+'ASTEK-DIISI SMPAI DES'!O181)</f>
        <v>1400436</v>
      </c>
      <c r="AD64" s="40">
        <f t="shared" si="31"/>
        <v>58205429.239999987</v>
      </c>
      <c r="AE64" s="67">
        <f t="shared" si="32"/>
        <v>67500000</v>
      </c>
      <c r="AF64" s="67">
        <f t="shared" si="10"/>
        <v>0</v>
      </c>
      <c r="AG64" s="310">
        <f t="shared" si="33"/>
        <v>0</v>
      </c>
      <c r="AH64" s="310">
        <f t="shared" si="34"/>
        <v>0</v>
      </c>
      <c r="AI64" s="67">
        <f>+'PAJAK JAN-NOV'!R61</f>
        <v>144838</v>
      </c>
      <c r="AJ64" s="139">
        <f t="shared" si="35"/>
        <v>0</v>
      </c>
      <c r="AK64" s="32"/>
      <c r="AL64" s="33">
        <f t="shared" si="7"/>
        <v>144838</v>
      </c>
      <c r="AM64" s="32"/>
      <c r="AN64" s="33"/>
      <c r="AO64" s="32"/>
      <c r="AP64" s="32"/>
    </row>
    <row r="65" spans="2:42" s="136" customFormat="1" ht="21" customHeight="1">
      <c r="B65" s="131">
        <v>60</v>
      </c>
      <c r="C65" s="132" t="str">
        <f>+PERBULAN!B67</f>
        <v>POPPY ADEYANTI</v>
      </c>
      <c r="D65" s="137" t="s">
        <v>540</v>
      </c>
      <c r="E65" s="37" t="s">
        <v>525</v>
      </c>
      <c r="F65" s="324" t="s">
        <v>424</v>
      </c>
      <c r="G65" s="305" t="s">
        <v>83</v>
      </c>
      <c r="H65" s="319" t="s">
        <v>38</v>
      </c>
      <c r="I65" s="308" t="s">
        <v>7</v>
      </c>
      <c r="J65" s="308" t="str">
        <f t="shared" si="26"/>
        <v>TER A</v>
      </c>
      <c r="K65" s="309">
        <v>1</v>
      </c>
      <c r="L65" s="309">
        <v>12</v>
      </c>
      <c r="M65" s="40">
        <f>31*129220</f>
        <v>4005820</v>
      </c>
      <c r="N65" s="40">
        <f>'[3]DAFTAR UPAH HARVESTING'!$CR$12</f>
        <v>1481250</v>
      </c>
      <c r="O65" s="40">
        <f>[3]PPH!L66+[3]PPH!M66</f>
        <v>189224.64</v>
      </c>
      <c r="P65" s="40">
        <v>0</v>
      </c>
      <c r="Q65" s="40">
        <f t="shared" si="27"/>
        <v>5676294.6399999997</v>
      </c>
      <c r="R65" s="40">
        <f>+PERBULAN!S67</f>
        <v>3974100</v>
      </c>
      <c r="S65" s="40">
        <f>+SETAHUN!J67</f>
        <v>200000</v>
      </c>
      <c r="T65" s="40">
        <v>0</v>
      </c>
      <c r="U65" s="40">
        <f>+SETAHUN!F67+M65+N65</f>
        <v>61674586.159999996</v>
      </c>
      <c r="V65" s="40">
        <v>0</v>
      </c>
      <c r="W65" s="40">
        <f>+SETAHUN!V67+O65</f>
        <v>2268312.48</v>
      </c>
      <c r="X65" s="40">
        <v>0</v>
      </c>
      <c r="Y65" s="40">
        <v>0</v>
      </c>
      <c r="Z65" s="40">
        <f t="shared" si="28"/>
        <v>4174100</v>
      </c>
      <c r="AA65" s="40">
        <f t="shared" si="29"/>
        <v>68116998.639999986</v>
      </c>
      <c r="AB65" s="40">
        <f t="shared" si="30"/>
        <v>3405850</v>
      </c>
      <c r="AC65" s="40">
        <f>('ASTEK-DIISI SMPAI DES'!O67+'ASTEK-DIISI SMPAI DES'!O182)</f>
        <v>1401516</v>
      </c>
      <c r="AD65" s="40">
        <f t="shared" si="31"/>
        <v>63309632.639999986</v>
      </c>
      <c r="AE65" s="67">
        <f t="shared" si="32"/>
        <v>54000000</v>
      </c>
      <c r="AF65" s="67">
        <f t="shared" si="10"/>
        <v>9309000</v>
      </c>
      <c r="AG65" s="310">
        <f t="shared" si="33"/>
        <v>465450</v>
      </c>
      <c r="AH65" s="310">
        <f t="shared" si="34"/>
        <v>465450</v>
      </c>
      <c r="AI65" s="67">
        <f>+'PAJAK JAN-NOV'!R62</f>
        <v>282537</v>
      </c>
      <c r="AJ65" s="139">
        <f t="shared" si="35"/>
        <v>182913</v>
      </c>
      <c r="AK65" s="32"/>
      <c r="AL65" s="33">
        <f t="shared" si="7"/>
        <v>-182913</v>
      </c>
      <c r="AM65" s="32"/>
      <c r="AN65" s="33"/>
      <c r="AO65" s="32"/>
      <c r="AP65" s="32"/>
    </row>
    <row r="66" spans="2:42" s="136" customFormat="1" ht="21" customHeight="1" thickBot="1">
      <c r="B66" s="131">
        <v>61</v>
      </c>
      <c r="C66" s="132" t="str">
        <f>+PERBULAN!B68</f>
        <v>HARYADI</v>
      </c>
      <c r="D66" s="137" t="s">
        <v>541</v>
      </c>
      <c r="E66" s="37" t="s">
        <v>69</v>
      </c>
      <c r="F66" s="324" t="s">
        <v>192</v>
      </c>
      <c r="G66" s="305" t="s">
        <v>532</v>
      </c>
      <c r="H66" s="319" t="s">
        <v>39</v>
      </c>
      <c r="I66" s="308" t="s">
        <v>9</v>
      </c>
      <c r="J66" s="308" t="str">
        <f t="shared" si="26"/>
        <v>TER B</v>
      </c>
      <c r="K66" s="309">
        <v>1</v>
      </c>
      <c r="L66" s="309">
        <v>12</v>
      </c>
      <c r="M66" s="40">
        <f>31*129220</f>
        <v>4005820</v>
      </c>
      <c r="N66" s="40">
        <v>171150</v>
      </c>
      <c r="O66" s="40">
        <f>[3]PPH!L67+[3]PPH!M67</f>
        <v>188934.24</v>
      </c>
      <c r="P66" s="40">
        <v>0</v>
      </c>
      <c r="Q66" s="40">
        <f t="shared" si="27"/>
        <v>4365904.24</v>
      </c>
      <c r="R66" s="40">
        <f>+PERBULAN!S68</f>
        <v>4040100</v>
      </c>
      <c r="S66" s="40">
        <f>+SETAHUN!J68</f>
        <v>900000</v>
      </c>
      <c r="T66" s="40">
        <v>0</v>
      </c>
      <c r="U66" s="40">
        <f>+SETAHUN!F68+M66+N66</f>
        <v>49491606.159999989</v>
      </c>
      <c r="V66" s="40">
        <v>0</v>
      </c>
      <c r="W66" s="40">
        <f>+SETAHUN!V68+O66</f>
        <v>2265130.08</v>
      </c>
      <c r="X66" s="40">
        <v>0</v>
      </c>
      <c r="Y66" s="40">
        <v>0</v>
      </c>
      <c r="Z66" s="40">
        <f t="shared" si="28"/>
        <v>4940100</v>
      </c>
      <c r="AA66" s="40">
        <f t="shared" si="29"/>
        <v>56696836.239999987</v>
      </c>
      <c r="AB66" s="40">
        <f t="shared" si="30"/>
        <v>2834842</v>
      </c>
      <c r="AC66" s="40">
        <f>('ASTEK-DIISI SMPAI DES'!O68+'ASTEK-DIISI SMPAI DES'!O183)</f>
        <v>1400436</v>
      </c>
      <c r="AD66" s="40">
        <f t="shared" si="31"/>
        <v>52461558.239999987</v>
      </c>
      <c r="AE66" s="67">
        <f t="shared" si="32"/>
        <v>63000000</v>
      </c>
      <c r="AF66" s="67">
        <f t="shared" si="10"/>
        <v>0</v>
      </c>
      <c r="AG66" s="310">
        <f t="shared" si="33"/>
        <v>0</v>
      </c>
      <c r="AH66" s="310">
        <f t="shared" si="34"/>
        <v>0</v>
      </c>
      <c r="AI66" s="67">
        <f>+'PAJAK JAN-NOV'!R63</f>
        <v>84027</v>
      </c>
      <c r="AJ66" s="139">
        <f>IF(AG66&lt;=AI66,0,IF(AG66&gt;AI66,AG66-AI66))</f>
        <v>0</v>
      </c>
      <c r="AK66" s="32"/>
      <c r="AL66" s="33">
        <f>AI66-AH66</f>
        <v>84027</v>
      </c>
      <c r="AM66" s="32"/>
      <c r="AN66" s="33"/>
      <c r="AO66" s="32"/>
      <c r="AP66" s="32"/>
    </row>
    <row r="67" spans="2:42" s="136" customFormat="1" ht="15" hidden="1" customHeight="1">
      <c r="B67" s="131">
        <v>62</v>
      </c>
      <c r="C67" s="132">
        <f>+PERBULAN!B69</f>
        <v>0</v>
      </c>
      <c r="D67" s="137"/>
      <c r="E67" s="37"/>
      <c r="F67" s="324"/>
      <c r="G67" s="305"/>
      <c r="H67" s="319"/>
      <c r="I67" s="308"/>
      <c r="J67" s="308" t="str">
        <f t="shared" si="26"/>
        <v/>
      </c>
      <c r="K67" s="309"/>
      <c r="L67" s="309"/>
      <c r="M67" s="67"/>
      <c r="N67" s="40"/>
      <c r="O67" s="67"/>
      <c r="P67" s="40">
        <v>0</v>
      </c>
      <c r="Q67" s="40">
        <f t="shared" si="27"/>
        <v>0</v>
      </c>
      <c r="R67" s="40">
        <f>+PERBULAN!S69</f>
        <v>0</v>
      </c>
      <c r="S67" s="40">
        <f>+SETAHUN!J69</f>
        <v>0</v>
      </c>
      <c r="T67" s="40">
        <v>0</v>
      </c>
      <c r="U67" s="40">
        <f>+SETAHUN!F69+M67+N67</f>
        <v>0</v>
      </c>
      <c r="V67" s="40">
        <v>0</v>
      </c>
      <c r="W67" s="40">
        <f>+SETAHUN!V69+O67</f>
        <v>0</v>
      </c>
      <c r="X67" s="40">
        <v>0</v>
      </c>
      <c r="Y67" s="40">
        <v>0</v>
      </c>
      <c r="Z67" s="40">
        <f t="shared" si="28"/>
        <v>0</v>
      </c>
      <c r="AA67" s="40">
        <f t="shared" si="29"/>
        <v>0</v>
      </c>
      <c r="AB67" s="40">
        <f t="shared" si="30"/>
        <v>0</v>
      </c>
      <c r="AC67" s="40">
        <f>('ASTEK-DIISI SMPAI DES'!O69+'ASTEK-DIISI SMPAI DES'!O184)</f>
        <v>0</v>
      </c>
      <c r="AD67" s="40">
        <f t="shared" si="31"/>
        <v>0</v>
      </c>
      <c r="AE67" s="67">
        <f t="shared" si="32"/>
        <v>0</v>
      </c>
      <c r="AF67" s="67">
        <f t="shared" si="10"/>
        <v>0</v>
      </c>
      <c r="AG67" s="310">
        <f t="shared" si="33"/>
        <v>0</v>
      </c>
      <c r="AH67" s="310">
        <f t="shared" si="34"/>
        <v>0</v>
      </c>
      <c r="AI67" s="67">
        <f>+'PAJAK JAN-NOV'!R64</f>
        <v>0</v>
      </c>
      <c r="AJ67" s="139">
        <f t="shared" si="35"/>
        <v>0</v>
      </c>
      <c r="AK67" s="32"/>
      <c r="AL67" s="33">
        <f t="shared" ref="AL67:AL93" si="36">AI67-AH67</f>
        <v>0</v>
      </c>
      <c r="AM67" s="32"/>
      <c r="AN67" s="33"/>
      <c r="AO67" s="32"/>
      <c r="AP67" s="32"/>
    </row>
    <row r="68" spans="2:42" s="136" customFormat="1" ht="15" hidden="1" customHeight="1">
      <c r="B68" s="131">
        <v>63</v>
      </c>
      <c r="C68" s="132">
        <f>+PERBULAN!B70</f>
        <v>0</v>
      </c>
      <c r="D68" s="137"/>
      <c r="E68" s="37"/>
      <c r="F68" s="324"/>
      <c r="G68" s="305"/>
      <c r="H68" s="319"/>
      <c r="I68" s="308"/>
      <c r="J68" s="308" t="str">
        <f t="shared" si="26"/>
        <v/>
      </c>
      <c r="K68" s="309"/>
      <c r="L68" s="309"/>
      <c r="M68" s="67"/>
      <c r="N68" s="67"/>
      <c r="O68" s="67"/>
      <c r="P68" s="40">
        <v>0</v>
      </c>
      <c r="Q68" s="40">
        <f t="shared" si="27"/>
        <v>0</v>
      </c>
      <c r="R68" s="40">
        <f>+PERBULAN!S70</f>
        <v>0</v>
      </c>
      <c r="S68" s="40">
        <f>+SETAHUN!J70</f>
        <v>0</v>
      </c>
      <c r="T68" s="40">
        <v>0</v>
      </c>
      <c r="U68" s="40">
        <f>+SETAHUN!F70+M68+N68</f>
        <v>0</v>
      </c>
      <c r="V68" s="40">
        <v>0</v>
      </c>
      <c r="W68" s="40">
        <f>+SETAHUN!V70+O68</f>
        <v>0</v>
      </c>
      <c r="X68" s="40">
        <v>0</v>
      </c>
      <c r="Y68" s="40">
        <v>0</v>
      </c>
      <c r="Z68" s="40">
        <f t="shared" si="28"/>
        <v>0</v>
      </c>
      <c r="AA68" s="40">
        <f t="shared" si="29"/>
        <v>0</v>
      </c>
      <c r="AB68" s="40">
        <f t="shared" si="30"/>
        <v>0</v>
      </c>
      <c r="AC68" s="40">
        <f>('ASTEK-DIISI SMPAI DES'!O70+'ASTEK-DIISI SMPAI DES'!O185)</f>
        <v>0</v>
      </c>
      <c r="AD68" s="40">
        <f t="shared" si="31"/>
        <v>0</v>
      </c>
      <c r="AE68" s="67">
        <f t="shared" si="32"/>
        <v>0</v>
      </c>
      <c r="AF68" s="67">
        <f t="shared" ref="AF68:AF93" si="37">ROUNDDOWN(IF(AD68&lt;=AE68,0,IF(AD68&gt;AE68,AD68-AE68)),-3)</f>
        <v>0</v>
      </c>
      <c r="AG68" s="310">
        <f t="shared" si="33"/>
        <v>0</v>
      </c>
      <c r="AH68" s="310">
        <f t="shared" si="34"/>
        <v>0</v>
      </c>
      <c r="AI68" s="67">
        <f>+'PAJAK JAN-NOV'!R65</f>
        <v>0</v>
      </c>
      <c r="AJ68" s="139">
        <f t="shared" si="35"/>
        <v>0</v>
      </c>
      <c r="AK68" s="32"/>
      <c r="AL68" s="33">
        <f t="shared" si="36"/>
        <v>0</v>
      </c>
      <c r="AM68" s="32"/>
      <c r="AN68" s="33"/>
      <c r="AO68" s="32"/>
      <c r="AP68" s="32"/>
    </row>
    <row r="69" spans="2:42" s="136" customFormat="1" ht="15" hidden="1" customHeight="1">
      <c r="B69" s="131">
        <v>64</v>
      </c>
      <c r="C69" s="132">
        <f>+PERBULAN!B71</f>
        <v>0</v>
      </c>
      <c r="D69" s="137"/>
      <c r="E69" s="37"/>
      <c r="F69" s="324"/>
      <c r="G69" s="305"/>
      <c r="H69" s="319"/>
      <c r="I69" s="308"/>
      <c r="J69" s="308" t="str">
        <f t="shared" si="26"/>
        <v/>
      </c>
      <c r="K69" s="309"/>
      <c r="L69" s="309"/>
      <c r="M69" s="67"/>
      <c r="N69" s="67"/>
      <c r="O69" s="67"/>
      <c r="P69" s="40">
        <v>0</v>
      </c>
      <c r="Q69" s="40">
        <f t="shared" si="27"/>
        <v>0</v>
      </c>
      <c r="R69" s="40">
        <f>+PERBULAN!S71</f>
        <v>0</v>
      </c>
      <c r="S69" s="40">
        <f>+SETAHUN!J71</f>
        <v>0</v>
      </c>
      <c r="T69" s="40">
        <v>0</v>
      </c>
      <c r="U69" s="40">
        <f>+SETAHUN!F71+M69+N69</f>
        <v>0</v>
      </c>
      <c r="V69" s="40">
        <v>0</v>
      </c>
      <c r="W69" s="40">
        <f>+SETAHUN!V71+O69</f>
        <v>0</v>
      </c>
      <c r="X69" s="40">
        <v>0</v>
      </c>
      <c r="Y69" s="40">
        <v>0</v>
      </c>
      <c r="Z69" s="40">
        <f t="shared" si="28"/>
        <v>0</v>
      </c>
      <c r="AA69" s="40">
        <f t="shared" si="29"/>
        <v>0</v>
      </c>
      <c r="AB69" s="40">
        <f t="shared" si="30"/>
        <v>0</v>
      </c>
      <c r="AC69" s="40">
        <f>('ASTEK-DIISI SMPAI DES'!O71+'ASTEK-DIISI SMPAI DES'!O186)</f>
        <v>0</v>
      </c>
      <c r="AD69" s="40">
        <f t="shared" si="31"/>
        <v>0</v>
      </c>
      <c r="AE69" s="67">
        <f t="shared" si="32"/>
        <v>0</v>
      </c>
      <c r="AF69" s="67">
        <f t="shared" si="37"/>
        <v>0</v>
      </c>
      <c r="AG69" s="310">
        <f t="shared" si="33"/>
        <v>0</v>
      </c>
      <c r="AH69" s="310">
        <f t="shared" si="34"/>
        <v>0</v>
      </c>
      <c r="AI69" s="67">
        <f>+'PAJAK JAN-NOV'!R66</f>
        <v>0</v>
      </c>
      <c r="AJ69" s="139">
        <f t="shared" si="35"/>
        <v>0</v>
      </c>
      <c r="AK69" s="32"/>
      <c r="AL69" s="33">
        <f t="shared" si="36"/>
        <v>0</v>
      </c>
      <c r="AM69" s="32"/>
      <c r="AN69" s="33"/>
      <c r="AO69" s="32"/>
      <c r="AP69" s="32"/>
    </row>
    <row r="70" spans="2:42" s="136" customFormat="1" ht="15" hidden="1" customHeight="1">
      <c r="B70" s="131">
        <v>65</v>
      </c>
      <c r="C70" s="132">
        <f>+PERBULAN!B72</f>
        <v>0</v>
      </c>
      <c r="D70" s="137"/>
      <c r="E70" s="37"/>
      <c r="F70" s="324"/>
      <c r="G70" s="305"/>
      <c r="H70" s="319"/>
      <c r="I70" s="308"/>
      <c r="J70" s="308" t="str">
        <f t="shared" si="26"/>
        <v/>
      </c>
      <c r="K70" s="309"/>
      <c r="L70" s="309"/>
      <c r="M70" s="67"/>
      <c r="N70" s="67"/>
      <c r="O70" s="67"/>
      <c r="P70" s="40">
        <v>0</v>
      </c>
      <c r="Q70" s="40">
        <f t="shared" si="27"/>
        <v>0</v>
      </c>
      <c r="R70" s="40">
        <f>+PERBULAN!S72</f>
        <v>0</v>
      </c>
      <c r="S70" s="40">
        <f>+SETAHUN!J72</f>
        <v>0</v>
      </c>
      <c r="T70" s="40">
        <v>0</v>
      </c>
      <c r="U70" s="40">
        <f>+SETAHUN!F72+M70+N70</f>
        <v>0</v>
      </c>
      <c r="V70" s="40">
        <v>0</v>
      </c>
      <c r="W70" s="40">
        <f>+SETAHUN!V72+O70</f>
        <v>0</v>
      </c>
      <c r="X70" s="40">
        <v>0</v>
      </c>
      <c r="Y70" s="40">
        <v>0</v>
      </c>
      <c r="Z70" s="40">
        <f t="shared" si="28"/>
        <v>0</v>
      </c>
      <c r="AA70" s="40">
        <f t="shared" si="29"/>
        <v>0</v>
      </c>
      <c r="AB70" s="40">
        <f t="shared" si="30"/>
        <v>0</v>
      </c>
      <c r="AC70" s="40">
        <f>('ASTEK-DIISI SMPAI DES'!O72+'ASTEK-DIISI SMPAI DES'!O187)</f>
        <v>0</v>
      </c>
      <c r="AD70" s="40">
        <f t="shared" si="31"/>
        <v>0</v>
      </c>
      <c r="AE70" s="67">
        <f t="shared" si="32"/>
        <v>0</v>
      </c>
      <c r="AF70" s="67">
        <f t="shared" si="37"/>
        <v>0</v>
      </c>
      <c r="AG70" s="310">
        <f t="shared" si="33"/>
        <v>0</v>
      </c>
      <c r="AH70" s="310">
        <f t="shared" si="34"/>
        <v>0</v>
      </c>
      <c r="AI70" s="67">
        <f>+'PAJAK JAN-NOV'!R67</f>
        <v>0</v>
      </c>
      <c r="AJ70" s="139">
        <f t="shared" si="35"/>
        <v>0</v>
      </c>
      <c r="AK70" s="32"/>
      <c r="AL70" s="33">
        <f t="shared" si="36"/>
        <v>0</v>
      </c>
      <c r="AM70" s="32"/>
      <c r="AN70" s="33"/>
      <c r="AO70" s="32"/>
      <c r="AP70" s="32"/>
    </row>
    <row r="71" spans="2:42" s="136" customFormat="1" ht="15" hidden="1" customHeight="1">
      <c r="B71" s="131">
        <v>66</v>
      </c>
      <c r="C71" s="132">
        <f>+PERBULAN!B73</f>
        <v>0</v>
      </c>
      <c r="D71" s="137"/>
      <c r="E71" s="37"/>
      <c r="F71" s="324"/>
      <c r="G71" s="305"/>
      <c r="H71" s="319"/>
      <c r="I71" s="308"/>
      <c r="J71" s="308" t="str">
        <f t="shared" si="26"/>
        <v/>
      </c>
      <c r="K71" s="309"/>
      <c r="L71" s="309"/>
      <c r="M71" s="67"/>
      <c r="N71" s="67"/>
      <c r="O71" s="67"/>
      <c r="P71" s="40">
        <v>0</v>
      </c>
      <c r="Q71" s="40">
        <f t="shared" si="27"/>
        <v>0</v>
      </c>
      <c r="R71" s="40">
        <f>+PERBULAN!S73</f>
        <v>0</v>
      </c>
      <c r="S71" s="40">
        <f>+SETAHUN!J73</f>
        <v>0</v>
      </c>
      <c r="T71" s="40">
        <v>0</v>
      </c>
      <c r="U71" s="40">
        <f>+SETAHUN!F73+M71+N71</f>
        <v>0</v>
      </c>
      <c r="V71" s="40">
        <v>0</v>
      </c>
      <c r="W71" s="40">
        <f>+SETAHUN!V73+O71</f>
        <v>0</v>
      </c>
      <c r="X71" s="40">
        <v>0</v>
      </c>
      <c r="Y71" s="40">
        <v>0</v>
      </c>
      <c r="Z71" s="40">
        <f t="shared" si="28"/>
        <v>0</v>
      </c>
      <c r="AA71" s="40">
        <f t="shared" si="29"/>
        <v>0</v>
      </c>
      <c r="AB71" s="40">
        <f t="shared" si="30"/>
        <v>0</v>
      </c>
      <c r="AC71" s="40">
        <f>('ASTEK-DIISI SMPAI DES'!O73+'ASTEK-DIISI SMPAI DES'!O188)</f>
        <v>0</v>
      </c>
      <c r="AD71" s="40">
        <f t="shared" si="31"/>
        <v>0</v>
      </c>
      <c r="AE71" s="67">
        <f t="shared" si="32"/>
        <v>0</v>
      </c>
      <c r="AF71" s="67">
        <f t="shared" si="37"/>
        <v>0</v>
      </c>
      <c r="AG71" s="310">
        <f t="shared" si="33"/>
        <v>0</v>
      </c>
      <c r="AH71" s="310">
        <f t="shared" si="34"/>
        <v>0</v>
      </c>
      <c r="AI71" s="67">
        <f>+'PAJAK JAN-NOV'!R68</f>
        <v>0</v>
      </c>
      <c r="AJ71" s="139">
        <f t="shared" si="35"/>
        <v>0</v>
      </c>
      <c r="AK71" s="32"/>
      <c r="AL71" s="33">
        <f t="shared" si="36"/>
        <v>0</v>
      </c>
      <c r="AM71" s="32"/>
      <c r="AN71" s="33"/>
      <c r="AO71" s="32"/>
      <c r="AP71" s="32"/>
    </row>
    <row r="72" spans="2:42" s="136" customFormat="1" ht="15" hidden="1" customHeight="1">
      <c r="B72" s="131">
        <v>67</v>
      </c>
      <c r="C72" s="132">
        <f>+PERBULAN!B74</f>
        <v>0</v>
      </c>
      <c r="D72" s="137"/>
      <c r="E72" s="37"/>
      <c r="F72" s="324"/>
      <c r="G72" s="305"/>
      <c r="H72" s="319"/>
      <c r="I72" s="308"/>
      <c r="J72" s="308" t="str">
        <f t="shared" si="26"/>
        <v/>
      </c>
      <c r="K72" s="309"/>
      <c r="L72" s="309"/>
      <c r="M72" s="67"/>
      <c r="N72" s="67"/>
      <c r="O72" s="67"/>
      <c r="P72" s="40">
        <v>0</v>
      </c>
      <c r="Q72" s="40">
        <f t="shared" si="27"/>
        <v>0</v>
      </c>
      <c r="R72" s="40">
        <f>+PERBULAN!S74</f>
        <v>0</v>
      </c>
      <c r="S72" s="40">
        <f>+SETAHUN!J74</f>
        <v>0</v>
      </c>
      <c r="T72" s="40">
        <v>0</v>
      </c>
      <c r="U72" s="40">
        <f>+SETAHUN!F74+M72+N72</f>
        <v>0</v>
      </c>
      <c r="V72" s="40">
        <v>0</v>
      </c>
      <c r="W72" s="40">
        <f>+SETAHUN!V74+O72</f>
        <v>0</v>
      </c>
      <c r="X72" s="40">
        <v>0</v>
      </c>
      <c r="Y72" s="40">
        <v>0</v>
      </c>
      <c r="Z72" s="40">
        <f t="shared" si="28"/>
        <v>0</v>
      </c>
      <c r="AA72" s="40">
        <f t="shared" si="29"/>
        <v>0</v>
      </c>
      <c r="AB72" s="40">
        <f t="shared" si="30"/>
        <v>0</v>
      </c>
      <c r="AC72" s="40">
        <f>('ASTEK-DIISI SMPAI DES'!O74+'ASTEK-DIISI SMPAI DES'!O189)</f>
        <v>0</v>
      </c>
      <c r="AD72" s="40">
        <f t="shared" si="31"/>
        <v>0</v>
      </c>
      <c r="AE72" s="67">
        <f t="shared" si="32"/>
        <v>0</v>
      </c>
      <c r="AF72" s="67">
        <f t="shared" si="37"/>
        <v>0</v>
      </c>
      <c r="AG72" s="310">
        <f t="shared" si="33"/>
        <v>0</v>
      </c>
      <c r="AH72" s="310">
        <f t="shared" si="34"/>
        <v>0</v>
      </c>
      <c r="AI72" s="67">
        <f>+'PAJAK JAN-NOV'!R69</f>
        <v>0</v>
      </c>
      <c r="AJ72" s="139">
        <f t="shared" si="35"/>
        <v>0</v>
      </c>
      <c r="AK72" s="32"/>
      <c r="AL72" s="33">
        <f t="shared" si="36"/>
        <v>0</v>
      </c>
      <c r="AM72" s="32"/>
      <c r="AN72" s="33"/>
      <c r="AO72" s="32"/>
      <c r="AP72" s="32"/>
    </row>
    <row r="73" spans="2:42" s="136" customFormat="1" ht="15" hidden="1" customHeight="1">
      <c r="B73" s="131">
        <v>68</v>
      </c>
      <c r="C73" s="132">
        <f>+PERBULAN!B75</f>
        <v>0</v>
      </c>
      <c r="D73" s="137"/>
      <c r="E73" s="37"/>
      <c r="F73" s="324"/>
      <c r="G73" s="305"/>
      <c r="H73" s="319"/>
      <c r="I73" s="308"/>
      <c r="J73" s="308" t="str">
        <f t="shared" si="26"/>
        <v/>
      </c>
      <c r="K73" s="309"/>
      <c r="L73" s="309"/>
      <c r="M73" s="67"/>
      <c r="N73" s="67"/>
      <c r="O73" s="67"/>
      <c r="P73" s="40">
        <v>0</v>
      </c>
      <c r="Q73" s="40">
        <f t="shared" si="27"/>
        <v>0</v>
      </c>
      <c r="R73" s="40">
        <f>+PERBULAN!S75</f>
        <v>0</v>
      </c>
      <c r="S73" s="40">
        <f>+SETAHUN!J75</f>
        <v>0</v>
      </c>
      <c r="T73" s="40">
        <v>0</v>
      </c>
      <c r="U73" s="40">
        <f>+SETAHUN!F75+M73+N73</f>
        <v>0</v>
      </c>
      <c r="V73" s="40">
        <v>0</v>
      </c>
      <c r="W73" s="40">
        <f>+SETAHUN!V75+O73</f>
        <v>0</v>
      </c>
      <c r="X73" s="40">
        <v>0</v>
      </c>
      <c r="Y73" s="40">
        <v>0</v>
      </c>
      <c r="Z73" s="40">
        <f t="shared" si="28"/>
        <v>0</v>
      </c>
      <c r="AA73" s="40">
        <f t="shared" si="29"/>
        <v>0</v>
      </c>
      <c r="AB73" s="40">
        <f t="shared" si="30"/>
        <v>0</v>
      </c>
      <c r="AC73" s="40">
        <f>('ASTEK-DIISI SMPAI DES'!O75+'ASTEK-DIISI SMPAI DES'!O190)</f>
        <v>0</v>
      </c>
      <c r="AD73" s="40">
        <f t="shared" si="31"/>
        <v>0</v>
      </c>
      <c r="AE73" s="67">
        <f t="shared" si="32"/>
        <v>0</v>
      </c>
      <c r="AF73" s="67">
        <f t="shared" si="37"/>
        <v>0</v>
      </c>
      <c r="AG73" s="310">
        <f t="shared" si="33"/>
        <v>0</v>
      </c>
      <c r="AH73" s="310">
        <f t="shared" si="34"/>
        <v>0</v>
      </c>
      <c r="AI73" s="67">
        <f>+'PAJAK JAN-NOV'!R70</f>
        <v>0</v>
      </c>
      <c r="AJ73" s="139">
        <f t="shared" si="35"/>
        <v>0</v>
      </c>
      <c r="AK73" s="32"/>
      <c r="AL73" s="33">
        <f t="shared" si="36"/>
        <v>0</v>
      </c>
      <c r="AM73" s="32"/>
      <c r="AN73" s="33"/>
      <c r="AO73" s="32"/>
      <c r="AP73" s="32"/>
    </row>
    <row r="74" spans="2:42" s="136" customFormat="1" ht="15" hidden="1" customHeight="1">
      <c r="B74" s="131">
        <v>69</v>
      </c>
      <c r="C74" s="132">
        <f>+PERBULAN!B76</f>
        <v>0</v>
      </c>
      <c r="D74" s="137"/>
      <c r="E74" s="37"/>
      <c r="F74" s="324"/>
      <c r="G74" s="305"/>
      <c r="H74" s="319"/>
      <c r="I74" s="308"/>
      <c r="J74" s="308" t="str">
        <f t="shared" si="26"/>
        <v/>
      </c>
      <c r="K74" s="309"/>
      <c r="L74" s="309"/>
      <c r="M74" s="67"/>
      <c r="N74" s="67"/>
      <c r="O74" s="67"/>
      <c r="P74" s="40">
        <v>0</v>
      </c>
      <c r="Q74" s="40">
        <f t="shared" si="27"/>
        <v>0</v>
      </c>
      <c r="R74" s="40">
        <f>+PERBULAN!S76</f>
        <v>0</v>
      </c>
      <c r="S74" s="40">
        <f>+SETAHUN!J76</f>
        <v>0</v>
      </c>
      <c r="T74" s="40">
        <v>0</v>
      </c>
      <c r="U74" s="40">
        <f>+SETAHUN!F76+M74+N74</f>
        <v>0</v>
      </c>
      <c r="V74" s="40">
        <v>0</v>
      </c>
      <c r="W74" s="40">
        <f>+SETAHUN!V76+O74</f>
        <v>0</v>
      </c>
      <c r="X74" s="40">
        <v>0</v>
      </c>
      <c r="Y74" s="40">
        <v>0</v>
      </c>
      <c r="Z74" s="40">
        <f t="shared" si="28"/>
        <v>0</v>
      </c>
      <c r="AA74" s="40">
        <f t="shared" si="29"/>
        <v>0</v>
      </c>
      <c r="AB74" s="40">
        <f t="shared" si="30"/>
        <v>0</v>
      </c>
      <c r="AC74" s="40">
        <f>('ASTEK-DIISI SMPAI DES'!O76+'ASTEK-DIISI SMPAI DES'!O191)</f>
        <v>0</v>
      </c>
      <c r="AD74" s="40">
        <f t="shared" si="31"/>
        <v>0</v>
      </c>
      <c r="AE74" s="67">
        <f t="shared" si="32"/>
        <v>0</v>
      </c>
      <c r="AF74" s="67">
        <f t="shared" si="37"/>
        <v>0</v>
      </c>
      <c r="AG74" s="310">
        <f t="shared" si="33"/>
        <v>0</v>
      </c>
      <c r="AH74" s="310">
        <f t="shared" si="34"/>
        <v>0</v>
      </c>
      <c r="AI74" s="67">
        <f>+'PAJAK JAN-NOV'!R71</f>
        <v>0</v>
      </c>
      <c r="AJ74" s="139">
        <f t="shared" si="35"/>
        <v>0</v>
      </c>
      <c r="AK74" s="32"/>
      <c r="AL74" s="33">
        <f t="shared" si="36"/>
        <v>0</v>
      </c>
      <c r="AM74" s="32"/>
      <c r="AN74" s="33"/>
      <c r="AO74" s="32"/>
      <c r="AP74" s="32"/>
    </row>
    <row r="75" spans="2:42" s="136" customFormat="1" ht="15" hidden="1" customHeight="1">
      <c r="B75" s="131">
        <v>70</v>
      </c>
      <c r="C75" s="132">
        <f>+PERBULAN!B77</f>
        <v>0</v>
      </c>
      <c r="D75" s="137"/>
      <c r="E75" s="37"/>
      <c r="F75" s="324"/>
      <c r="G75" s="305"/>
      <c r="H75" s="319"/>
      <c r="I75" s="308"/>
      <c r="J75" s="308" t="str">
        <f t="shared" si="26"/>
        <v/>
      </c>
      <c r="K75" s="309"/>
      <c r="L75" s="309"/>
      <c r="M75" s="67"/>
      <c r="N75" s="67"/>
      <c r="O75" s="67"/>
      <c r="P75" s="40">
        <v>0</v>
      </c>
      <c r="Q75" s="40">
        <f t="shared" si="27"/>
        <v>0</v>
      </c>
      <c r="R75" s="40">
        <f>+PERBULAN!S77</f>
        <v>0</v>
      </c>
      <c r="S75" s="40">
        <f>+SETAHUN!J77</f>
        <v>0</v>
      </c>
      <c r="T75" s="40">
        <v>0</v>
      </c>
      <c r="U75" s="40">
        <f>+SETAHUN!F77+M75+N75</f>
        <v>0</v>
      </c>
      <c r="V75" s="40">
        <v>0</v>
      </c>
      <c r="W75" s="40">
        <f>+SETAHUN!V77+O75</f>
        <v>0</v>
      </c>
      <c r="X75" s="40">
        <v>0</v>
      </c>
      <c r="Y75" s="40">
        <v>0</v>
      </c>
      <c r="Z75" s="40">
        <f t="shared" si="28"/>
        <v>0</v>
      </c>
      <c r="AA75" s="40">
        <f t="shared" si="29"/>
        <v>0</v>
      </c>
      <c r="AB75" s="40">
        <f t="shared" si="30"/>
        <v>0</v>
      </c>
      <c r="AC75" s="40">
        <f>('ASTEK-DIISI SMPAI DES'!O77+'ASTEK-DIISI SMPAI DES'!O192)</f>
        <v>0</v>
      </c>
      <c r="AD75" s="40">
        <f t="shared" si="31"/>
        <v>0</v>
      </c>
      <c r="AE75" s="67">
        <f t="shared" si="32"/>
        <v>0</v>
      </c>
      <c r="AF75" s="67">
        <f t="shared" si="37"/>
        <v>0</v>
      </c>
      <c r="AG75" s="310">
        <f t="shared" si="33"/>
        <v>0</v>
      </c>
      <c r="AH75" s="310">
        <f t="shared" si="34"/>
        <v>0</v>
      </c>
      <c r="AI75" s="67">
        <f>+'PAJAK JAN-NOV'!R72</f>
        <v>0</v>
      </c>
      <c r="AJ75" s="139">
        <f t="shared" si="35"/>
        <v>0</v>
      </c>
      <c r="AK75" s="32"/>
      <c r="AL75" s="33">
        <f t="shared" si="36"/>
        <v>0</v>
      </c>
      <c r="AM75" s="32"/>
      <c r="AN75" s="33"/>
      <c r="AO75" s="32"/>
      <c r="AP75" s="32"/>
    </row>
    <row r="76" spans="2:42" s="136" customFormat="1" ht="15" hidden="1" customHeight="1">
      <c r="B76" s="131">
        <v>71</v>
      </c>
      <c r="C76" s="132">
        <f>+PERBULAN!B78</f>
        <v>0</v>
      </c>
      <c r="D76" s="137"/>
      <c r="E76" s="37"/>
      <c r="F76" s="324"/>
      <c r="G76" s="305"/>
      <c r="H76" s="319"/>
      <c r="I76" s="308"/>
      <c r="J76" s="308" t="str">
        <f t="shared" si="26"/>
        <v/>
      </c>
      <c r="K76" s="309"/>
      <c r="L76" s="309"/>
      <c r="M76" s="67"/>
      <c r="N76" s="67"/>
      <c r="O76" s="67"/>
      <c r="P76" s="40">
        <v>0</v>
      </c>
      <c r="Q76" s="40">
        <f t="shared" si="27"/>
        <v>0</v>
      </c>
      <c r="R76" s="40">
        <f>+PERBULAN!S78</f>
        <v>0</v>
      </c>
      <c r="S76" s="40">
        <f>+SETAHUN!J78</f>
        <v>0</v>
      </c>
      <c r="T76" s="40">
        <v>0</v>
      </c>
      <c r="U76" s="40">
        <f>+SETAHUN!F78+M76+N76</f>
        <v>0</v>
      </c>
      <c r="V76" s="40">
        <v>0</v>
      </c>
      <c r="W76" s="40">
        <f>+SETAHUN!V78+O76</f>
        <v>0</v>
      </c>
      <c r="X76" s="40">
        <v>0</v>
      </c>
      <c r="Y76" s="40">
        <v>0</v>
      </c>
      <c r="Z76" s="40">
        <f t="shared" si="28"/>
        <v>0</v>
      </c>
      <c r="AA76" s="40">
        <f t="shared" si="29"/>
        <v>0</v>
      </c>
      <c r="AB76" s="40">
        <f t="shared" si="30"/>
        <v>0</v>
      </c>
      <c r="AC76" s="40">
        <f>('ASTEK-DIISI SMPAI DES'!O78+'ASTEK-DIISI SMPAI DES'!O193)</f>
        <v>0</v>
      </c>
      <c r="AD76" s="40">
        <f t="shared" si="31"/>
        <v>0</v>
      </c>
      <c r="AE76" s="67">
        <f t="shared" si="32"/>
        <v>0</v>
      </c>
      <c r="AF76" s="67">
        <f t="shared" si="37"/>
        <v>0</v>
      </c>
      <c r="AG76" s="310">
        <f t="shared" si="33"/>
        <v>0</v>
      </c>
      <c r="AH76" s="310">
        <f t="shared" si="34"/>
        <v>0</v>
      </c>
      <c r="AI76" s="67">
        <f>+'PAJAK JAN-NOV'!R73</f>
        <v>0</v>
      </c>
      <c r="AJ76" s="139">
        <f t="shared" si="35"/>
        <v>0</v>
      </c>
      <c r="AK76" s="32"/>
      <c r="AL76" s="33">
        <f t="shared" si="36"/>
        <v>0</v>
      </c>
      <c r="AM76" s="32"/>
      <c r="AN76" s="33"/>
      <c r="AO76" s="32"/>
      <c r="AP76" s="32"/>
    </row>
    <row r="77" spans="2:42" s="136" customFormat="1" ht="15" hidden="1" customHeight="1">
      <c r="B77" s="131">
        <v>72</v>
      </c>
      <c r="C77" s="132">
        <f>+PERBULAN!B79</f>
        <v>0</v>
      </c>
      <c r="D77" s="137"/>
      <c r="E77" s="37"/>
      <c r="F77" s="324"/>
      <c r="G77" s="305"/>
      <c r="H77" s="319"/>
      <c r="I77" s="308"/>
      <c r="J77" s="308" t="str">
        <f t="shared" si="26"/>
        <v/>
      </c>
      <c r="K77" s="309"/>
      <c r="L77" s="309"/>
      <c r="M77" s="67"/>
      <c r="N77" s="67"/>
      <c r="O77" s="67"/>
      <c r="P77" s="40">
        <v>0</v>
      </c>
      <c r="Q77" s="40">
        <f t="shared" si="27"/>
        <v>0</v>
      </c>
      <c r="R77" s="40">
        <f>+PERBULAN!S79</f>
        <v>0</v>
      </c>
      <c r="S77" s="40">
        <f>+SETAHUN!J79</f>
        <v>0</v>
      </c>
      <c r="T77" s="40">
        <v>0</v>
      </c>
      <c r="U77" s="40">
        <f>+SETAHUN!F79+M77+N77</f>
        <v>0</v>
      </c>
      <c r="V77" s="40">
        <v>0</v>
      </c>
      <c r="W77" s="40">
        <f>+SETAHUN!V79+O77</f>
        <v>0</v>
      </c>
      <c r="X77" s="40">
        <v>0</v>
      </c>
      <c r="Y77" s="40">
        <v>0</v>
      </c>
      <c r="Z77" s="40">
        <f t="shared" si="28"/>
        <v>0</v>
      </c>
      <c r="AA77" s="40">
        <f t="shared" si="29"/>
        <v>0</v>
      </c>
      <c r="AB77" s="40">
        <f t="shared" si="30"/>
        <v>0</v>
      </c>
      <c r="AC77" s="40">
        <f>('ASTEK-DIISI SMPAI DES'!O79+'ASTEK-DIISI SMPAI DES'!O194)</f>
        <v>0</v>
      </c>
      <c r="AD77" s="40">
        <f t="shared" si="31"/>
        <v>0</v>
      </c>
      <c r="AE77" s="67">
        <f t="shared" si="32"/>
        <v>0</v>
      </c>
      <c r="AF77" s="67">
        <f t="shared" si="37"/>
        <v>0</v>
      </c>
      <c r="AG77" s="310">
        <f t="shared" si="33"/>
        <v>0</v>
      </c>
      <c r="AH77" s="310">
        <f t="shared" si="34"/>
        <v>0</v>
      </c>
      <c r="AI77" s="67">
        <f>+'PAJAK JAN-NOV'!R74</f>
        <v>0</v>
      </c>
      <c r="AJ77" s="139">
        <f t="shared" si="35"/>
        <v>0</v>
      </c>
      <c r="AK77" s="32"/>
      <c r="AL77" s="33">
        <f t="shared" si="36"/>
        <v>0</v>
      </c>
      <c r="AM77" s="32"/>
      <c r="AN77" s="33"/>
      <c r="AO77" s="32"/>
      <c r="AP77" s="32"/>
    </row>
    <row r="78" spans="2:42" s="136" customFormat="1" ht="15" hidden="1" customHeight="1">
      <c r="B78" s="131">
        <v>73</v>
      </c>
      <c r="C78" s="132">
        <f>+PERBULAN!B80</f>
        <v>0</v>
      </c>
      <c r="D78" s="137"/>
      <c r="E78" s="37"/>
      <c r="F78" s="324"/>
      <c r="G78" s="305"/>
      <c r="H78" s="319"/>
      <c r="I78" s="308"/>
      <c r="J78" s="308" t="str">
        <f t="shared" si="26"/>
        <v/>
      </c>
      <c r="K78" s="309"/>
      <c r="L78" s="309"/>
      <c r="M78" s="67"/>
      <c r="N78" s="67"/>
      <c r="O78" s="67"/>
      <c r="P78" s="40">
        <v>0</v>
      </c>
      <c r="Q78" s="40">
        <f t="shared" si="27"/>
        <v>0</v>
      </c>
      <c r="R78" s="40">
        <f>+PERBULAN!S80</f>
        <v>0</v>
      </c>
      <c r="S78" s="40">
        <f>+SETAHUN!J80</f>
        <v>0</v>
      </c>
      <c r="T78" s="40">
        <v>0</v>
      </c>
      <c r="U78" s="40">
        <f>+SETAHUN!F80+M78+N78</f>
        <v>0</v>
      </c>
      <c r="V78" s="40">
        <v>0</v>
      </c>
      <c r="W78" s="40">
        <f>+SETAHUN!V80+O78</f>
        <v>0</v>
      </c>
      <c r="X78" s="40">
        <v>0</v>
      </c>
      <c r="Y78" s="40">
        <v>0</v>
      </c>
      <c r="Z78" s="40">
        <f t="shared" si="28"/>
        <v>0</v>
      </c>
      <c r="AA78" s="40">
        <f t="shared" si="29"/>
        <v>0</v>
      </c>
      <c r="AB78" s="40">
        <f t="shared" si="30"/>
        <v>0</v>
      </c>
      <c r="AC78" s="40">
        <f>('ASTEK-DIISI SMPAI DES'!O80+'ASTEK-DIISI SMPAI DES'!O195)</f>
        <v>0</v>
      </c>
      <c r="AD78" s="40">
        <f t="shared" si="31"/>
        <v>0</v>
      </c>
      <c r="AE78" s="67">
        <f t="shared" si="32"/>
        <v>0</v>
      </c>
      <c r="AF78" s="67">
        <f t="shared" si="37"/>
        <v>0</v>
      </c>
      <c r="AG78" s="310">
        <f t="shared" si="33"/>
        <v>0</v>
      </c>
      <c r="AH78" s="310">
        <f t="shared" si="34"/>
        <v>0</v>
      </c>
      <c r="AI78" s="67">
        <f>+'PAJAK JAN-NOV'!R75</f>
        <v>0</v>
      </c>
      <c r="AJ78" s="139">
        <f t="shared" si="35"/>
        <v>0</v>
      </c>
      <c r="AK78" s="32"/>
      <c r="AL78" s="33">
        <f t="shared" si="36"/>
        <v>0</v>
      </c>
      <c r="AM78" s="32"/>
      <c r="AN78" s="33"/>
      <c r="AO78" s="32"/>
      <c r="AP78" s="32"/>
    </row>
    <row r="79" spans="2:42" s="136" customFormat="1" ht="15" hidden="1" customHeight="1">
      <c r="B79" s="131">
        <v>74</v>
      </c>
      <c r="C79" s="132">
        <f>+PERBULAN!B81</f>
        <v>0</v>
      </c>
      <c r="D79" s="137"/>
      <c r="E79" s="37"/>
      <c r="F79" s="324"/>
      <c r="G79" s="305"/>
      <c r="H79" s="319"/>
      <c r="I79" s="308"/>
      <c r="J79" s="308" t="str">
        <f t="shared" si="26"/>
        <v/>
      </c>
      <c r="K79" s="309"/>
      <c r="L79" s="309"/>
      <c r="M79" s="67"/>
      <c r="N79" s="67"/>
      <c r="O79" s="67"/>
      <c r="P79" s="40">
        <v>0</v>
      </c>
      <c r="Q79" s="40">
        <f t="shared" si="27"/>
        <v>0</v>
      </c>
      <c r="R79" s="40">
        <f>+PERBULAN!S81</f>
        <v>0</v>
      </c>
      <c r="S79" s="40">
        <f>+SETAHUN!J81</f>
        <v>0</v>
      </c>
      <c r="T79" s="40">
        <v>0</v>
      </c>
      <c r="U79" s="40">
        <f>+SETAHUN!F81+M79+N79</f>
        <v>0</v>
      </c>
      <c r="V79" s="40">
        <v>0</v>
      </c>
      <c r="W79" s="40">
        <f>+SETAHUN!V81+O79</f>
        <v>0</v>
      </c>
      <c r="X79" s="40">
        <v>0</v>
      </c>
      <c r="Y79" s="40">
        <v>0</v>
      </c>
      <c r="Z79" s="40">
        <f t="shared" si="28"/>
        <v>0</v>
      </c>
      <c r="AA79" s="40">
        <f t="shared" si="29"/>
        <v>0</v>
      </c>
      <c r="AB79" s="40">
        <f t="shared" si="30"/>
        <v>0</v>
      </c>
      <c r="AC79" s="40">
        <f>('ASTEK-DIISI SMPAI DES'!O81+'ASTEK-DIISI SMPAI DES'!O196)</f>
        <v>0</v>
      </c>
      <c r="AD79" s="40">
        <f t="shared" si="31"/>
        <v>0</v>
      </c>
      <c r="AE79" s="67">
        <f t="shared" si="32"/>
        <v>0</v>
      </c>
      <c r="AF79" s="67">
        <f t="shared" si="37"/>
        <v>0</v>
      </c>
      <c r="AG79" s="310">
        <f t="shared" si="33"/>
        <v>0</v>
      </c>
      <c r="AH79" s="310">
        <f t="shared" si="34"/>
        <v>0</v>
      </c>
      <c r="AI79" s="67">
        <f>+'PAJAK JAN-NOV'!R76</f>
        <v>0</v>
      </c>
      <c r="AJ79" s="139">
        <f t="shared" si="35"/>
        <v>0</v>
      </c>
      <c r="AK79" s="32"/>
      <c r="AL79" s="33">
        <f t="shared" si="36"/>
        <v>0</v>
      </c>
      <c r="AM79" s="32"/>
      <c r="AN79" s="33"/>
      <c r="AO79" s="32"/>
      <c r="AP79" s="32"/>
    </row>
    <row r="80" spans="2:42" s="136" customFormat="1" ht="15" hidden="1" customHeight="1">
      <c r="B80" s="131">
        <v>75</v>
      </c>
      <c r="C80" s="132">
        <f>+PERBULAN!B82</f>
        <v>0</v>
      </c>
      <c r="D80" s="137"/>
      <c r="E80" s="37"/>
      <c r="F80" s="324"/>
      <c r="G80" s="305"/>
      <c r="H80" s="319"/>
      <c r="I80" s="308"/>
      <c r="J80" s="308" t="str">
        <f t="shared" si="26"/>
        <v/>
      </c>
      <c r="K80" s="309"/>
      <c r="L80" s="309"/>
      <c r="M80" s="67"/>
      <c r="N80" s="67"/>
      <c r="O80" s="67"/>
      <c r="P80" s="40">
        <v>0</v>
      </c>
      <c r="Q80" s="40">
        <f t="shared" si="27"/>
        <v>0</v>
      </c>
      <c r="R80" s="40">
        <f>+PERBULAN!S82</f>
        <v>0</v>
      </c>
      <c r="S80" s="40">
        <f>+SETAHUN!J82</f>
        <v>0</v>
      </c>
      <c r="T80" s="40">
        <v>0</v>
      </c>
      <c r="U80" s="40">
        <f>+SETAHUN!F82+M80+N80</f>
        <v>0</v>
      </c>
      <c r="V80" s="40">
        <v>0</v>
      </c>
      <c r="W80" s="40">
        <f>+SETAHUN!V82+O80</f>
        <v>0</v>
      </c>
      <c r="X80" s="40">
        <v>0</v>
      </c>
      <c r="Y80" s="40">
        <v>0</v>
      </c>
      <c r="Z80" s="40">
        <f t="shared" si="28"/>
        <v>0</v>
      </c>
      <c r="AA80" s="40">
        <f t="shared" si="29"/>
        <v>0</v>
      </c>
      <c r="AB80" s="40">
        <f t="shared" si="30"/>
        <v>0</v>
      </c>
      <c r="AC80" s="40">
        <f>('ASTEK-DIISI SMPAI DES'!O82+'ASTEK-DIISI SMPAI DES'!O197)</f>
        <v>0</v>
      </c>
      <c r="AD80" s="40">
        <f t="shared" si="31"/>
        <v>0</v>
      </c>
      <c r="AE80" s="67">
        <f t="shared" si="32"/>
        <v>0</v>
      </c>
      <c r="AF80" s="67">
        <f t="shared" si="37"/>
        <v>0</v>
      </c>
      <c r="AG80" s="310">
        <f t="shared" si="33"/>
        <v>0</v>
      </c>
      <c r="AH80" s="310">
        <f t="shared" si="34"/>
        <v>0</v>
      </c>
      <c r="AI80" s="67">
        <f>+'PAJAK JAN-NOV'!R77</f>
        <v>0</v>
      </c>
      <c r="AJ80" s="139">
        <f t="shared" si="35"/>
        <v>0</v>
      </c>
      <c r="AK80" s="32"/>
      <c r="AL80" s="33">
        <f t="shared" si="36"/>
        <v>0</v>
      </c>
      <c r="AM80" s="32"/>
      <c r="AN80" s="33"/>
      <c r="AO80" s="32"/>
      <c r="AP80" s="32"/>
    </row>
    <row r="81" spans="2:54" s="136" customFormat="1" ht="15" hidden="1" customHeight="1">
      <c r="B81" s="131">
        <v>76</v>
      </c>
      <c r="C81" s="132">
        <f>+PERBULAN!B83</f>
        <v>0</v>
      </c>
      <c r="D81" s="137"/>
      <c r="E81" s="37"/>
      <c r="F81" s="324"/>
      <c r="G81" s="305"/>
      <c r="H81" s="319"/>
      <c r="I81" s="308"/>
      <c r="J81" s="308" t="str">
        <f t="shared" ref="J81:J87" si="38">IF(ISBLANK(I81),"",IF(OR(I81="TK/0",I81="TK/1",I81="K/0"),"TER A",IF(I81="K/3","TER C","TER B")))</f>
        <v/>
      </c>
      <c r="K81" s="309"/>
      <c r="L81" s="309"/>
      <c r="M81" s="67"/>
      <c r="N81" s="67"/>
      <c r="O81" s="67"/>
      <c r="P81" s="40">
        <v>0</v>
      </c>
      <c r="Q81" s="40">
        <f t="shared" ref="Q81:Q87" si="39">SUM(M81:P81)</f>
        <v>0</v>
      </c>
      <c r="R81" s="40">
        <f>+PERBULAN!S83</f>
        <v>0</v>
      </c>
      <c r="S81" s="40">
        <f>+SETAHUN!J83</f>
        <v>0</v>
      </c>
      <c r="T81" s="40">
        <v>0</v>
      </c>
      <c r="U81" s="40">
        <f>+SETAHUN!F83+M81+N81</f>
        <v>0</v>
      </c>
      <c r="V81" s="40">
        <v>0</v>
      </c>
      <c r="W81" s="40">
        <f>+SETAHUN!V83+O81</f>
        <v>0</v>
      </c>
      <c r="X81" s="40">
        <v>0</v>
      </c>
      <c r="Y81" s="40">
        <v>0</v>
      </c>
      <c r="Z81" s="40">
        <f t="shared" ref="Z81:Z87" si="40">SUM(R81:T81)</f>
        <v>0</v>
      </c>
      <c r="AA81" s="40">
        <f t="shared" ref="AA81:AA87" si="41">SUM(U81:Z81)</f>
        <v>0</v>
      </c>
      <c r="AB81" s="40">
        <f t="shared" ref="AB81:AB87" si="42">ROUND(IF((AA81)*5%&gt;6000000,6000000,(AA81)*5%),0)</f>
        <v>0</v>
      </c>
      <c r="AC81" s="40">
        <f>('ASTEK-DIISI SMPAI DES'!O83+'ASTEK-DIISI SMPAI DES'!O198)</f>
        <v>0</v>
      </c>
      <c r="AD81" s="40">
        <f t="shared" ref="AD81:AD87" si="43">AA81-AB81-AC81</f>
        <v>0</v>
      </c>
      <c r="AE81" s="67">
        <f t="shared" ref="AE81:AE87" si="44">IFERROR(VLOOKUP(I81,TARIF,3,FALSE),0)</f>
        <v>0</v>
      </c>
      <c r="AF81" s="67">
        <f t="shared" si="37"/>
        <v>0</v>
      </c>
      <c r="AG81" s="310">
        <f t="shared" ref="AG81:AG87" si="45">IF(AF81&gt;5000000000,AF81*35%-306000000,IF(AF81&gt;500000000,AF81*30%-56000000,IF(AF81&gt;250000000,AF81*25%-31000000,IF(AF81&gt;60000000,AF81*15%-6000000,AF81*5%))))</f>
        <v>0</v>
      </c>
      <c r="AH81" s="310">
        <f t="shared" ref="AH81:AH87" si="46">ROUND(IF(E81=0,AG81*120%,AG81),0)</f>
        <v>0</v>
      </c>
      <c r="AI81" s="67">
        <f>+'PAJAK JAN-NOV'!R78</f>
        <v>0</v>
      </c>
      <c r="AJ81" s="139">
        <f t="shared" ref="AJ81:AJ87" si="47">IF(AG81&lt;=AI81,0,IF(AG81&gt;AI81,AG81-AI81))</f>
        <v>0</v>
      </c>
      <c r="AK81" s="32"/>
      <c r="AL81" s="33">
        <f t="shared" si="36"/>
        <v>0</v>
      </c>
      <c r="AM81" s="32"/>
      <c r="AN81" s="33"/>
      <c r="AO81" s="32"/>
      <c r="AP81" s="32"/>
    </row>
    <row r="82" spans="2:54" s="136" customFormat="1" ht="15" hidden="1" customHeight="1">
      <c r="B82" s="131">
        <v>77</v>
      </c>
      <c r="C82" s="132">
        <f>+PERBULAN!B84</f>
        <v>0</v>
      </c>
      <c r="D82" s="137"/>
      <c r="E82" s="37"/>
      <c r="F82" s="324"/>
      <c r="G82" s="305"/>
      <c r="H82" s="319"/>
      <c r="I82" s="308"/>
      <c r="J82" s="308" t="str">
        <f t="shared" si="38"/>
        <v/>
      </c>
      <c r="K82" s="309"/>
      <c r="L82" s="309"/>
      <c r="M82" s="67"/>
      <c r="N82" s="67"/>
      <c r="O82" s="67"/>
      <c r="P82" s="40">
        <v>0</v>
      </c>
      <c r="Q82" s="40">
        <f t="shared" si="39"/>
        <v>0</v>
      </c>
      <c r="R82" s="40">
        <f>+PERBULAN!S84</f>
        <v>0</v>
      </c>
      <c r="S82" s="40">
        <f>+SETAHUN!J84</f>
        <v>0</v>
      </c>
      <c r="T82" s="40">
        <v>0</v>
      </c>
      <c r="U82" s="40">
        <f>+SETAHUN!F84+M82+N82</f>
        <v>0</v>
      </c>
      <c r="V82" s="40">
        <v>0</v>
      </c>
      <c r="W82" s="40">
        <f>+SETAHUN!V84+O82</f>
        <v>0</v>
      </c>
      <c r="X82" s="40">
        <v>0</v>
      </c>
      <c r="Y82" s="40">
        <v>0</v>
      </c>
      <c r="Z82" s="40">
        <f t="shared" si="40"/>
        <v>0</v>
      </c>
      <c r="AA82" s="40">
        <f t="shared" si="41"/>
        <v>0</v>
      </c>
      <c r="AB82" s="40">
        <f t="shared" si="42"/>
        <v>0</v>
      </c>
      <c r="AC82" s="40">
        <f>('ASTEK-DIISI SMPAI DES'!O84+'ASTEK-DIISI SMPAI DES'!O199)</f>
        <v>0</v>
      </c>
      <c r="AD82" s="40">
        <f t="shared" si="43"/>
        <v>0</v>
      </c>
      <c r="AE82" s="67">
        <f t="shared" si="44"/>
        <v>0</v>
      </c>
      <c r="AF82" s="67">
        <f t="shared" si="37"/>
        <v>0</v>
      </c>
      <c r="AG82" s="310">
        <f t="shared" si="45"/>
        <v>0</v>
      </c>
      <c r="AH82" s="310">
        <f t="shared" si="46"/>
        <v>0</v>
      </c>
      <c r="AI82" s="67">
        <f>+'PAJAK JAN-NOV'!R79</f>
        <v>0</v>
      </c>
      <c r="AJ82" s="139">
        <f t="shared" si="47"/>
        <v>0</v>
      </c>
      <c r="AK82" s="32"/>
      <c r="AL82" s="33">
        <f t="shared" si="36"/>
        <v>0</v>
      </c>
      <c r="AM82" s="32"/>
      <c r="AN82" s="33"/>
      <c r="AO82" s="32"/>
      <c r="AP82" s="32"/>
    </row>
    <row r="83" spans="2:54" s="136" customFormat="1" ht="15" hidden="1" customHeight="1">
      <c r="B83" s="131">
        <v>78</v>
      </c>
      <c r="C83" s="132">
        <f>+PERBULAN!B85</f>
        <v>0</v>
      </c>
      <c r="D83" s="137"/>
      <c r="E83" s="37"/>
      <c r="F83" s="324"/>
      <c r="G83" s="305"/>
      <c r="H83" s="319"/>
      <c r="I83" s="308"/>
      <c r="J83" s="308" t="str">
        <f t="shared" si="38"/>
        <v/>
      </c>
      <c r="K83" s="309"/>
      <c r="L83" s="309"/>
      <c r="M83" s="67"/>
      <c r="N83" s="67"/>
      <c r="O83" s="67"/>
      <c r="P83" s="40">
        <v>0</v>
      </c>
      <c r="Q83" s="40">
        <f t="shared" si="39"/>
        <v>0</v>
      </c>
      <c r="R83" s="40">
        <f>+PERBULAN!S85</f>
        <v>0</v>
      </c>
      <c r="S83" s="40">
        <f>+SETAHUN!J85</f>
        <v>0</v>
      </c>
      <c r="T83" s="40">
        <v>0</v>
      </c>
      <c r="U83" s="40">
        <f>+SETAHUN!F85+M83+N83</f>
        <v>0</v>
      </c>
      <c r="V83" s="40">
        <v>0</v>
      </c>
      <c r="W83" s="40">
        <f>+SETAHUN!V85+O83</f>
        <v>0</v>
      </c>
      <c r="X83" s="40">
        <v>0</v>
      </c>
      <c r="Y83" s="40">
        <v>0</v>
      </c>
      <c r="Z83" s="40">
        <f>SUM(R83:T83)</f>
        <v>0</v>
      </c>
      <c r="AA83" s="40">
        <f t="shared" si="41"/>
        <v>0</v>
      </c>
      <c r="AB83" s="40">
        <f t="shared" si="42"/>
        <v>0</v>
      </c>
      <c r="AC83" s="40">
        <f>('ASTEK-DIISI SMPAI DES'!O85+'ASTEK-DIISI SMPAI DES'!O200)</f>
        <v>0</v>
      </c>
      <c r="AD83" s="40">
        <f t="shared" si="43"/>
        <v>0</v>
      </c>
      <c r="AE83" s="67">
        <f t="shared" si="44"/>
        <v>0</v>
      </c>
      <c r="AF83" s="67">
        <f t="shared" si="37"/>
        <v>0</v>
      </c>
      <c r="AG83" s="310">
        <f t="shared" si="45"/>
        <v>0</v>
      </c>
      <c r="AH83" s="310">
        <f t="shared" si="46"/>
        <v>0</v>
      </c>
      <c r="AI83" s="67"/>
      <c r="AJ83" s="139">
        <f t="shared" si="47"/>
        <v>0</v>
      </c>
      <c r="AK83" s="32"/>
      <c r="AL83" s="33">
        <f t="shared" si="36"/>
        <v>0</v>
      </c>
      <c r="AM83" s="32"/>
      <c r="AN83" s="33"/>
      <c r="AO83" s="32"/>
      <c r="AP83" s="32"/>
    </row>
    <row r="84" spans="2:54" s="136" customFormat="1" ht="15" hidden="1" customHeight="1">
      <c r="B84" s="131">
        <v>79</v>
      </c>
      <c r="C84" s="132">
        <f>+PERBULAN!B86</f>
        <v>0</v>
      </c>
      <c r="D84" s="137"/>
      <c r="E84" s="37"/>
      <c r="F84" s="324"/>
      <c r="G84" s="305"/>
      <c r="H84" s="319"/>
      <c r="I84" s="308"/>
      <c r="J84" s="308" t="str">
        <f t="shared" si="38"/>
        <v/>
      </c>
      <c r="K84" s="309"/>
      <c r="L84" s="309"/>
      <c r="M84" s="67"/>
      <c r="N84" s="67"/>
      <c r="O84" s="67"/>
      <c r="P84" s="40">
        <v>0</v>
      </c>
      <c r="Q84" s="40">
        <f t="shared" si="39"/>
        <v>0</v>
      </c>
      <c r="R84" s="40">
        <f>+PERBULAN!S86</f>
        <v>0</v>
      </c>
      <c r="S84" s="40">
        <f>+SETAHUN!J86</f>
        <v>0</v>
      </c>
      <c r="T84" s="40">
        <v>0</v>
      </c>
      <c r="U84" s="40">
        <f>+SETAHUN!F86+M84+N84</f>
        <v>0</v>
      </c>
      <c r="V84" s="40">
        <v>0</v>
      </c>
      <c r="W84" s="40">
        <f>+SETAHUN!V86+O84</f>
        <v>0</v>
      </c>
      <c r="X84" s="40">
        <v>0</v>
      </c>
      <c r="Y84" s="40">
        <v>0</v>
      </c>
      <c r="Z84" s="40">
        <f t="shared" si="40"/>
        <v>0</v>
      </c>
      <c r="AA84" s="40">
        <f t="shared" si="41"/>
        <v>0</v>
      </c>
      <c r="AB84" s="40">
        <f t="shared" si="42"/>
        <v>0</v>
      </c>
      <c r="AC84" s="40">
        <f>('ASTEK-DIISI SMPAI DES'!O86+'ASTEK-DIISI SMPAI DES'!O201)</f>
        <v>0</v>
      </c>
      <c r="AD84" s="40">
        <f t="shared" si="43"/>
        <v>0</v>
      </c>
      <c r="AE84" s="67">
        <f t="shared" si="44"/>
        <v>0</v>
      </c>
      <c r="AF84" s="67">
        <f t="shared" si="37"/>
        <v>0</v>
      </c>
      <c r="AG84" s="310">
        <f t="shared" si="45"/>
        <v>0</v>
      </c>
      <c r="AH84" s="310">
        <f t="shared" si="46"/>
        <v>0</v>
      </c>
      <c r="AI84" s="67">
        <f>+'PAJAK JAN-NOV'!R81</f>
        <v>0</v>
      </c>
      <c r="AJ84" s="139">
        <f t="shared" si="47"/>
        <v>0</v>
      </c>
      <c r="AK84" s="32"/>
      <c r="AL84" s="33">
        <f t="shared" si="36"/>
        <v>0</v>
      </c>
      <c r="AM84" s="32"/>
      <c r="AN84" s="33"/>
      <c r="AO84" s="32"/>
      <c r="AP84" s="32"/>
    </row>
    <row r="85" spans="2:54" s="136" customFormat="1" ht="15" hidden="1" customHeight="1">
      <c r="B85" s="131">
        <v>80</v>
      </c>
      <c r="C85" s="132">
        <f>+PERBULAN!B87</f>
        <v>0</v>
      </c>
      <c r="D85" s="137"/>
      <c r="E85" s="37"/>
      <c r="F85" s="324"/>
      <c r="G85" s="305"/>
      <c r="H85" s="319"/>
      <c r="I85" s="308"/>
      <c r="J85" s="308" t="str">
        <f t="shared" si="38"/>
        <v/>
      </c>
      <c r="K85" s="309"/>
      <c r="L85" s="309"/>
      <c r="M85" s="67"/>
      <c r="N85" s="67"/>
      <c r="O85" s="67"/>
      <c r="P85" s="40">
        <v>0</v>
      </c>
      <c r="Q85" s="40">
        <f t="shared" si="39"/>
        <v>0</v>
      </c>
      <c r="R85" s="40">
        <f>+PERBULAN!S87</f>
        <v>0</v>
      </c>
      <c r="S85" s="40">
        <f>+SETAHUN!J87</f>
        <v>0</v>
      </c>
      <c r="T85" s="40">
        <v>0</v>
      </c>
      <c r="U85" s="40">
        <f>+SETAHUN!F87+M85+N85</f>
        <v>0</v>
      </c>
      <c r="V85" s="40">
        <v>0</v>
      </c>
      <c r="W85" s="40">
        <f>+SETAHUN!V87+O85</f>
        <v>0</v>
      </c>
      <c r="X85" s="40">
        <v>0</v>
      </c>
      <c r="Y85" s="40">
        <v>0</v>
      </c>
      <c r="Z85" s="40">
        <f t="shared" si="40"/>
        <v>0</v>
      </c>
      <c r="AA85" s="40">
        <f t="shared" si="41"/>
        <v>0</v>
      </c>
      <c r="AB85" s="40">
        <f t="shared" si="42"/>
        <v>0</v>
      </c>
      <c r="AC85" s="40">
        <f>('ASTEK-DIISI SMPAI DES'!O87+'ASTEK-DIISI SMPAI DES'!O202)</f>
        <v>0</v>
      </c>
      <c r="AD85" s="40">
        <f t="shared" si="43"/>
        <v>0</v>
      </c>
      <c r="AE85" s="67">
        <f t="shared" si="44"/>
        <v>0</v>
      </c>
      <c r="AF85" s="67">
        <f t="shared" si="37"/>
        <v>0</v>
      </c>
      <c r="AG85" s="310">
        <f t="shared" si="45"/>
        <v>0</v>
      </c>
      <c r="AH85" s="310">
        <f t="shared" si="46"/>
        <v>0</v>
      </c>
      <c r="AI85" s="67">
        <f>+'PAJAK JAN-NOV'!R82</f>
        <v>0</v>
      </c>
      <c r="AJ85" s="139">
        <f t="shared" si="47"/>
        <v>0</v>
      </c>
      <c r="AK85" s="32"/>
      <c r="AL85" s="33">
        <f t="shared" si="36"/>
        <v>0</v>
      </c>
      <c r="AM85" s="32"/>
      <c r="AN85" s="33"/>
      <c r="AO85" s="32"/>
      <c r="AP85" s="32"/>
    </row>
    <row r="86" spans="2:54" s="136" customFormat="1" ht="15" hidden="1" customHeight="1">
      <c r="B86" s="131">
        <v>81</v>
      </c>
      <c r="C86" s="132">
        <f>+PERBULAN!B88</f>
        <v>0</v>
      </c>
      <c r="D86" s="137"/>
      <c r="E86" s="37"/>
      <c r="F86" s="324"/>
      <c r="G86" s="305"/>
      <c r="H86" s="319"/>
      <c r="I86" s="308"/>
      <c r="J86" s="308" t="str">
        <f t="shared" si="38"/>
        <v/>
      </c>
      <c r="K86" s="309"/>
      <c r="L86" s="309"/>
      <c r="M86" s="67"/>
      <c r="N86" s="67"/>
      <c r="O86" s="67"/>
      <c r="P86" s="40">
        <v>0</v>
      </c>
      <c r="Q86" s="40">
        <f t="shared" si="39"/>
        <v>0</v>
      </c>
      <c r="R86" s="40">
        <f>+PERBULAN!S88</f>
        <v>0</v>
      </c>
      <c r="S86" s="40">
        <f>+SETAHUN!J88</f>
        <v>0</v>
      </c>
      <c r="T86" s="40">
        <v>0</v>
      </c>
      <c r="U86" s="40">
        <f>+SETAHUN!F88+M86+N86</f>
        <v>0</v>
      </c>
      <c r="V86" s="40">
        <v>0</v>
      </c>
      <c r="W86" s="40">
        <f>+SETAHUN!V88+O86</f>
        <v>0</v>
      </c>
      <c r="X86" s="40">
        <v>0</v>
      </c>
      <c r="Y86" s="40">
        <v>0</v>
      </c>
      <c r="Z86" s="40">
        <f t="shared" si="40"/>
        <v>0</v>
      </c>
      <c r="AA86" s="40">
        <f t="shared" si="41"/>
        <v>0</v>
      </c>
      <c r="AB86" s="40">
        <f t="shared" si="42"/>
        <v>0</v>
      </c>
      <c r="AC86" s="40">
        <f>('ASTEK-DIISI SMPAI DES'!O88+'ASTEK-DIISI SMPAI DES'!O203)</f>
        <v>0</v>
      </c>
      <c r="AD86" s="40">
        <f t="shared" si="43"/>
        <v>0</v>
      </c>
      <c r="AE86" s="67">
        <f t="shared" si="44"/>
        <v>0</v>
      </c>
      <c r="AF86" s="67">
        <f t="shared" si="37"/>
        <v>0</v>
      </c>
      <c r="AG86" s="310">
        <f t="shared" si="45"/>
        <v>0</v>
      </c>
      <c r="AH86" s="310">
        <f t="shared" si="46"/>
        <v>0</v>
      </c>
      <c r="AI86" s="67">
        <f>+'PAJAK JAN-NOV'!R83</f>
        <v>0</v>
      </c>
      <c r="AJ86" s="139">
        <f t="shared" si="47"/>
        <v>0</v>
      </c>
      <c r="AK86" s="32"/>
      <c r="AL86" s="33">
        <f t="shared" si="36"/>
        <v>0</v>
      </c>
      <c r="AM86" s="32"/>
      <c r="AN86" s="33"/>
      <c r="AO86" s="32"/>
      <c r="AP86" s="32"/>
    </row>
    <row r="87" spans="2:54" s="136" customFormat="1" ht="15" hidden="1" customHeight="1">
      <c r="B87" s="131">
        <v>82</v>
      </c>
      <c r="C87" s="132">
        <f>+PERBULAN!B89</f>
        <v>0</v>
      </c>
      <c r="D87" s="137"/>
      <c r="E87" s="37"/>
      <c r="F87" s="324"/>
      <c r="G87" s="305"/>
      <c r="H87" s="319"/>
      <c r="I87" s="308"/>
      <c r="J87" s="308" t="str">
        <f t="shared" si="38"/>
        <v/>
      </c>
      <c r="K87" s="309"/>
      <c r="L87" s="309"/>
      <c r="M87" s="67"/>
      <c r="N87" s="67"/>
      <c r="O87" s="67"/>
      <c r="P87" s="40">
        <v>0</v>
      </c>
      <c r="Q87" s="40">
        <f t="shared" si="39"/>
        <v>0</v>
      </c>
      <c r="R87" s="40">
        <f>+PERBULAN!S89</f>
        <v>0</v>
      </c>
      <c r="S87" s="40">
        <f>+SETAHUN!J89</f>
        <v>0</v>
      </c>
      <c r="T87" s="40">
        <v>0</v>
      </c>
      <c r="U87" s="40">
        <f>+SETAHUN!F89+M87+N87</f>
        <v>0</v>
      </c>
      <c r="V87" s="40">
        <v>0</v>
      </c>
      <c r="W87" s="40">
        <f>+SETAHUN!V89+O87</f>
        <v>0</v>
      </c>
      <c r="X87" s="40">
        <v>0</v>
      </c>
      <c r="Y87" s="40">
        <v>0</v>
      </c>
      <c r="Z87" s="40">
        <f t="shared" si="40"/>
        <v>0</v>
      </c>
      <c r="AA87" s="40">
        <f t="shared" si="41"/>
        <v>0</v>
      </c>
      <c r="AB87" s="40">
        <f t="shared" si="42"/>
        <v>0</v>
      </c>
      <c r="AC87" s="40">
        <f>('ASTEK-DIISI SMPAI DES'!O89+'ASTEK-DIISI SMPAI DES'!O204)</f>
        <v>0</v>
      </c>
      <c r="AD87" s="40">
        <f t="shared" si="43"/>
        <v>0</v>
      </c>
      <c r="AE87" s="67">
        <f t="shared" si="44"/>
        <v>0</v>
      </c>
      <c r="AF87" s="67">
        <f t="shared" si="37"/>
        <v>0</v>
      </c>
      <c r="AG87" s="310">
        <f t="shared" si="45"/>
        <v>0</v>
      </c>
      <c r="AH87" s="310">
        <f t="shared" si="46"/>
        <v>0</v>
      </c>
      <c r="AI87" s="67">
        <f>+'PAJAK JAN-NOV'!R84</f>
        <v>0</v>
      </c>
      <c r="AJ87" s="139">
        <f t="shared" si="47"/>
        <v>0</v>
      </c>
      <c r="AK87" s="32"/>
      <c r="AL87" s="33">
        <f t="shared" si="36"/>
        <v>0</v>
      </c>
      <c r="AM87" s="32"/>
      <c r="AN87" s="33"/>
      <c r="AO87" s="32"/>
      <c r="AP87" s="32"/>
    </row>
    <row r="88" spans="2:54" s="136" customFormat="1" ht="15" hidden="1" customHeight="1">
      <c r="B88" s="131">
        <v>83</v>
      </c>
      <c r="C88" s="132">
        <f>+PERBULAN!B90</f>
        <v>0</v>
      </c>
      <c r="D88" s="137"/>
      <c r="E88" s="37"/>
      <c r="F88" s="324"/>
      <c r="G88" s="305"/>
      <c r="H88" s="319"/>
      <c r="I88" s="308"/>
      <c r="J88" s="308" t="str">
        <f t="shared" ref="J88:J93" si="48">IF(ISBLANK(I88),"",IF(OR(I88="TK/0",I88="TK/1",I88="K/0"),"TER A",IF(I88="K/3","TER C","TER B")))</f>
        <v/>
      </c>
      <c r="K88" s="309"/>
      <c r="L88" s="309"/>
      <c r="M88" s="67"/>
      <c r="N88" s="67"/>
      <c r="O88" s="67"/>
      <c r="P88" s="40">
        <v>0</v>
      </c>
      <c r="Q88" s="40">
        <f t="shared" ref="Q88:Q93" si="49">SUM(M88:P88)</f>
        <v>0</v>
      </c>
      <c r="R88" s="40">
        <f>+PERBULAN!S90</f>
        <v>0</v>
      </c>
      <c r="S88" s="40">
        <f>+SETAHUN!J90</f>
        <v>0</v>
      </c>
      <c r="T88" s="40">
        <v>0</v>
      </c>
      <c r="U88" s="40">
        <f>+SETAHUN!F90+M88+N88</f>
        <v>0</v>
      </c>
      <c r="V88" s="40">
        <v>0</v>
      </c>
      <c r="W88" s="40">
        <f>+SETAHUN!V90+O88</f>
        <v>0</v>
      </c>
      <c r="X88" s="40">
        <v>0</v>
      </c>
      <c r="Y88" s="40">
        <v>0</v>
      </c>
      <c r="Z88" s="40">
        <f t="shared" ref="Z88:Z93" si="50">SUM(R88:T88)</f>
        <v>0</v>
      </c>
      <c r="AA88" s="40">
        <f t="shared" ref="AA88:AA93" si="51">SUM(U88:Z88)</f>
        <v>0</v>
      </c>
      <c r="AB88" s="40">
        <f t="shared" ref="AB88:AB93" si="52">ROUND(IF((AA88)*5%&gt;6000000,6000000,(AA88)*5%),0)</f>
        <v>0</v>
      </c>
      <c r="AC88" s="40">
        <f>('ASTEK-DIISI SMPAI DES'!O90+'ASTEK-DIISI SMPAI DES'!O205)</f>
        <v>0</v>
      </c>
      <c r="AD88" s="40">
        <f t="shared" ref="AD88:AD93" si="53">AA88-AB88-AC88</f>
        <v>0</v>
      </c>
      <c r="AE88" s="67">
        <f t="shared" ref="AE88:AE93" si="54">IFERROR(VLOOKUP(I88,TARIF,3,FALSE),0)</f>
        <v>0</v>
      </c>
      <c r="AF88" s="67">
        <f t="shared" si="37"/>
        <v>0</v>
      </c>
      <c r="AG88" s="310">
        <f t="shared" ref="AG88:AG93" si="55">IF(AF88&gt;5000000000,AF88*35%-306000000,IF(AF88&gt;500000000,AF88*30%-56000000,IF(AF88&gt;250000000,AF88*25%-31000000,IF(AF88&gt;60000000,AF88*15%-6000000,AF88*5%))))</f>
        <v>0</v>
      </c>
      <c r="AH88" s="310">
        <f t="shared" ref="AH88:AH93" si="56">ROUND(IF(E88=0,AG88*120%,AG88),0)</f>
        <v>0</v>
      </c>
      <c r="AI88" s="67">
        <f>+'PAJAK JAN-NOV'!R85</f>
        <v>0</v>
      </c>
      <c r="AJ88" s="139">
        <f t="shared" ref="AJ88:AJ93" si="57">IF(AG88&lt;=AI88,0,IF(AG88&gt;AI88,AG88-AI88))</f>
        <v>0</v>
      </c>
      <c r="AK88" s="32"/>
      <c r="AL88" s="33">
        <f t="shared" si="36"/>
        <v>0</v>
      </c>
      <c r="AM88" s="32"/>
      <c r="AN88" s="33"/>
      <c r="AO88" s="32"/>
      <c r="AP88" s="32"/>
    </row>
    <row r="89" spans="2:54" s="136" customFormat="1" ht="15" hidden="1" customHeight="1">
      <c r="B89" s="131">
        <v>84</v>
      </c>
      <c r="C89" s="132">
        <f>+PERBULAN!B91</f>
        <v>0</v>
      </c>
      <c r="D89" s="137"/>
      <c r="E89" s="37"/>
      <c r="F89" s="324"/>
      <c r="G89" s="305"/>
      <c r="H89" s="319"/>
      <c r="I89" s="308"/>
      <c r="J89" s="308" t="str">
        <f t="shared" si="48"/>
        <v/>
      </c>
      <c r="K89" s="309"/>
      <c r="L89" s="309"/>
      <c r="M89" s="67"/>
      <c r="N89" s="67"/>
      <c r="O89" s="67"/>
      <c r="P89" s="40">
        <v>0</v>
      </c>
      <c r="Q89" s="40">
        <f t="shared" si="49"/>
        <v>0</v>
      </c>
      <c r="R89" s="40">
        <f>+PERBULAN!S91</f>
        <v>0</v>
      </c>
      <c r="S89" s="40">
        <f>+SETAHUN!J91</f>
        <v>0</v>
      </c>
      <c r="T89" s="40">
        <v>0</v>
      </c>
      <c r="U89" s="40">
        <f>+SETAHUN!F91+M89+N89</f>
        <v>0</v>
      </c>
      <c r="V89" s="40">
        <v>0</v>
      </c>
      <c r="W89" s="40">
        <f>+SETAHUN!V91+O89</f>
        <v>0</v>
      </c>
      <c r="X89" s="40">
        <v>0</v>
      </c>
      <c r="Y89" s="40">
        <v>0</v>
      </c>
      <c r="Z89" s="40">
        <f t="shared" si="50"/>
        <v>0</v>
      </c>
      <c r="AA89" s="40">
        <f t="shared" si="51"/>
        <v>0</v>
      </c>
      <c r="AB89" s="40">
        <f t="shared" si="52"/>
        <v>0</v>
      </c>
      <c r="AC89" s="40">
        <f>('ASTEK-DIISI SMPAI DES'!O91+'ASTEK-DIISI SMPAI DES'!O206)</f>
        <v>0</v>
      </c>
      <c r="AD89" s="40">
        <f t="shared" si="53"/>
        <v>0</v>
      </c>
      <c r="AE89" s="67">
        <f t="shared" si="54"/>
        <v>0</v>
      </c>
      <c r="AF89" s="67">
        <f t="shared" si="37"/>
        <v>0</v>
      </c>
      <c r="AG89" s="310">
        <f t="shared" si="55"/>
        <v>0</v>
      </c>
      <c r="AH89" s="310">
        <f t="shared" si="56"/>
        <v>0</v>
      </c>
      <c r="AI89" s="67">
        <f>+'PAJAK JAN-NOV'!R86</f>
        <v>0</v>
      </c>
      <c r="AJ89" s="139">
        <f t="shared" si="57"/>
        <v>0</v>
      </c>
      <c r="AK89" s="32"/>
      <c r="AL89" s="33">
        <f t="shared" si="36"/>
        <v>0</v>
      </c>
      <c r="AM89" s="32"/>
      <c r="AN89" s="33"/>
      <c r="AO89" s="32"/>
      <c r="AP89" s="32"/>
    </row>
    <row r="90" spans="2:54" s="136" customFormat="1" ht="15" hidden="1" customHeight="1">
      <c r="B90" s="131">
        <v>85</v>
      </c>
      <c r="C90" s="132">
        <f>+PERBULAN!B92</f>
        <v>0</v>
      </c>
      <c r="D90" s="137"/>
      <c r="E90" s="37"/>
      <c r="F90" s="324"/>
      <c r="G90" s="305"/>
      <c r="H90" s="319"/>
      <c r="I90" s="308"/>
      <c r="J90" s="308" t="str">
        <f t="shared" si="48"/>
        <v/>
      </c>
      <c r="K90" s="309"/>
      <c r="L90" s="309"/>
      <c r="M90" s="67"/>
      <c r="N90" s="67"/>
      <c r="O90" s="67"/>
      <c r="P90" s="40">
        <v>0</v>
      </c>
      <c r="Q90" s="40">
        <f t="shared" si="49"/>
        <v>0</v>
      </c>
      <c r="R90" s="40">
        <f>+PERBULAN!S92</f>
        <v>0</v>
      </c>
      <c r="S90" s="40">
        <f>+SETAHUN!J92</f>
        <v>0</v>
      </c>
      <c r="T90" s="40">
        <v>0</v>
      </c>
      <c r="U90" s="40">
        <f>+SETAHUN!F92+M90+N90</f>
        <v>0</v>
      </c>
      <c r="V90" s="40">
        <v>0</v>
      </c>
      <c r="W90" s="40">
        <f>+SETAHUN!V92+O90</f>
        <v>0</v>
      </c>
      <c r="X90" s="40">
        <v>0</v>
      </c>
      <c r="Y90" s="40">
        <v>0</v>
      </c>
      <c r="Z90" s="40">
        <f t="shared" si="50"/>
        <v>0</v>
      </c>
      <c r="AA90" s="40">
        <f t="shared" si="51"/>
        <v>0</v>
      </c>
      <c r="AB90" s="40">
        <f t="shared" si="52"/>
        <v>0</v>
      </c>
      <c r="AC90" s="40">
        <f>('ASTEK-DIISI SMPAI DES'!O92+'ASTEK-DIISI SMPAI DES'!O207)</f>
        <v>0</v>
      </c>
      <c r="AD90" s="40">
        <f t="shared" si="53"/>
        <v>0</v>
      </c>
      <c r="AE90" s="67">
        <f t="shared" si="54"/>
        <v>0</v>
      </c>
      <c r="AF90" s="67">
        <f t="shared" si="37"/>
        <v>0</v>
      </c>
      <c r="AG90" s="310">
        <f t="shared" si="55"/>
        <v>0</v>
      </c>
      <c r="AH90" s="310">
        <f t="shared" si="56"/>
        <v>0</v>
      </c>
      <c r="AI90" s="67"/>
      <c r="AJ90" s="139">
        <f t="shared" si="57"/>
        <v>0</v>
      </c>
      <c r="AK90" s="32"/>
      <c r="AL90" s="33">
        <f t="shared" si="36"/>
        <v>0</v>
      </c>
      <c r="AM90" s="32"/>
      <c r="AN90" s="33"/>
      <c r="AO90" s="32"/>
      <c r="AP90" s="32"/>
    </row>
    <row r="91" spans="2:54" s="136" customFormat="1" ht="15" hidden="1" customHeight="1">
      <c r="B91" s="131">
        <v>86</v>
      </c>
      <c r="C91" s="132">
        <f>+PERBULAN!B93</f>
        <v>0</v>
      </c>
      <c r="D91" s="137"/>
      <c r="E91" s="37"/>
      <c r="F91" s="324"/>
      <c r="G91" s="305"/>
      <c r="H91" s="319"/>
      <c r="I91" s="308"/>
      <c r="J91" s="308" t="str">
        <f t="shared" si="48"/>
        <v/>
      </c>
      <c r="K91" s="309"/>
      <c r="L91" s="309"/>
      <c r="M91" s="67"/>
      <c r="N91" s="67"/>
      <c r="O91" s="67"/>
      <c r="P91" s="40">
        <v>0</v>
      </c>
      <c r="Q91" s="40">
        <f t="shared" si="49"/>
        <v>0</v>
      </c>
      <c r="R91" s="40">
        <f>+PERBULAN!S93</f>
        <v>0</v>
      </c>
      <c r="S91" s="40">
        <f>+SETAHUN!J93</f>
        <v>0</v>
      </c>
      <c r="T91" s="40">
        <v>0</v>
      </c>
      <c r="U91" s="40">
        <f>+SETAHUN!F93+M91+N91</f>
        <v>0</v>
      </c>
      <c r="V91" s="40">
        <v>0</v>
      </c>
      <c r="W91" s="40">
        <f>+SETAHUN!V93+O91</f>
        <v>0</v>
      </c>
      <c r="X91" s="40">
        <v>0</v>
      </c>
      <c r="Y91" s="40">
        <v>0</v>
      </c>
      <c r="Z91" s="40">
        <f t="shared" si="50"/>
        <v>0</v>
      </c>
      <c r="AA91" s="40">
        <f t="shared" si="51"/>
        <v>0</v>
      </c>
      <c r="AB91" s="40">
        <f t="shared" si="52"/>
        <v>0</v>
      </c>
      <c r="AC91" s="40">
        <f>('ASTEK-DIISI SMPAI DES'!O93+'ASTEK-DIISI SMPAI DES'!O208)</f>
        <v>0</v>
      </c>
      <c r="AD91" s="40">
        <f t="shared" si="53"/>
        <v>0</v>
      </c>
      <c r="AE91" s="67">
        <f t="shared" si="54"/>
        <v>0</v>
      </c>
      <c r="AF91" s="67">
        <f t="shared" si="37"/>
        <v>0</v>
      </c>
      <c r="AG91" s="310">
        <f t="shared" si="55"/>
        <v>0</v>
      </c>
      <c r="AH91" s="310">
        <f t="shared" si="56"/>
        <v>0</v>
      </c>
      <c r="AI91" s="67">
        <v>0</v>
      </c>
      <c r="AJ91" s="139">
        <f t="shared" si="57"/>
        <v>0</v>
      </c>
      <c r="AK91" s="32"/>
      <c r="AL91" s="33">
        <f t="shared" si="36"/>
        <v>0</v>
      </c>
      <c r="AM91" s="32"/>
      <c r="AN91" s="33"/>
      <c r="AO91" s="32"/>
      <c r="AP91" s="32"/>
    </row>
    <row r="92" spans="2:54" s="136" customFormat="1" ht="15" hidden="1" customHeight="1">
      <c r="B92" s="131">
        <v>87</v>
      </c>
      <c r="C92" s="132">
        <f>+PERBULAN!B94</f>
        <v>0</v>
      </c>
      <c r="D92" s="137"/>
      <c r="E92" s="37"/>
      <c r="F92" s="324"/>
      <c r="G92" s="305"/>
      <c r="H92" s="319"/>
      <c r="I92" s="308"/>
      <c r="J92" s="308" t="str">
        <f t="shared" si="48"/>
        <v/>
      </c>
      <c r="K92" s="309"/>
      <c r="L92" s="309"/>
      <c r="M92" s="67"/>
      <c r="N92" s="67"/>
      <c r="O92" s="67"/>
      <c r="P92" s="40">
        <v>0</v>
      </c>
      <c r="Q92" s="40">
        <f t="shared" si="49"/>
        <v>0</v>
      </c>
      <c r="R92" s="40">
        <f>+PERBULAN!S94</f>
        <v>0</v>
      </c>
      <c r="S92" s="40">
        <f>+SETAHUN!J94</f>
        <v>0</v>
      </c>
      <c r="T92" s="40">
        <v>0</v>
      </c>
      <c r="U92" s="40">
        <f>+SETAHUN!F94+M92+N92</f>
        <v>0</v>
      </c>
      <c r="V92" s="40">
        <v>0</v>
      </c>
      <c r="W92" s="40">
        <f>+SETAHUN!V94+O92</f>
        <v>0</v>
      </c>
      <c r="X92" s="40">
        <v>0</v>
      </c>
      <c r="Y92" s="40">
        <v>0</v>
      </c>
      <c r="Z92" s="40">
        <f t="shared" si="50"/>
        <v>0</v>
      </c>
      <c r="AA92" s="40">
        <f t="shared" si="51"/>
        <v>0</v>
      </c>
      <c r="AB92" s="40">
        <f t="shared" si="52"/>
        <v>0</v>
      </c>
      <c r="AC92" s="40">
        <f>('ASTEK-DIISI SMPAI DES'!O94+'ASTEK-DIISI SMPAI DES'!O209)</f>
        <v>0</v>
      </c>
      <c r="AD92" s="40">
        <f t="shared" si="53"/>
        <v>0</v>
      </c>
      <c r="AE92" s="67">
        <f t="shared" si="54"/>
        <v>0</v>
      </c>
      <c r="AF92" s="67">
        <f t="shared" si="37"/>
        <v>0</v>
      </c>
      <c r="AG92" s="310">
        <f t="shared" si="55"/>
        <v>0</v>
      </c>
      <c r="AH92" s="310">
        <f t="shared" si="56"/>
        <v>0</v>
      </c>
      <c r="AI92" s="67">
        <v>0</v>
      </c>
      <c r="AJ92" s="139">
        <f t="shared" si="57"/>
        <v>0</v>
      </c>
      <c r="AK92" s="32"/>
      <c r="AL92" s="33">
        <f t="shared" si="36"/>
        <v>0</v>
      </c>
      <c r="AM92" s="32"/>
      <c r="AN92" s="33"/>
      <c r="AO92" s="32"/>
      <c r="AP92" s="32"/>
    </row>
    <row r="93" spans="2:54" s="136" customFormat="1" ht="15" hidden="1" customHeight="1" thickBot="1">
      <c r="B93" s="131">
        <v>88</v>
      </c>
      <c r="C93" s="132">
        <f>+PERBULAN!B95</f>
        <v>0</v>
      </c>
      <c r="D93" s="137"/>
      <c r="E93" s="37"/>
      <c r="F93" s="324"/>
      <c r="G93" s="305"/>
      <c r="H93" s="319"/>
      <c r="I93" s="308"/>
      <c r="J93" s="308" t="str">
        <f t="shared" si="48"/>
        <v/>
      </c>
      <c r="K93" s="309"/>
      <c r="L93" s="309"/>
      <c r="M93" s="67"/>
      <c r="N93" s="67"/>
      <c r="O93" s="67"/>
      <c r="P93" s="40">
        <v>0</v>
      </c>
      <c r="Q93" s="40">
        <f t="shared" si="49"/>
        <v>0</v>
      </c>
      <c r="R93" s="40">
        <f>+PERBULAN!S95</f>
        <v>0</v>
      </c>
      <c r="S93" s="40">
        <f>+SETAHUN!J95</f>
        <v>0</v>
      </c>
      <c r="T93" s="40">
        <v>0</v>
      </c>
      <c r="U93" s="40">
        <f>+SETAHUN!F95+M93+N93</f>
        <v>0</v>
      </c>
      <c r="V93" s="40">
        <v>0</v>
      </c>
      <c r="W93" s="40">
        <f>+SETAHUN!V95+O93</f>
        <v>0</v>
      </c>
      <c r="X93" s="40">
        <v>0</v>
      </c>
      <c r="Y93" s="40">
        <v>0</v>
      </c>
      <c r="Z93" s="40">
        <f t="shared" si="50"/>
        <v>0</v>
      </c>
      <c r="AA93" s="40">
        <f t="shared" si="51"/>
        <v>0</v>
      </c>
      <c r="AB93" s="40">
        <f t="shared" si="52"/>
        <v>0</v>
      </c>
      <c r="AC93" s="40"/>
      <c r="AD93" s="40">
        <f t="shared" si="53"/>
        <v>0</v>
      </c>
      <c r="AE93" s="67">
        <f t="shared" si="54"/>
        <v>0</v>
      </c>
      <c r="AF93" s="67">
        <f t="shared" si="37"/>
        <v>0</v>
      </c>
      <c r="AG93" s="310">
        <f t="shared" si="55"/>
        <v>0</v>
      </c>
      <c r="AH93" s="310">
        <f t="shared" si="56"/>
        <v>0</v>
      </c>
      <c r="AI93" s="67">
        <v>0</v>
      </c>
      <c r="AJ93" s="139">
        <f t="shared" si="57"/>
        <v>0</v>
      </c>
      <c r="AK93" s="32"/>
      <c r="AL93" s="33">
        <f t="shared" si="36"/>
        <v>0</v>
      </c>
      <c r="AM93" s="32"/>
      <c r="AN93" s="33"/>
      <c r="AO93" s="32"/>
      <c r="AP93" s="32"/>
    </row>
    <row r="94" spans="2:54" s="329" customFormat="1" ht="21.75" customHeight="1" thickBot="1">
      <c r="B94" s="325"/>
      <c r="C94" s="325"/>
      <c r="D94" s="325"/>
      <c r="E94" s="325"/>
      <c r="F94" s="325"/>
      <c r="G94" s="325"/>
      <c r="H94" s="325"/>
      <c r="I94" s="325"/>
      <c r="J94" s="325"/>
      <c r="K94" s="325"/>
      <c r="L94" s="326"/>
      <c r="M94" s="327">
        <f>SUM(M6:M93)</f>
        <v>237401106.66666669</v>
      </c>
      <c r="N94" s="327">
        <f t="shared" ref="N94:AJ94" si="58">SUM(N6:N93)</f>
        <v>83339735.76554285</v>
      </c>
      <c r="O94" s="327">
        <f t="shared" si="58"/>
        <v>11385054.560000004</v>
      </c>
      <c r="P94" s="327">
        <f t="shared" si="58"/>
        <v>0</v>
      </c>
      <c r="Q94" s="327">
        <f t="shared" si="58"/>
        <v>332125896.99220967</v>
      </c>
      <c r="R94" s="327">
        <f t="shared" si="58"/>
        <v>235897075</v>
      </c>
      <c r="S94" s="327">
        <f t="shared" si="58"/>
        <v>27150000</v>
      </c>
      <c r="T94" s="327">
        <f t="shared" si="58"/>
        <v>0</v>
      </c>
      <c r="U94" s="327">
        <f t="shared" si="58"/>
        <v>3511811703.7922087</v>
      </c>
      <c r="V94" s="327">
        <f t="shared" si="58"/>
        <v>0</v>
      </c>
      <c r="W94" s="327">
        <f t="shared" si="58"/>
        <v>137780066.20000002</v>
      </c>
      <c r="X94" s="327">
        <f t="shared" si="58"/>
        <v>0</v>
      </c>
      <c r="Y94" s="327">
        <f t="shared" si="58"/>
        <v>0</v>
      </c>
      <c r="Z94" s="327">
        <f t="shared" si="58"/>
        <v>263047075</v>
      </c>
      <c r="AA94" s="327">
        <f t="shared" si="58"/>
        <v>3912638844.9922071</v>
      </c>
      <c r="AB94" s="327">
        <f t="shared" si="58"/>
        <v>195631942</v>
      </c>
      <c r="AC94" s="327">
        <f t="shared" si="58"/>
        <v>85048857</v>
      </c>
      <c r="AD94" s="327">
        <f t="shared" si="58"/>
        <v>3631958045.9922075</v>
      </c>
      <c r="AE94" s="327">
        <f t="shared" si="58"/>
        <v>3712500000</v>
      </c>
      <c r="AF94" s="327">
        <f t="shared" si="58"/>
        <v>166857000</v>
      </c>
      <c r="AG94" s="327">
        <f t="shared" si="58"/>
        <v>8342850</v>
      </c>
      <c r="AH94" s="327">
        <f t="shared" si="58"/>
        <v>8342850</v>
      </c>
      <c r="AI94" s="327">
        <f>SUM(AI6:AI93)</f>
        <v>13346688</v>
      </c>
      <c r="AJ94" s="327">
        <f t="shared" si="58"/>
        <v>1400383</v>
      </c>
      <c r="AK94" s="42"/>
      <c r="AL94" s="43">
        <f>SUM(AL6:AL93)</f>
        <v>5003838</v>
      </c>
      <c r="AM94" s="42"/>
      <c r="AN94" s="43"/>
      <c r="AO94" s="42"/>
      <c r="AP94" s="42"/>
      <c r="AQ94" s="328"/>
      <c r="AR94" s="328"/>
      <c r="AS94" s="328"/>
      <c r="AT94" s="328"/>
      <c r="AU94" s="328"/>
      <c r="AV94" s="328"/>
      <c r="AW94" s="328"/>
      <c r="AX94" s="328"/>
      <c r="AY94" s="328"/>
      <c r="AZ94" s="328"/>
      <c r="BA94" s="328"/>
      <c r="BB94" s="328"/>
    </row>
    <row r="95" spans="2:54" ht="15" hidden="1" customHeight="1" thickTop="1">
      <c r="AI95" s="28"/>
      <c r="AJ95" s="28"/>
    </row>
    <row r="96" spans="2:54" ht="15" customHeight="1" thickTop="1">
      <c r="B96" s="328" t="s">
        <v>47</v>
      </c>
      <c r="O96" s="388"/>
      <c r="AG96" s="60"/>
      <c r="AI96" s="28"/>
      <c r="AJ96" s="28"/>
    </row>
    <row r="97" spans="2:76" ht="15" customHeight="1">
      <c r="B97" s="136" t="s">
        <v>48</v>
      </c>
      <c r="O97" s="331"/>
      <c r="Q97" s="389"/>
      <c r="AG97" s="60"/>
      <c r="AJ97" s="390"/>
    </row>
    <row r="98" spans="2:76" ht="15" customHeight="1">
      <c r="B98" s="136" t="s">
        <v>56</v>
      </c>
      <c r="O98" s="331"/>
      <c r="AG98" s="60"/>
    </row>
    <row r="99" spans="2:76" ht="15" customHeight="1">
      <c r="B99" s="136" t="s">
        <v>49</v>
      </c>
      <c r="O99" s="331"/>
      <c r="AG99" s="60"/>
    </row>
    <row r="100" spans="2:76" s="31" customFormat="1" ht="15" customHeight="1">
      <c r="B100" s="136" t="s">
        <v>57</v>
      </c>
      <c r="C100" s="28"/>
      <c r="D100" s="222"/>
      <c r="E100" s="29"/>
      <c r="F100" s="28"/>
      <c r="G100" s="293"/>
      <c r="H100" s="294"/>
      <c r="I100" s="294"/>
      <c r="J100" s="294"/>
      <c r="K100" s="294"/>
      <c r="L100" s="294"/>
      <c r="M100" s="28"/>
      <c r="N100" s="28"/>
      <c r="O100" s="331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  <c r="AC100" s="28"/>
      <c r="AD100" s="28"/>
      <c r="AE100" s="28"/>
      <c r="AF100" s="28"/>
      <c r="AG100" s="60"/>
      <c r="AH100" s="28"/>
      <c r="AK100" s="32"/>
      <c r="AL100" s="33"/>
      <c r="AM100" s="32"/>
      <c r="AN100" s="33"/>
      <c r="AO100" s="32"/>
      <c r="AP100" s="32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330"/>
      <c r="BD100" s="330"/>
      <c r="BE100" s="330"/>
      <c r="BF100" s="330"/>
      <c r="BG100" s="330"/>
      <c r="BH100" s="330"/>
      <c r="BI100" s="330"/>
      <c r="BJ100" s="330"/>
      <c r="BK100" s="330"/>
      <c r="BL100" s="330"/>
      <c r="BM100" s="330"/>
      <c r="BN100" s="330"/>
      <c r="BO100" s="330"/>
      <c r="BP100" s="330"/>
      <c r="BQ100" s="330"/>
      <c r="BR100" s="330"/>
      <c r="BS100" s="330"/>
      <c r="BT100" s="330"/>
      <c r="BU100" s="330"/>
      <c r="BV100" s="330"/>
      <c r="BW100" s="330"/>
      <c r="BX100" s="330"/>
    </row>
    <row r="101" spans="2:76" s="31" customFormat="1" ht="15" customHeight="1">
      <c r="B101" s="136" t="s">
        <v>50</v>
      </c>
      <c r="C101" s="28"/>
      <c r="D101" s="222"/>
      <c r="E101" s="29"/>
      <c r="F101" s="28"/>
      <c r="G101" s="293"/>
      <c r="H101" s="294"/>
      <c r="I101" s="294"/>
      <c r="J101" s="294"/>
      <c r="K101" s="294"/>
      <c r="L101" s="294"/>
      <c r="M101" s="28"/>
      <c r="N101" s="28"/>
      <c r="O101" s="331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  <c r="AC101" s="28"/>
      <c r="AD101" s="28"/>
      <c r="AE101" s="28"/>
      <c r="AF101" s="28"/>
      <c r="AG101" s="28"/>
      <c r="AH101" s="28">
        <f>SUM(AH96:AH100)</f>
        <v>0</v>
      </c>
      <c r="AK101" s="32"/>
      <c r="AL101" s="33"/>
      <c r="AM101" s="32"/>
      <c r="AN101" s="33"/>
      <c r="AO101" s="32"/>
      <c r="AP101" s="32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330"/>
      <c r="BD101" s="330"/>
      <c r="BE101" s="330"/>
      <c r="BF101" s="330"/>
      <c r="BG101" s="330"/>
      <c r="BH101" s="330"/>
      <c r="BI101" s="330"/>
      <c r="BJ101" s="330"/>
      <c r="BK101" s="330"/>
      <c r="BL101" s="330"/>
      <c r="BM101" s="330"/>
      <c r="BN101" s="330"/>
      <c r="BO101" s="330"/>
      <c r="BP101" s="330"/>
      <c r="BQ101" s="330"/>
      <c r="BR101" s="330"/>
      <c r="BS101" s="330"/>
      <c r="BT101" s="330"/>
      <c r="BU101" s="330"/>
      <c r="BV101" s="330"/>
      <c r="BW101" s="330"/>
      <c r="BX101" s="330"/>
    </row>
    <row r="102" spans="2:76" s="31" customFormat="1" ht="15" customHeight="1">
      <c r="B102" s="136" t="s">
        <v>51</v>
      </c>
      <c r="C102" s="28"/>
      <c r="D102" s="222"/>
      <c r="E102" s="29"/>
      <c r="F102" s="28"/>
      <c r="G102" s="293"/>
      <c r="H102" s="294"/>
      <c r="I102" s="294"/>
      <c r="J102" s="294"/>
      <c r="K102" s="294"/>
      <c r="L102" s="294"/>
      <c r="M102" s="28"/>
      <c r="N102" s="28"/>
      <c r="O102" s="331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  <c r="AC102" s="28"/>
      <c r="AD102" s="28"/>
      <c r="AE102" s="28"/>
      <c r="AF102" s="28"/>
      <c r="AG102" s="28"/>
      <c r="AH102" s="28"/>
      <c r="AK102" s="32"/>
      <c r="AL102" s="33"/>
      <c r="AM102" s="32"/>
      <c r="AN102" s="33"/>
      <c r="AO102" s="32"/>
      <c r="AP102" s="32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330"/>
      <c r="BD102" s="330"/>
      <c r="BE102" s="330"/>
      <c r="BF102" s="330"/>
      <c r="BG102" s="330"/>
      <c r="BH102" s="330"/>
      <c r="BI102" s="330"/>
      <c r="BJ102" s="330"/>
      <c r="BK102" s="330"/>
      <c r="BL102" s="330"/>
      <c r="BM102" s="330"/>
      <c r="BN102" s="330"/>
      <c r="BO102" s="330"/>
      <c r="BP102" s="330"/>
      <c r="BQ102" s="330"/>
      <c r="BR102" s="330"/>
      <c r="BS102" s="330"/>
      <c r="BT102" s="330"/>
      <c r="BU102" s="330"/>
      <c r="BV102" s="330"/>
      <c r="BW102" s="330"/>
      <c r="BX102" s="330"/>
    </row>
    <row r="103" spans="2:76" s="31" customFormat="1" ht="15" customHeight="1">
      <c r="B103" s="136" t="s">
        <v>52</v>
      </c>
      <c r="C103" s="28"/>
      <c r="D103" s="222"/>
      <c r="E103" s="29"/>
      <c r="F103" s="28"/>
      <c r="G103" s="293"/>
      <c r="H103" s="294"/>
      <c r="I103" s="294"/>
      <c r="J103" s="294"/>
      <c r="K103" s="294"/>
      <c r="L103" s="294"/>
      <c r="M103" s="28"/>
      <c r="N103" s="28"/>
      <c r="O103" s="331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K103" s="32"/>
      <c r="AL103" s="33"/>
      <c r="AM103" s="32"/>
      <c r="AN103" s="33"/>
      <c r="AO103" s="32"/>
      <c r="AP103" s="32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330"/>
      <c r="BD103" s="330"/>
      <c r="BE103" s="330"/>
      <c r="BF103" s="330"/>
      <c r="BG103" s="330"/>
      <c r="BH103" s="330"/>
      <c r="BI103" s="330"/>
      <c r="BJ103" s="330"/>
      <c r="BK103" s="330"/>
      <c r="BL103" s="330"/>
      <c r="BM103" s="330"/>
      <c r="BN103" s="330"/>
      <c r="BO103" s="330"/>
      <c r="BP103" s="330"/>
      <c r="BQ103" s="330"/>
      <c r="BR103" s="330"/>
      <c r="BS103" s="330"/>
      <c r="BT103" s="330"/>
      <c r="BU103" s="330"/>
      <c r="BV103" s="330"/>
      <c r="BW103" s="330"/>
      <c r="BX103" s="330"/>
    </row>
    <row r="104" spans="2:76" s="31" customFormat="1" ht="15" customHeight="1">
      <c r="B104" s="136" t="s">
        <v>65</v>
      </c>
      <c r="C104" s="28"/>
      <c r="D104" s="222"/>
      <c r="E104" s="29"/>
      <c r="F104" s="28"/>
      <c r="G104" s="293"/>
      <c r="H104" s="294"/>
      <c r="I104" s="294"/>
      <c r="J104" s="294"/>
      <c r="K104" s="294"/>
      <c r="L104" s="294"/>
      <c r="M104" s="28"/>
      <c r="N104" s="28"/>
      <c r="O104" s="331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  <c r="AC104" s="28"/>
      <c r="AD104" s="28"/>
      <c r="AE104" s="28"/>
      <c r="AF104" s="28"/>
      <c r="AG104" s="28"/>
      <c r="AH104" s="28"/>
      <c r="AK104" s="32"/>
      <c r="AL104" s="33"/>
      <c r="AM104" s="32"/>
      <c r="AN104" s="33"/>
      <c r="AO104" s="32"/>
      <c r="AP104" s="32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330"/>
      <c r="BD104" s="330"/>
      <c r="BE104" s="330"/>
      <c r="BF104" s="330"/>
      <c r="BG104" s="330"/>
      <c r="BH104" s="330"/>
      <c r="BI104" s="330"/>
      <c r="BJ104" s="330"/>
      <c r="BK104" s="330"/>
      <c r="BL104" s="330"/>
      <c r="BM104" s="330"/>
      <c r="BN104" s="330"/>
      <c r="BO104" s="330"/>
      <c r="BP104" s="330"/>
      <c r="BQ104" s="330"/>
      <c r="BR104" s="330"/>
      <c r="BS104" s="330"/>
      <c r="BT104" s="330"/>
      <c r="BU104" s="330"/>
      <c r="BV104" s="330"/>
      <c r="BW104" s="330"/>
      <c r="BX104" s="330"/>
    </row>
    <row r="105" spans="2:76" s="31" customFormat="1" ht="7.5" customHeight="1">
      <c r="B105" s="136"/>
      <c r="C105" s="28"/>
      <c r="D105" s="222"/>
      <c r="E105" s="29"/>
      <c r="F105" s="28"/>
      <c r="G105" s="293"/>
      <c r="H105" s="294"/>
      <c r="I105" s="294"/>
      <c r="J105" s="294"/>
      <c r="K105" s="294"/>
      <c r="L105" s="294"/>
      <c r="M105" s="28"/>
      <c r="N105" s="28"/>
      <c r="O105" s="331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  <c r="AC105" s="28"/>
      <c r="AD105" s="28"/>
      <c r="AE105" s="28"/>
      <c r="AF105" s="28"/>
      <c r="AG105" s="28"/>
      <c r="AH105" s="28"/>
      <c r="AK105" s="32"/>
      <c r="AL105" s="33"/>
      <c r="AM105" s="32"/>
      <c r="AN105" s="33"/>
      <c r="AO105" s="32"/>
      <c r="AP105" s="32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330"/>
      <c r="BD105" s="330"/>
      <c r="BE105" s="330"/>
      <c r="BF105" s="330"/>
      <c r="BG105" s="330"/>
      <c r="BH105" s="330"/>
      <c r="BI105" s="330"/>
      <c r="BJ105" s="330"/>
      <c r="BK105" s="330"/>
      <c r="BL105" s="330"/>
      <c r="BM105" s="330"/>
      <c r="BN105" s="330"/>
      <c r="BO105" s="330"/>
      <c r="BP105" s="330"/>
      <c r="BQ105" s="330"/>
      <c r="BR105" s="330"/>
      <c r="BS105" s="330"/>
      <c r="BT105" s="330"/>
      <c r="BU105" s="330"/>
      <c r="BV105" s="330"/>
      <c r="BW105" s="330"/>
      <c r="BX105" s="330"/>
    </row>
    <row r="106" spans="2:76" s="31" customFormat="1" ht="15" customHeight="1">
      <c r="B106" s="136"/>
      <c r="C106" s="408" t="s">
        <v>408</v>
      </c>
      <c r="D106" s="408"/>
      <c r="E106" s="29"/>
      <c r="F106" s="28"/>
      <c r="G106" s="293"/>
      <c r="H106" s="294"/>
      <c r="I106" s="294"/>
      <c r="J106" s="294"/>
      <c r="K106" s="294"/>
      <c r="L106" s="408" t="s">
        <v>548</v>
      </c>
      <c r="M106" s="408"/>
      <c r="N106" s="408"/>
      <c r="O106" s="392"/>
      <c r="P106" s="394"/>
      <c r="Q106" s="28"/>
      <c r="R106" s="28"/>
      <c r="S106" s="28"/>
      <c r="T106" s="28"/>
      <c r="U106" s="391" t="s">
        <v>551</v>
      </c>
      <c r="V106" s="391"/>
      <c r="W106" s="391"/>
      <c r="X106" s="391"/>
      <c r="Y106" s="392"/>
      <c r="Z106" s="392"/>
      <c r="AA106" s="392"/>
      <c r="AB106" s="392"/>
      <c r="AC106" s="392"/>
      <c r="AD106" s="392"/>
      <c r="AE106" s="392"/>
      <c r="AF106" s="391" t="s">
        <v>552</v>
      </c>
      <c r="AG106" s="391"/>
      <c r="AH106" s="391"/>
      <c r="AI106" s="391"/>
      <c r="AJ106" s="391"/>
      <c r="AK106" s="391"/>
      <c r="AL106" s="392"/>
      <c r="AR106" s="395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330"/>
      <c r="BD106" s="330"/>
      <c r="BE106" s="330"/>
      <c r="BF106" s="330"/>
      <c r="BG106" s="330"/>
      <c r="BH106" s="330"/>
      <c r="BI106" s="330"/>
      <c r="BJ106" s="330"/>
      <c r="BK106" s="330"/>
      <c r="BL106" s="330"/>
      <c r="BM106" s="330"/>
      <c r="BN106" s="330"/>
      <c r="BO106" s="330"/>
      <c r="BP106" s="330"/>
      <c r="BQ106" s="330"/>
      <c r="BR106" s="330"/>
      <c r="BS106" s="330"/>
      <c r="BT106" s="330"/>
      <c r="BU106" s="330"/>
      <c r="BV106" s="330"/>
      <c r="BW106" s="330"/>
      <c r="BX106" s="330"/>
    </row>
    <row r="107" spans="2:76" s="31" customFormat="1" ht="15" customHeight="1">
      <c r="B107" s="136"/>
      <c r="C107" s="391"/>
      <c r="D107" s="391"/>
      <c r="E107" s="29"/>
      <c r="F107" s="28"/>
      <c r="G107" s="293"/>
      <c r="H107" s="294"/>
      <c r="I107" s="294"/>
      <c r="J107" s="294"/>
      <c r="K107" s="294"/>
      <c r="L107" s="294"/>
      <c r="M107" s="393"/>
      <c r="N107" s="392"/>
      <c r="O107" s="392"/>
      <c r="P107" s="394"/>
      <c r="Q107" s="28"/>
      <c r="R107" s="28"/>
      <c r="S107" s="28"/>
      <c r="T107" s="28"/>
      <c r="U107" s="391"/>
      <c r="V107" s="391"/>
      <c r="W107" s="391"/>
      <c r="X107" s="391"/>
      <c r="Y107" s="392"/>
      <c r="Z107" s="392"/>
      <c r="AA107" s="392"/>
      <c r="AB107" s="392"/>
      <c r="AC107" s="392"/>
      <c r="AD107" s="392"/>
      <c r="AE107" s="392"/>
      <c r="AF107" s="395"/>
      <c r="AG107" s="392"/>
      <c r="AH107" s="392"/>
      <c r="AI107" s="391"/>
      <c r="AJ107" s="391"/>
      <c r="AK107" s="391"/>
      <c r="AL107" s="392"/>
      <c r="AR107" s="395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330"/>
      <c r="BD107" s="330"/>
      <c r="BE107" s="330"/>
      <c r="BF107" s="330"/>
      <c r="BG107" s="330"/>
      <c r="BH107" s="330"/>
      <c r="BI107" s="330"/>
      <c r="BJ107" s="330"/>
      <c r="BK107" s="330"/>
      <c r="BL107" s="330"/>
      <c r="BM107" s="330"/>
      <c r="BN107" s="330"/>
      <c r="BO107" s="330"/>
      <c r="BP107" s="330"/>
      <c r="BQ107" s="330"/>
      <c r="BR107" s="330"/>
      <c r="BS107" s="330"/>
      <c r="BT107" s="330"/>
      <c r="BU107" s="330"/>
      <c r="BV107" s="330"/>
      <c r="BW107" s="330"/>
      <c r="BX107" s="330"/>
    </row>
    <row r="108" spans="2:76" s="31" customFormat="1" ht="15" customHeight="1">
      <c r="B108" s="136"/>
      <c r="C108" s="392"/>
      <c r="D108" s="391"/>
      <c r="E108" s="29"/>
      <c r="F108" s="28"/>
      <c r="G108" s="293"/>
      <c r="H108" s="294"/>
      <c r="I108" s="294"/>
      <c r="J108" s="294"/>
      <c r="K108" s="294"/>
      <c r="L108" s="294"/>
      <c r="M108" s="393"/>
      <c r="N108" s="392"/>
      <c r="O108" s="392"/>
      <c r="P108" s="392"/>
      <c r="Q108" s="28"/>
      <c r="R108" s="28"/>
      <c r="S108" s="28"/>
      <c r="T108" s="28"/>
      <c r="U108" s="392"/>
      <c r="V108" s="392"/>
      <c r="W108" s="392"/>
      <c r="X108" s="392"/>
      <c r="Y108" s="392"/>
      <c r="Z108" s="392"/>
      <c r="AA108" s="392"/>
      <c r="AB108" s="392"/>
      <c r="AC108" s="392"/>
      <c r="AD108" s="392"/>
      <c r="AE108" s="392"/>
      <c r="AF108" s="392"/>
      <c r="AG108" s="392"/>
      <c r="AH108" s="392"/>
      <c r="AI108" s="392"/>
      <c r="AJ108" s="392"/>
      <c r="AK108" s="392"/>
      <c r="AL108" s="392"/>
      <c r="AR108" s="392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330"/>
      <c r="BD108" s="330"/>
      <c r="BE108" s="330"/>
      <c r="BF108" s="330"/>
      <c r="BG108" s="330"/>
      <c r="BH108" s="330"/>
      <c r="BI108" s="330"/>
      <c r="BJ108" s="330"/>
      <c r="BK108" s="330"/>
      <c r="BL108" s="330"/>
      <c r="BM108" s="330"/>
      <c r="BN108" s="330"/>
      <c r="BO108" s="330"/>
      <c r="BP108" s="330"/>
      <c r="BQ108" s="330"/>
      <c r="BR108" s="330"/>
      <c r="BS108" s="330"/>
      <c r="BT108" s="330"/>
      <c r="BU108" s="330"/>
      <c r="BV108" s="330"/>
      <c r="BW108" s="330"/>
      <c r="BX108" s="330"/>
    </row>
    <row r="109" spans="2:76" s="31" customFormat="1" ht="15" customHeight="1">
      <c r="B109" s="136"/>
      <c r="C109" s="392"/>
      <c r="D109" s="391"/>
      <c r="E109" s="29"/>
      <c r="F109" s="28"/>
      <c r="G109" s="293"/>
      <c r="H109" s="294"/>
      <c r="I109" s="294"/>
      <c r="J109" s="294"/>
      <c r="K109" s="294"/>
      <c r="L109" s="294"/>
      <c r="M109" s="393"/>
      <c r="N109" s="392"/>
      <c r="O109" s="392"/>
      <c r="P109" s="392"/>
      <c r="Q109" s="28"/>
      <c r="R109" s="28"/>
      <c r="S109" s="28"/>
      <c r="T109" s="28"/>
      <c r="U109" s="392"/>
      <c r="V109" s="392"/>
      <c r="W109" s="392"/>
      <c r="X109" s="392"/>
      <c r="Y109" s="392"/>
      <c r="Z109" s="392"/>
      <c r="AA109" s="392"/>
      <c r="AB109" s="392"/>
      <c r="AC109" s="392"/>
      <c r="AD109" s="392"/>
      <c r="AE109" s="392"/>
      <c r="AF109" s="392"/>
      <c r="AG109" s="392"/>
      <c r="AH109" s="392"/>
      <c r="AI109" s="392"/>
      <c r="AJ109" s="392"/>
      <c r="AK109" s="392"/>
      <c r="AL109" s="392"/>
      <c r="AR109" s="392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330"/>
      <c r="BD109" s="330"/>
      <c r="BE109" s="330"/>
      <c r="BF109" s="330"/>
      <c r="BG109" s="330"/>
      <c r="BH109" s="330"/>
      <c r="BI109" s="330"/>
      <c r="BJ109" s="330"/>
      <c r="BK109" s="330"/>
      <c r="BL109" s="330"/>
      <c r="BM109" s="330"/>
      <c r="BN109" s="330"/>
      <c r="BO109" s="330"/>
      <c r="BP109" s="330"/>
      <c r="BQ109" s="330"/>
      <c r="BR109" s="330"/>
      <c r="BS109" s="330"/>
      <c r="BT109" s="330"/>
      <c r="BU109" s="330"/>
      <c r="BV109" s="330"/>
      <c r="BW109" s="330"/>
      <c r="BX109" s="330"/>
    </row>
    <row r="110" spans="2:76" s="31" customFormat="1" ht="15" customHeight="1">
      <c r="B110" s="136"/>
      <c r="C110" s="392"/>
      <c r="D110" s="391"/>
      <c r="E110" s="29"/>
      <c r="F110" s="28"/>
      <c r="G110" s="293"/>
      <c r="H110" s="294"/>
      <c r="I110" s="294"/>
      <c r="J110" s="294"/>
      <c r="K110" s="294"/>
      <c r="L110" s="294"/>
      <c r="M110" s="393"/>
      <c r="N110" s="392"/>
      <c r="O110" s="392"/>
      <c r="P110" s="392"/>
      <c r="Q110" s="28"/>
      <c r="R110" s="28"/>
      <c r="S110" s="28"/>
      <c r="T110" s="28"/>
      <c r="U110" s="392"/>
      <c r="V110" s="392"/>
      <c r="W110" s="392"/>
      <c r="X110" s="392"/>
      <c r="Y110" s="392"/>
      <c r="Z110" s="392"/>
      <c r="AA110" s="392"/>
      <c r="AB110" s="392"/>
      <c r="AC110" s="392"/>
      <c r="AD110" s="392"/>
      <c r="AE110" s="392"/>
      <c r="AF110" s="392"/>
      <c r="AG110" s="392"/>
      <c r="AH110" s="392"/>
      <c r="AI110" s="392"/>
      <c r="AJ110" s="392"/>
      <c r="AK110" s="392"/>
      <c r="AL110" s="392"/>
      <c r="AR110" s="392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330"/>
      <c r="BD110" s="330"/>
      <c r="BE110" s="330"/>
      <c r="BF110" s="330"/>
      <c r="BG110" s="330"/>
      <c r="BH110" s="330"/>
      <c r="BI110" s="330"/>
      <c r="BJ110" s="330"/>
      <c r="BK110" s="330"/>
      <c r="BL110" s="330"/>
      <c r="BM110" s="330"/>
      <c r="BN110" s="330"/>
      <c r="BO110" s="330"/>
      <c r="BP110" s="330"/>
      <c r="BQ110" s="330"/>
      <c r="BR110" s="330"/>
      <c r="BS110" s="330"/>
      <c r="BT110" s="330"/>
      <c r="BU110" s="330"/>
      <c r="BV110" s="330"/>
      <c r="BW110" s="330"/>
      <c r="BX110" s="330"/>
    </row>
    <row r="111" spans="2:76" s="31" customFormat="1" ht="15" customHeight="1">
      <c r="B111" s="136"/>
      <c r="C111" s="411" t="s">
        <v>410</v>
      </c>
      <c r="D111" s="411"/>
      <c r="E111" s="29"/>
      <c r="F111" s="28"/>
      <c r="G111" s="293"/>
      <c r="H111" s="294"/>
      <c r="I111" s="294"/>
      <c r="J111" s="294"/>
      <c r="K111" s="294"/>
      <c r="L111" s="294"/>
      <c r="M111" s="409" t="s">
        <v>549</v>
      </c>
      <c r="N111" s="409"/>
      <c r="O111" s="397"/>
      <c r="P111" s="397"/>
      <c r="Q111" s="28"/>
      <c r="R111" s="28"/>
      <c r="S111" s="28"/>
      <c r="T111" s="401"/>
      <c r="U111" s="402" t="s">
        <v>553</v>
      </c>
      <c r="V111" s="402"/>
      <c r="W111" s="398"/>
      <c r="X111" s="398"/>
      <c r="Y111" s="396"/>
      <c r="Z111" s="396"/>
      <c r="AA111" s="392"/>
      <c r="AB111" s="392"/>
      <c r="AC111" s="392"/>
      <c r="AD111" s="392"/>
      <c r="AE111" s="403"/>
      <c r="AF111" s="402" t="s">
        <v>554</v>
      </c>
      <c r="AG111" s="404"/>
      <c r="AH111" s="398"/>
      <c r="AI111" s="398"/>
      <c r="AJ111" s="398"/>
      <c r="AK111" s="398"/>
      <c r="AL111" s="398"/>
      <c r="AR111" s="39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330"/>
      <c r="BD111" s="330"/>
      <c r="BE111" s="330"/>
      <c r="BF111" s="330"/>
      <c r="BG111" s="330"/>
      <c r="BH111" s="330"/>
      <c r="BI111" s="330"/>
      <c r="BJ111" s="330"/>
      <c r="BK111" s="330"/>
      <c r="BL111" s="330"/>
      <c r="BM111" s="330"/>
      <c r="BN111" s="330"/>
      <c r="BO111" s="330"/>
      <c r="BP111" s="330"/>
      <c r="BQ111" s="330"/>
      <c r="BR111" s="330"/>
      <c r="BS111" s="330"/>
      <c r="BT111" s="330"/>
      <c r="BU111" s="330"/>
      <c r="BV111" s="330"/>
      <c r="BW111" s="330"/>
      <c r="BX111" s="330"/>
    </row>
    <row r="112" spans="2:76" s="31" customFormat="1" ht="15" customHeight="1">
      <c r="B112" s="136"/>
      <c r="C112" s="408" t="s">
        <v>412</v>
      </c>
      <c r="D112" s="408"/>
      <c r="E112" s="29"/>
      <c r="F112" s="28"/>
      <c r="G112" s="293"/>
      <c r="H112" s="294"/>
      <c r="I112" s="294"/>
      <c r="J112" s="294"/>
      <c r="K112" s="294"/>
      <c r="L112" s="294"/>
      <c r="M112" s="410" t="s">
        <v>550</v>
      </c>
      <c r="N112" s="410"/>
      <c r="O112" s="391"/>
      <c r="P112" s="391"/>
      <c r="Q112" s="28"/>
      <c r="R112" s="28"/>
      <c r="S112" s="28"/>
      <c r="T112" s="28"/>
      <c r="U112" s="391" t="s">
        <v>413</v>
      </c>
      <c r="V112" s="391"/>
      <c r="W112" s="391"/>
      <c r="X112" s="391"/>
      <c r="Y112" s="392"/>
      <c r="Z112" s="392"/>
      <c r="AA112" s="392"/>
      <c r="AB112" s="392"/>
      <c r="AC112" s="392"/>
      <c r="AD112" s="392"/>
      <c r="AE112" s="392"/>
      <c r="AF112" s="391" t="s">
        <v>555</v>
      </c>
      <c r="AG112" s="391"/>
      <c r="AH112" s="391"/>
      <c r="AI112" s="391"/>
      <c r="AJ112" s="391"/>
      <c r="AK112" s="391"/>
      <c r="AL112" s="391"/>
      <c r="AR112" s="392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330"/>
      <c r="BD112" s="330"/>
      <c r="BE112" s="330"/>
      <c r="BF112" s="330"/>
      <c r="BG112" s="330"/>
      <c r="BH112" s="330"/>
      <c r="BI112" s="330"/>
      <c r="BJ112" s="330"/>
      <c r="BK112" s="330"/>
      <c r="BL112" s="330"/>
      <c r="BM112" s="330"/>
      <c r="BN112" s="330"/>
      <c r="BO112" s="330"/>
      <c r="BP112" s="330"/>
      <c r="BQ112" s="330"/>
      <c r="BR112" s="330"/>
      <c r="BS112" s="330"/>
      <c r="BT112" s="330"/>
      <c r="BU112" s="330"/>
      <c r="BV112" s="330"/>
      <c r="BW112" s="330"/>
      <c r="BX112" s="330"/>
    </row>
    <row r="113" spans="2:76" s="136" customFormat="1" ht="15" hidden="1" customHeight="1">
      <c r="B113" s="315">
        <v>48</v>
      </c>
      <c r="C113" s="67" t="s">
        <v>197</v>
      </c>
      <c r="D113" s="137" t="s">
        <v>245</v>
      </c>
      <c r="E113" s="37" t="s">
        <v>322</v>
      </c>
      <c r="F113" s="324" t="s">
        <v>305</v>
      </c>
      <c r="G113" s="305" t="s">
        <v>191</v>
      </c>
      <c r="H113" s="319" t="s">
        <v>39</v>
      </c>
      <c r="I113" s="308" t="s">
        <v>11</v>
      </c>
      <c r="J113" s="308" t="str">
        <f>IF(ISBLANK(I113),"",IF(OR(I113="TK/0",I113="TK/1",I113="K/0"),"TER A",IF(I113="K/3","TER C","TER B")))</f>
        <v>TER B</v>
      </c>
      <c r="K113" s="309">
        <v>1</v>
      </c>
      <c r="L113" s="309">
        <v>12</v>
      </c>
      <c r="M113" s="400"/>
      <c r="N113" s="400"/>
      <c r="O113" s="67"/>
      <c r="P113" s="40">
        <v>0</v>
      </c>
      <c r="Q113" s="40">
        <f>SUM(M113:P113)</f>
        <v>0</v>
      </c>
      <c r="R113" s="40">
        <v>3823000</v>
      </c>
      <c r="S113" s="40">
        <v>300000</v>
      </c>
      <c r="T113" s="40">
        <v>0</v>
      </c>
      <c r="U113" s="40" t="e">
        <f>+SETAHUN!#REF!+M113+N113</f>
        <v>#REF!</v>
      </c>
      <c r="V113" s="40">
        <v>0</v>
      </c>
      <c r="W113" s="40" t="e">
        <f>+SETAHUN!#REF!+O113</f>
        <v>#REF!</v>
      </c>
      <c r="X113" s="40">
        <v>0</v>
      </c>
      <c r="Y113" s="40">
        <v>0</v>
      </c>
      <c r="Z113" s="40">
        <f>SUM(R113:T113)</f>
        <v>4123000</v>
      </c>
      <c r="AA113" s="40" t="e">
        <f>SUM(U113:Z113)</f>
        <v>#REF!</v>
      </c>
      <c r="AB113" s="40" t="e">
        <f>ROUND(IF((AA113)*5%&gt;6000000,6000000,(AA113)*5%),0)</f>
        <v>#REF!</v>
      </c>
      <c r="AC113" s="40">
        <f>((3640000*3%)*(L113-K113+1))</f>
        <v>1310400</v>
      </c>
      <c r="AD113" s="40" t="e">
        <f>AA113-AB113-AC113</f>
        <v>#REF!</v>
      </c>
      <c r="AE113" s="67">
        <f>IFERROR(VLOOKUP(I113,TARIF,3,FALSE),0)</f>
        <v>67500000</v>
      </c>
      <c r="AF113" s="67" t="e">
        <f>ROUNDDOWN(IF(AD113&lt;=AE113,0,IF(AD113&gt;AE113,AD113-AE113)),-3)</f>
        <v>#REF!</v>
      </c>
      <c r="AG113" s="310" t="e">
        <f>IF(AF113&gt;5000000000,AF113*35%-306000000,IF(AF113&gt;500000000,AF113*30%-56000000,IF(AF113&gt;250000000,AF113*25%-31000000,IF(AF113&gt;60000000,AF113*15%-6000000,AF113*5%))))</f>
        <v>#REF!</v>
      </c>
      <c r="AH113" s="310" t="e">
        <f>ROUND(IF(E113=0,AG113*120%,AG113),0)</f>
        <v>#REF!</v>
      </c>
      <c r="AI113" s="67">
        <f>+'PAJAK JAN-NOV'!R87</f>
        <v>141008</v>
      </c>
      <c r="AJ113" s="139" t="e">
        <f>IF(AG113&lt;=AI113,0,IF(AG113&gt;AI113,AG113-AI113))</f>
        <v>#REF!</v>
      </c>
      <c r="AK113" s="32"/>
      <c r="AL113" s="33" t="e">
        <f>AI113-AH113</f>
        <v>#REF!</v>
      </c>
      <c r="AM113" s="32"/>
      <c r="AN113" s="33"/>
      <c r="AO113" s="32"/>
      <c r="AP113" s="32"/>
    </row>
    <row r="114" spans="2:76" s="136" customFormat="1" ht="15" hidden="1" customHeight="1">
      <c r="B114" s="131">
        <v>4</v>
      </c>
      <c r="C114" s="132" t="str">
        <f>+PERBULAN!B116</f>
        <v>BENNY SAPUTRA</v>
      </c>
      <c r="D114" s="133" t="s">
        <v>201</v>
      </c>
      <c r="E114" s="143" t="s">
        <v>380</v>
      </c>
      <c r="F114" s="140" t="s">
        <v>188</v>
      </c>
      <c r="G114" s="305" t="s">
        <v>526</v>
      </c>
      <c r="H114" s="134" t="s">
        <v>39</v>
      </c>
      <c r="I114" s="135" t="s">
        <v>9</v>
      </c>
      <c r="J114" s="308" t="str">
        <f>IF(ISBLANK(I114),"",IF(OR(I114="TK/0",I114="TK/1",I114="K/0"),"TER A",IF(I114="K/3","TER C","TER B")))</f>
        <v>TER B</v>
      </c>
      <c r="K114" s="309">
        <v>1</v>
      </c>
      <c r="L114" s="309"/>
      <c r="M114" s="40"/>
      <c r="N114" s="40"/>
      <c r="O114" s="40"/>
      <c r="P114" s="40">
        <v>0</v>
      </c>
      <c r="Q114" s="40">
        <f>SUM(M114:P114)</f>
        <v>0</v>
      </c>
      <c r="R114" s="40">
        <f>+PERBULAN!S116</f>
        <v>4063100</v>
      </c>
      <c r="S114" s="40">
        <f>+SETAHUN!J248</f>
        <v>200000</v>
      </c>
      <c r="T114" s="40">
        <v>0</v>
      </c>
      <c r="U114" s="40">
        <f>+SETAHUN!F248+M114+N114</f>
        <v>32353734.359999996</v>
      </c>
      <c r="V114" s="40">
        <v>0</v>
      </c>
      <c r="W114" s="40">
        <f>+SETAHUN!V248+O114</f>
        <v>1137464.6399999999</v>
      </c>
      <c r="X114" s="40">
        <v>0</v>
      </c>
      <c r="Y114" s="40">
        <v>0</v>
      </c>
      <c r="Z114" s="40">
        <f>SUM(R114:T114)</f>
        <v>4263100</v>
      </c>
      <c r="AA114" s="40">
        <f>SUM(U114:Z114)</f>
        <v>37754299</v>
      </c>
      <c r="AB114" s="40">
        <f>ROUND(IF((AA114)*5%&gt;6000000,6000000,(AA114)*5%),0)</f>
        <v>1887715</v>
      </c>
      <c r="AC114" s="40">
        <f>((3876600*3%)*(L114-K114+1))</f>
        <v>0</v>
      </c>
      <c r="AD114" s="40">
        <f>AA114-AB114-AC114</f>
        <v>35866584</v>
      </c>
      <c r="AE114" s="67">
        <f>IFERROR(VLOOKUP(I114,TARIF,3,FALSE),0)</f>
        <v>63000000</v>
      </c>
      <c r="AF114" s="67">
        <f>ROUNDDOWN(IF(AD114&lt;=AE114,0,IF(AD114&gt;AE114,AD114-AE114)),-3)</f>
        <v>0</v>
      </c>
      <c r="AG114" s="310">
        <f>IF(AF114&gt;5000000000,AF114*35%-306000000,IF(AF114&gt;500000000,AF114*30%-56000000,IF(AF114&gt;250000000,AF114*25%-31000000,IF(AF114&gt;60000000,AF114*15%-6000000,AF114*5%))))</f>
        <v>0</v>
      </c>
      <c r="AH114" s="310">
        <f>ROUND(IF(E114=0,AG114*120%,AG114),0)</f>
        <v>0</v>
      </c>
      <c r="AI114" s="67">
        <f>+'PAJAK JAN-NOV'!R88</f>
        <v>154221</v>
      </c>
      <c r="AJ114" s="138">
        <f>IF(AG114&lt;=AI114,0,IF(AG114&gt;AI114,AG114-AI114))</f>
        <v>0</v>
      </c>
      <c r="AK114" s="32"/>
      <c r="AL114" s="33">
        <f>AI114-AH114</f>
        <v>154221</v>
      </c>
      <c r="AM114" s="32"/>
      <c r="AN114" s="33"/>
      <c r="AO114" s="32"/>
      <c r="AP114" s="32"/>
    </row>
    <row r="115" spans="2:76" s="136" customFormat="1" ht="15" hidden="1" customHeight="1">
      <c r="B115" s="131">
        <v>49</v>
      </c>
      <c r="C115" s="132" t="str">
        <f>+PERBULAN!B117</f>
        <v>RINDI PRIANTO</v>
      </c>
      <c r="D115" s="137" t="s">
        <v>257</v>
      </c>
      <c r="E115" s="37" t="s">
        <v>69</v>
      </c>
      <c r="F115" s="324" t="s">
        <v>534</v>
      </c>
      <c r="G115" s="305" t="s">
        <v>532</v>
      </c>
      <c r="H115" s="319" t="s">
        <v>39</v>
      </c>
      <c r="I115" s="308" t="s">
        <v>9</v>
      </c>
      <c r="J115" s="308" t="str">
        <f>IF(ISBLANK(I115),"",IF(OR(I115="TK/0",I115="TK/1",I115="K/0"),"TER A",IF(I115="K/3","TER C","TER B")))</f>
        <v>TER B</v>
      </c>
      <c r="K115" s="309">
        <v>1</v>
      </c>
      <c r="L115" s="309"/>
      <c r="M115" s="67"/>
      <c r="N115" s="67"/>
      <c r="O115" s="67"/>
      <c r="P115" s="40">
        <v>0</v>
      </c>
      <c r="Q115" s="40">
        <f>SUM(M115:P115)</f>
        <v>0</v>
      </c>
      <c r="R115" s="40">
        <f>+PERBULAN!S117</f>
        <v>4040100</v>
      </c>
      <c r="S115" s="40">
        <f>+SETAHUN!J249</f>
        <v>200000</v>
      </c>
      <c r="T115" s="40">
        <v>0</v>
      </c>
      <c r="U115" s="40">
        <f>+SETAHUN!F249+M115+N115</f>
        <v>38430350.879999995</v>
      </c>
      <c r="V115" s="40">
        <v>0</v>
      </c>
      <c r="W115" s="40">
        <f>+SETAHUN!V249+O115</f>
        <v>1509393.1199999999</v>
      </c>
      <c r="X115" s="40">
        <v>0</v>
      </c>
      <c r="Y115" s="40">
        <v>0</v>
      </c>
      <c r="Z115" s="40">
        <f>SUM(R115:T115)</f>
        <v>4240100</v>
      </c>
      <c r="AA115" s="40">
        <f>SUM(U115:Z115)</f>
        <v>44179843.999999993</v>
      </c>
      <c r="AB115" s="40">
        <f>ROUND(IF((AA115)*5%&gt;6000000,6000000,(AA115)*5%),0)</f>
        <v>2208992</v>
      </c>
      <c r="AC115" s="40">
        <f>('ASTEK-DIISI SMPAI DES'!O113+'ASTEK-DIISI SMPAI DES'!O229)</f>
        <v>932004</v>
      </c>
      <c r="AD115" s="40">
        <f>AA115-AB115-AC115</f>
        <v>41038847.999999993</v>
      </c>
      <c r="AE115" s="67">
        <f>IFERROR(VLOOKUP(I115,TARIF,3,FALSE),0)</f>
        <v>63000000</v>
      </c>
      <c r="AF115" s="67">
        <f>ROUNDDOWN(IF(AD115&lt;=AE115,0,IF(AD115&gt;AE115,AD115-AE115)),-3)</f>
        <v>0</v>
      </c>
      <c r="AG115" s="310">
        <f>IF(AF115&gt;5000000000,AF115*35%-306000000,IF(AF115&gt;500000000,AF115*30%-56000000,IF(AF115&gt;250000000,AF115*25%-31000000,IF(AF115&gt;60000000,AF115*15%-6000000,AF115*5%))))</f>
        <v>0</v>
      </c>
      <c r="AH115" s="310">
        <f>ROUND(IF(E115=0,AG115*120%,AG115),0)</f>
        <v>0</v>
      </c>
      <c r="AI115" s="67">
        <f>+'PAJAK JAN-NOV'!R89</f>
        <v>147181</v>
      </c>
      <c r="AJ115" s="139">
        <f>IF(AG115&lt;=AI115,0,IF(AG115&gt;AI115,AG115-AI115))</f>
        <v>0</v>
      </c>
      <c r="AK115" s="32"/>
      <c r="AL115" s="33">
        <f>AI115-AH115</f>
        <v>147181</v>
      </c>
      <c r="AM115" s="32"/>
      <c r="AN115" s="33"/>
      <c r="AO115" s="32"/>
      <c r="AP115" s="32"/>
    </row>
    <row r="116" spans="2:76" s="136" customFormat="1" ht="15" hidden="1" customHeight="1">
      <c r="B116" s="131">
        <v>51</v>
      </c>
      <c r="C116" s="132" t="str">
        <f>+PERBULAN!B118</f>
        <v>PUTRA ROMADHAN</v>
      </c>
      <c r="D116" s="137" t="s">
        <v>265</v>
      </c>
      <c r="E116" s="37" t="s">
        <v>69</v>
      </c>
      <c r="F116" s="324" t="s">
        <v>316</v>
      </c>
      <c r="G116" s="305" t="s">
        <v>535</v>
      </c>
      <c r="H116" s="319" t="s">
        <v>39</v>
      </c>
      <c r="I116" s="308" t="s">
        <v>11</v>
      </c>
      <c r="J116" s="308" t="str">
        <f>IF(ISBLANK(I116),"",IF(OR(I116="TK/0",I116="TK/1",I116="K/0"),"TER A",IF(I116="K/3","TER C","TER B")))</f>
        <v>TER B</v>
      </c>
      <c r="K116" s="309">
        <v>1</v>
      </c>
      <c r="L116" s="309"/>
      <c r="M116" s="41"/>
      <c r="N116" s="41"/>
      <c r="O116" s="67"/>
      <c r="P116" s="40">
        <v>0</v>
      </c>
      <c r="Q116" s="40">
        <f>SUM(M116:P116)</f>
        <v>0</v>
      </c>
      <c r="R116" s="40">
        <f>+PERBULAN!S118</f>
        <v>3369250</v>
      </c>
      <c r="S116" s="40">
        <f>+SETAHUN!J250</f>
        <v>116667</v>
      </c>
      <c r="T116" s="40">
        <v>0</v>
      </c>
      <c r="U116" s="40">
        <f>+SETAHUN!F250+M116+N116</f>
        <v>37125680.479999997</v>
      </c>
      <c r="V116" s="40">
        <v>0</v>
      </c>
      <c r="W116" s="40">
        <f>+SETAHUN!V250+O116</f>
        <v>1501361.52</v>
      </c>
      <c r="X116" s="40">
        <v>0</v>
      </c>
      <c r="Y116" s="40">
        <v>0</v>
      </c>
      <c r="Z116" s="40">
        <f>SUM(R116:T116)</f>
        <v>3485917</v>
      </c>
      <c r="AA116" s="40">
        <f>SUM(U116:Z116)</f>
        <v>42112959</v>
      </c>
      <c r="AB116" s="40">
        <f>ROUND(IF((AA116)*5%&gt;6000000,6000000,(AA116)*5%),0)</f>
        <v>2105648</v>
      </c>
      <c r="AC116" s="40">
        <f>('ASTEK-DIISI SMPAI DES'!O114+'ASTEK-DIISI SMPAI DES'!O230)</f>
        <v>930534</v>
      </c>
      <c r="AD116" s="40">
        <f>AA116-AB116-AC116</f>
        <v>39076777</v>
      </c>
      <c r="AE116" s="67">
        <f>IFERROR(VLOOKUP(I116,TARIF,3,FALSE),0)</f>
        <v>67500000</v>
      </c>
      <c r="AF116" s="67">
        <f>ROUNDDOWN(IF(AD116&lt;=AE116,0,IF(AD116&gt;AE116,AD116-AE116)),-3)</f>
        <v>0</v>
      </c>
      <c r="AG116" s="310">
        <f>IF(AF116&gt;5000000000,AF116*35%-306000000,IF(AF116&gt;500000000,AF116*30%-56000000,IF(AF116&gt;250000000,AF116*25%-31000000,IF(AF116&gt;60000000,AF116*15%-6000000,AF116*5%))))</f>
        <v>0</v>
      </c>
      <c r="AH116" s="310">
        <f>ROUND(IF(E116=0,AG116*120%,AG116),0)</f>
        <v>0</v>
      </c>
      <c r="AI116" s="67">
        <f>+'PAJAK JAN-NOV'!R90</f>
        <v>86312</v>
      </c>
      <c r="AJ116" s="139">
        <f>IF(AG116&lt;=AI116,0,IF(AG116&gt;AI116,AG116-AI116))</f>
        <v>0</v>
      </c>
      <c r="AK116" s="32"/>
      <c r="AL116" s="33">
        <f>AI116-AH116</f>
        <v>86312</v>
      </c>
      <c r="AM116" s="32"/>
      <c r="AN116" s="33"/>
      <c r="AO116" s="32"/>
      <c r="AP116" s="32"/>
    </row>
    <row r="117" spans="2:76" s="28" customFormat="1">
      <c r="B117" s="136"/>
      <c r="D117" s="222"/>
      <c r="E117" s="29"/>
      <c r="G117" s="293"/>
      <c r="H117" s="294"/>
      <c r="I117" s="294"/>
      <c r="J117" s="294"/>
      <c r="K117" s="294"/>
      <c r="L117" s="294"/>
      <c r="M117" s="399"/>
      <c r="N117" s="399"/>
      <c r="O117" s="294"/>
      <c r="P117" s="294"/>
      <c r="AI117" s="31"/>
      <c r="AJ117" s="31"/>
      <c r="AK117" s="32"/>
      <c r="AL117" s="33"/>
      <c r="AM117" s="32"/>
      <c r="AN117" s="33"/>
      <c r="AO117" s="32"/>
      <c r="AP117" s="32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330"/>
      <c r="BD117" s="330"/>
      <c r="BE117" s="330"/>
      <c r="BF117" s="330"/>
      <c r="BG117" s="330"/>
      <c r="BH117" s="330"/>
      <c r="BI117" s="330"/>
      <c r="BJ117" s="330"/>
      <c r="BK117" s="330"/>
      <c r="BL117" s="330"/>
      <c r="BM117" s="330"/>
      <c r="BN117" s="330"/>
      <c r="BO117" s="330"/>
      <c r="BP117" s="330"/>
      <c r="BQ117" s="330"/>
      <c r="BR117" s="330"/>
      <c r="BS117" s="330"/>
      <c r="BT117" s="330"/>
      <c r="BU117" s="330"/>
      <c r="BV117" s="330"/>
      <c r="BW117" s="330"/>
      <c r="BX117" s="330"/>
    </row>
    <row r="118" spans="2:76" s="28" customFormat="1">
      <c r="B118" s="136"/>
      <c r="D118" s="222"/>
      <c r="E118" s="29"/>
      <c r="G118" s="293"/>
      <c r="H118" s="294"/>
      <c r="I118" s="294"/>
      <c r="J118" s="294"/>
      <c r="K118" s="294"/>
      <c r="L118" s="294"/>
      <c r="O118" s="331"/>
      <c r="AI118" s="31"/>
      <c r="AJ118" s="31"/>
      <c r="AK118" s="32"/>
      <c r="AL118" s="33"/>
      <c r="AM118" s="32"/>
      <c r="AN118" s="33"/>
      <c r="AO118" s="32"/>
      <c r="AP118" s="32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330"/>
      <c r="BD118" s="330"/>
      <c r="BE118" s="330"/>
      <c r="BF118" s="330"/>
      <c r="BG118" s="330"/>
      <c r="BH118" s="330"/>
      <c r="BI118" s="330"/>
      <c r="BJ118" s="330"/>
      <c r="BK118" s="330"/>
      <c r="BL118" s="330"/>
      <c r="BM118" s="330"/>
      <c r="BN118" s="330"/>
      <c r="BO118" s="330"/>
      <c r="BP118" s="330"/>
      <c r="BQ118" s="330"/>
      <c r="BR118" s="330"/>
      <c r="BS118" s="330"/>
      <c r="BT118" s="330"/>
      <c r="BU118" s="330"/>
      <c r="BV118" s="330"/>
      <c r="BW118" s="330"/>
      <c r="BX118" s="330"/>
    </row>
    <row r="119" spans="2:76" s="28" customFormat="1">
      <c r="B119" s="136"/>
      <c r="D119" s="222"/>
      <c r="E119" s="29"/>
      <c r="G119" s="293"/>
      <c r="H119" s="294"/>
      <c r="I119" s="294"/>
      <c r="J119" s="294"/>
      <c r="K119" s="294"/>
      <c r="L119" s="294"/>
      <c r="O119" s="331"/>
      <c r="AI119" s="31"/>
      <c r="AJ119" s="31"/>
      <c r="AK119" s="32"/>
      <c r="AL119" s="33"/>
      <c r="AM119" s="32"/>
      <c r="AN119" s="33"/>
      <c r="AO119" s="32"/>
      <c r="AP119" s="32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330"/>
      <c r="BD119" s="330"/>
      <c r="BE119" s="330"/>
      <c r="BF119" s="330"/>
      <c r="BG119" s="330"/>
      <c r="BH119" s="330"/>
      <c r="BI119" s="330"/>
      <c r="BJ119" s="330"/>
      <c r="BK119" s="330"/>
      <c r="BL119" s="330"/>
      <c r="BM119" s="330"/>
      <c r="BN119" s="330"/>
      <c r="BO119" s="330"/>
      <c r="BP119" s="330"/>
      <c r="BQ119" s="330"/>
      <c r="BR119" s="330"/>
      <c r="BS119" s="330"/>
      <c r="BT119" s="330"/>
      <c r="BU119" s="330"/>
      <c r="BV119" s="330"/>
      <c r="BW119" s="330"/>
      <c r="BX119" s="330"/>
    </row>
    <row r="120" spans="2:76" s="28" customFormat="1">
      <c r="B120" s="136"/>
      <c r="D120" s="222"/>
      <c r="E120" s="29"/>
      <c r="G120" s="293"/>
      <c r="H120" s="294"/>
      <c r="I120" s="294"/>
      <c r="J120" s="294"/>
      <c r="K120" s="294"/>
      <c r="L120" s="294"/>
      <c r="O120" s="331"/>
      <c r="AI120" s="31"/>
      <c r="AJ120" s="31"/>
      <c r="AK120" s="32"/>
      <c r="AL120" s="33"/>
      <c r="AM120" s="32"/>
      <c r="AN120" s="33"/>
      <c r="AO120" s="32"/>
      <c r="AP120" s="32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330"/>
      <c r="BD120" s="330"/>
      <c r="BE120" s="330"/>
      <c r="BF120" s="330"/>
      <c r="BG120" s="330"/>
      <c r="BH120" s="330"/>
      <c r="BI120" s="330"/>
      <c r="BJ120" s="330"/>
      <c r="BK120" s="330"/>
      <c r="BL120" s="330"/>
      <c r="BM120" s="330"/>
      <c r="BN120" s="330"/>
      <c r="BO120" s="330"/>
      <c r="BP120" s="330"/>
      <c r="BQ120" s="330"/>
      <c r="BR120" s="330"/>
      <c r="BS120" s="330"/>
      <c r="BT120" s="330"/>
      <c r="BU120" s="330"/>
      <c r="BV120" s="330"/>
      <c r="BW120" s="330"/>
      <c r="BX120" s="330"/>
    </row>
    <row r="121" spans="2:76" s="28" customFormat="1">
      <c r="B121" s="136"/>
      <c r="D121" s="222"/>
      <c r="E121" s="29"/>
      <c r="G121" s="293"/>
      <c r="H121" s="294"/>
      <c r="I121" s="294"/>
      <c r="J121" s="294"/>
      <c r="K121" s="294"/>
      <c r="L121" s="294"/>
      <c r="O121" s="331"/>
      <c r="AI121" s="31"/>
      <c r="AJ121" s="31"/>
      <c r="AK121" s="32"/>
      <c r="AL121" s="33"/>
      <c r="AM121" s="32"/>
      <c r="AN121" s="33"/>
      <c r="AO121" s="32"/>
      <c r="AP121" s="32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330"/>
      <c r="BD121" s="330"/>
      <c r="BE121" s="330"/>
      <c r="BF121" s="330"/>
      <c r="BG121" s="330"/>
      <c r="BH121" s="330"/>
      <c r="BI121" s="330"/>
      <c r="BJ121" s="330"/>
      <c r="BK121" s="330"/>
      <c r="BL121" s="330"/>
      <c r="BM121" s="330"/>
      <c r="BN121" s="330"/>
      <c r="BO121" s="330"/>
      <c r="BP121" s="330"/>
      <c r="BQ121" s="330"/>
      <c r="BR121" s="330"/>
      <c r="BS121" s="330"/>
      <c r="BT121" s="330"/>
      <c r="BU121" s="330"/>
      <c r="BV121" s="330"/>
      <c r="BW121" s="330"/>
      <c r="BX121" s="330"/>
    </row>
    <row r="122" spans="2:76" s="28" customFormat="1">
      <c r="B122" s="136"/>
      <c r="D122" s="222"/>
      <c r="E122" s="29"/>
      <c r="G122" s="293"/>
      <c r="H122" s="294"/>
      <c r="I122" s="294"/>
      <c r="J122" s="294"/>
      <c r="K122" s="294"/>
      <c r="L122" s="294"/>
      <c r="O122" s="331"/>
      <c r="AI122" s="31"/>
      <c r="AJ122" s="31"/>
      <c r="AK122" s="32"/>
      <c r="AL122" s="33"/>
      <c r="AM122" s="32"/>
      <c r="AN122" s="33"/>
      <c r="AO122" s="32"/>
      <c r="AP122" s="32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330"/>
      <c r="BD122" s="330"/>
      <c r="BE122" s="330"/>
      <c r="BF122" s="330"/>
      <c r="BG122" s="330"/>
      <c r="BH122" s="330"/>
      <c r="BI122" s="330"/>
      <c r="BJ122" s="330"/>
      <c r="BK122" s="330"/>
      <c r="BL122" s="330"/>
      <c r="BM122" s="330"/>
      <c r="BN122" s="330"/>
      <c r="BO122" s="330"/>
      <c r="BP122" s="330"/>
      <c r="BQ122" s="330"/>
      <c r="BR122" s="330"/>
      <c r="BS122" s="330"/>
      <c r="BT122" s="330"/>
      <c r="BU122" s="330"/>
      <c r="BV122" s="330"/>
      <c r="BW122" s="330"/>
      <c r="BX122" s="330"/>
    </row>
    <row r="123" spans="2:76" s="28" customFormat="1">
      <c r="B123" s="136"/>
      <c r="D123" s="222"/>
      <c r="E123" s="29"/>
      <c r="G123" s="293"/>
      <c r="H123" s="294"/>
      <c r="I123" s="294"/>
      <c r="J123" s="294"/>
      <c r="K123" s="294"/>
      <c r="L123" s="294"/>
      <c r="O123" s="331"/>
      <c r="AI123" s="31"/>
      <c r="AJ123" s="31"/>
      <c r="AK123" s="32"/>
      <c r="AL123" s="33"/>
      <c r="AM123" s="32"/>
      <c r="AN123" s="33"/>
      <c r="AO123" s="32"/>
      <c r="AP123" s="32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330"/>
      <c r="BD123" s="330"/>
      <c r="BE123" s="330"/>
      <c r="BF123" s="330"/>
      <c r="BG123" s="330"/>
      <c r="BH123" s="330"/>
      <c r="BI123" s="330"/>
      <c r="BJ123" s="330"/>
      <c r="BK123" s="330"/>
      <c r="BL123" s="330"/>
      <c r="BM123" s="330"/>
      <c r="BN123" s="330"/>
      <c r="BO123" s="330"/>
      <c r="BP123" s="330"/>
      <c r="BQ123" s="330"/>
      <c r="BR123" s="330"/>
      <c r="BS123" s="330"/>
      <c r="BT123" s="330"/>
      <c r="BU123" s="330"/>
      <c r="BV123" s="330"/>
      <c r="BW123" s="330"/>
      <c r="BX123" s="330"/>
    </row>
    <row r="124" spans="2:76" s="28" customFormat="1">
      <c r="B124" s="136"/>
      <c r="D124" s="222"/>
      <c r="E124" s="29"/>
      <c r="G124" s="293"/>
      <c r="H124" s="294"/>
      <c r="I124" s="294"/>
      <c r="J124" s="294"/>
      <c r="K124" s="294"/>
      <c r="L124" s="294"/>
      <c r="O124" s="331"/>
      <c r="AI124" s="31"/>
      <c r="AJ124" s="31"/>
      <c r="AK124" s="32"/>
      <c r="AL124" s="33"/>
      <c r="AM124" s="32"/>
      <c r="AN124" s="33"/>
      <c r="AO124" s="32"/>
      <c r="AP124" s="32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330"/>
      <c r="BD124" s="330"/>
      <c r="BE124" s="330"/>
      <c r="BF124" s="330"/>
      <c r="BG124" s="330"/>
      <c r="BH124" s="330"/>
      <c r="BI124" s="330"/>
      <c r="BJ124" s="330"/>
      <c r="BK124" s="330"/>
      <c r="BL124" s="330"/>
      <c r="BM124" s="330"/>
      <c r="BN124" s="330"/>
      <c r="BO124" s="330"/>
      <c r="BP124" s="330"/>
      <c r="BQ124" s="330"/>
      <c r="BR124" s="330"/>
      <c r="BS124" s="330"/>
      <c r="BT124" s="330"/>
      <c r="BU124" s="330"/>
      <c r="BV124" s="330"/>
      <c r="BW124" s="330"/>
      <c r="BX124" s="330"/>
    </row>
    <row r="125" spans="2:76" s="28" customFormat="1">
      <c r="B125" s="136"/>
      <c r="D125" s="222"/>
      <c r="E125" s="29"/>
      <c r="G125" s="293"/>
      <c r="H125" s="294"/>
      <c r="I125" s="294"/>
      <c r="J125" s="294"/>
      <c r="K125" s="294"/>
      <c r="L125" s="294"/>
      <c r="O125" s="331"/>
      <c r="AI125" s="31"/>
      <c r="AJ125" s="31"/>
      <c r="AK125" s="32"/>
      <c r="AL125" s="33"/>
      <c r="AM125" s="32"/>
      <c r="AN125" s="33"/>
      <c r="AO125" s="32"/>
      <c r="AP125" s="32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330"/>
      <c r="BD125" s="330"/>
      <c r="BE125" s="330"/>
      <c r="BF125" s="330"/>
      <c r="BG125" s="330"/>
      <c r="BH125" s="330"/>
      <c r="BI125" s="330"/>
      <c r="BJ125" s="330"/>
      <c r="BK125" s="330"/>
      <c r="BL125" s="330"/>
      <c r="BM125" s="330"/>
      <c r="BN125" s="330"/>
      <c r="BO125" s="330"/>
      <c r="BP125" s="330"/>
      <c r="BQ125" s="330"/>
      <c r="BR125" s="330"/>
      <c r="BS125" s="330"/>
      <c r="BT125" s="330"/>
      <c r="BU125" s="330"/>
      <c r="BV125" s="330"/>
      <c r="BW125" s="330"/>
      <c r="BX125" s="330"/>
    </row>
    <row r="126" spans="2:76" s="28" customFormat="1">
      <c r="B126" s="136"/>
      <c r="D126" s="222"/>
      <c r="E126" s="29"/>
      <c r="G126" s="293"/>
      <c r="H126" s="294"/>
      <c r="I126" s="294"/>
      <c r="J126" s="294"/>
      <c r="K126" s="294"/>
      <c r="L126" s="294"/>
      <c r="O126" s="331"/>
      <c r="AI126" s="31"/>
      <c r="AJ126" s="31"/>
      <c r="AK126" s="32"/>
      <c r="AL126" s="33"/>
      <c r="AM126" s="32"/>
      <c r="AN126" s="33"/>
      <c r="AO126" s="32"/>
      <c r="AP126" s="32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330"/>
      <c r="BD126" s="330"/>
      <c r="BE126" s="330"/>
      <c r="BF126" s="330"/>
      <c r="BG126" s="330"/>
      <c r="BH126" s="330"/>
      <c r="BI126" s="330"/>
      <c r="BJ126" s="330"/>
      <c r="BK126" s="330"/>
      <c r="BL126" s="330"/>
      <c r="BM126" s="330"/>
      <c r="BN126" s="330"/>
      <c r="BO126" s="330"/>
      <c r="BP126" s="330"/>
      <c r="BQ126" s="330"/>
      <c r="BR126" s="330"/>
      <c r="BS126" s="330"/>
      <c r="BT126" s="330"/>
      <c r="BU126" s="330"/>
      <c r="BV126" s="330"/>
      <c r="BW126" s="330"/>
      <c r="BX126" s="330"/>
    </row>
    <row r="127" spans="2:76" s="28" customFormat="1">
      <c r="B127" s="136"/>
      <c r="D127" s="222"/>
      <c r="E127" s="29"/>
      <c r="G127" s="293"/>
      <c r="H127" s="294"/>
      <c r="I127" s="294"/>
      <c r="J127" s="294"/>
      <c r="K127" s="294"/>
      <c r="L127" s="294"/>
      <c r="O127" s="331"/>
      <c r="AI127" s="31"/>
      <c r="AJ127" s="31"/>
      <c r="AK127" s="32"/>
      <c r="AL127" s="33"/>
      <c r="AM127" s="32"/>
      <c r="AN127" s="33"/>
      <c r="AO127" s="32"/>
      <c r="AP127" s="32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330"/>
      <c r="BD127" s="330"/>
      <c r="BE127" s="330"/>
      <c r="BF127" s="330"/>
      <c r="BG127" s="330"/>
      <c r="BH127" s="330"/>
      <c r="BI127" s="330"/>
      <c r="BJ127" s="330"/>
      <c r="BK127" s="330"/>
      <c r="BL127" s="330"/>
      <c r="BM127" s="330"/>
      <c r="BN127" s="330"/>
      <c r="BO127" s="330"/>
      <c r="BP127" s="330"/>
      <c r="BQ127" s="330"/>
      <c r="BR127" s="330"/>
      <c r="BS127" s="330"/>
      <c r="BT127" s="330"/>
      <c r="BU127" s="330"/>
      <c r="BV127" s="330"/>
      <c r="BW127" s="330"/>
      <c r="BX127" s="330"/>
    </row>
    <row r="128" spans="2:76" s="28" customFormat="1">
      <c r="B128" s="136"/>
      <c r="D128" s="222"/>
      <c r="E128" s="29"/>
      <c r="G128" s="293"/>
      <c r="H128" s="294"/>
      <c r="I128" s="294"/>
      <c r="J128" s="294"/>
      <c r="K128" s="294"/>
      <c r="L128" s="294"/>
      <c r="O128" s="331"/>
      <c r="AI128" s="31"/>
      <c r="AJ128" s="31"/>
      <c r="AK128" s="32"/>
      <c r="AL128" s="33"/>
      <c r="AM128" s="32"/>
      <c r="AN128" s="33"/>
      <c r="AO128" s="32"/>
      <c r="AP128" s="32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330"/>
      <c r="BD128" s="330"/>
      <c r="BE128" s="330"/>
      <c r="BF128" s="330"/>
      <c r="BG128" s="330"/>
      <c r="BH128" s="330"/>
      <c r="BI128" s="330"/>
      <c r="BJ128" s="330"/>
      <c r="BK128" s="330"/>
      <c r="BL128" s="330"/>
      <c r="BM128" s="330"/>
      <c r="BN128" s="330"/>
      <c r="BO128" s="330"/>
      <c r="BP128" s="330"/>
      <c r="BQ128" s="330"/>
      <c r="BR128" s="330"/>
      <c r="BS128" s="330"/>
      <c r="BT128" s="330"/>
      <c r="BU128" s="330"/>
      <c r="BV128" s="330"/>
      <c r="BW128" s="330"/>
      <c r="BX128" s="330"/>
    </row>
    <row r="129" spans="2:76" s="28" customFormat="1">
      <c r="B129" s="136"/>
      <c r="D129" s="222"/>
      <c r="E129" s="29"/>
      <c r="G129" s="293"/>
      <c r="H129" s="294"/>
      <c r="I129" s="294"/>
      <c r="J129" s="294"/>
      <c r="K129" s="294"/>
      <c r="L129" s="294"/>
      <c r="O129" s="331"/>
      <c r="AI129" s="31"/>
      <c r="AJ129" s="31"/>
      <c r="AK129" s="32"/>
      <c r="AL129" s="33"/>
      <c r="AM129" s="32"/>
      <c r="AN129" s="33"/>
      <c r="AO129" s="32"/>
      <c r="AP129" s="32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330"/>
      <c r="BD129" s="330"/>
      <c r="BE129" s="330"/>
      <c r="BF129" s="330"/>
      <c r="BG129" s="330"/>
      <c r="BH129" s="330"/>
      <c r="BI129" s="330"/>
      <c r="BJ129" s="330"/>
      <c r="BK129" s="330"/>
      <c r="BL129" s="330"/>
      <c r="BM129" s="330"/>
      <c r="BN129" s="330"/>
      <c r="BO129" s="330"/>
      <c r="BP129" s="330"/>
      <c r="BQ129" s="330"/>
      <c r="BR129" s="330"/>
      <c r="BS129" s="330"/>
      <c r="BT129" s="330"/>
      <c r="BU129" s="330"/>
      <c r="BV129" s="330"/>
      <c r="BW129" s="330"/>
      <c r="BX129" s="330"/>
    </row>
    <row r="130" spans="2:76" s="28" customFormat="1">
      <c r="B130" s="136"/>
      <c r="D130" s="222"/>
      <c r="E130" s="29"/>
      <c r="G130" s="293"/>
      <c r="H130" s="294"/>
      <c r="I130" s="294"/>
      <c r="J130" s="294"/>
      <c r="K130" s="294"/>
      <c r="L130" s="294"/>
      <c r="O130" s="331"/>
      <c r="AI130" s="31"/>
      <c r="AJ130" s="31"/>
      <c r="AK130" s="32"/>
      <c r="AL130" s="33"/>
      <c r="AM130" s="32"/>
      <c r="AN130" s="33"/>
      <c r="AO130" s="32"/>
      <c r="AP130" s="32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330"/>
      <c r="BD130" s="330"/>
      <c r="BE130" s="330"/>
      <c r="BF130" s="330"/>
      <c r="BG130" s="330"/>
      <c r="BH130" s="330"/>
      <c r="BI130" s="330"/>
      <c r="BJ130" s="330"/>
      <c r="BK130" s="330"/>
      <c r="BL130" s="330"/>
      <c r="BM130" s="330"/>
      <c r="BN130" s="330"/>
      <c r="BO130" s="330"/>
      <c r="BP130" s="330"/>
      <c r="BQ130" s="330"/>
      <c r="BR130" s="330"/>
      <c r="BS130" s="330"/>
      <c r="BT130" s="330"/>
      <c r="BU130" s="330"/>
      <c r="BV130" s="330"/>
      <c r="BW130" s="330"/>
      <c r="BX130" s="330"/>
    </row>
    <row r="131" spans="2:76" s="28" customFormat="1">
      <c r="B131" s="136"/>
      <c r="D131" s="222"/>
      <c r="E131" s="29"/>
      <c r="G131" s="293"/>
      <c r="H131" s="294"/>
      <c r="I131" s="294"/>
      <c r="J131" s="294"/>
      <c r="K131" s="294"/>
      <c r="L131" s="294"/>
      <c r="O131" s="331"/>
      <c r="AI131" s="31"/>
      <c r="AJ131" s="31"/>
      <c r="AK131" s="32"/>
      <c r="AL131" s="33"/>
      <c r="AM131" s="32"/>
      <c r="AN131" s="33"/>
      <c r="AO131" s="32"/>
      <c r="AP131" s="32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330"/>
      <c r="BD131" s="330"/>
      <c r="BE131" s="330"/>
      <c r="BF131" s="330"/>
      <c r="BG131" s="330"/>
      <c r="BH131" s="330"/>
      <c r="BI131" s="330"/>
      <c r="BJ131" s="330"/>
      <c r="BK131" s="330"/>
      <c r="BL131" s="330"/>
      <c r="BM131" s="330"/>
      <c r="BN131" s="330"/>
      <c r="BO131" s="330"/>
      <c r="BP131" s="330"/>
      <c r="BQ131" s="330"/>
      <c r="BR131" s="330"/>
      <c r="BS131" s="330"/>
      <c r="BT131" s="330"/>
      <c r="BU131" s="330"/>
      <c r="BV131" s="330"/>
      <c r="BW131" s="330"/>
      <c r="BX131" s="330"/>
    </row>
    <row r="132" spans="2:76" s="28" customFormat="1">
      <c r="B132" s="136"/>
      <c r="D132" s="222"/>
      <c r="E132" s="29"/>
      <c r="G132" s="293"/>
      <c r="H132" s="294"/>
      <c r="I132" s="294"/>
      <c r="J132" s="294"/>
      <c r="K132" s="294"/>
      <c r="L132" s="294"/>
      <c r="O132" s="331"/>
      <c r="AI132" s="31"/>
      <c r="AJ132" s="31"/>
      <c r="AK132" s="32"/>
      <c r="AL132" s="33"/>
      <c r="AM132" s="32"/>
      <c r="AN132" s="33"/>
      <c r="AO132" s="32"/>
      <c r="AP132" s="32"/>
      <c r="AQ132" s="136"/>
      <c r="AR132" s="136"/>
      <c r="AS132" s="136"/>
      <c r="AT132" s="136"/>
      <c r="AU132" s="136"/>
      <c r="AV132" s="136"/>
      <c r="AW132" s="136"/>
      <c r="AX132" s="136"/>
      <c r="AY132" s="136"/>
      <c r="AZ132" s="136"/>
      <c r="BA132" s="136"/>
      <c r="BB132" s="136"/>
      <c r="BC132" s="330"/>
      <c r="BD132" s="330"/>
      <c r="BE132" s="330"/>
      <c r="BF132" s="330"/>
      <c r="BG132" s="330"/>
      <c r="BH132" s="330"/>
      <c r="BI132" s="330"/>
      <c r="BJ132" s="330"/>
      <c r="BK132" s="330"/>
      <c r="BL132" s="330"/>
      <c r="BM132" s="330"/>
      <c r="BN132" s="330"/>
      <c r="BO132" s="330"/>
      <c r="BP132" s="330"/>
      <c r="BQ132" s="330"/>
      <c r="BR132" s="330"/>
      <c r="BS132" s="330"/>
      <c r="BT132" s="330"/>
      <c r="BU132" s="330"/>
      <c r="BV132" s="330"/>
      <c r="BW132" s="330"/>
      <c r="BX132" s="330"/>
    </row>
    <row r="133" spans="2:76" s="28" customFormat="1">
      <c r="B133" s="136"/>
      <c r="D133" s="222"/>
      <c r="E133" s="29"/>
      <c r="G133" s="293"/>
      <c r="H133" s="294"/>
      <c r="I133" s="294"/>
      <c r="J133" s="294"/>
      <c r="K133" s="294"/>
      <c r="L133" s="294"/>
      <c r="O133" s="331"/>
      <c r="AI133" s="31"/>
      <c r="AJ133" s="31"/>
      <c r="AK133" s="32"/>
      <c r="AL133" s="33"/>
      <c r="AM133" s="32"/>
      <c r="AN133" s="33"/>
      <c r="AO133" s="32"/>
      <c r="AP133" s="32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330"/>
      <c r="BD133" s="330"/>
      <c r="BE133" s="330"/>
      <c r="BF133" s="330"/>
      <c r="BG133" s="330"/>
      <c r="BH133" s="330"/>
      <c r="BI133" s="330"/>
      <c r="BJ133" s="330"/>
      <c r="BK133" s="330"/>
      <c r="BL133" s="330"/>
      <c r="BM133" s="330"/>
      <c r="BN133" s="330"/>
      <c r="BO133" s="330"/>
      <c r="BP133" s="330"/>
      <c r="BQ133" s="330"/>
      <c r="BR133" s="330"/>
      <c r="BS133" s="330"/>
      <c r="BT133" s="330"/>
      <c r="BU133" s="330"/>
      <c r="BV133" s="330"/>
      <c r="BW133" s="330"/>
      <c r="BX133" s="330"/>
    </row>
    <row r="134" spans="2:76" s="28" customFormat="1">
      <c r="B134" s="136"/>
      <c r="D134" s="222"/>
      <c r="E134" s="29"/>
      <c r="G134" s="293"/>
      <c r="H134" s="294"/>
      <c r="I134" s="294"/>
      <c r="J134" s="294"/>
      <c r="K134" s="294"/>
      <c r="L134" s="294"/>
      <c r="O134" s="331"/>
      <c r="AI134" s="31"/>
      <c r="AJ134" s="31"/>
      <c r="AK134" s="32"/>
      <c r="AL134" s="33"/>
      <c r="AM134" s="32"/>
      <c r="AN134" s="33"/>
      <c r="AO134" s="32"/>
      <c r="AP134" s="32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330"/>
      <c r="BD134" s="330"/>
      <c r="BE134" s="330"/>
      <c r="BF134" s="330"/>
      <c r="BG134" s="330"/>
      <c r="BH134" s="330"/>
      <c r="BI134" s="330"/>
      <c r="BJ134" s="330"/>
      <c r="BK134" s="330"/>
      <c r="BL134" s="330"/>
      <c r="BM134" s="330"/>
      <c r="BN134" s="330"/>
      <c r="BO134" s="330"/>
      <c r="BP134" s="330"/>
      <c r="BQ134" s="330"/>
      <c r="BR134" s="330"/>
      <c r="BS134" s="330"/>
      <c r="BT134" s="330"/>
      <c r="BU134" s="330"/>
      <c r="BV134" s="330"/>
      <c r="BW134" s="330"/>
      <c r="BX134" s="330"/>
    </row>
    <row r="135" spans="2:76" s="28" customFormat="1">
      <c r="B135" s="136"/>
      <c r="D135" s="222"/>
      <c r="E135" s="29"/>
      <c r="G135" s="293"/>
      <c r="H135" s="294"/>
      <c r="I135" s="294"/>
      <c r="J135" s="294"/>
      <c r="K135" s="294"/>
      <c r="L135" s="294"/>
      <c r="O135" s="331"/>
      <c r="AI135" s="31"/>
      <c r="AJ135" s="31"/>
      <c r="AK135" s="32"/>
      <c r="AL135" s="33"/>
      <c r="AM135" s="32"/>
      <c r="AN135" s="33"/>
      <c r="AO135" s="32"/>
      <c r="AP135" s="32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330"/>
      <c r="BD135" s="330"/>
      <c r="BE135" s="330"/>
      <c r="BF135" s="330"/>
      <c r="BG135" s="330"/>
      <c r="BH135" s="330"/>
      <c r="BI135" s="330"/>
      <c r="BJ135" s="330"/>
      <c r="BK135" s="330"/>
      <c r="BL135" s="330"/>
      <c r="BM135" s="330"/>
      <c r="BN135" s="330"/>
      <c r="BO135" s="330"/>
      <c r="BP135" s="330"/>
      <c r="BQ135" s="330"/>
      <c r="BR135" s="330"/>
      <c r="BS135" s="330"/>
      <c r="BT135" s="330"/>
      <c r="BU135" s="330"/>
      <c r="BV135" s="330"/>
      <c r="BW135" s="330"/>
      <c r="BX135" s="330"/>
    </row>
    <row r="136" spans="2:76" s="28" customFormat="1">
      <c r="B136" s="136"/>
      <c r="D136" s="222"/>
      <c r="E136" s="29"/>
      <c r="G136" s="293"/>
      <c r="H136" s="294"/>
      <c r="I136" s="294"/>
      <c r="J136" s="294"/>
      <c r="K136" s="294"/>
      <c r="L136" s="294"/>
      <c r="O136" s="331"/>
      <c r="AI136" s="31"/>
      <c r="AJ136" s="31"/>
      <c r="AK136" s="32"/>
      <c r="AL136" s="33"/>
      <c r="AM136" s="32"/>
      <c r="AN136" s="33"/>
      <c r="AO136" s="32"/>
      <c r="AP136" s="32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330"/>
      <c r="BD136" s="330"/>
      <c r="BE136" s="330"/>
      <c r="BF136" s="330"/>
      <c r="BG136" s="330"/>
      <c r="BH136" s="330"/>
      <c r="BI136" s="330"/>
      <c r="BJ136" s="330"/>
      <c r="BK136" s="330"/>
      <c r="BL136" s="330"/>
      <c r="BM136" s="330"/>
      <c r="BN136" s="330"/>
      <c r="BO136" s="330"/>
      <c r="BP136" s="330"/>
      <c r="BQ136" s="330"/>
      <c r="BR136" s="330"/>
      <c r="BS136" s="330"/>
      <c r="BT136" s="330"/>
      <c r="BU136" s="330"/>
      <c r="BV136" s="330"/>
      <c r="BW136" s="330"/>
      <c r="BX136" s="330"/>
    </row>
    <row r="137" spans="2:76" s="28" customFormat="1">
      <c r="B137" s="136"/>
      <c r="D137" s="222"/>
      <c r="E137" s="29"/>
      <c r="G137" s="293"/>
      <c r="H137" s="294"/>
      <c r="I137" s="294"/>
      <c r="J137" s="294"/>
      <c r="K137" s="294"/>
      <c r="L137" s="294"/>
      <c r="O137" s="331"/>
      <c r="AI137" s="31"/>
      <c r="AJ137" s="31"/>
      <c r="AK137" s="32"/>
      <c r="AL137" s="33"/>
      <c r="AM137" s="32"/>
      <c r="AN137" s="33"/>
      <c r="AO137" s="32"/>
      <c r="AP137" s="32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330"/>
      <c r="BD137" s="330"/>
      <c r="BE137" s="330"/>
      <c r="BF137" s="330"/>
      <c r="BG137" s="330"/>
      <c r="BH137" s="330"/>
      <c r="BI137" s="330"/>
      <c r="BJ137" s="330"/>
      <c r="BK137" s="330"/>
      <c r="BL137" s="330"/>
      <c r="BM137" s="330"/>
      <c r="BN137" s="330"/>
      <c r="BO137" s="330"/>
      <c r="BP137" s="330"/>
      <c r="BQ137" s="330"/>
      <c r="BR137" s="330"/>
      <c r="BS137" s="330"/>
      <c r="BT137" s="330"/>
      <c r="BU137" s="330"/>
      <c r="BV137" s="330"/>
      <c r="BW137" s="330"/>
      <c r="BX137" s="330"/>
    </row>
    <row r="138" spans="2:76" s="28" customFormat="1">
      <c r="B138" s="136"/>
      <c r="D138" s="222"/>
      <c r="E138" s="29"/>
      <c r="G138" s="293"/>
      <c r="H138" s="294"/>
      <c r="I138" s="294"/>
      <c r="J138" s="294"/>
      <c r="K138" s="294"/>
      <c r="L138" s="294"/>
      <c r="O138" s="331"/>
      <c r="AI138" s="31"/>
      <c r="AJ138" s="31"/>
      <c r="AK138" s="32"/>
      <c r="AL138" s="33"/>
      <c r="AM138" s="32"/>
      <c r="AN138" s="33"/>
      <c r="AO138" s="32"/>
      <c r="AP138" s="32"/>
      <c r="AQ138" s="136"/>
      <c r="AR138" s="136"/>
      <c r="AS138" s="136"/>
      <c r="AT138" s="136"/>
      <c r="AU138" s="136"/>
      <c r="AV138" s="136"/>
      <c r="AW138" s="136"/>
      <c r="AX138" s="136"/>
      <c r="AY138" s="136"/>
      <c r="AZ138" s="136"/>
      <c r="BA138" s="136"/>
      <c r="BB138" s="136"/>
      <c r="BC138" s="330"/>
      <c r="BD138" s="330"/>
      <c r="BE138" s="330"/>
      <c r="BF138" s="330"/>
      <c r="BG138" s="330"/>
      <c r="BH138" s="330"/>
      <c r="BI138" s="330"/>
      <c r="BJ138" s="330"/>
      <c r="BK138" s="330"/>
      <c r="BL138" s="330"/>
      <c r="BM138" s="330"/>
      <c r="BN138" s="330"/>
      <c r="BO138" s="330"/>
      <c r="BP138" s="330"/>
      <c r="BQ138" s="330"/>
      <c r="BR138" s="330"/>
      <c r="BS138" s="330"/>
      <c r="BT138" s="330"/>
      <c r="BU138" s="330"/>
      <c r="BV138" s="330"/>
      <c r="BW138" s="330"/>
      <c r="BX138" s="330"/>
    </row>
    <row r="139" spans="2:76" s="28" customFormat="1">
      <c r="B139" s="136"/>
      <c r="D139" s="222"/>
      <c r="E139" s="29"/>
      <c r="G139" s="293"/>
      <c r="H139" s="294"/>
      <c r="I139" s="294"/>
      <c r="J139" s="294"/>
      <c r="K139" s="294"/>
      <c r="L139" s="294"/>
      <c r="O139" s="331"/>
      <c r="AI139" s="31"/>
      <c r="AJ139" s="31"/>
      <c r="AK139" s="32"/>
      <c r="AL139" s="33"/>
      <c r="AM139" s="32"/>
      <c r="AN139" s="33"/>
      <c r="AO139" s="32"/>
      <c r="AP139" s="32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330"/>
      <c r="BD139" s="330"/>
      <c r="BE139" s="330"/>
      <c r="BF139" s="330"/>
      <c r="BG139" s="330"/>
      <c r="BH139" s="330"/>
      <c r="BI139" s="330"/>
      <c r="BJ139" s="330"/>
      <c r="BK139" s="330"/>
      <c r="BL139" s="330"/>
      <c r="BM139" s="330"/>
      <c r="BN139" s="330"/>
      <c r="BO139" s="330"/>
      <c r="BP139" s="330"/>
      <c r="BQ139" s="330"/>
      <c r="BR139" s="330"/>
      <c r="BS139" s="330"/>
      <c r="BT139" s="330"/>
      <c r="BU139" s="330"/>
      <c r="BV139" s="330"/>
      <c r="BW139" s="330"/>
      <c r="BX139" s="330"/>
    </row>
    <row r="140" spans="2:76" s="28" customFormat="1">
      <c r="B140" s="136"/>
      <c r="D140" s="222"/>
      <c r="E140" s="29"/>
      <c r="G140" s="293"/>
      <c r="H140" s="294"/>
      <c r="I140" s="294"/>
      <c r="J140" s="294"/>
      <c r="K140" s="294"/>
      <c r="L140" s="294"/>
      <c r="O140" s="331"/>
      <c r="AI140" s="31"/>
      <c r="AJ140" s="31"/>
      <c r="AK140" s="32"/>
      <c r="AL140" s="33"/>
      <c r="AM140" s="32"/>
      <c r="AN140" s="33"/>
      <c r="AO140" s="32"/>
      <c r="AP140" s="32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330"/>
      <c r="BD140" s="330"/>
      <c r="BE140" s="330"/>
      <c r="BF140" s="330"/>
      <c r="BG140" s="330"/>
      <c r="BH140" s="330"/>
      <c r="BI140" s="330"/>
      <c r="BJ140" s="330"/>
      <c r="BK140" s="330"/>
      <c r="BL140" s="330"/>
      <c r="BM140" s="330"/>
      <c r="BN140" s="330"/>
      <c r="BO140" s="330"/>
      <c r="BP140" s="330"/>
      <c r="BQ140" s="330"/>
      <c r="BR140" s="330"/>
      <c r="BS140" s="330"/>
      <c r="BT140" s="330"/>
      <c r="BU140" s="330"/>
      <c r="BV140" s="330"/>
      <c r="BW140" s="330"/>
      <c r="BX140" s="330"/>
    </row>
    <row r="141" spans="2:76" s="28" customFormat="1">
      <c r="B141" s="136"/>
      <c r="D141" s="222"/>
      <c r="E141" s="29"/>
      <c r="G141" s="293"/>
      <c r="H141" s="294"/>
      <c r="I141" s="294"/>
      <c r="J141" s="294"/>
      <c r="K141" s="294"/>
      <c r="L141" s="294"/>
      <c r="O141" s="331"/>
      <c r="AI141" s="31"/>
      <c r="AJ141" s="31"/>
      <c r="AK141" s="32"/>
      <c r="AL141" s="33"/>
      <c r="AM141" s="32"/>
      <c r="AN141" s="33"/>
      <c r="AO141" s="32"/>
      <c r="AP141" s="32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330"/>
      <c r="BD141" s="330"/>
      <c r="BE141" s="330"/>
      <c r="BF141" s="330"/>
      <c r="BG141" s="330"/>
      <c r="BH141" s="330"/>
      <c r="BI141" s="330"/>
      <c r="BJ141" s="330"/>
      <c r="BK141" s="330"/>
      <c r="BL141" s="330"/>
      <c r="BM141" s="330"/>
      <c r="BN141" s="330"/>
      <c r="BO141" s="330"/>
      <c r="BP141" s="330"/>
      <c r="BQ141" s="330"/>
      <c r="BR141" s="330"/>
      <c r="BS141" s="330"/>
      <c r="BT141" s="330"/>
      <c r="BU141" s="330"/>
      <c r="BV141" s="330"/>
      <c r="BW141" s="330"/>
      <c r="BX141" s="330"/>
    </row>
    <row r="142" spans="2:76" s="28" customFormat="1">
      <c r="B142" s="136"/>
      <c r="D142" s="222"/>
      <c r="E142" s="29"/>
      <c r="G142" s="293"/>
      <c r="H142" s="294"/>
      <c r="I142" s="294"/>
      <c r="J142" s="294"/>
      <c r="K142" s="294"/>
      <c r="L142" s="294"/>
      <c r="O142" s="331"/>
      <c r="AI142" s="31"/>
      <c r="AJ142" s="31"/>
      <c r="AK142" s="32"/>
      <c r="AL142" s="33"/>
      <c r="AM142" s="32"/>
      <c r="AN142" s="33"/>
      <c r="AO142" s="32"/>
      <c r="AP142" s="32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330"/>
      <c r="BD142" s="330"/>
      <c r="BE142" s="330"/>
      <c r="BF142" s="330"/>
      <c r="BG142" s="330"/>
      <c r="BH142" s="330"/>
      <c r="BI142" s="330"/>
      <c r="BJ142" s="330"/>
      <c r="BK142" s="330"/>
      <c r="BL142" s="330"/>
      <c r="BM142" s="330"/>
      <c r="BN142" s="330"/>
      <c r="BO142" s="330"/>
      <c r="BP142" s="330"/>
      <c r="BQ142" s="330"/>
      <c r="BR142" s="330"/>
      <c r="BS142" s="330"/>
      <c r="BT142" s="330"/>
      <c r="BU142" s="330"/>
      <c r="BV142" s="330"/>
      <c r="BW142" s="330"/>
      <c r="BX142" s="330"/>
    </row>
    <row r="143" spans="2:76" s="28" customFormat="1">
      <c r="B143" s="136"/>
      <c r="D143" s="222"/>
      <c r="E143" s="29"/>
      <c r="G143" s="293"/>
      <c r="H143" s="294"/>
      <c r="I143" s="294"/>
      <c r="J143" s="294"/>
      <c r="K143" s="294"/>
      <c r="L143" s="294"/>
      <c r="O143" s="331"/>
      <c r="AI143" s="31"/>
      <c r="AJ143" s="31"/>
      <c r="AK143" s="32"/>
      <c r="AL143" s="33"/>
      <c r="AM143" s="32"/>
      <c r="AN143" s="33"/>
      <c r="AO143" s="32"/>
      <c r="AP143" s="32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330"/>
      <c r="BD143" s="330"/>
      <c r="BE143" s="330"/>
      <c r="BF143" s="330"/>
      <c r="BG143" s="330"/>
      <c r="BH143" s="330"/>
      <c r="BI143" s="330"/>
      <c r="BJ143" s="330"/>
      <c r="BK143" s="330"/>
      <c r="BL143" s="330"/>
      <c r="BM143" s="330"/>
      <c r="BN143" s="330"/>
      <c r="BO143" s="330"/>
      <c r="BP143" s="330"/>
      <c r="BQ143" s="330"/>
      <c r="BR143" s="330"/>
      <c r="BS143" s="330"/>
      <c r="BT143" s="330"/>
      <c r="BU143" s="330"/>
      <c r="BV143" s="330"/>
      <c r="BW143" s="330"/>
      <c r="BX143" s="330"/>
    </row>
    <row r="144" spans="2:76" s="28" customFormat="1">
      <c r="B144" s="136"/>
      <c r="D144" s="222"/>
      <c r="E144" s="29"/>
      <c r="G144" s="293"/>
      <c r="H144" s="294"/>
      <c r="I144" s="294"/>
      <c r="J144" s="294"/>
      <c r="K144" s="294"/>
      <c r="L144" s="294"/>
      <c r="O144" s="331"/>
      <c r="AI144" s="31"/>
      <c r="AJ144" s="31"/>
      <c r="AK144" s="32"/>
      <c r="AL144" s="33"/>
      <c r="AM144" s="32"/>
      <c r="AN144" s="33"/>
      <c r="AO144" s="32"/>
      <c r="AP144" s="32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330"/>
      <c r="BD144" s="330"/>
      <c r="BE144" s="330"/>
      <c r="BF144" s="330"/>
      <c r="BG144" s="330"/>
      <c r="BH144" s="330"/>
      <c r="BI144" s="330"/>
      <c r="BJ144" s="330"/>
      <c r="BK144" s="330"/>
      <c r="BL144" s="330"/>
      <c r="BM144" s="330"/>
      <c r="BN144" s="330"/>
      <c r="BO144" s="330"/>
      <c r="BP144" s="330"/>
      <c r="BQ144" s="330"/>
      <c r="BR144" s="330"/>
      <c r="BS144" s="330"/>
      <c r="BT144" s="330"/>
      <c r="BU144" s="330"/>
      <c r="BV144" s="330"/>
      <c r="BW144" s="330"/>
      <c r="BX144" s="330"/>
    </row>
    <row r="145" spans="2:76" s="28" customFormat="1">
      <c r="B145" s="136"/>
      <c r="D145" s="222"/>
      <c r="E145" s="29"/>
      <c r="G145" s="293"/>
      <c r="H145" s="294"/>
      <c r="I145" s="294"/>
      <c r="J145" s="294"/>
      <c r="K145" s="294"/>
      <c r="L145" s="294"/>
      <c r="O145" s="331"/>
      <c r="AI145" s="31"/>
      <c r="AJ145" s="31"/>
      <c r="AK145" s="32"/>
      <c r="AL145" s="33"/>
      <c r="AM145" s="32"/>
      <c r="AN145" s="33"/>
      <c r="AO145" s="32"/>
      <c r="AP145" s="32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330"/>
      <c r="BD145" s="330"/>
      <c r="BE145" s="330"/>
      <c r="BF145" s="330"/>
      <c r="BG145" s="330"/>
      <c r="BH145" s="330"/>
      <c r="BI145" s="330"/>
      <c r="BJ145" s="330"/>
      <c r="BK145" s="330"/>
      <c r="BL145" s="330"/>
      <c r="BM145" s="330"/>
      <c r="BN145" s="330"/>
      <c r="BO145" s="330"/>
      <c r="BP145" s="330"/>
      <c r="BQ145" s="330"/>
      <c r="BR145" s="330"/>
      <c r="BS145" s="330"/>
      <c r="BT145" s="330"/>
      <c r="BU145" s="330"/>
      <c r="BV145" s="330"/>
      <c r="BW145" s="330"/>
      <c r="BX145" s="330"/>
    </row>
    <row r="146" spans="2:76" s="28" customFormat="1">
      <c r="B146" s="136"/>
      <c r="D146" s="222"/>
      <c r="E146" s="29"/>
      <c r="G146" s="293"/>
      <c r="H146" s="294"/>
      <c r="I146" s="294"/>
      <c r="J146" s="294"/>
      <c r="K146" s="294"/>
      <c r="L146" s="294"/>
      <c r="O146" s="331"/>
      <c r="AI146" s="31"/>
      <c r="AJ146" s="31"/>
      <c r="AK146" s="32"/>
      <c r="AL146" s="33"/>
      <c r="AM146" s="32"/>
      <c r="AN146" s="33"/>
      <c r="AO146" s="32"/>
      <c r="AP146" s="32"/>
      <c r="AQ146" s="136"/>
      <c r="AR146" s="136"/>
      <c r="AS146" s="136"/>
      <c r="AT146" s="136"/>
      <c r="AU146" s="136"/>
      <c r="AV146" s="136"/>
      <c r="AW146" s="136"/>
      <c r="AX146" s="136"/>
      <c r="AY146" s="136"/>
      <c r="AZ146" s="136"/>
      <c r="BA146" s="136"/>
      <c r="BB146" s="136"/>
      <c r="BC146" s="330"/>
      <c r="BD146" s="330"/>
      <c r="BE146" s="330"/>
      <c r="BF146" s="330"/>
      <c r="BG146" s="330"/>
      <c r="BH146" s="330"/>
      <c r="BI146" s="330"/>
      <c r="BJ146" s="330"/>
      <c r="BK146" s="330"/>
      <c r="BL146" s="330"/>
      <c r="BM146" s="330"/>
      <c r="BN146" s="330"/>
      <c r="BO146" s="330"/>
      <c r="BP146" s="330"/>
      <c r="BQ146" s="330"/>
      <c r="BR146" s="330"/>
      <c r="BS146" s="330"/>
      <c r="BT146" s="330"/>
      <c r="BU146" s="330"/>
      <c r="BV146" s="330"/>
      <c r="BW146" s="330"/>
      <c r="BX146" s="330"/>
    </row>
    <row r="147" spans="2:76" s="28" customFormat="1">
      <c r="B147" s="136"/>
      <c r="D147" s="222"/>
      <c r="E147" s="29"/>
      <c r="G147" s="293"/>
      <c r="H147" s="294"/>
      <c r="I147" s="294"/>
      <c r="J147" s="294"/>
      <c r="K147" s="294"/>
      <c r="L147" s="294"/>
      <c r="O147" s="332"/>
      <c r="AI147" s="31"/>
      <c r="AJ147" s="31"/>
      <c r="AK147" s="32"/>
      <c r="AL147" s="33"/>
      <c r="AM147" s="32"/>
      <c r="AN147" s="33"/>
      <c r="AO147" s="32"/>
      <c r="AP147" s="32"/>
      <c r="AQ147" s="136"/>
      <c r="AR147" s="136"/>
      <c r="AS147" s="136"/>
      <c r="AT147" s="136"/>
      <c r="AU147" s="136"/>
      <c r="AV147" s="136"/>
      <c r="AW147" s="136"/>
      <c r="AX147" s="136"/>
      <c r="AY147" s="136"/>
      <c r="AZ147" s="136"/>
      <c r="BA147" s="136"/>
      <c r="BB147" s="136"/>
      <c r="BC147" s="330"/>
      <c r="BD147" s="330"/>
      <c r="BE147" s="330"/>
      <c r="BF147" s="330"/>
      <c r="BG147" s="330"/>
      <c r="BH147" s="330"/>
      <c r="BI147" s="330"/>
      <c r="BJ147" s="330"/>
      <c r="BK147" s="330"/>
      <c r="BL147" s="330"/>
      <c r="BM147" s="330"/>
      <c r="BN147" s="330"/>
      <c r="BO147" s="330"/>
      <c r="BP147" s="330"/>
      <c r="BQ147" s="330"/>
      <c r="BR147" s="330"/>
      <c r="BS147" s="330"/>
      <c r="BT147" s="330"/>
      <c r="BU147" s="330"/>
      <c r="BV147" s="330"/>
      <c r="BW147" s="330"/>
      <c r="BX147" s="330"/>
    </row>
    <row r="148" spans="2:76" s="28" customFormat="1">
      <c r="B148" s="136"/>
      <c r="D148" s="222"/>
      <c r="E148" s="29"/>
      <c r="G148" s="293"/>
      <c r="H148" s="294"/>
      <c r="I148" s="294"/>
      <c r="J148" s="294"/>
      <c r="K148" s="294"/>
      <c r="L148" s="294"/>
      <c r="O148" s="331"/>
      <c r="AI148" s="31"/>
      <c r="AJ148" s="31"/>
      <c r="AK148" s="32"/>
      <c r="AL148" s="33"/>
      <c r="AM148" s="32"/>
      <c r="AN148" s="33"/>
      <c r="AO148" s="32"/>
      <c r="AP148" s="32"/>
      <c r="AQ148" s="136"/>
      <c r="AR148" s="136"/>
      <c r="AS148" s="136"/>
      <c r="AT148" s="136"/>
      <c r="AU148" s="136"/>
      <c r="AV148" s="136"/>
      <c r="AW148" s="136"/>
      <c r="AX148" s="136"/>
      <c r="AY148" s="136"/>
      <c r="AZ148" s="136"/>
      <c r="BA148" s="136"/>
      <c r="BB148" s="136"/>
      <c r="BC148" s="330"/>
      <c r="BD148" s="330"/>
      <c r="BE148" s="330"/>
      <c r="BF148" s="330"/>
      <c r="BG148" s="330"/>
      <c r="BH148" s="330"/>
      <c r="BI148" s="330"/>
      <c r="BJ148" s="330"/>
      <c r="BK148" s="330"/>
      <c r="BL148" s="330"/>
      <c r="BM148" s="330"/>
      <c r="BN148" s="330"/>
      <c r="BO148" s="330"/>
      <c r="BP148" s="330"/>
      <c r="BQ148" s="330"/>
      <c r="BR148" s="330"/>
      <c r="BS148" s="330"/>
      <c r="BT148" s="330"/>
      <c r="BU148" s="330"/>
      <c r="BV148" s="330"/>
      <c r="BW148" s="330"/>
      <c r="BX148" s="330"/>
    </row>
    <row r="149" spans="2:76" s="28" customFormat="1">
      <c r="B149" s="136"/>
      <c r="D149" s="222"/>
      <c r="E149" s="29"/>
      <c r="G149" s="293"/>
      <c r="H149" s="294"/>
      <c r="I149" s="294"/>
      <c r="J149" s="294"/>
      <c r="K149" s="294"/>
      <c r="L149" s="294"/>
      <c r="O149" s="331"/>
      <c r="AI149" s="31"/>
      <c r="AJ149" s="31"/>
      <c r="AK149" s="32"/>
      <c r="AL149" s="33"/>
      <c r="AM149" s="32"/>
      <c r="AN149" s="33"/>
      <c r="AO149" s="32"/>
      <c r="AP149" s="32"/>
      <c r="AQ149" s="136"/>
      <c r="AR149" s="136"/>
      <c r="AS149" s="136"/>
      <c r="AT149" s="136"/>
      <c r="AU149" s="136"/>
      <c r="AV149" s="136"/>
      <c r="AW149" s="136"/>
      <c r="AX149" s="136"/>
      <c r="AY149" s="136"/>
      <c r="AZ149" s="136"/>
      <c r="BA149" s="136"/>
      <c r="BB149" s="136"/>
      <c r="BC149" s="330"/>
      <c r="BD149" s="330"/>
      <c r="BE149" s="330"/>
      <c r="BF149" s="330"/>
      <c r="BG149" s="330"/>
      <c r="BH149" s="330"/>
      <c r="BI149" s="330"/>
      <c r="BJ149" s="330"/>
      <c r="BK149" s="330"/>
      <c r="BL149" s="330"/>
      <c r="BM149" s="330"/>
      <c r="BN149" s="330"/>
      <c r="BO149" s="330"/>
      <c r="BP149" s="330"/>
      <c r="BQ149" s="330"/>
      <c r="BR149" s="330"/>
      <c r="BS149" s="330"/>
      <c r="BT149" s="330"/>
      <c r="BU149" s="330"/>
      <c r="BV149" s="330"/>
      <c r="BW149" s="330"/>
      <c r="BX149" s="330"/>
    </row>
    <row r="150" spans="2:76" s="28" customFormat="1">
      <c r="B150" s="136"/>
      <c r="D150" s="222"/>
      <c r="E150" s="29"/>
      <c r="G150" s="293"/>
      <c r="H150" s="294"/>
      <c r="I150" s="294"/>
      <c r="J150" s="294"/>
      <c r="K150" s="294"/>
      <c r="L150" s="294"/>
      <c r="O150" s="331"/>
      <c r="AI150" s="31"/>
      <c r="AJ150" s="31"/>
      <c r="AK150" s="32"/>
      <c r="AL150" s="33"/>
      <c r="AM150" s="32"/>
      <c r="AN150" s="33"/>
      <c r="AO150" s="32"/>
      <c r="AP150" s="32"/>
      <c r="AQ150" s="136"/>
      <c r="AR150" s="136"/>
      <c r="AS150" s="136"/>
      <c r="AT150" s="136"/>
      <c r="AU150" s="136"/>
      <c r="AV150" s="136"/>
      <c r="AW150" s="136"/>
      <c r="AX150" s="136"/>
      <c r="AY150" s="136"/>
      <c r="AZ150" s="136"/>
      <c r="BA150" s="136"/>
      <c r="BB150" s="136"/>
      <c r="BC150" s="330"/>
      <c r="BD150" s="330"/>
      <c r="BE150" s="330"/>
      <c r="BF150" s="330"/>
      <c r="BG150" s="330"/>
      <c r="BH150" s="330"/>
      <c r="BI150" s="330"/>
      <c r="BJ150" s="330"/>
      <c r="BK150" s="330"/>
      <c r="BL150" s="330"/>
      <c r="BM150" s="330"/>
      <c r="BN150" s="330"/>
      <c r="BO150" s="330"/>
      <c r="BP150" s="330"/>
      <c r="BQ150" s="330"/>
      <c r="BR150" s="330"/>
      <c r="BS150" s="330"/>
      <c r="BT150" s="330"/>
      <c r="BU150" s="330"/>
      <c r="BV150" s="330"/>
      <c r="BW150" s="330"/>
      <c r="BX150" s="330"/>
    </row>
    <row r="151" spans="2:76" s="28" customFormat="1">
      <c r="B151" s="136"/>
      <c r="D151" s="222"/>
      <c r="E151" s="29"/>
      <c r="G151" s="293"/>
      <c r="H151" s="294"/>
      <c r="I151" s="294"/>
      <c r="J151" s="294"/>
      <c r="K151" s="294"/>
      <c r="L151" s="294"/>
      <c r="O151" s="331"/>
      <c r="AI151" s="31"/>
      <c r="AJ151" s="31"/>
      <c r="AK151" s="32"/>
      <c r="AL151" s="33"/>
      <c r="AM151" s="32"/>
      <c r="AN151" s="33"/>
      <c r="AO151" s="32"/>
      <c r="AP151" s="32"/>
      <c r="AQ151" s="136"/>
      <c r="AR151" s="136"/>
      <c r="AS151" s="136"/>
      <c r="AT151" s="136"/>
      <c r="AU151" s="136"/>
      <c r="AV151" s="136"/>
      <c r="AW151" s="136"/>
      <c r="AX151" s="136"/>
      <c r="AY151" s="136"/>
      <c r="AZ151" s="136"/>
      <c r="BA151" s="136"/>
      <c r="BB151" s="136"/>
      <c r="BC151" s="330"/>
      <c r="BD151" s="330"/>
      <c r="BE151" s="330"/>
      <c r="BF151" s="330"/>
      <c r="BG151" s="330"/>
      <c r="BH151" s="330"/>
      <c r="BI151" s="330"/>
      <c r="BJ151" s="330"/>
      <c r="BK151" s="330"/>
      <c r="BL151" s="330"/>
      <c r="BM151" s="330"/>
      <c r="BN151" s="330"/>
      <c r="BO151" s="330"/>
      <c r="BP151" s="330"/>
      <c r="BQ151" s="330"/>
      <c r="BR151" s="330"/>
      <c r="BS151" s="330"/>
      <c r="BT151" s="330"/>
      <c r="BU151" s="330"/>
      <c r="BV151" s="330"/>
      <c r="BW151" s="330"/>
      <c r="BX151" s="330"/>
    </row>
    <row r="152" spans="2:76" s="28" customFormat="1">
      <c r="B152" s="136"/>
      <c r="D152" s="222"/>
      <c r="E152" s="29"/>
      <c r="G152" s="293"/>
      <c r="H152" s="294"/>
      <c r="I152" s="294"/>
      <c r="J152" s="294"/>
      <c r="K152" s="294"/>
      <c r="L152" s="294"/>
      <c r="O152" s="331"/>
      <c r="AI152" s="31"/>
      <c r="AJ152" s="31"/>
      <c r="AK152" s="32"/>
      <c r="AL152" s="33"/>
      <c r="AM152" s="32"/>
      <c r="AN152" s="33"/>
      <c r="AO152" s="32"/>
      <c r="AP152" s="32"/>
      <c r="AQ152" s="136"/>
      <c r="AR152" s="136"/>
      <c r="AS152" s="136"/>
      <c r="AT152" s="136"/>
      <c r="AU152" s="136"/>
      <c r="AV152" s="136"/>
      <c r="AW152" s="136"/>
      <c r="AX152" s="136"/>
      <c r="AY152" s="136"/>
      <c r="AZ152" s="136"/>
      <c r="BA152" s="136"/>
      <c r="BB152" s="136"/>
      <c r="BC152" s="330"/>
      <c r="BD152" s="330"/>
      <c r="BE152" s="330"/>
      <c r="BF152" s="330"/>
      <c r="BG152" s="330"/>
      <c r="BH152" s="330"/>
      <c r="BI152" s="330"/>
      <c r="BJ152" s="330"/>
      <c r="BK152" s="330"/>
      <c r="BL152" s="330"/>
      <c r="BM152" s="330"/>
      <c r="BN152" s="330"/>
      <c r="BO152" s="330"/>
      <c r="BP152" s="330"/>
      <c r="BQ152" s="330"/>
      <c r="BR152" s="330"/>
      <c r="BS152" s="330"/>
      <c r="BT152" s="330"/>
      <c r="BU152" s="330"/>
      <c r="BV152" s="330"/>
      <c r="BW152" s="330"/>
      <c r="BX152" s="330"/>
    </row>
    <row r="153" spans="2:76" s="28" customFormat="1">
      <c r="B153" s="136"/>
      <c r="D153" s="222"/>
      <c r="E153" s="29"/>
      <c r="G153" s="293"/>
      <c r="H153" s="294"/>
      <c r="I153" s="294"/>
      <c r="J153" s="294"/>
      <c r="K153" s="294"/>
      <c r="L153" s="294"/>
      <c r="O153" s="331"/>
      <c r="AI153" s="31"/>
      <c r="AJ153" s="31"/>
      <c r="AK153" s="32"/>
      <c r="AL153" s="33"/>
      <c r="AM153" s="32"/>
      <c r="AN153" s="33"/>
      <c r="AO153" s="32"/>
      <c r="AP153" s="32"/>
      <c r="AQ153" s="136"/>
      <c r="AR153" s="136"/>
      <c r="AS153" s="136"/>
      <c r="AT153" s="136"/>
      <c r="AU153" s="136"/>
      <c r="AV153" s="136"/>
      <c r="AW153" s="136"/>
      <c r="AX153" s="136"/>
      <c r="AY153" s="136"/>
      <c r="AZ153" s="136"/>
      <c r="BA153" s="136"/>
      <c r="BB153" s="136"/>
      <c r="BC153" s="330"/>
      <c r="BD153" s="330"/>
      <c r="BE153" s="330"/>
      <c r="BF153" s="330"/>
      <c r="BG153" s="330"/>
      <c r="BH153" s="330"/>
      <c r="BI153" s="330"/>
      <c r="BJ153" s="330"/>
      <c r="BK153" s="330"/>
      <c r="BL153" s="330"/>
      <c r="BM153" s="330"/>
      <c r="BN153" s="330"/>
      <c r="BO153" s="330"/>
      <c r="BP153" s="330"/>
      <c r="BQ153" s="330"/>
      <c r="BR153" s="330"/>
      <c r="BS153" s="330"/>
      <c r="BT153" s="330"/>
      <c r="BU153" s="330"/>
      <c r="BV153" s="330"/>
      <c r="BW153" s="330"/>
      <c r="BX153" s="330"/>
    </row>
    <row r="154" spans="2:76" s="28" customFormat="1">
      <c r="B154" s="136"/>
      <c r="D154" s="222"/>
      <c r="E154" s="29"/>
      <c r="G154" s="293"/>
      <c r="H154" s="294"/>
      <c r="I154" s="294"/>
      <c r="J154" s="294"/>
      <c r="K154" s="294"/>
      <c r="L154" s="294"/>
      <c r="O154" s="331"/>
      <c r="AI154" s="31"/>
      <c r="AJ154" s="31"/>
      <c r="AK154" s="32"/>
      <c r="AL154" s="33"/>
      <c r="AM154" s="32"/>
      <c r="AN154" s="33"/>
      <c r="AO154" s="32"/>
      <c r="AP154" s="32"/>
      <c r="AQ154" s="136"/>
      <c r="AR154" s="136"/>
      <c r="AS154" s="136"/>
      <c r="AT154" s="136"/>
      <c r="AU154" s="136"/>
      <c r="AV154" s="136"/>
      <c r="AW154" s="136"/>
      <c r="AX154" s="136"/>
      <c r="AY154" s="136"/>
      <c r="AZ154" s="136"/>
      <c r="BA154" s="136"/>
      <c r="BB154" s="136"/>
      <c r="BC154" s="330"/>
      <c r="BD154" s="330"/>
      <c r="BE154" s="330"/>
      <c r="BF154" s="330"/>
      <c r="BG154" s="330"/>
      <c r="BH154" s="330"/>
      <c r="BI154" s="330"/>
      <c r="BJ154" s="330"/>
      <c r="BK154" s="330"/>
      <c r="BL154" s="330"/>
      <c r="BM154" s="330"/>
      <c r="BN154" s="330"/>
      <c r="BO154" s="330"/>
      <c r="BP154" s="330"/>
      <c r="BQ154" s="330"/>
      <c r="BR154" s="330"/>
      <c r="BS154" s="330"/>
      <c r="BT154" s="330"/>
      <c r="BU154" s="330"/>
      <c r="BV154" s="330"/>
      <c r="BW154" s="330"/>
      <c r="BX154" s="330"/>
    </row>
    <row r="155" spans="2:76" s="28" customFormat="1">
      <c r="B155" s="136"/>
      <c r="D155" s="222"/>
      <c r="E155" s="29"/>
      <c r="G155" s="293"/>
      <c r="H155" s="294"/>
      <c r="I155" s="294"/>
      <c r="J155" s="294"/>
      <c r="K155" s="294"/>
      <c r="L155" s="294"/>
      <c r="O155" s="331"/>
      <c r="AI155" s="31"/>
      <c r="AJ155" s="31"/>
      <c r="AK155" s="32"/>
      <c r="AL155" s="33"/>
      <c r="AM155" s="32"/>
      <c r="AN155" s="33"/>
      <c r="AO155" s="32"/>
      <c r="AP155" s="32"/>
      <c r="AQ155" s="136"/>
      <c r="AR155" s="136"/>
      <c r="AS155" s="136"/>
      <c r="AT155" s="136"/>
      <c r="AU155" s="136"/>
      <c r="AV155" s="136"/>
      <c r="AW155" s="136"/>
      <c r="AX155" s="136"/>
      <c r="AY155" s="136"/>
      <c r="AZ155" s="136"/>
      <c r="BA155" s="136"/>
      <c r="BB155" s="136"/>
      <c r="BC155" s="330"/>
      <c r="BD155" s="330"/>
      <c r="BE155" s="330"/>
      <c r="BF155" s="330"/>
      <c r="BG155" s="330"/>
      <c r="BH155" s="330"/>
      <c r="BI155" s="330"/>
      <c r="BJ155" s="330"/>
      <c r="BK155" s="330"/>
      <c r="BL155" s="330"/>
      <c r="BM155" s="330"/>
      <c r="BN155" s="330"/>
      <c r="BO155" s="330"/>
      <c r="BP155" s="330"/>
      <c r="BQ155" s="330"/>
      <c r="BR155" s="330"/>
      <c r="BS155" s="330"/>
      <c r="BT155" s="330"/>
      <c r="BU155" s="330"/>
      <c r="BV155" s="330"/>
      <c r="BW155" s="330"/>
      <c r="BX155" s="330"/>
    </row>
    <row r="156" spans="2:76" s="28" customFormat="1">
      <c r="B156" s="136"/>
      <c r="D156" s="222"/>
      <c r="E156" s="29"/>
      <c r="G156" s="293"/>
      <c r="H156" s="294"/>
      <c r="I156" s="294"/>
      <c r="J156" s="294"/>
      <c r="K156" s="294"/>
      <c r="L156" s="294"/>
      <c r="O156" s="331"/>
      <c r="AI156" s="31"/>
      <c r="AJ156" s="31"/>
      <c r="AK156" s="32"/>
      <c r="AL156" s="33"/>
      <c r="AM156" s="32"/>
      <c r="AN156" s="33"/>
      <c r="AO156" s="32"/>
      <c r="AP156" s="32"/>
      <c r="AQ156" s="136"/>
      <c r="AR156" s="136"/>
      <c r="AS156" s="136"/>
      <c r="AT156" s="136"/>
      <c r="AU156" s="136"/>
      <c r="AV156" s="136"/>
      <c r="AW156" s="136"/>
      <c r="AX156" s="136"/>
      <c r="AY156" s="136"/>
      <c r="AZ156" s="136"/>
      <c r="BA156" s="136"/>
      <c r="BB156" s="136"/>
      <c r="BC156" s="330"/>
      <c r="BD156" s="330"/>
      <c r="BE156" s="330"/>
      <c r="BF156" s="330"/>
      <c r="BG156" s="330"/>
      <c r="BH156" s="330"/>
      <c r="BI156" s="330"/>
      <c r="BJ156" s="330"/>
      <c r="BK156" s="330"/>
      <c r="BL156" s="330"/>
      <c r="BM156" s="330"/>
      <c r="BN156" s="330"/>
      <c r="BO156" s="330"/>
      <c r="BP156" s="330"/>
      <c r="BQ156" s="330"/>
      <c r="BR156" s="330"/>
      <c r="BS156" s="330"/>
      <c r="BT156" s="330"/>
      <c r="BU156" s="330"/>
      <c r="BV156" s="330"/>
      <c r="BW156" s="330"/>
      <c r="BX156" s="330"/>
    </row>
    <row r="157" spans="2:76" s="28" customFormat="1">
      <c r="B157" s="136"/>
      <c r="D157" s="222"/>
      <c r="E157" s="29"/>
      <c r="G157" s="293"/>
      <c r="H157" s="294"/>
      <c r="I157" s="294"/>
      <c r="J157" s="294"/>
      <c r="K157" s="294"/>
      <c r="L157" s="294"/>
      <c r="O157" s="332"/>
      <c r="AI157" s="31"/>
      <c r="AJ157" s="31"/>
      <c r="AK157" s="32"/>
      <c r="AL157" s="33"/>
      <c r="AM157" s="32"/>
      <c r="AN157" s="33"/>
      <c r="AO157" s="32"/>
      <c r="AP157" s="32"/>
      <c r="AQ157" s="136"/>
      <c r="AR157" s="136"/>
      <c r="AS157" s="136"/>
      <c r="AT157" s="136"/>
      <c r="AU157" s="136"/>
      <c r="AV157" s="136"/>
      <c r="AW157" s="136"/>
      <c r="AX157" s="136"/>
      <c r="AY157" s="136"/>
      <c r="AZ157" s="136"/>
      <c r="BA157" s="136"/>
      <c r="BB157" s="136"/>
      <c r="BC157" s="330"/>
      <c r="BD157" s="330"/>
      <c r="BE157" s="330"/>
      <c r="BF157" s="330"/>
      <c r="BG157" s="330"/>
      <c r="BH157" s="330"/>
      <c r="BI157" s="330"/>
      <c r="BJ157" s="330"/>
      <c r="BK157" s="330"/>
      <c r="BL157" s="330"/>
      <c r="BM157" s="330"/>
      <c r="BN157" s="330"/>
      <c r="BO157" s="330"/>
      <c r="BP157" s="330"/>
      <c r="BQ157" s="330"/>
      <c r="BR157" s="330"/>
      <c r="BS157" s="330"/>
      <c r="BT157" s="330"/>
      <c r="BU157" s="330"/>
      <c r="BV157" s="330"/>
      <c r="BW157" s="330"/>
      <c r="BX157" s="330"/>
    </row>
    <row r="158" spans="2:76" s="28" customFormat="1">
      <c r="B158" s="136"/>
      <c r="D158" s="222"/>
      <c r="E158" s="29"/>
      <c r="G158" s="293"/>
      <c r="H158" s="294"/>
      <c r="I158" s="294"/>
      <c r="J158" s="294"/>
      <c r="K158" s="294"/>
      <c r="L158" s="294"/>
      <c r="O158" s="331"/>
      <c r="AI158" s="31"/>
      <c r="AJ158" s="31"/>
      <c r="AK158" s="32"/>
      <c r="AL158" s="33"/>
      <c r="AM158" s="32"/>
      <c r="AN158" s="33"/>
      <c r="AO158" s="32"/>
      <c r="AP158" s="32"/>
      <c r="AQ158" s="136"/>
      <c r="AR158" s="136"/>
      <c r="AS158" s="136"/>
      <c r="AT158" s="136"/>
      <c r="AU158" s="136"/>
      <c r="AV158" s="136"/>
      <c r="AW158" s="136"/>
      <c r="AX158" s="136"/>
      <c r="AY158" s="136"/>
      <c r="AZ158" s="136"/>
      <c r="BA158" s="136"/>
      <c r="BB158" s="136"/>
      <c r="BC158" s="330"/>
      <c r="BD158" s="330"/>
      <c r="BE158" s="330"/>
      <c r="BF158" s="330"/>
      <c r="BG158" s="330"/>
      <c r="BH158" s="330"/>
      <c r="BI158" s="330"/>
      <c r="BJ158" s="330"/>
      <c r="BK158" s="330"/>
      <c r="BL158" s="330"/>
      <c r="BM158" s="330"/>
      <c r="BN158" s="330"/>
      <c r="BO158" s="330"/>
      <c r="BP158" s="330"/>
      <c r="BQ158" s="330"/>
      <c r="BR158" s="330"/>
      <c r="BS158" s="330"/>
      <c r="BT158" s="330"/>
      <c r="BU158" s="330"/>
      <c r="BV158" s="330"/>
      <c r="BW158" s="330"/>
      <c r="BX158" s="330"/>
    </row>
    <row r="159" spans="2:76" s="28" customFormat="1">
      <c r="B159" s="136"/>
      <c r="D159" s="222"/>
      <c r="E159" s="29"/>
      <c r="G159" s="293"/>
      <c r="H159" s="294"/>
      <c r="I159" s="294"/>
      <c r="J159" s="294"/>
      <c r="K159" s="294"/>
      <c r="L159" s="294"/>
      <c r="O159" s="331"/>
      <c r="AI159" s="31"/>
      <c r="AJ159" s="31"/>
      <c r="AK159" s="32"/>
      <c r="AL159" s="33"/>
      <c r="AM159" s="32"/>
      <c r="AN159" s="33"/>
      <c r="AO159" s="32"/>
      <c r="AP159" s="32"/>
      <c r="AQ159" s="136"/>
      <c r="AR159" s="136"/>
      <c r="AS159" s="136"/>
      <c r="AT159" s="136"/>
      <c r="AU159" s="136"/>
      <c r="AV159" s="136"/>
      <c r="AW159" s="136"/>
      <c r="AX159" s="136"/>
      <c r="AY159" s="136"/>
      <c r="AZ159" s="136"/>
      <c r="BA159" s="136"/>
      <c r="BB159" s="136"/>
      <c r="BC159" s="330"/>
      <c r="BD159" s="330"/>
      <c r="BE159" s="330"/>
      <c r="BF159" s="330"/>
      <c r="BG159" s="330"/>
      <c r="BH159" s="330"/>
      <c r="BI159" s="330"/>
      <c r="BJ159" s="330"/>
      <c r="BK159" s="330"/>
      <c r="BL159" s="330"/>
      <c r="BM159" s="330"/>
      <c r="BN159" s="330"/>
      <c r="BO159" s="330"/>
      <c r="BP159" s="330"/>
      <c r="BQ159" s="330"/>
      <c r="BR159" s="330"/>
      <c r="BS159" s="330"/>
      <c r="BT159" s="330"/>
      <c r="BU159" s="330"/>
      <c r="BV159" s="330"/>
      <c r="BW159" s="330"/>
      <c r="BX159" s="330"/>
    </row>
    <row r="160" spans="2:76" s="28" customFormat="1">
      <c r="B160" s="136"/>
      <c r="D160" s="222"/>
      <c r="E160" s="29"/>
      <c r="G160" s="293"/>
      <c r="H160" s="294"/>
      <c r="I160" s="294"/>
      <c r="J160" s="294"/>
      <c r="K160" s="294"/>
      <c r="L160" s="294"/>
      <c r="O160" s="331"/>
      <c r="AI160" s="31"/>
      <c r="AJ160" s="31"/>
      <c r="AK160" s="32"/>
      <c r="AL160" s="33"/>
      <c r="AM160" s="32"/>
      <c r="AN160" s="33"/>
      <c r="AO160" s="32"/>
      <c r="AP160" s="32"/>
      <c r="AQ160" s="136"/>
      <c r="AR160" s="136"/>
      <c r="AS160" s="136"/>
      <c r="AT160" s="136"/>
      <c r="AU160" s="136"/>
      <c r="AV160" s="136"/>
      <c r="AW160" s="136"/>
      <c r="AX160" s="136"/>
      <c r="AY160" s="136"/>
      <c r="AZ160" s="136"/>
      <c r="BA160" s="136"/>
      <c r="BB160" s="136"/>
      <c r="BC160" s="330"/>
      <c r="BD160" s="330"/>
      <c r="BE160" s="330"/>
      <c r="BF160" s="330"/>
      <c r="BG160" s="330"/>
      <c r="BH160" s="330"/>
      <c r="BI160" s="330"/>
      <c r="BJ160" s="330"/>
      <c r="BK160" s="330"/>
      <c r="BL160" s="330"/>
      <c r="BM160" s="330"/>
      <c r="BN160" s="330"/>
      <c r="BO160" s="330"/>
      <c r="BP160" s="330"/>
      <c r="BQ160" s="330"/>
      <c r="BR160" s="330"/>
      <c r="BS160" s="330"/>
      <c r="BT160" s="330"/>
      <c r="BU160" s="330"/>
      <c r="BV160" s="330"/>
      <c r="BW160" s="330"/>
      <c r="BX160" s="330"/>
    </row>
    <row r="161" spans="2:76" s="28" customFormat="1">
      <c r="B161" s="136"/>
      <c r="D161" s="222"/>
      <c r="E161" s="29"/>
      <c r="G161" s="293"/>
      <c r="H161" s="294"/>
      <c r="I161" s="294"/>
      <c r="J161" s="294"/>
      <c r="K161" s="294"/>
      <c r="L161" s="294"/>
      <c r="O161" s="331"/>
      <c r="AI161" s="31"/>
      <c r="AJ161" s="31"/>
      <c r="AK161" s="32"/>
      <c r="AL161" s="33"/>
      <c r="AM161" s="32"/>
      <c r="AN161" s="33"/>
      <c r="AO161" s="32"/>
      <c r="AP161" s="32"/>
      <c r="AQ161" s="136"/>
      <c r="AR161" s="136"/>
      <c r="AS161" s="136"/>
      <c r="AT161" s="136"/>
      <c r="AU161" s="136"/>
      <c r="AV161" s="136"/>
      <c r="AW161" s="136"/>
      <c r="AX161" s="136"/>
      <c r="AY161" s="136"/>
      <c r="AZ161" s="136"/>
      <c r="BA161" s="136"/>
      <c r="BB161" s="136"/>
      <c r="BC161" s="330"/>
      <c r="BD161" s="330"/>
      <c r="BE161" s="330"/>
      <c r="BF161" s="330"/>
      <c r="BG161" s="330"/>
      <c r="BH161" s="330"/>
      <c r="BI161" s="330"/>
      <c r="BJ161" s="330"/>
      <c r="BK161" s="330"/>
      <c r="BL161" s="330"/>
      <c r="BM161" s="330"/>
      <c r="BN161" s="330"/>
      <c r="BO161" s="330"/>
      <c r="BP161" s="330"/>
      <c r="BQ161" s="330"/>
      <c r="BR161" s="330"/>
      <c r="BS161" s="330"/>
      <c r="BT161" s="330"/>
      <c r="BU161" s="330"/>
      <c r="BV161" s="330"/>
      <c r="BW161" s="330"/>
      <c r="BX161" s="330"/>
    </row>
    <row r="162" spans="2:76" s="28" customFormat="1">
      <c r="B162" s="136"/>
      <c r="D162" s="222"/>
      <c r="E162" s="29"/>
      <c r="G162" s="293"/>
      <c r="H162" s="294"/>
      <c r="I162" s="294"/>
      <c r="J162" s="294"/>
      <c r="K162" s="294"/>
      <c r="L162" s="294"/>
      <c r="O162" s="331"/>
      <c r="AI162" s="31"/>
      <c r="AJ162" s="31"/>
      <c r="AK162" s="32"/>
      <c r="AL162" s="33"/>
      <c r="AM162" s="32"/>
      <c r="AN162" s="33"/>
      <c r="AO162" s="32"/>
      <c r="AP162" s="32"/>
      <c r="AQ162" s="136"/>
      <c r="AR162" s="136"/>
      <c r="AS162" s="136"/>
      <c r="AT162" s="136"/>
      <c r="AU162" s="136"/>
      <c r="AV162" s="136"/>
      <c r="AW162" s="136"/>
      <c r="AX162" s="136"/>
      <c r="AY162" s="136"/>
      <c r="AZ162" s="136"/>
      <c r="BA162" s="136"/>
      <c r="BB162" s="136"/>
      <c r="BC162" s="330"/>
      <c r="BD162" s="330"/>
      <c r="BE162" s="330"/>
      <c r="BF162" s="330"/>
      <c r="BG162" s="330"/>
      <c r="BH162" s="330"/>
      <c r="BI162" s="330"/>
      <c r="BJ162" s="330"/>
      <c r="BK162" s="330"/>
      <c r="BL162" s="330"/>
      <c r="BM162" s="330"/>
      <c r="BN162" s="330"/>
      <c r="BO162" s="330"/>
      <c r="BP162" s="330"/>
      <c r="BQ162" s="330"/>
      <c r="BR162" s="330"/>
      <c r="BS162" s="330"/>
      <c r="BT162" s="330"/>
      <c r="BU162" s="330"/>
      <c r="BV162" s="330"/>
      <c r="BW162" s="330"/>
      <c r="BX162" s="330"/>
    </row>
    <row r="163" spans="2:76" s="28" customFormat="1">
      <c r="B163" s="136"/>
      <c r="D163" s="222"/>
      <c r="E163" s="29"/>
      <c r="G163" s="293"/>
      <c r="H163" s="294"/>
      <c r="I163" s="294"/>
      <c r="J163" s="294"/>
      <c r="K163" s="294"/>
      <c r="L163" s="294"/>
      <c r="O163" s="331"/>
      <c r="AI163" s="31"/>
      <c r="AJ163" s="31"/>
      <c r="AK163" s="32"/>
      <c r="AL163" s="33"/>
      <c r="AM163" s="32"/>
      <c r="AN163" s="33"/>
      <c r="AO163" s="32"/>
      <c r="AP163" s="32"/>
      <c r="AQ163" s="136"/>
      <c r="AR163" s="136"/>
      <c r="AS163" s="136"/>
      <c r="AT163" s="136"/>
      <c r="AU163" s="136"/>
      <c r="AV163" s="136"/>
      <c r="AW163" s="136"/>
      <c r="AX163" s="136"/>
      <c r="AY163" s="136"/>
      <c r="AZ163" s="136"/>
      <c r="BA163" s="136"/>
      <c r="BB163" s="136"/>
      <c r="BC163" s="330"/>
      <c r="BD163" s="330"/>
      <c r="BE163" s="330"/>
      <c r="BF163" s="330"/>
      <c r="BG163" s="330"/>
      <c r="BH163" s="330"/>
      <c r="BI163" s="330"/>
      <c r="BJ163" s="330"/>
      <c r="BK163" s="330"/>
      <c r="BL163" s="330"/>
      <c r="BM163" s="330"/>
      <c r="BN163" s="330"/>
      <c r="BO163" s="330"/>
      <c r="BP163" s="330"/>
      <c r="BQ163" s="330"/>
      <c r="BR163" s="330"/>
      <c r="BS163" s="330"/>
      <c r="BT163" s="330"/>
      <c r="BU163" s="330"/>
      <c r="BV163" s="330"/>
      <c r="BW163" s="330"/>
      <c r="BX163" s="330"/>
    </row>
    <row r="164" spans="2:76" s="28" customFormat="1">
      <c r="B164" s="136"/>
      <c r="D164" s="222"/>
      <c r="E164" s="29"/>
      <c r="G164" s="293"/>
      <c r="H164" s="294"/>
      <c r="I164" s="294"/>
      <c r="J164" s="294"/>
      <c r="K164" s="294"/>
      <c r="L164" s="294"/>
      <c r="O164" s="331"/>
      <c r="AI164" s="31"/>
      <c r="AJ164" s="31"/>
      <c r="AK164" s="32"/>
      <c r="AL164" s="33"/>
      <c r="AM164" s="32"/>
      <c r="AN164" s="33"/>
      <c r="AO164" s="32"/>
      <c r="AP164" s="32"/>
      <c r="AQ164" s="136"/>
      <c r="AR164" s="136"/>
      <c r="AS164" s="136"/>
      <c r="AT164" s="136"/>
      <c r="AU164" s="136"/>
      <c r="AV164" s="136"/>
      <c r="AW164" s="136"/>
      <c r="AX164" s="136"/>
      <c r="AY164" s="136"/>
      <c r="AZ164" s="136"/>
      <c r="BA164" s="136"/>
      <c r="BB164" s="136"/>
      <c r="BC164" s="330"/>
      <c r="BD164" s="330"/>
      <c r="BE164" s="330"/>
      <c r="BF164" s="330"/>
      <c r="BG164" s="330"/>
      <c r="BH164" s="330"/>
      <c r="BI164" s="330"/>
      <c r="BJ164" s="330"/>
      <c r="BK164" s="330"/>
      <c r="BL164" s="330"/>
      <c r="BM164" s="330"/>
      <c r="BN164" s="330"/>
      <c r="BO164" s="330"/>
      <c r="BP164" s="330"/>
      <c r="BQ164" s="330"/>
      <c r="BR164" s="330"/>
      <c r="BS164" s="330"/>
      <c r="BT164" s="330"/>
      <c r="BU164" s="330"/>
      <c r="BV164" s="330"/>
      <c r="BW164" s="330"/>
      <c r="BX164" s="330"/>
    </row>
    <row r="165" spans="2:76" s="28" customFormat="1">
      <c r="B165" s="136"/>
      <c r="D165" s="222"/>
      <c r="E165" s="29"/>
      <c r="G165" s="293"/>
      <c r="H165" s="294"/>
      <c r="I165" s="294"/>
      <c r="J165" s="294"/>
      <c r="K165" s="294"/>
      <c r="L165" s="294"/>
      <c r="O165" s="331"/>
      <c r="AI165" s="31"/>
      <c r="AJ165" s="31"/>
      <c r="AK165" s="32"/>
      <c r="AL165" s="33"/>
      <c r="AM165" s="32"/>
      <c r="AN165" s="33"/>
      <c r="AO165" s="32"/>
      <c r="AP165" s="32"/>
      <c r="AQ165" s="136"/>
      <c r="AR165" s="136"/>
      <c r="AS165" s="136"/>
      <c r="AT165" s="136"/>
      <c r="AU165" s="136"/>
      <c r="AV165" s="136"/>
      <c r="AW165" s="136"/>
      <c r="AX165" s="136"/>
      <c r="AY165" s="136"/>
      <c r="AZ165" s="136"/>
      <c r="BA165" s="136"/>
      <c r="BB165" s="136"/>
      <c r="BC165" s="330"/>
      <c r="BD165" s="330"/>
      <c r="BE165" s="330"/>
      <c r="BF165" s="330"/>
      <c r="BG165" s="330"/>
      <c r="BH165" s="330"/>
      <c r="BI165" s="330"/>
      <c r="BJ165" s="330"/>
      <c r="BK165" s="330"/>
      <c r="BL165" s="330"/>
      <c r="BM165" s="330"/>
      <c r="BN165" s="330"/>
      <c r="BO165" s="330"/>
      <c r="BP165" s="330"/>
      <c r="BQ165" s="330"/>
      <c r="BR165" s="330"/>
      <c r="BS165" s="330"/>
      <c r="BT165" s="330"/>
      <c r="BU165" s="330"/>
      <c r="BV165" s="330"/>
      <c r="BW165" s="330"/>
      <c r="BX165" s="330"/>
    </row>
    <row r="166" spans="2:76" s="28" customFormat="1">
      <c r="B166" s="136"/>
      <c r="D166" s="222"/>
      <c r="E166" s="29"/>
      <c r="G166" s="293"/>
      <c r="H166" s="294"/>
      <c r="I166" s="294"/>
      <c r="J166" s="294"/>
      <c r="K166" s="294"/>
      <c r="L166" s="294"/>
      <c r="O166" s="331"/>
      <c r="AI166" s="31"/>
      <c r="AJ166" s="31"/>
      <c r="AK166" s="32"/>
      <c r="AL166" s="33"/>
      <c r="AM166" s="32"/>
      <c r="AN166" s="33"/>
      <c r="AO166" s="32"/>
      <c r="AP166" s="32"/>
      <c r="AQ166" s="136"/>
      <c r="AR166" s="136"/>
      <c r="AS166" s="136"/>
      <c r="AT166" s="136"/>
      <c r="AU166" s="136"/>
      <c r="AV166" s="136"/>
      <c r="AW166" s="136"/>
      <c r="AX166" s="136"/>
      <c r="AY166" s="136"/>
      <c r="AZ166" s="136"/>
      <c r="BA166" s="136"/>
      <c r="BB166" s="136"/>
      <c r="BC166" s="330"/>
      <c r="BD166" s="330"/>
      <c r="BE166" s="330"/>
      <c r="BF166" s="330"/>
      <c r="BG166" s="330"/>
      <c r="BH166" s="330"/>
      <c r="BI166" s="330"/>
      <c r="BJ166" s="330"/>
      <c r="BK166" s="330"/>
      <c r="BL166" s="330"/>
      <c r="BM166" s="330"/>
      <c r="BN166" s="330"/>
      <c r="BO166" s="330"/>
      <c r="BP166" s="330"/>
      <c r="BQ166" s="330"/>
      <c r="BR166" s="330"/>
      <c r="BS166" s="330"/>
      <c r="BT166" s="330"/>
      <c r="BU166" s="330"/>
      <c r="BV166" s="330"/>
      <c r="BW166" s="330"/>
      <c r="BX166" s="330"/>
    </row>
    <row r="167" spans="2:76" s="28" customFormat="1">
      <c r="B167" s="136"/>
      <c r="D167" s="222"/>
      <c r="E167" s="29"/>
      <c r="G167" s="293"/>
      <c r="H167" s="294"/>
      <c r="I167" s="294"/>
      <c r="J167" s="294"/>
      <c r="K167" s="294"/>
      <c r="L167" s="294"/>
      <c r="O167" s="331"/>
      <c r="AI167" s="31"/>
      <c r="AJ167" s="31"/>
      <c r="AK167" s="32"/>
      <c r="AL167" s="33"/>
      <c r="AM167" s="32"/>
      <c r="AN167" s="33"/>
      <c r="AO167" s="32"/>
      <c r="AP167" s="32"/>
      <c r="AQ167" s="136"/>
      <c r="AR167" s="136"/>
      <c r="AS167" s="136"/>
      <c r="AT167" s="136"/>
      <c r="AU167" s="136"/>
      <c r="AV167" s="136"/>
      <c r="AW167" s="136"/>
      <c r="AX167" s="136"/>
      <c r="AY167" s="136"/>
      <c r="AZ167" s="136"/>
      <c r="BA167" s="136"/>
      <c r="BB167" s="136"/>
      <c r="BC167" s="330"/>
      <c r="BD167" s="330"/>
      <c r="BE167" s="330"/>
      <c r="BF167" s="330"/>
      <c r="BG167" s="330"/>
      <c r="BH167" s="330"/>
      <c r="BI167" s="330"/>
      <c r="BJ167" s="330"/>
      <c r="BK167" s="330"/>
      <c r="BL167" s="330"/>
      <c r="BM167" s="330"/>
      <c r="BN167" s="330"/>
      <c r="BO167" s="330"/>
      <c r="BP167" s="330"/>
      <c r="BQ167" s="330"/>
      <c r="BR167" s="330"/>
      <c r="BS167" s="330"/>
      <c r="BT167" s="330"/>
      <c r="BU167" s="330"/>
      <c r="BV167" s="330"/>
      <c r="BW167" s="330"/>
      <c r="BX167" s="330"/>
    </row>
    <row r="168" spans="2:76" s="28" customFormat="1">
      <c r="B168" s="136"/>
      <c r="D168" s="222"/>
      <c r="E168" s="29"/>
      <c r="G168" s="293"/>
      <c r="H168" s="294"/>
      <c r="I168" s="294"/>
      <c r="J168" s="294"/>
      <c r="K168" s="294"/>
      <c r="L168" s="294"/>
      <c r="O168" s="331"/>
      <c r="AI168" s="31"/>
      <c r="AJ168" s="31"/>
      <c r="AK168" s="32"/>
      <c r="AL168" s="33"/>
      <c r="AM168" s="32"/>
      <c r="AN168" s="33"/>
      <c r="AO168" s="32"/>
      <c r="AP168" s="32"/>
      <c r="AQ168" s="136"/>
      <c r="AR168" s="136"/>
      <c r="AS168" s="136"/>
      <c r="AT168" s="136"/>
      <c r="AU168" s="136"/>
      <c r="AV168" s="136"/>
      <c r="AW168" s="136"/>
      <c r="AX168" s="136"/>
      <c r="AY168" s="136"/>
      <c r="AZ168" s="136"/>
      <c r="BA168" s="136"/>
      <c r="BB168" s="136"/>
      <c r="BC168" s="330"/>
      <c r="BD168" s="330"/>
      <c r="BE168" s="330"/>
      <c r="BF168" s="330"/>
      <c r="BG168" s="330"/>
      <c r="BH168" s="330"/>
      <c r="BI168" s="330"/>
      <c r="BJ168" s="330"/>
      <c r="BK168" s="330"/>
      <c r="BL168" s="330"/>
      <c r="BM168" s="330"/>
      <c r="BN168" s="330"/>
      <c r="BO168" s="330"/>
      <c r="BP168" s="330"/>
      <c r="BQ168" s="330"/>
      <c r="BR168" s="330"/>
      <c r="BS168" s="330"/>
      <c r="BT168" s="330"/>
      <c r="BU168" s="330"/>
      <c r="BV168" s="330"/>
      <c r="BW168" s="330"/>
      <c r="BX168" s="330"/>
    </row>
    <row r="169" spans="2:76" s="28" customFormat="1">
      <c r="B169" s="136"/>
      <c r="D169" s="222"/>
      <c r="E169" s="29"/>
      <c r="G169" s="293"/>
      <c r="H169" s="294"/>
      <c r="I169" s="294"/>
      <c r="J169" s="294"/>
      <c r="K169" s="294"/>
      <c r="L169" s="294"/>
      <c r="O169" s="332"/>
      <c r="AI169" s="31"/>
      <c r="AJ169" s="31"/>
      <c r="AK169" s="32"/>
      <c r="AL169" s="33"/>
      <c r="AM169" s="32"/>
      <c r="AN169" s="33"/>
      <c r="AO169" s="32"/>
      <c r="AP169" s="32"/>
      <c r="AQ169" s="136"/>
      <c r="AR169" s="136"/>
      <c r="AS169" s="136"/>
      <c r="AT169" s="136"/>
      <c r="AU169" s="136"/>
      <c r="AV169" s="136"/>
      <c r="AW169" s="136"/>
      <c r="AX169" s="136"/>
      <c r="AY169" s="136"/>
      <c r="AZ169" s="136"/>
      <c r="BA169" s="136"/>
      <c r="BB169" s="136"/>
      <c r="BC169" s="330"/>
      <c r="BD169" s="330"/>
      <c r="BE169" s="330"/>
      <c r="BF169" s="330"/>
      <c r="BG169" s="330"/>
      <c r="BH169" s="330"/>
      <c r="BI169" s="330"/>
      <c r="BJ169" s="330"/>
      <c r="BK169" s="330"/>
      <c r="BL169" s="330"/>
      <c r="BM169" s="330"/>
      <c r="BN169" s="330"/>
      <c r="BO169" s="330"/>
      <c r="BP169" s="330"/>
      <c r="BQ169" s="330"/>
      <c r="BR169" s="330"/>
      <c r="BS169" s="330"/>
      <c r="BT169" s="330"/>
      <c r="BU169" s="330"/>
      <c r="BV169" s="330"/>
      <c r="BW169" s="330"/>
      <c r="BX169" s="330"/>
    </row>
    <row r="170" spans="2:76" s="28" customFormat="1">
      <c r="B170" s="136"/>
      <c r="D170" s="222"/>
      <c r="E170" s="29"/>
      <c r="G170" s="293"/>
      <c r="H170" s="294"/>
      <c r="I170" s="294"/>
      <c r="J170" s="294"/>
      <c r="K170" s="294"/>
      <c r="L170" s="294"/>
      <c r="O170" s="331"/>
      <c r="AI170" s="31"/>
      <c r="AJ170" s="31"/>
      <c r="AK170" s="32"/>
      <c r="AL170" s="33"/>
      <c r="AM170" s="32"/>
      <c r="AN170" s="33"/>
      <c r="AO170" s="32"/>
      <c r="AP170" s="32"/>
      <c r="AQ170" s="136"/>
      <c r="AR170" s="136"/>
      <c r="AS170" s="136"/>
      <c r="AT170" s="136"/>
      <c r="AU170" s="136"/>
      <c r="AV170" s="136"/>
      <c r="AW170" s="136"/>
      <c r="AX170" s="136"/>
      <c r="AY170" s="136"/>
      <c r="AZ170" s="136"/>
      <c r="BA170" s="136"/>
      <c r="BB170" s="136"/>
      <c r="BC170" s="330"/>
      <c r="BD170" s="330"/>
      <c r="BE170" s="330"/>
      <c r="BF170" s="330"/>
      <c r="BG170" s="330"/>
      <c r="BH170" s="330"/>
      <c r="BI170" s="330"/>
      <c r="BJ170" s="330"/>
      <c r="BK170" s="330"/>
      <c r="BL170" s="330"/>
      <c r="BM170" s="330"/>
      <c r="BN170" s="330"/>
      <c r="BO170" s="330"/>
      <c r="BP170" s="330"/>
      <c r="BQ170" s="330"/>
      <c r="BR170" s="330"/>
      <c r="BS170" s="330"/>
      <c r="BT170" s="330"/>
      <c r="BU170" s="330"/>
      <c r="BV170" s="330"/>
      <c r="BW170" s="330"/>
      <c r="BX170" s="330"/>
    </row>
    <row r="171" spans="2:76" s="28" customFormat="1">
      <c r="B171" s="136"/>
      <c r="D171" s="222"/>
      <c r="E171" s="29"/>
      <c r="G171" s="293"/>
      <c r="H171" s="294"/>
      <c r="I171" s="294"/>
      <c r="J171" s="294"/>
      <c r="K171" s="294"/>
      <c r="L171" s="294"/>
      <c r="O171" s="331"/>
      <c r="AI171" s="31"/>
      <c r="AJ171" s="31"/>
      <c r="AK171" s="32"/>
      <c r="AL171" s="33"/>
      <c r="AM171" s="32"/>
      <c r="AN171" s="33"/>
      <c r="AO171" s="32"/>
      <c r="AP171" s="32"/>
      <c r="AQ171" s="136"/>
      <c r="AR171" s="136"/>
      <c r="AS171" s="136"/>
      <c r="AT171" s="136"/>
      <c r="AU171" s="136"/>
      <c r="AV171" s="136"/>
      <c r="AW171" s="136"/>
      <c r="AX171" s="136"/>
      <c r="AY171" s="136"/>
      <c r="AZ171" s="136"/>
      <c r="BA171" s="136"/>
      <c r="BB171" s="136"/>
      <c r="BC171" s="330"/>
      <c r="BD171" s="330"/>
      <c r="BE171" s="330"/>
      <c r="BF171" s="330"/>
      <c r="BG171" s="330"/>
      <c r="BH171" s="330"/>
      <c r="BI171" s="330"/>
      <c r="BJ171" s="330"/>
      <c r="BK171" s="330"/>
      <c r="BL171" s="330"/>
      <c r="BM171" s="330"/>
      <c r="BN171" s="330"/>
      <c r="BO171" s="330"/>
      <c r="BP171" s="330"/>
      <c r="BQ171" s="330"/>
      <c r="BR171" s="330"/>
      <c r="BS171" s="330"/>
      <c r="BT171" s="330"/>
      <c r="BU171" s="330"/>
      <c r="BV171" s="330"/>
      <c r="BW171" s="330"/>
      <c r="BX171" s="330"/>
    </row>
    <row r="172" spans="2:76" s="28" customFormat="1">
      <c r="B172" s="136"/>
      <c r="D172" s="222"/>
      <c r="E172" s="29"/>
      <c r="G172" s="293"/>
      <c r="H172" s="294"/>
      <c r="I172" s="294"/>
      <c r="J172" s="294"/>
      <c r="K172" s="294"/>
      <c r="L172" s="294"/>
      <c r="O172" s="331"/>
      <c r="AI172" s="31"/>
      <c r="AJ172" s="31"/>
      <c r="AK172" s="32"/>
      <c r="AL172" s="33"/>
      <c r="AM172" s="32"/>
      <c r="AN172" s="33"/>
      <c r="AO172" s="32"/>
      <c r="AP172" s="32"/>
      <c r="AQ172" s="136"/>
      <c r="AR172" s="136"/>
      <c r="AS172" s="136"/>
      <c r="AT172" s="136"/>
      <c r="AU172" s="136"/>
      <c r="AV172" s="136"/>
      <c r="AW172" s="136"/>
      <c r="AX172" s="136"/>
      <c r="AY172" s="136"/>
      <c r="AZ172" s="136"/>
      <c r="BA172" s="136"/>
      <c r="BB172" s="136"/>
      <c r="BC172" s="330"/>
      <c r="BD172" s="330"/>
      <c r="BE172" s="330"/>
      <c r="BF172" s="330"/>
      <c r="BG172" s="330"/>
      <c r="BH172" s="330"/>
      <c r="BI172" s="330"/>
      <c r="BJ172" s="330"/>
      <c r="BK172" s="330"/>
      <c r="BL172" s="330"/>
      <c r="BM172" s="330"/>
      <c r="BN172" s="330"/>
      <c r="BO172" s="330"/>
      <c r="BP172" s="330"/>
      <c r="BQ172" s="330"/>
      <c r="BR172" s="330"/>
      <c r="BS172" s="330"/>
      <c r="BT172" s="330"/>
      <c r="BU172" s="330"/>
      <c r="BV172" s="330"/>
      <c r="BW172" s="330"/>
      <c r="BX172" s="330"/>
    </row>
    <row r="173" spans="2:76" s="28" customFormat="1">
      <c r="B173" s="136"/>
      <c r="D173" s="222"/>
      <c r="E173" s="29"/>
      <c r="G173" s="293"/>
      <c r="H173" s="294"/>
      <c r="I173" s="294"/>
      <c r="J173" s="294"/>
      <c r="K173" s="294"/>
      <c r="L173" s="294"/>
      <c r="O173" s="331"/>
      <c r="AI173" s="31"/>
      <c r="AJ173" s="31"/>
      <c r="AK173" s="32"/>
      <c r="AL173" s="33"/>
      <c r="AM173" s="32"/>
      <c r="AN173" s="33"/>
      <c r="AO173" s="32"/>
      <c r="AP173" s="32"/>
      <c r="AQ173" s="136"/>
      <c r="AR173" s="136"/>
      <c r="AS173" s="136"/>
      <c r="AT173" s="136"/>
      <c r="AU173" s="136"/>
      <c r="AV173" s="136"/>
      <c r="AW173" s="136"/>
      <c r="AX173" s="136"/>
      <c r="AY173" s="136"/>
      <c r="AZ173" s="136"/>
      <c r="BA173" s="136"/>
      <c r="BB173" s="136"/>
      <c r="BC173" s="330"/>
      <c r="BD173" s="330"/>
      <c r="BE173" s="330"/>
      <c r="BF173" s="330"/>
      <c r="BG173" s="330"/>
      <c r="BH173" s="330"/>
      <c r="BI173" s="330"/>
      <c r="BJ173" s="330"/>
      <c r="BK173" s="330"/>
      <c r="BL173" s="330"/>
      <c r="BM173" s="330"/>
      <c r="BN173" s="330"/>
      <c r="BO173" s="330"/>
      <c r="BP173" s="330"/>
      <c r="BQ173" s="330"/>
      <c r="BR173" s="330"/>
      <c r="BS173" s="330"/>
      <c r="BT173" s="330"/>
      <c r="BU173" s="330"/>
      <c r="BV173" s="330"/>
      <c r="BW173" s="330"/>
      <c r="BX173" s="330"/>
    </row>
    <row r="174" spans="2:76" s="28" customFormat="1">
      <c r="B174" s="136"/>
      <c r="D174" s="222"/>
      <c r="E174" s="29"/>
      <c r="G174" s="293"/>
      <c r="H174" s="294"/>
      <c r="I174" s="294"/>
      <c r="J174" s="294"/>
      <c r="K174" s="294"/>
      <c r="L174" s="294"/>
      <c r="O174" s="331"/>
      <c r="AI174" s="31"/>
      <c r="AJ174" s="31"/>
      <c r="AK174" s="32"/>
      <c r="AL174" s="33"/>
      <c r="AM174" s="32"/>
      <c r="AN174" s="33"/>
      <c r="AO174" s="32"/>
      <c r="AP174" s="32"/>
      <c r="AQ174" s="136"/>
      <c r="AR174" s="136"/>
      <c r="AS174" s="136"/>
      <c r="AT174" s="136"/>
      <c r="AU174" s="136"/>
      <c r="AV174" s="136"/>
      <c r="AW174" s="136"/>
      <c r="AX174" s="136"/>
      <c r="AY174" s="136"/>
      <c r="AZ174" s="136"/>
      <c r="BA174" s="136"/>
      <c r="BB174" s="136"/>
      <c r="BC174" s="330"/>
      <c r="BD174" s="330"/>
      <c r="BE174" s="330"/>
      <c r="BF174" s="330"/>
      <c r="BG174" s="330"/>
      <c r="BH174" s="330"/>
      <c r="BI174" s="330"/>
      <c r="BJ174" s="330"/>
      <c r="BK174" s="330"/>
      <c r="BL174" s="330"/>
      <c r="BM174" s="330"/>
      <c r="BN174" s="330"/>
      <c r="BO174" s="330"/>
      <c r="BP174" s="330"/>
      <c r="BQ174" s="330"/>
      <c r="BR174" s="330"/>
      <c r="BS174" s="330"/>
      <c r="BT174" s="330"/>
      <c r="BU174" s="330"/>
      <c r="BV174" s="330"/>
      <c r="BW174" s="330"/>
      <c r="BX174" s="330"/>
    </row>
    <row r="175" spans="2:76" s="28" customFormat="1">
      <c r="B175" s="136"/>
      <c r="D175" s="222"/>
      <c r="E175" s="29"/>
      <c r="G175" s="293"/>
      <c r="H175" s="294"/>
      <c r="I175" s="294"/>
      <c r="J175" s="294"/>
      <c r="K175" s="294"/>
      <c r="L175" s="294"/>
      <c r="O175" s="333"/>
      <c r="AI175" s="31"/>
      <c r="AJ175" s="31"/>
      <c r="AK175" s="32"/>
      <c r="AL175" s="33"/>
      <c r="AM175" s="32"/>
      <c r="AN175" s="33"/>
      <c r="AO175" s="32"/>
      <c r="AP175" s="32"/>
      <c r="AQ175" s="136"/>
      <c r="AR175" s="136"/>
      <c r="AS175" s="136"/>
      <c r="AT175" s="136"/>
      <c r="AU175" s="136"/>
      <c r="AV175" s="136"/>
      <c r="AW175" s="136"/>
      <c r="AX175" s="136"/>
      <c r="AY175" s="136"/>
      <c r="AZ175" s="136"/>
      <c r="BA175" s="136"/>
      <c r="BB175" s="136"/>
      <c r="BC175" s="330"/>
      <c r="BD175" s="330"/>
      <c r="BE175" s="330"/>
      <c r="BF175" s="330"/>
      <c r="BG175" s="330"/>
      <c r="BH175" s="330"/>
      <c r="BI175" s="330"/>
      <c r="BJ175" s="330"/>
      <c r="BK175" s="330"/>
      <c r="BL175" s="330"/>
      <c r="BM175" s="330"/>
      <c r="BN175" s="330"/>
      <c r="BO175" s="330"/>
      <c r="BP175" s="330"/>
      <c r="BQ175" s="330"/>
      <c r="BR175" s="330"/>
      <c r="BS175" s="330"/>
      <c r="BT175" s="330"/>
      <c r="BU175" s="330"/>
      <c r="BV175" s="330"/>
      <c r="BW175" s="330"/>
      <c r="BX175" s="330"/>
    </row>
    <row r="176" spans="2:76" s="28" customFormat="1">
      <c r="B176" s="136"/>
      <c r="D176" s="222"/>
      <c r="E176" s="29"/>
      <c r="G176" s="293"/>
      <c r="H176" s="294"/>
      <c r="I176" s="294"/>
      <c r="J176" s="294"/>
      <c r="K176" s="294"/>
      <c r="L176" s="294"/>
      <c r="O176" s="331"/>
      <c r="AI176" s="31"/>
      <c r="AJ176" s="31"/>
      <c r="AK176" s="32"/>
      <c r="AL176" s="33"/>
      <c r="AM176" s="32"/>
      <c r="AN176" s="33"/>
      <c r="AO176" s="32"/>
      <c r="AP176" s="32"/>
      <c r="AQ176" s="136"/>
      <c r="AR176" s="136"/>
      <c r="AS176" s="136"/>
      <c r="AT176" s="136"/>
      <c r="AU176" s="136"/>
      <c r="AV176" s="136"/>
      <c r="AW176" s="136"/>
      <c r="AX176" s="136"/>
      <c r="AY176" s="136"/>
      <c r="AZ176" s="136"/>
      <c r="BA176" s="136"/>
      <c r="BB176" s="136"/>
      <c r="BC176" s="330"/>
      <c r="BD176" s="330"/>
      <c r="BE176" s="330"/>
      <c r="BF176" s="330"/>
      <c r="BG176" s="330"/>
      <c r="BH176" s="330"/>
      <c r="BI176" s="330"/>
      <c r="BJ176" s="330"/>
      <c r="BK176" s="330"/>
      <c r="BL176" s="330"/>
      <c r="BM176" s="330"/>
      <c r="BN176" s="330"/>
      <c r="BO176" s="330"/>
      <c r="BP176" s="330"/>
      <c r="BQ176" s="330"/>
      <c r="BR176" s="330"/>
      <c r="BS176" s="330"/>
      <c r="BT176" s="330"/>
      <c r="BU176" s="330"/>
      <c r="BV176" s="330"/>
      <c r="BW176" s="330"/>
      <c r="BX176" s="330"/>
    </row>
    <row r="177" spans="2:76" s="28" customFormat="1">
      <c r="B177" s="136"/>
      <c r="D177" s="222"/>
      <c r="E177" s="29"/>
      <c r="G177" s="293"/>
      <c r="H177" s="294"/>
      <c r="I177" s="294"/>
      <c r="J177" s="294"/>
      <c r="K177" s="294"/>
      <c r="L177" s="294"/>
      <c r="O177" s="331"/>
      <c r="AI177" s="31"/>
      <c r="AJ177" s="31"/>
      <c r="AK177" s="32"/>
      <c r="AL177" s="33"/>
      <c r="AM177" s="32"/>
      <c r="AN177" s="33"/>
      <c r="AO177" s="32"/>
      <c r="AP177" s="32"/>
      <c r="AQ177" s="136"/>
      <c r="AR177" s="136"/>
      <c r="AS177" s="136"/>
      <c r="AT177" s="136"/>
      <c r="AU177" s="136"/>
      <c r="AV177" s="136"/>
      <c r="AW177" s="136"/>
      <c r="AX177" s="136"/>
      <c r="AY177" s="136"/>
      <c r="AZ177" s="136"/>
      <c r="BA177" s="136"/>
      <c r="BB177" s="136"/>
      <c r="BC177" s="330"/>
      <c r="BD177" s="330"/>
      <c r="BE177" s="330"/>
      <c r="BF177" s="330"/>
      <c r="BG177" s="330"/>
      <c r="BH177" s="330"/>
      <c r="BI177" s="330"/>
      <c r="BJ177" s="330"/>
      <c r="BK177" s="330"/>
      <c r="BL177" s="330"/>
      <c r="BM177" s="330"/>
      <c r="BN177" s="330"/>
      <c r="BO177" s="330"/>
      <c r="BP177" s="330"/>
      <c r="BQ177" s="330"/>
      <c r="BR177" s="330"/>
      <c r="BS177" s="330"/>
      <c r="BT177" s="330"/>
      <c r="BU177" s="330"/>
      <c r="BV177" s="330"/>
      <c r="BW177" s="330"/>
      <c r="BX177" s="330"/>
    </row>
    <row r="178" spans="2:76" s="28" customFormat="1">
      <c r="B178" s="136"/>
      <c r="D178" s="222"/>
      <c r="E178" s="29"/>
      <c r="G178" s="293"/>
      <c r="H178" s="294"/>
      <c r="I178" s="294"/>
      <c r="J178" s="294"/>
      <c r="K178" s="294"/>
      <c r="L178" s="294"/>
      <c r="O178" s="331"/>
      <c r="AI178" s="31"/>
      <c r="AJ178" s="31"/>
      <c r="AK178" s="32"/>
      <c r="AL178" s="33"/>
      <c r="AM178" s="32"/>
      <c r="AN178" s="33"/>
      <c r="AO178" s="32"/>
      <c r="AP178" s="32"/>
      <c r="AQ178" s="136"/>
      <c r="AR178" s="136"/>
      <c r="AS178" s="136"/>
      <c r="AT178" s="136"/>
      <c r="AU178" s="136"/>
      <c r="AV178" s="136"/>
      <c r="AW178" s="136"/>
      <c r="AX178" s="136"/>
      <c r="AY178" s="136"/>
      <c r="AZ178" s="136"/>
      <c r="BA178" s="136"/>
      <c r="BB178" s="136"/>
      <c r="BC178" s="330"/>
      <c r="BD178" s="330"/>
      <c r="BE178" s="330"/>
      <c r="BF178" s="330"/>
      <c r="BG178" s="330"/>
      <c r="BH178" s="330"/>
      <c r="BI178" s="330"/>
      <c r="BJ178" s="330"/>
      <c r="BK178" s="330"/>
      <c r="BL178" s="330"/>
      <c r="BM178" s="330"/>
      <c r="BN178" s="330"/>
      <c r="BO178" s="330"/>
      <c r="BP178" s="330"/>
      <c r="BQ178" s="330"/>
      <c r="BR178" s="330"/>
      <c r="BS178" s="330"/>
      <c r="BT178" s="330"/>
      <c r="BU178" s="330"/>
      <c r="BV178" s="330"/>
      <c r="BW178" s="330"/>
      <c r="BX178" s="330"/>
    </row>
    <row r="179" spans="2:76" s="28" customFormat="1">
      <c r="B179" s="136"/>
      <c r="D179" s="222"/>
      <c r="E179" s="29"/>
      <c r="G179" s="293"/>
      <c r="H179" s="294"/>
      <c r="I179" s="294"/>
      <c r="J179" s="294"/>
      <c r="K179" s="294"/>
      <c r="L179" s="294"/>
      <c r="O179" s="331"/>
      <c r="AI179" s="31"/>
      <c r="AJ179" s="31"/>
      <c r="AK179" s="32"/>
      <c r="AL179" s="33"/>
      <c r="AM179" s="32"/>
      <c r="AN179" s="33"/>
      <c r="AO179" s="32"/>
      <c r="AP179" s="32"/>
      <c r="AQ179" s="136"/>
      <c r="AR179" s="136"/>
      <c r="AS179" s="136"/>
      <c r="AT179" s="136"/>
      <c r="AU179" s="136"/>
      <c r="AV179" s="136"/>
      <c r="AW179" s="136"/>
      <c r="AX179" s="136"/>
      <c r="AY179" s="136"/>
      <c r="AZ179" s="136"/>
      <c r="BA179" s="136"/>
      <c r="BB179" s="136"/>
      <c r="BC179" s="330"/>
      <c r="BD179" s="330"/>
      <c r="BE179" s="330"/>
      <c r="BF179" s="330"/>
      <c r="BG179" s="330"/>
      <c r="BH179" s="330"/>
      <c r="BI179" s="330"/>
      <c r="BJ179" s="330"/>
      <c r="BK179" s="330"/>
      <c r="BL179" s="330"/>
      <c r="BM179" s="330"/>
      <c r="BN179" s="330"/>
      <c r="BO179" s="330"/>
      <c r="BP179" s="330"/>
      <c r="BQ179" s="330"/>
      <c r="BR179" s="330"/>
      <c r="BS179" s="330"/>
      <c r="BT179" s="330"/>
      <c r="BU179" s="330"/>
      <c r="BV179" s="330"/>
      <c r="BW179" s="330"/>
      <c r="BX179" s="330"/>
    </row>
    <row r="180" spans="2:76" s="28" customFormat="1">
      <c r="B180" s="136"/>
      <c r="D180" s="222"/>
      <c r="E180" s="29"/>
      <c r="G180" s="293"/>
      <c r="H180" s="294"/>
      <c r="I180" s="294"/>
      <c r="J180" s="294"/>
      <c r="K180" s="294"/>
      <c r="L180" s="294"/>
      <c r="O180" s="331"/>
      <c r="AI180" s="31"/>
      <c r="AJ180" s="31"/>
      <c r="AK180" s="32"/>
      <c r="AL180" s="33"/>
      <c r="AM180" s="32"/>
      <c r="AN180" s="33"/>
      <c r="AO180" s="32"/>
      <c r="AP180" s="32"/>
      <c r="AQ180" s="136"/>
      <c r="AR180" s="136"/>
      <c r="AS180" s="136"/>
      <c r="AT180" s="136"/>
      <c r="AU180" s="136"/>
      <c r="AV180" s="136"/>
      <c r="AW180" s="136"/>
      <c r="AX180" s="136"/>
      <c r="AY180" s="136"/>
      <c r="AZ180" s="136"/>
      <c r="BA180" s="136"/>
      <c r="BB180" s="136"/>
      <c r="BC180" s="330"/>
      <c r="BD180" s="330"/>
      <c r="BE180" s="330"/>
      <c r="BF180" s="330"/>
      <c r="BG180" s="330"/>
      <c r="BH180" s="330"/>
      <c r="BI180" s="330"/>
      <c r="BJ180" s="330"/>
      <c r="BK180" s="330"/>
      <c r="BL180" s="330"/>
      <c r="BM180" s="330"/>
      <c r="BN180" s="330"/>
      <c r="BO180" s="330"/>
      <c r="BP180" s="330"/>
      <c r="BQ180" s="330"/>
      <c r="BR180" s="330"/>
      <c r="BS180" s="330"/>
      <c r="BT180" s="330"/>
      <c r="BU180" s="330"/>
      <c r="BV180" s="330"/>
      <c r="BW180" s="330"/>
      <c r="BX180" s="330"/>
    </row>
    <row r="181" spans="2:76" s="28" customFormat="1">
      <c r="B181" s="136"/>
      <c r="D181" s="222"/>
      <c r="E181" s="29"/>
      <c r="G181" s="293"/>
      <c r="H181" s="294"/>
      <c r="I181" s="294"/>
      <c r="J181" s="294"/>
      <c r="K181" s="294"/>
      <c r="L181" s="294"/>
      <c r="O181" s="332"/>
      <c r="AI181" s="31"/>
      <c r="AJ181" s="31"/>
      <c r="AK181" s="32"/>
      <c r="AL181" s="33"/>
      <c r="AM181" s="32"/>
      <c r="AN181" s="33"/>
      <c r="AO181" s="32"/>
      <c r="AP181" s="32"/>
      <c r="AQ181" s="136"/>
      <c r="AR181" s="136"/>
      <c r="AS181" s="136"/>
      <c r="AT181" s="136"/>
      <c r="AU181" s="136"/>
      <c r="AV181" s="136"/>
      <c r="AW181" s="136"/>
      <c r="AX181" s="136"/>
      <c r="AY181" s="136"/>
      <c r="AZ181" s="136"/>
      <c r="BA181" s="136"/>
      <c r="BB181" s="136"/>
      <c r="BC181" s="330"/>
      <c r="BD181" s="330"/>
      <c r="BE181" s="330"/>
      <c r="BF181" s="330"/>
      <c r="BG181" s="330"/>
      <c r="BH181" s="330"/>
      <c r="BI181" s="330"/>
      <c r="BJ181" s="330"/>
      <c r="BK181" s="330"/>
      <c r="BL181" s="330"/>
      <c r="BM181" s="330"/>
      <c r="BN181" s="330"/>
      <c r="BO181" s="330"/>
      <c r="BP181" s="330"/>
      <c r="BQ181" s="330"/>
      <c r="BR181" s="330"/>
      <c r="BS181" s="330"/>
      <c r="BT181" s="330"/>
      <c r="BU181" s="330"/>
      <c r="BV181" s="330"/>
      <c r="BW181" s="330"/>
      <c r="BX181" s="330"/>
    </row>
    <row r="182" spans="2:76" s="28" customFormat="1">
      <c r="B182" s="136"/>
      <c r="D182" s="222"/>
      <c r="E182" s="29"/>
      <c r="G182" s="293"/>
      <c r="H182" s="294"/>
      <c r="I182" s="294"/>
      <c r="J182" s="294"/>
      <c r="K182" s="294"/>
      <c r="L182" s="294"/>
      <c r="O182" s="331"/>
      <c r="AI182" s="31"/>
      <c r="AJ182" s="31"/>
      <c r="AK182" s="32"/>
      <c r="AL182" s="33"/>
      <c r="AM182" s="32"/>
      <c r="AN182" s="33"/>
      <c r="AO182" s="32"/>
      <c r="AP182" s="32"/>
      <c r="AQ182" s="136"/>
      <c r="AR182" s="136"/>
      <c r="AS182" s="136"/>
      <c r="AT182" s="136"/>
      <c r="AU182" s="136"/>
      <c r="AV182" s="136"/>
      <c r="AW182" s="136"/>
      <c r="AX182" s="136"/>
      <c r="AY182" s="136"/>
      <c r="AZ182" s="136"/>
      <c r="BA182" s="136"/>
      <c r="BB182" s="136"/>
      <c r="BC182" s="330"/>
      <c r="BD182" s="330"/>
      <c r="BE182" s="330"/>
      <c r="BF182" s="330"/>
      <c r="BG182" s="330"/>
      <c r="BH182" s="330"/>
      <c r="BI182" s="330"/>
      <c r="BJ182" s="330"/>
      <c r="BK182" s="330"/>
      <c r="BL182" s="330"/>
      <c r="BM182" s="330"/>
      <c r="BN182" s="330"/>
      <c r="BO182" s="330"/>
      <c r="BP182" s="330"/>
      <c r="BQ182" s="330"/>
      <c r="BR182" s="330"/>
      <c r="BS182" s="330"/>
      <c r="BT182" s="330"/>
      <c r="BU182" s="330"/>
      <c r="BV182" s="330"/>
      <c r="BW182" s="330"/>
      <c r="BX182" s="330"/>
    </row>
    <row r="183" spans="2:76" s="28" customFormat="1">
      <c r="B183" s="136"/>
      <c r="D183" s="222"/>
      <c r="E183" s="29"/>
      <c r="G183" s="293"/>
      <c r="H183" s="294"/>
      <c r="I183" s="294"/>
      <c r="J183" s="294"/>
      <c r="K183" s="294"/>
      <c r="L183" s="294"/>
      <c r="O183" s="331"/>
      <c r="AI183" s="31"/>
      <c r="AJ183" s="31"/>
      <c r="AK183" s="32"/>
      <c r="AL183" s="33"/>
      <c r="AM183" s="32"/>
      <c r="AN183" s="33"/>
      <c r="AO183" s="32"/>
      <c r="AP183" s="32"/>
      <c r="AQ183" s="136"/>
      <c r="AR183" s="136"/>
      <c r="AS183" s="136"/>
      <c r="AT183" s="136"/>
      <c r="AU183" s="136"/>
      <c r="AV183" s="136"/>
      <c r="AW183" s="136"/>
      <c r="AX183" s="136"/>
      <c r="AY183" s="136"/>
      <c r="AZ183" s="136"/>
      <c r="BA183" s="136"/>
      <c r="BB183" s="136"/>
      <c r="BC183" s="330"/>
      <c r="BD183" s="330"/>
      <c r="BE183" s="330"/>
      <c r="BF183" s="330"/>
      <c r="BG183" s="330"/>
      <c r="BH183" s="330"/>
      <c r="BI183" s="330"/>
      <c r="BJ183" s="330"/>
      <c r="BK183" s="330"/>
      <c r="BL183" s="330"/>
      <c r="BM183" s="330"/>
      <c r="BN183" s="330"/>
      <c r="BO183" s="330"/>
      <c r="BP183" s="330"/>
      <c r="BQ183" s="330"/>
      <c r="BR183" s="330"/>
      <c r="BS183" s="330"/>
      <c r="BT183" s="330"/>
      <c r="BU183" s="330"/>
      <c r="BV183" s="330"/>
      <c r="BW183" s="330"/>
      <c r="BX183" s="330"/>
    </row>
    <row r="184" spans="2:76" s="28" customFormat="1">
      <c r="B184" s="136"/>
      <c r="D184" s="222"/>
      <c r="E184" s="29"/>
      <c r="G184" s="293"/>
      <c r="H184" s="294"/>
      <c r="I184" s="294"/>
      <c r="J184" s="294"/>
      <c r="K184" s="294"/>
      <c r="L184" s="294"/>
      <c r="O184" s="331"/>
      <c r="AI184" s="31"/>
      <c r="AJ184" s="31"/>
      <c r="AK184" s="32"/>
      <c r="AL184" s="33"/>
      <c r="AM184" s="32"/>
      <c r="AN184" s="33"/>
      <c r="AO184" s="32"/>
      <c r="AP184" s="32"/>
      <c r="AQ184" s="136"/>
      <c r="AR184" s="136"/>
      <c r="AS184" s="136"/>
      <c r="AT184" s="136"/>
      <c r="AU184" s="136"/>
      <c r="AV184" s="136"/>
      <c r="AW184" s="136"/>
      <c r="AX184" s="136"/>
      <c r="AY184" s="136"/>
      <c r="AZ184" s="136"/>
      <c r="BA184" s="136"/>
      <c r="BB184" s="136"/>
      <c r="BC184" s="330"/>
      <c r="BD184" s="330"/>
      <c r="BE184" s="330"/>
      <c r="BF184" s="330"/>
      <c r="BG184" s="330"/>
      <c r="BH184" s="330"/>
      <c r="BI184" s="330"/>
      <c r="BJ184" s="330"/>
      <c r="BK184" s="330"/>
      <c r="BL184" s="330"/>
      <c r="BM184" s="330"/>
      <c r="BN184" s="330"/>
      <c r="BO184" s="330"/>
      <c r="BP184" s="330"/>
      <c r="BQ184" s="330"/>
      <c r="BR184" s="330"/>
      <c r="BS184" s="330"/>
      <c r="BT184" s="330"/>
      <c r="BU184" s="330"/>
      <c r="BV184" s="330"/>
      <c r="BW184" s="330"/>
      <c r="BX184" s="330"/>
    </row>
    <row r="185" spans="2:76" s="28" customFormat="1">
      <c r="B185" s="136"/>
      <c r="D185" s="222"/>
      <c r="E185" s="29"/>
      <c r="G185" s="293"/>
      <c r="H185" s="294"/>
      <c r="I185" s="294"/>
      <c r="J185" s="294"/>
      <c r="K185" s="294"/>
      <c r="L185" s="294"/>
      <c r="O185" s="331"/>
      <c r="AI185" s="31"/>
      <c r="AJ185" s="31"/>
      <c r="AK185" s="32"/>
      <c r="AL185" s="33"/>
      <c r="AM185" s="32"/>
      <c r="AN185" s="33"/>
      <c r="AO185" s="32"/>
      <c r="AP185" s="32"/>
      <c r="AQ185" s="136"/>
      <c r="AR185" s="136"/>
      <c r="AS185" s="136"/>
      <c r="AT185" s="136"/>
      <c r="AU185" s="136"/>
      <c r="AV185" s="136"/>
      <c r="AW185" s="136"/>
      <c r="AX185" s="136"/>
      <c r="AY185" s="136"/>
      <c r="AZ185" s="136"/>
      <c r="BA185" s="136"/>
      <c r="BB185" s="136"/>
      <c r="BC185" s="330"/>
      <c r="BD185" s="330"/>
      <c r="BE185" s="330"/>
      <c r="BF185" s="330"/>
      <c r="BG185" s="330"/>
      <c r="BH185" s="330"/>
      <c r="BI185" s="330"/>
      <c r="BJ185" s="330"/>
      <c r="BK185" s="330"/>
      <c r="BL185" s="330"/>
      <c r="BM185" s="330"/>
      <c r="BN185" s="330"/>
      <c r="BO185" s="330"/>
      <c r="BP185" s="330"/>
      <c r="BQ185" s="330"/>
      <c r="BR185" s="330"/>
      <c r="BS185" s="330"/>
      <c r="BT185" s="330"/>
      <c r="BU185" s="330"/>
      <c r="BV185" s="330"/>
      <c r="BW185" s="330"/>
      <c r="BX185" s="330"/>
    </row>
    <row r="186" spans="2:76" s="28" customFormat="1">
      <c r="B186" s="136"/>
      <c r="D186" s="222"/>
      <c r="E186" s="29"/>
      <c r="G186" s="293"/>
      <c r="H186" s="294"/>
      <c r="I186" s="294"/>
      <c r="J186" s="294"/>
      <c r="K186" s="294"/>
      <c r="L186" s="294"/>
      <c r="O186" s="331"/>
      <c r="AI186" s="31"/>
      <c r="AJ186" s="31"/>
      <c r="AK186" s="32"/>
      <c r="AL186" s="33"/>
      <c r="AM186" s="32"/>
      <c r="AN186" s="33"/>
      <c r="AO186" s="32"/>
      <c r="AP186" s="32"/>
      <c r="AQ186" s="136"/>
      <c r="AR186" s="136"/>
      <c r="AS186" s="136"/>
      <c r="AT186" s="136"/>
      <c r="AU186" s="136"/>
      <c r="AV186" s="136"/>
      <c r="AW186" s="136"/>
      <c r="AX186" s="136"/>
      <c r="AY186" s="136"/>
      <c r="AZ186" s="136"/>
      <c r="BA186" s="136"/>
      <c r="BB186" s="136"/>
      <c r="BC186" s="330"/>
      <c r="BD186" s="330"/>
      <c r="BE186" s="330"/>
      <c r="BF186" s="330"/>
      <c r="BG186" s="330"/>
      <c r="BH186" s="330"/>
      <c r="BI186" s="330"/>
      <c r="BJ186" s="330"/>
      <c r="BK186" s="330"/>
      <c r="BL186" s="330"/>
      <c r="BM186" s="330"/>
      <c r="BN186" s="330"/>
      <c r="BO186" s="330"/>
      <c r="BP186" s="330"/>
      <c r="BQ186" s="330"/>
      <c r="BR186" s="330"/>
      <c r="BS186" s="330"/>
      <c r="BT186" s="330"/>
      <c r="BU186" s="330"/>
      <c r="BV186" s="330"/>
      <c r="BW186" s="330"/>
      <c r="BX186" s="330"/>
    </row>
    <row r="187" spans="2:76" s="28" customFormat="1">
      <c r="B187" s="136"/>
      <c r="D187" s="222"/>
      <c r="E187" s="29"/>
      <c r="G187" s="293"/>
      <c r="H187" s="294"/>
      <c r="I187" s="294"/>
      <c r="J187" s="294"/>
      <c r="K187" s="294"/>
      <c r="L187" s="294"/>
      <c r="O187" s="331"/>
      <c r="AI187" s="31"/>
      <c r="AJ187" s="31"/>
      <c r="AK187" s="32"/>
      <c r="AL187" s="33"/>
      <c r="AM187" s="32"/>
      <c r="AN187" s="33"/>
      <c r="AO187" s="32"/>
      <c r="AP187" s="32"/>
      <c r="AQ187" s="136"/>
      <c r="AR187" s="136"/>
      <c r="AS187" s="136"/>
      <c r="AT187" s="136"/>
      <c r="AU187" s="136"/>
      <c r="AV187" s="136"/>
      <c r="AW187" s="136"/>
      <c r="AX187" s="136"/>
      <c r="AY187" s="136"/>
      <c r="AZ187" s="136"/>
      <c r="BA187" s="136"/>
      <c r="BB187" s="136"/>
      <c r="BC187" s="330"/>
      <c r="BD187" s="330"/>
      <c r="BE187" s="330"/>
      <c r="BF187" s="330"/>
      <c r="BG187" s="330"/>
      <c r="BH187" s="330"/>
      <c r="BI187" s="330"/>
      <c r="BJ187" s="330"/>
      <c r="BK187" s="330"/>
      <c r="BL187" s="330"/>
      <c r="BM187" s="330"/>
      <c r="BN187" s="330"/>
      <c r="BO187" s="330"/>
      <c r="BP187" s="330"/>
      <c r="BQ187" s="330"/>
      <c r="BR187" s="330"/>
      <c r="BS187" s="330"/>
      <c r="BT187" s="330"/>
      <c r="BU187" s="330"/>
      <c r="BV187" s="330"/>
      <c r="BW187" s="330"/>
      <c r="BX187" s="330"/>
    </row>
    <row r="188" spans="2:76" s="28" customFormat="1">
      <c r="B188" s="136"/>
      <c r="D188" s="222"/>
      <c r="E188" s="29"/>
      <c r="G188" s="293"/>
      <c r="H188" s="294"/>
      <c r="I188" s="294"/>
      <c r="J188" s="294"/>
      <c r="K188" s="294"/>
      <c r="L188" s="294"/>
      <c r="O188" s="331"/>
      <c r="AI188" s="31"/>
      <c r="AJ188" s="31"/>
      <c r="AK188" s="32"/>
      <c r="AL188" s="33"/>
      <c r="AM188" s="32"/>
      <c r="AN188" s="33"/>
      <c r="AO188" s="32"/>
      <c r="AP188" s="32"/>
      <c r="AQ188" s="136"/>
      <c r="AR188" s="136"/>
      <c r="AS188" s="136"/>
      <c r="AT188" s="136"/>
      <c r="AU188" s="136"/>
      <c r="AV188" s="136"/>
      <c r="AW188" s="136"/>
      <c r="AX188" s="136"/>
      <c r="AY188" s="136"/>
      <c r="AZ188" s="136"/>
      <c r="BA188" s="136"/>
      <c r="BB188" s="136"/>
      <c r="BC188" s="330"/>
      <c r="BD188" s="330"/>
      <c r="BE188" s="330"/>
      <c r="BF188" s="330"/>
      <c r="BG188" s="330"/>
      <c r="BH188" s="330"/>
      <c r="BI188" s="330"/>
      <c r="BJ188" s="330"/>
      <c r="BK188" s="330"/>
      <c r="BL188" s="330"/>
      <c r="BM188" s="330"/>
      <c r="BN188" s="330"/>
      <c r="BO188" s="330"/>
      <c r="BP188" s="330"/>
      <c r="BQ188" s="330"/>
      <c r="BR188" s="330"/>
      <c r="BS188" s="330"/>
      <c r="BT188" s="330"/>
      <c r="BU188" s="330"/>
      <c r="BV188" s="330"/>
      <c r="BW188" s="330"/>
      <c r="BX188" s="330"/>
    </row>
    <row r="189" spans="2:76" s="28" customFormat="1">
      <c r="B189" s="136"/>
      <c r="D189" s="222"/>
      <c r="E189" s="29"/>
      <c r="G189" s="293"/>
      <c r="H189" s="294"/>
      <c r="I189" s="294"/>
      <c r="J189" s="294"/>
      <c r="K189" s="294"/>
      <c r="L189" s="294"/>
      <c r="O189" s="331"/>
      <c r="AI189" s="31"/>
      <c r="AJ189" s="31"/>
      <c r="AK189" s="32"/>
      <c r="AL189" s="33"/>
      <c r="AM189" s="32"/>
      <c r="AN189" s="33"/>
      <c r="AO189" s="32"/>
      <c r="AP189" s="32"/>
      <c r="AQ189" s="136"/>
      <c r="AR189" s="136"/>
      <c r="AS189" s="136"/>
      <c r="AT189" s="136"/>
      <c r="AU189" s="136"/>
      <c r="AV189" s="136"/>
      <c r="AW189" s="136"/>
      <c r="AX189" s="136"/>
      <c r="AY189" s="136"/>
      <c r="AZ189" s="136"/>
      <c r="BA189" s="136"/>
      <c r="BB189" s="136"/>
      <c r="BC189" s="330"/>
      <c r="BD189" s="330"/>
      <c r="BE189" s="330"/>
      <c r="BF189" s="330"/>
      <c r="BG189" s="330"/>
      <c r="BH189" s="330"/>
      <c r="BI189" s="330"/>
      <c r="BJ189" s="330"/>
      <c r="BK189" s="330"/>
      <c r="BL189" s="330"/>
      <c r="BM189" s="330"/>
      <c r="BN189" s="330"/>
      <c r="BO189" s="330"/>
      <c r="BP189" s="330"/>
      <c r="BQ189" s="330"/>
      <c r="BR189" s="330"/>
      <c r="BS189" s="330"/>
      <c r="BT189" s="330"/>
      <c r="BU189" s="330"/>
      <c r="BV189" s="330"/>
      <c r="BW189" s="330"/>
      <c r="BX189" s="330"/>
    </row>
    <row r="190" spans="2:76" s="28" customFormat="1">
      <c r="B190" s="136"/>
      <c r="D190" s="222"/>
      <c r="E190" s="29"/>
      <c r="G190" s="293"/>
      <c r="H190" s="294"/>
      <c r="I190" s="294"/>
      <c r="J190" s="294"/>
      <c r="K190" s="294"/>
      <c r="L190" s="294"/>
      <c r="O190" s="331"/>
      <c r="AI190" s="31"/>
      <c r="AJ190" s="31"/>
      <c r="AK190" s="32"/>
      <c r="AL190" s="33"/>
      <c r="AM190" s="32"/>
      <c r="AN190" s="33"/>
      <c r="AO190" s="32"/>
      <c r="AP190" s="32"/>
      <c r="AQ190" s="136"/>
      <c r="AR190" s="136"/>
      <c r="AS190" s="136"/>
      <c r="AT190" s="136"/>
      <c r="AU190" s="136"/>
      <c r="AV190" s="136"/>
      <c r="AW190" s="136"/>
      <c r="AX190" s="136"/>
      <c r="AY190" s="136"/>
      <c r="AZ190" s="136"/>
      <c r="BA190" s="136"/>
      <c r="BB190" s="136"/>
      <c r="BC190" s="330"/>
      <c r="BD190" s="330"/>
      <c r="BE190" s="330"/>
      <c r="BF190" s="330"/>
      <c r="BG190" s="330"/>
      <c r="BH190" s="330"/>
      <c r="BI190" s="330"/>
      <c r="BJ190" s="330"/>
      <c r="BK190" s="330"/>
      <c r="BL190" s="330"/>
      <c r="BM190" s="330"/>
      <c r="BN190" s="330"/>
      <c r="BO190" s="330"/>
      <c r="BP190" s="330"/>
      <c r="BQ190" s="330"/>
      <c r="BR190" s="330"/>
      <c r="BS190" s="330"/>
      <c r="BT190" s="330"/>
      <c r="BU190" s="330"/>
      <c r="BV190" s="330"/>
      <c r="BW190" s="330"/>
      <c r="BX190" s="330"/>
    </row>
    <row r="191" spans="2:76" s="28" customFormat="1">
      <c r="B191" s="136"/>
      <c r="D191" s="222"/>
      <c r="E191" s="29"/>
      <c r="G191" s="293"/>
      <c r="H191" s="294"/>
      <c r="I191" s="294"/>
      <c r="J191" s="294"/>
      <c r="K191" s="294"/>
      <c r="L191" s="294"/>
      <c r="O191" s="331"/>
      <c r="AI191" s="31"/>
      <c r="AJ191" s="31"/>
      <c r="AK191" s="32"/>
      <c r="AL191" s="33"/>
      <c r="AM191" s="32"/>
      <c r="AN191" s="33"/>
      <c r="AO191" s="32"/>
      <c r="AP191" s="32"/>
      <c r="AQ191" s="136"/>
      <c r="AR191" s="136"/>
      <c r="AS191" s="136"/>
      <c r="AT191" s="136"/>
      <c r="AU191" s="136"/>
      <c r="AV191" s="136"/>
      <c r="AW191" s="136"/>
      <c r="AX191" s="136"/>
      <c r="AY191" s="136"/>
      <c r="AZ191" s="136"/>
      <c r="BA191" s="136"/>
      <c r="BB191" s="136"/>
      <c r="BC191" s="330"/>
      <c r="BD191" s="330"/>
      <c r="BE191" s="330"/>
      <c r="BF191" s="330"/>
      <c r="BG191" s="330"/>
      <c r="BH191" s="330"/>
      <c r="BI191" s="330"/>
      <c r="BJ191" s="330"/>
      <c r="BK191" s="330"/>
      <c r="BL191" s="330"/>
      <c r="BM191" s="330"/>
      <c r="BN191" s="330"/>
      <c r="BO191" s="330"/>
      <c r="BP191" s="330"/>
      <c r="BQ191" s="330"/>
      <c r="BR191" s="330"/>
      <c r="BS191" s="330"/>
      <c r="BT191" s="330"/>
      <c r="BU191" s="330"/>
      <c r="BV191" s="330"/>
      <c r="BW191" s="330"/>
      <c r="BX191" s="330"/>
    </row>
    <row r="192" spans="2:76" s="28" customFormat="1">
      <c r="B192" s="136"/>
      <c r="D192" s="222"/>
      <c r="E192" s="29"/>
      <c r="G192" s="293"/>
      <c r="H192" s="294"/>
      <c r="I192" s="294"/>
      <c r="J192" s="294"/>
      <c r="K192" s="294"/>
      <c r="L192" s="294"/>
      <c r="O192" s="331"/>
      <c r="AI192" s="31"/>
      <c r="AJ192" s="31"/>
      <c r="AK192" s="32"/>
      <c r="AL192" s="33"/>
      <c r="AM192" s="32"/>
      <c r="AN192" s="33"/>
      <c r="AO192" s="32"/>
      <c r="AP192" s="32"/>
      <c r="AQ192" s="136"/>
      <c r="AR192" s="136"/>
      <c r="AS192" s="136"/>
      <c r="AT192" s="136"/>
      <c r="AU192" s="136"/>
      <c r="AV192" s="136"/>
      <c r="AW192" s="136"/>
      <c r="AX192" s="136"/>
      <c r="AY192" s="136"/>
      <c r="AZ192" s="136"/>
      <c r="BA192" s="136"/>
      <c r="BB192" s="136"/>
      <c r="BC192" s="330"/>
      <c r="BD192" s="330"/>
      <c r="BE192" s="330"/>
      <c r="BF192" s="330"/>
      <c r="BG192" s="330"/>
      <c r="BH192" s="330"/>
      <c r="BI192" s="330"/>
      <c r="BJ192" s="330"/>
      <c r="BK192" s="330"/>
      <c r="BL192" s="330"/>
      <c r="BM192" s="330"/>
      <c r="BN192" s="330"/>
      <c r="BO192" s="330"/>
      <c r="BP192" s="330"/>
      <c r="BQ192" s="330"/>
      <c r="BR192" s="330"/>
      <c r="BS192" s="330"/>
      <c r="BT192" s="330"/>
      <c r="BU192" s="330"/>
      <c r="BV192" s="330"/>
      <c r="BW192" s="330"/>
      <c r="BX192" s="330"/>
    </row>
    <row r="193" spans="2:76" s="28" customFormat="1">
      <c r="B193" s="136"/>
      <c r="D193" s="222"/>
      <c r="E193" s="29"/>
      <c r="G193" s="293"/>
      <c r="H193" s="294"/>
      <c r="I193" s="294"/>
      <c r="J193" s="294"/>
      <c r="K193" s="294"/>
      <c r="L193" s="294"/>
      <c r="O193" s="331"/>
      <c r="AI193" s="31"/>
      <c r="AJ193" s="31"/>
      <c r="AK193" s="32"/>
      <c r="AL193" s="33"/>
      <c r="AM193" s="32"/>
      <c r="AN193" s="33"/>
      <c r="AO193" s="32"/>
      <c r="AP193" s="32"/>
      <c r="AQ193" s="136"/>
      <c r="AR193" s="136"/>
      <c r="AS193" s="136"/>
      <c r="AT193" s="136"/>
      <c r="AU193" s="136"/>
      <c r="AV193" s="136"/>
      <c r="AW193" s="136"/>
      <c r="AX193" s="136"/>
      <c r="AY193" s="136"/>
      <c r="AZ193" s="136"/>
      <c r="BA193" s="136"/>
      <c r="BB193" s="136"/>
      <c r="BC193" s="330"/>
      <c r="BD193" s="330"/>
      <c r="BE193" s="330"/>
      <c r="BF193" s="330"/>
      <c r="BG193" s="330"/>
      <c r="BH193" s="330"/>
      <c r="BI193" s="330"/>
      <c r="BJ193" s="330"/>
      <c r="BK193" s="330"/>
      <c r="BL193" s="330"/>
      <c r="BM193" s="330"/>
      <c r="BN193" s="330"/>
      <c r="BO193" s="330"/>
      <c r="BP193" s="330"/>
      <c r="BQ193" s="330"/>
      <c r="BR193" s="330"/>
      <c r="BS193" s="330"/>
      <c r="BT193" s="330"/>
      <c r="BU193" s="330"/>
      <c r="BV193" s="330"/>
      <c r="BW193" s="330"/>
      <c r="BX193" s="330"/>
    </row>
    <row r="194" spans="2:76" s="28" customFormat="1">
      <c r="B194" s="136"/>
      <c r="D194" s="222"/>
      <c r="E194" s="29"/>
      <c r="G194" s="293"/>
      <c r="H194" s="294"/>
      <c r="I194" s="294"/>
      <c r="J194" s="294"/>
      <c r="K194" s="294"/>
      <c r="L194" s="294"/>
      <c r="O194" s="331"/>
      <c r="AI194" s="31"/>
      <c r="AJ194" s="31"/>
      <c r="AK194" s="32"/>
      <c r="AL194" s="33"/>
      <c r="AM194" s="32"/>
      <c r="AN194" s="33"/>
      <c r="AO194" s="32"/>
      <c r="AP194" s="32"/>
      <c r="AQ194" s="136"/>
      <c r="AR194" s="136"/>
      <c r="AS194" s="136"/>
      <c r="AT194" s="136"/>
      <c r="AU194" s="136"/>
      <c r="AV194" s="136"/>
      <c r="AW194" s="136"/>
      <c r="AX194" s="136"/>
      <c r="AY194" s="136"/>
      <c r="AZ194" s="136"/>
      <c r="BA194" s="136"/>
      <c r="BB194" s="136"/>
      <c r="BC194" s="330"/>
      <c r="BD194" s="330"/>
      <c r="BE194" s="330"/>
      <c r="BF194" s="330"/>
      <c r="BG194" s="330"/>
      <c r="BH194" s="330"/>
      <c r="BI194" s="330"/>
      <c r="BJ194" s="330"/>
      <c r="BK194" s="330"/>
      <c r="BL194" s="330"/>
      <c r="BM194" s="330"/>
      <c r="BN194" s="330"/>
      <c r="BO194" s="330"/>
      <c r="BP194" s="330"/>
      <c r="BQ194" s="330"/>
      <c r="BR194" s="330"/>
      <c r="BS194" s="330"/>
      <c r="BT194" s="330"/>
      <c r="BU194" s="330"/>
      <c r="BV194" s="330"/>
      <c r="BW194" s="330"/>
      <c r="BX194" s="330"/>
    </row>
    <row r="195" spans="2:76" s="28" customFormat="1">
      <c r="B195" s="136"/>
      <c r="D195" s="222"/>
      <c r="E195" s="29"/>
      <c r="G195" s="293"/>
      <c r="H195" s="294"/>
      <c r="I195" s="294"/>
      <c r="J195" s="294"/>
      <c r="K195" s="294"/>
      <c r="L195" s="294"/>
      <c r="O195" s="331"/>
      <c r="AI195" s="31"/>
      <c r="AJ195" s="31"/>
      <c r="AK195" s="32"/>
      <c r="AL195" s="33"/>
      <c r="AM195" s="32"/>
      <c r="AN195" s="33"/>
      <c r="AO195" s="32"/>
      <c r="AP195" s="32"/>
      <c r="AQ195" s="136"/>
      <c r="AR195" s="136"/>
      <c r="AS195" s="136"/>
      <c r="AT195" s="136"/>
      <c r="AU195" s="136"/>
      <c r="AV195" s="136"/>
      <c r="AW195" s="136"/>
      <c r="AX195" s="136"/>
      <c r="AY195" s="136"/>
      <c r="AZ195" s="136"/>
      <c r="BA195" s="136"/>
      <c r="BB195" s="136"/>
      <c r="BC195" s="330"/>
      <c r="BD195" s="330"/>
      <c r="BE195" s="330"/>
      <c r="BF195" s="330"/>
      <c r="BG195" s="330"/>
      <c r="BH195" s="330"/>
      <c r="BI195" s="330"/>
      <c r="BJ195" s="330"/>
      <c r="BK195" s="330"/>
      <c r="BL195" s="330"/>
      <c r="BM195" s="330"/>
      <c r="BN195" s="330"/>
      <c r="BO195" s="330"/>
      <c r="BP195" s="330"/>
      <c r="BQ195" s="330"/>
      <c r="BR195" s="330"/>
      <c r="BS195" s="330"/>
      <c r="BT195" s="330"/>
      <c r="BU195" s="330"/>
      <c r="BV195" s="330"/>
      <c r="BW195" s="330"/>
      <c r="BX195" s="330"/>
    </row>
    <row r="196" spans="2:76" s="28" customFormat="1">
      <c r="B196" s="136"/>
      <c r="D196" s="222"/>
      <c r="E196" s="29"/>
      <c r="G196" s="293"/>
      <c r="H196" s="294"/>
      <c r="I196" s="294"/>
      <c r="J196" s="294"/>
      <c r="K196" s="294"/>
      <c r="L196" s="294"/>
      <c r="O196" s="331"/>
      <c r="AI196" s="31"/>
      <c r="AJ196" s="31"/>
      <c r="AK196" s="32"/>
      <c r="AL196" s="33"/>
      <c r="AM196" s="32"/>
      <c r="AN196" s="33"/>
      <c r="AO196" s="32"/>
      <c r="AP196" s="32"/>
      <c r="AQ196" s="136"/>
      <c r="AR196" s="136"/>
      <c r="AS196" s="136"/>
      <c r="AT196" s="136"/>
      <c r="AU196" s="136"/>
      <c r="AV196" s="136"/>
      <c r="AW196" s="136"/>
      <c r="AX196" s="136"/>
      <c r="AY196" s="136"/>
      <c r="AZ196" s="136"/>
      <c r="BA196" s="136"/>
      <c r="BB196" s="136"/>
      <c r="BC196" s="330"/>
      <c r="BD196" s="330"/>
      <c r="BE196" s="330"/>
      <c r="BF196" s="330"/>
      <c r="BG196" s="330"/>
      <c r="BH196" s="330"/>
      <c r="BI196" s="330"/>
      <c r="BJ196" s="330"/>
      <c r="BK196" s="330"/>
      <c r="BL196" s="330"/>
      <c r="BM196" s="330"/>
      <c r="BN196" s="330"/>
      <c r="BO196" s="330"/>
      <c r="BP196" s="330"/>
      <c r="BQ196" s="330"/>
      <c r="BR196" s="330"/>
      <c r="BS196" s="330"/>
      <c r="BT196" s="330"/>
      <c r="BU196" s="330"/>
      <c r="BV196" s="330"/>
      <c r="BW196" s="330"/>
      <c r="BX196" s="330"/>
    </row>
    <row r="197" spans="2:76" s="28" customFormat="1">
      <c r="B197" s="136"/>
      <c r="D197" s="222"/>
      <c r="E197" s="29"/>
      <c r="G197" s="293"/>
      <c r="H197" s="294"/>
      <c r="I197" s="294"/>
      <c r="J197" s="294"/>
      <c r="K197" s="294"/>
      <c r="L197" s="294"/>
      <c r="O197" s="331"/>
      <c r="AI197" s="31"/>
      <c r="AJ197" s="31"/>
      <c r="AK197" s="32"/>
      <c r="AL197" s="33"/>
      <c r="AM197" s="32"/>
      <c r="AN197" s="33"/>
      <c r="AO197" s="32"/>
      <c r="AP197" s="32"/>
      <c r="AQ197" s="136"/>
      <c r="AR197" s="136"/>
      <c r="AS197" s="136"/>
      <c r="AT197" s="136"/>
      <c r="AU197" s="136"/>
      <c r="AV197" s="136"/>
      <c r="AW197" s="136"/>
      <c r="AX197" s="136"/>
      <c r="AY197" s="136"/>
      <c r="AZ197" s="136"/>
      <c r="BA197" s="136"/>
      <c r="BB197" s="136"/>
      <c r="BC197" s="330"/>
      <c r="BD197" s="330"/>
      <c r="BE197" s="330"/>
      <c r="BF197" s="330"/>
      <c r="BG197" s="330"/>
      <c r="BH197" s="330"/>
      <c r="BI197" s="330"/>
      <c r="BJ197" s="330"/>
      <c r="BK197" s="330"/>
      <c r="BL197" s="330"/>
      <c r="BM197" s="330"/>
      <c r="BN197" s="330"/>
      <c r="BO197" s="330"/>
      <c r="BP197" s="330"/>
      <c r="BQ197" s="330"/>
      <c r="BR197" s="330"/>
      <c r="BS197" s="330"/>
      <c r="BT197" s="330"/>
      <c r="BU197" s="330"/>
      <c r="BV197" s="330"/>
      <c r="BW197" s="330"/>
      <c r="BX197" s="330"/>
    </row>
    <row r="198" spans="2:76" s="28" customFormat="1">
      <c r="B198" s="136"/>
      <c r="D198" s="222"/>
      <c r="E198" s="29"/>
      <c r="G198" s="293"/>
      <c r="H198" s="294"/>
      <c r="I198" s="294"/>
      <c r="J198" s="294"/>
      <c r="K198" s="294"/>
      <c r="L198" s="294"/>
      <c r="O198" s="331"/>
      <c r="AI198" s="31"/>
      <c r="AJ198" s="31"/>
      <c r="AK198" s="32"/>
      <c r="AL198" s="33"/>
      <c r="AM198" s="32"/>
      <c r="AN198" s="33"/>
      <c r="AO198" s="32"/>
      <c r="AP198" s="32"/>
      <c r="AQ198" s="136"/>
      <c r="AR198" s="136"/>
      <c r="AS198" s="136"/>
      <c r="AT198" s="136"/>
      <c r="AU198" s="136"/>
      <c r="AV198" s="136"/>
      <c r="AW198" s="136"/>
      <c r="AX198" s="136"/>
      <c r="AY198" s="136"/>
      <c r="AZ198" s="136"/>
      <c r="BA198" s="136"/>
      <c r="BB198" s="136"/>
      <c r="BC198" s="330"/>
      <c r="BD198" s="330"/>
      <c r="BE198" s="330"/>
      <c r="BF198" s="330"/>
      <c r="BG198" s="330"/>
      <c r="BH198" s="330"/>
      <c r="BI198" s="330"/>
      <c r="BJ198" s="330"/>
      <c r="BK198" s="330"/>
      <c r="BL198" s="330"/>
      <c r="BM198" s="330"/>
      <c r="BN198" s="330"/>
      <c r="BO198" s="330"/>
      <c r="BP198" s="330"/>
      <c r="BQ198" s="330"/>
      <c r="BR198" s="330"/>
      <c r="BS198" s="330"/>
      <c r="BT198" s="330"/>
      <c r="BU198" s="330"/>
      <c r="BV198" s="330"/>
      <c r="BW198" s="330"/>
      <c r="BX198" s="330"/>
    </row>
    <row r="199" spans="2:76" s="28" customFormat="1">
      <c r="B199" s="136"/>
      <c r="D199" s="222"/>
      <c r="E199" s="29"/>
      <c r="G199" s="293"/>
      <c r="H199" s="294"/>
      <c r="I199" s="294"/>
      <c r="J199" s="294"/>
      <c r="K199" s="294"/>
      <c r="L199" s="294"/>
      <c r="O199" s="331"/>
      <c r="AI199" s="31"/>
      <c r="AJ199" s="31"/>
      <c r="AK199" s="32"/>
      <c r="AL199" s="33"/>
      <c r="AM199" s="32"/>
      <c r="AN199" s="33"/>
      <c r="AO199" s="32"/>
      <c r="AP199" s="32"/>
      <c r="AQ199" s="136"/>
      <c r="AR199" s="136"/>
      <c r="AS199" s="136"/>
      <c r="AT199" s="136"/>
      <c r="AU199" s="136"/>
      <c r="AV199" s="136"/>
      <c r="AW199" s="136"/>
      <c r="AX199" s="136"/>
      <c r="AY199" s="136"/>
      <c r="AZ199" s="136"/>
      <c r="BA199" s="136"/>
      <c r="BB199" s="136"/>
      <c r="BC199" s="330"/>
      <c r="BD199" s="330"/>
      <c r="BE199" s="330"/>
      <c r="BF199" s="330"/>
      <c r="BG199" s="330"/>
      <c r="BH199" s="330"/>
      <c r="BI199" s="330"/>
      <c r="BJ199" s="330"/>
      <c r="BK199" s="330"/>
      <c r="BL199" s="330"/>
      <c r="BM199" s="330"/>
      <c r="BN199" s="330"/>
      <c r="BO199" s="330"/>
      <c r="BP199" s="330"/>
      <c r="BQ199" s="330"/>
      <c r="BR199" s="330"/>
      <c r="BS199" s="330"/>
      <c r="BT199" s="330"/>
      <c r="BU199" s="330"/>
      <c r="BV199" s="330"/>
      <c r="BW199" s="330"/>
      <c r="BX199" s="330"/>
    </row>
    <row r="200" spans="2:76" s="28" customFormat="1">
      <c r="B200" s="136"/>
      <c r="D200" s="222"/>
      <c r="E200" s="29"/>
      <c r="G200" s="293"/>
      <c r="H200" s="294"/>
      <c r="I200" s="294"/>
      <c r="J200" s="294"/>
      <c r="K200" s="294"/>
      <c r="L200" s="294"/>
      <c r="O200" s="331"/>
      <c r="AI200" s="31"/>
      <c r="AJ200" s="31"/>
      <c r="AK200" s="32"/>
      <c r="AL200" s="33"/>
      <c r="AM200" s="32"/>
      <c r="AN200" s="33"/>
      <c r="AO200" s="32"/>
      <c r="AP200" s="32"/>
      <c r="AQ200" s="136"/>
      <c r="AR200" s="136"/>
      <c r="AS200" s="136"/>
      <c r="AT200" s="136"/>
      <c r="AU200" s="136"/>
      <c r="AV200" s="136"/>
      <c r="AW200" s="136"/>
      <c r="AX200" s="136"/>
      <c r="AY200" s="136"/>
      <c r="AZ200" s="136"/>
      <c r="BA200" s="136"/>
      <c r="BB200" s="136"/>
      <c r="BC200" s="330"/>
      <c r="BD200" s="330"/>
      <c r="BE200" s="330"/>
      <c r="BF200" s="330"/>
      <c r="BG200" s="330"/>
      <c r="BH200" s="330"/>
      <c r="BI200" s="330"/>
      <c r="BJ200" s="330"/>
      <c r="BK200" s="330"/>
      <c r="BL200" s="330"/>
      <c r="BM200" s="330"/>
      <c r="BN200" s="330"/>
      <c r="BO200" s="330"/>
      <c r="BP200" s="330"/>
      <c r="BQ200" s="330"/>
      <c r="BR200" s="330"/>
      <c r="BS200" s="330"/>
      <c r="BT200" s="330"/>
      <c r="BU200" s="330"/>
      <c r="BV200" s="330"/>
      <c r="BW200" s="330"/>
      <c r="BX200" s="330"/>
    </row>
    <row r="201" spans="2:76" s="28" customFormat="1">
      <c r="B201" s="136"/>
      <c r="D201" s="222"/>
      <c r="E201" s="29"/>
      <c r="G201" s="293"/>
      <c r="H201" s="294"/>
      <c r="I201" s="294"/>
      <c r="J201" s="294"/>
      <c r="K201" s="294"/>
      <c r="L201" s="294"/>
      <c r="O201" s="331"/>
      <c r="AI201" s="31"/>
      <c r="AJ201" s="31"/>
      <c r="AK201" s="32"/>
      <c r="AL201" s="33"/>
      <c r="AM201" s="32"/>
      <c r="AN201" s="33"/>
      <c r="AO201" s="32"/>
      <c r="AP201" s="32"/>
      <c r="AQ201" s="136"/>
      <c r="AR201" s="136"/>
      <c r="AS201" s="136"/>
      <c r="AT201" s="136"/>
      <c r="AU201" s="136"/>
      <c r="AV201" s="136"/>
      <c r="AW201" s="136"/>
      <c r="AX201" s="136"/>
      <c r="AY201" s="136"/>
      <c r="AZ201" s="136"/>
      <c r="BA201" s="136"/>
      <c r="BB201" s="136"/>
      <c r="BC201" s="330"/>
      <c r="BD201" s="330"/>
      <c r="BE201" s="330"/>
      <c r="BF201" s="330"/>
      <c r="BG201" s="330"/>
      <c r="BH201" s="330"/>
      <c r="BI201" s="330"/>
      <c r="BJ201" s="330"/>
      <c r="BK201" s="330"/>
      <c r="BL201" s="330"/>
      <c r="BM201" s="330"/>
      <c r="BN201" s="330"/>
      <c r="BO201" s="330"/>
      <c r="BP201" s="330"/>
      <c r="BQ201" s="330"/>
      <c r="BR201" s="330"/>
      <c r="BS201" s="330"/>
      <c r="BT201" s="330"/>
      <c r="BU201" s="330"/>
      <c r="BV201" s="330"/>
      <c r="BW201" s="330"/>
      <c r="BX201" s="330"/>
    </row>
    <row r="202" spans="2:76" s="28" customFormat="1">
      <c r="B202" s="136"/>
      <c r="D202" s="222"/>
      <c r="E202" s="29"/>
      <c r="G202" s="293"/>
      <c r="H202" s="294"/>
      <c r="I202" s="294"/>
      <c r="J202" s="294"/>
      <c r="K202" s="294"/>
      <c r="L202" s="294"/>
      <c r="O202" s="331"/>
      <c r="AI202" s="31"/>
      <c r="AJ202" s="31"/>
      <c r="AK202" s="32"/>
      <c r="AL202" s="33"/>
      <c r="AM202" s="32"/>
      <c r="AN202" s="33"/>
      <c r="AO202" s="32"/>
      <c r="AP202" s="32"/>
      <c r="AQ202" s="136"/>
      <c r="AR202" s="136"/>
      <c r="AS202" s="136"/>
      <c r="AT202" s="136"/>
      <c r="AU202" s="136"/>
      <c r="AV202" s="136"/>
      <c r="AW202" s="136"/>
      <c r="AX202" s="136"/>
      <c r="AY202" s="136"/>
      <c r="AZ202" s="136"/>
      <c r="BA202" s="136"/>
      <c r="BB202" s="136"/>
      <c r="BC202" s="330"/>
      <c r="BD202" s="330"/>
      <c r="BE202" s="330"/>
      <c r="BF202" s="330"/>
      <c r="BG202" s="330"/>
      <c r="BH202" s="330"/>
      <c r="BI202" s="330"/>
      <c r="BJ202" s="330"/>
      <c r="BK202" s="330"/>
      <c r="BL202" s="330"/>
      <c r="BM202" s="330"/>
      <c r="BN202" s="330"/>
      <c r="BO202" s="330"/>
      <c r="BP202" s="330"/>
      <c r="BQ202" s="330"/>
      <c r="BR202" s="330"/>
      <c r="BS202" s="330"/>
      <c r="BT202" s="330"/>
      <c r="BU202" s="330"/>
      <c r="BV202" s="330"/>
      <c r="BW202" s="330"/>
      <c r="BX202" s="330"/>
    </row>
    <row r="203" spans="2:76" s="28" customFormat="1">
      <c r="B203" s="136"/>
      <c r="D203" s="222"/>
      <c r="E203" s="29"/>
      <c r="G203" s="293"/>
      <c r="H203" s="294"/>
      <c r="I203" s="294"/>
      <c r="J203" s="294"/>
      <c r="K203" s="294"/>
      <c r="L203" s="294"/>
      <c r="O203" s="331"/>
      <c r="AI203" s="31"/>
      <c r="AJ203" s="31"/>
      <c r="AK203" s="32"/>
      <c r="AL203" s="33"/>
      <c r="AM203" s="32"/>
      <c r="AN203" s="33"/>
      <c r="AO203" s="32"/>
      <c r="AP203" s="32"/>
      <c r="AQ203" s="136"/>
      <c r="AR203" s="136"/>
      <c r="AS203" s="136"/>
      <c r="AT203" s="136"/>
      <c r="AU203" s="136"/>
      <c r="AV203" s="136"/>
      <c r="AW203" s="136"/>
      <c r="AX203" s="136"/>
      <c r="AY203" s="136"/>
      <c r="AZ203" s="136"/>
      <c r="BA203" s="136"/>
      <c r="BB203" s="136"/>
      <c r="BC203" s="330"/>
      <c r="BD203" s="330"/>
      <c r="BE203" s="330"/>
      <c r="BF203" s="330"/>
      <c r="BG203" s="330"/>
      <c r="BH203" s="330"/>
      <c r="BI203" s="330"/>
      <c r="BJ203" s="330"/>
      <c r="BK203" s="330"/>
      <c r="BL203" s="330"/>
      <c r="BM203" s="330"/>
      <c r="BN203" s="330"/>
      <c r="BO203" s="330"/>
      <c r="BP203" s="330"/>
      <c r="BQ203" s="330"/>
      <c r="BR203" s="330"/>
      <c r="BS203" s="330"/>
      <c r="BT203" s="330"/>
      <c r="BU203" s="330"/>
      <c r="BV203" s="330"/>
      <c r="BW203" s="330"/>
      <c r="BX203" s="330"/>
    </row>
    <row r="204" spans="2:76" s="28" customFormat="1">
      <c r="B204" s="136"/>
      <c r="D204" s="222"/>
      <c r="E204" s="29"/>
      <c r="G204" s="293"/>
      <c r="H204" s="294"/>
      <c r="I204" s="294"/>
      <c r="J204" s="294"/>
      <c r="K204" s="294"/>
      <c r="L204" s="294"/>
      <c r="O204" s="331"/>
      <c r="AI204" s="31"/>
      <c r="AJ204" s="31"/>
      <c r="AK204" s="32"/>
      <c r="AL204" s="33"/>
      <c r="AM204" s="32"/>
      <c r="AN204" s="33"/>
      <c r="AO204" s="32"/>
      <c r="AP204" s="32"/>
      <c r="AQ204" s="136"/>
      <c r="AR204" s="136"/>
      <c r="AS204" s="136"/>
      <c r="AT204" s="136"/>
      <c r="AU204" s="136"/>
      <c r="AV204" s="136"/>
      <c r="AW204" s="136"/>
      <c r="AX204" s="136"/>
      <c r="AY204" s="136"/>
      <c r="AZ204" s="136"/>
      <c r="BA204" s="136"/>
      <c r="BB204" s="136"/>
      <c r="BC204" s="330"/>
      <c r="BD204" s="330"/>
      <c r="BE204" s="330"/>
      <c r="BF204" s="330"/>
      <c r="BG204" s="330"/>
      <c r="BH204" s="330"/>
      <c r="BI204" s="330"/>
      <c r="BJ204" s="330"/>
      <c r="BK204" s="330"/>
      <c r="BL204" s="330"/>
      <c r="BM204" s="330"/>
      <c r="BN204" s="330"/>
      <c r="BO204" s="330"/>
      <c r="BP204" s="330"/>
      <c r="BQ204" s="330"/>
      <c r="BR204" s="330"/>
      <c r="BS204" s="330"/>
      <c r="BT204" s="330"/>
      <c r="BU204" s="330"/>
      <c r="BV204" s="330"/>
      <c r="BW204" s="330"/>
      <c r="BX204" s="330"/>
    </row>
    <row r="205" spans="2:76" s="28" customFormat="1">
      <c r="B205" s="136"/>
      <c r="D205" s="222"/>
      <c r="E205" s="29"/>
      <c r="G205" s="293"/>
      <c r="H205" s="294"/>
      <c r="I205" s="294"/>
      <c r="J205" s="294"/>
      <c r="K205" s="294"/>
      <c r="L205" s="294"/>
      <c r="O205" s="331"/>
      <c r="AI205" s="31"/>
      <c r="AJ205" s="31"/>
      <c r="AK205" s="32"/>
      <c r="AL205" s="33"/>
      <c r="AM205" s="32"/>
      <c r="AN205" s="33"/>
      <c r="AO205" s="32"/>
      <c r="AP205" s="32"/>
      <c r="AQ205" s="136"/>
      <c r="AR205" s="136"/>
      <c r="AS205" s="136"/>
      <c r="AT205" s="136"/>
      <c r="AU205" s="136"/>
      <c r="AV205" s="136"/>
      <c r="AW205" s="136"/>
      <c r="AX205" s="136"/>
      <c r="AY205" s="136"/>
      <c r="AZ205" s="136"/>
      <c r="BA205" s="136"/>
      <c r="BB205" s="136"/>
      <c r="BC205" s="330"/>
      <c r="BD205" s="330"/>
      <c r="BE205" s="330"/>
      <c r="BF205" s="330"/>
      <c r="BG205" s="330"/>
      <c r="BH205" s="330"/>
      <c r="BI205" s="330"/>
      <c r="BJ205" s="330"/>
      <c r="BK205" s="330"/>
      <c r="BL205" s="330"/>
      <c r="BM205" s="330"/>
      <c r="BN205" s="330"/>
      <c r="BO205" s="330"/>
      <c r="BP205" s="330"/>
      <c r="BQ205" s="330"/>
      <c r="BR205" s="330"/>
      <c r="BS205" s="330"/>
      <c r="BT205" s="330"/>
      <c r="BU205" s="330"/>
      <c r="BV205" s="330"/>
      <c r="BW205" s="330"/>
      <c r="BX205" s="330"/>
    </row>
    <row r="206" spans="2:76" s="28" customFormat="1">
      <c r="B206" s="136"/>
      <c r="D206" s="222"/>
      <c r="E206" s="29"/>
      <c r="G206" s="293"/>
      <c r="H206" s="294"/>
      <c r="I206" s="294"/>
      <c r="J206" s="294"/>
      <c r="K206" s="294"/>
      <c r="L206" s="294"/>
      <c r="O206" s="331"/>
      <c r="AI206" s="31"/>
      <c r="AJ206" s="31"/>
      <c r="AK206" s="32"/>
      <c r="AL206" s="33"/>
      <c r="AM206" s="32"/>
      <c r="AN206" s="33"/>
      <c r="AO206" s="32"/>
      <c r="AP206" s="32"/>
      <c r="AQ206" s="136"/>
      <c r="AR206" s="136"/>
      <c r="AS206" s="136"/>
      <c r="AT206" s="136"/>
      <c r="AU206" s="136"/>
      <c r="AV206" s="136"/>
      <c r="AW206" s="136"/>
      <c r="AX206" s="136"/>
      <c r="AY206" s="136"/>
      <c r="AZ206" s="136"/>
      <c r="BA206" s="136"/>
      <c r="BB206" s="136"/>
      <c r="BC206" s="330"/>
      <c r="BD206" s="330"/>
      <c r="BE206" s="330"/>
      <c r="BF206" s="330"/>
      <c r="BG206" s="330"/>
      <c r="BH206" s="330"/>
      <c r="BI206" s="330"/>
      <c r="BJ206" s="330"/>
      <c r="BK206" s="330"/>
      <c r="BL206" s="330"/>
      <c r="BM206" s="330"/>
      <c r="BN206" s="330"/>
      <c r="BO206" s="330"/>
      <c r="BP206" s="330"/>
      <c r="BQ206" s="330"/>
      <c r="BR206" s="330"/>
      <c r="BS206" s="330"/>
      <c r="BT206" s="330"/>
      <c r="BU206" s="330"/>
      <c r="BV206" s="330"/>
      <c r="BW206" s="330"/>
      <c r="BX206" s="330"/>
    </row>
    <row r="207" spans="2:76" s="28" customFormat="1">
      <c r="B207" s="136"/>
      <c r="D207" s="222"/>
      <c r="E207" s="29"/>
      <c r="G207" s="293"/>
      <c r="H207" s="294"/>
      <c r="I207" s="294"/>
      <c r="J207" s="294"/>
      <c r="K207" s="294"/>
      <c r="L207" s="294"/>
      <c r="O207" s="331"/>
      <c r="AI207" s="31"/>
      <c r="AJ207" s="31"/>
      <c r="AK207" s="32"/>
      <c r="AL207" s="33"/>
      <c r="AM207" s="32"/>
      <c r="AN207" s="33"/>
      <c r="AO207" s="32"/>
      <c r="AP207" s="32"/>
      <c r="AQ207" s="136"/>
      <c r="AR207" s="136"/>
      <c r="AS207" s="136"/>
      <c r="AT207" s="136"/>
      <c r="AU207" s="136"/>
      <c r="AV207" s="136"/>
      <c r="AW207" s="136"/>
      <c r="AX207" s="136"/>
      <c r="AY207" s="136"/>
      <c r="AZ207" s="136"/>
      <c r="BA207" s="136"/>
      <c r="BB207" s="136"/>
      <c r="BC207" s="330"/>
      <c r="BD207" s="330"/>
      <c r="BE207" s="330"/>
      <c r="BF207" s="330"/>
      <c r="BG207" s="330"/>
      <c r="BH207" s="330"/>
      <c r="BI207" s="330"/>
      <c r="BJ207" s="330"/>
      <c r="BK207" s="330"/>
      <c r="BL207" s="330"/>
      <c r="BM207" s="330"/>
      <c r="BN207" s="330"/>
      <c r="BO207" s="330"/>
      <c r="BP207" s="330"/>
      <c r="BQ207" s="330"/>
      <c r="BR207" s="330"/>
      <c r="BS207" s="330"/>
      <c r="BT207" s="330"/>
      <c r="BU207" s="330"/>
      <c r="BV207" s="330"/>
      <c r="BW207" s="330"/>
      <c r="BX207" s="330"/>
    </row>
    <row r="208" spans="2:76" s="28" customFormat="1">
      <c r="B208" s="136"/>
      <c r="D208" s="222"/>
      <c r="E208" s="29"/>
      <c r="G208" s="293"/>
      <c r="H208" s="294"/>
      <c r="I208" s="294"/>
      <c r="J208" s="294"/>
      <c r="K208" s="294"/>
      <c r="L208" s="294"/>
      <c r="O208" s="331"/>
      <c r="AI208" s="31"/>
      <c r="AJ208" s="31"/>
      <c r="AK208" s="32"/>
      <c r="AL208" s="33"/>
      <c r="AM208" s="32"/>
      <c r="AN208" s="33"/>
      <c r="AO208" s="32"/>
      <c r="AP208" s="32"/>
      <c r="AQ208" s="136"/>
      <c r="AR208" s="136"/>
      <c r="AS208" s="136"/>
      <c r="AT208" s="136"/>
      <c r="AU208" s="136"/>
      <c r="AV208" s="136"/>
      <c r="AW208" s="136"/>
      <c r="AX208" s="136"/>
      <c r="AY208" s="136"/>
      <c r="AZ208" s="136"/>
      <c r="BA208" s="136"/>
      <c r="BB208" s="136"/>
      <c r="BC208" s="330"/>
      <c r="BD208" s="330"/>
      <c r="BE208" s="330"/>
      <c r="BF208" s="330"/>
      <c r="BG208" s="330"/>
      <c r="BH208" s="330"/>
      <c r="BI208" s="330"/>
      <c r="BJ208" s="330"/>
      <c r="BK208" s="330"/>
      <c r="BL208" s="330"/>
      <c r="BM208" s="330"/>
      <c r="BN208" s="330"/>
      <c r="BO208" s="330"/>
      <c r="BP208" s="330"/>
      <c r="BQ208" s="330"/>
      <c r="BR208" s="330"/>
      <c r="BS208" s="330"/>
      <c r="BT208" s="330"/>
      <c r="BU208" s="330"/>
      <c r="BV208" s="330"/>
      <c r="BW208" s="330"/>
      <c r="BX208" s="330"/>
    </row>
    <row r="209" spans="2:76" s="28" customFormat="1">
      <c r="B209" s="136"/>
      <c r="D209" s="222"/>
      <c r="E209" s="29"/>
      <c r="G209" s="293"/>
      <c r="H209" s="294"/>
      <c r="I209" s="294"/>
      <c r="J209" s="294"/>
      <c r="K209" s="294"/>
      <c r="L209" s="294"/>
      <c r="O209" s="334"/>
      <c r="AI209" s="31"/>
      <c r="AJ209" s="31"/>
      <c r="AK209" s="32"/>
      <c r="AL209" s="33"/>
      <c r="AM209" s="32"/>
      <c r="AN209" s="33"/>
      <c r="AO209" s="32"/>
      <c r="AP209" s="32"/>
      <c r="AQ209" s="136"/>
      <c r="AR209" s="136"/>
      <c r="AS209" s="136"/>
      <c r="AT209" s="136"/>
      <c r="AU209" s="136"/>
      <c r="AV209" s="136"/>
      <c r="AW209" s="136"/>
      <c r="AX209" s="136"/>
      <c r="AY209" s="136"/>
      <c r="AZ209" s="136"/>
      <c r="BA209" s="136"/>
      <c r="BB209" s="136"/>
      <c r="BC209" s="330"/>
      <c r="BD209" s="330"/>
      <c r="BE209" s="330"/>
      <c r="BF209" s="330"/>
      <c r="BG209" s="330"/>
      <c r="BH209" s="330"/>
      <c r="BI209" s="330"/>
      <c r="BJ209" s="330"/>
      <c r="BK209" s="330"/>
      <c r="BL209" s="330"/>
      <c r="BM209" s="330"/>
      <c r="BN209" s="330"/>
      <c r="BO209" s="330"/>
      <c r="BP209" s="330"/>
      <c r="BQ209" s="330"/>
      <c r="BR209" s="330"/>
      <c r="BS209" s="330"/>
      <c r="BT209" s="330"/>
      <c r="BU209" s="330"/>
      <c r="BV209" s="330"/>
      <c r="BW209" s="330"/>
      <c r="BX209" s="330"/>
    </row>
    <row r="210" spans="2:76" s="28" customFormat="1">
      <c r="B210" s="136"/>
      <c r="D210" s="222"/>
      <c r="E210" s="29"/>
      <c r="G210" s="293"/>
      <c r="H210" s="294"/>
      <c r="I210" s="294"/>
      <c r="J210" s="294"/>
      <c r="K210" s="294"/>
      <c r="L210" s="294"/>
      <c r="O210" s="335"/>
      <c r="AI210" s="31"/>
      <c r="AJ210" s="31"/>
      <c r="AK210" s="32"/>
      <c r="AL210" s="33"/>
      <c r="AM210" s="32"/>
      <c r="AN210" s="33"/>
      <c r="AO210" s="32"/>
      <c r="AP210" s="32"/>
      <c r="AQ210" s="136"/>
      <c r="AR210" s="136"/>
      <c r="AS210" s="136"/>
      <c r="AT210" s="136"/>
      <c r="AU210" s="136"/>
      <c r="AV210" s="136"/>
      <c r="AW210" s="136"/>
      <c r="AX210" s="136"/>
      <c r="AY210" s="136"/>
      <c r="AZ210" s="136"/>
      <c r="BA210" s="136"/>
      <c r="BB210" s="136"/>
      <c r="BC210" s="330"/>
      <c r="BD210" s="330"/>
      <c r="BE210" s="330"/>
      <c r="BF210" s="330"/>
      <c r="BG210" s="330"/>
      <c r="BH210" s="330"/>
      <c r="BI210" s="330"/>
      <c r="BJ210" s="330"/>
      <c r="BK210" s="330"/>
      <c r="BL210" s="330"/>
      <c r="BM210" s="330"/>
      <c r="BN210" s="330"/>
      <c r="BO210" s="330"/>
      <c r="BP210" s="330"/>
      <c r="BQ210" s="330"/>
      <c r="BR210" s="330"/>
      <c r="BS210" s="330"/>
      <c r="BT210" s="330"/>
      <c r="BU210" s="330"/>
      <c r="BV210" s="330"/>
      <c r="BW210" s="330"/>
      <c r="BX210" s="330"/>
    </row>
    <row r="211" spans="2:76" s="28" customFormat="1">
      <c r="B211" s="136"/>
      <c r="D211" s="222"/>
      <c r="E211" s="29"/>
      <c r="G211" s="293"/>
      <c r="H211" s="294"/>
      <c r="I211" s="294"/>
      <c r="J211" s="294"/>
      <c r="K211" s="294"/>
      <c r="L211" s="294"/>
      <c r="O211" s="335"/>
      <c r="AI211" s="31"/>
      <c r="AJ211" s="31"/>
      <c r="AK211" s="32"/>
      <c r="AL211" s="33"/>
      <c r="AM211" s="32"/>
      <c r="AN211" s="33"/>
      <c r="AO211" s="32"/>
      <c r="AP211" s="32"/>
      <c r="AQ211" s="136"/>
      <c r="AR211" s="136"/>
      <c r="AS211" s="136"/>
      <c r="AT211" s="136"/>
      <c r="AU211" s="136"/>
      <c r="AV211" s="136"/>
      <c r="AW211" s="136"/>
      <c r="AX211" s="136"/>
      <c r="AY211" s="136"/>
      <c r="AZ211" s="136"/>
      <c r="BA211" s="136"/>
      <c r="BB211" s="136"/>
      <c r="BC211" s="330"/>
      <c r="BD211" s="330"/>
      <c r="BE211" s="330"/>
      <c r="BF211" s="330"/>
      <c r="BG211" s="330"/>
      <c r="BH211" s="330"/>
      <c r="BI211" s="330"/>
      <c r="BJ211" s="330"/>
      <c r="BK211" s="330"/>
      <c r="BL211" s="330"/>
      <c r="BM211" s="330"/>
      <c r="BN211" s="330"/>
      <c r="BO211" s="330"/>
      <c r="BP211" s="330"/>
      <c r="BQ211" s="330"/>
      <c r="BR211" s="330"/>
      <c r="BS211" s="330"/>
      <c r="BT211" s="330"/>
      <c r="BU211" s="330"/>
      <c r="BV211" s="330"/>
      <c r="BW211" s="330"/>
      <c r="BX211" s="330"/>
    </row>
    <row r="212" spans="2:76" s="28" customFormat="1">
      <c r="B212" s="136"/>
      <c r="D212" s="222"/>
      <c r="E212" s="29"/>
      <c r="G212" s="293"/>
      <c r="H212" s="294"/>
      <c r="I212" s="294"/>
      <c r="J212" s="294"/>
      <c r="K212" s="294"/>
      <c r="L212" s="294"/>
      <c r="O212" s="335"/>
      <c r="AI212" s="31"/>
      <c r="AJ212" s="31"/>
      <c r="AK212" s="32"/>
      <c r="AL212" s="33"/>
      <c r="AM212" s="32"/>
      <c r="AN212" s="33"/>
      <c r="AO212" s="32"/>
      <c r="AP212" s="32"/>
      <c r="AQ212" s="136"/>
      <c r="AR212" s="136"/>
      <c r="AS212" s="136"/>
      <c r="AT212" s="136"/>
      <c r="AU212" s="136"/>
      <c r="AV212" s="136"/>
      <c r="AW212" s="136"/>
      <c r="AX212" s="136"/>
      <c r="AY212" s="136"/>
      <c r="AZ212" s="136"/>
      <c r="BA212" s="136"/>
      <c r="BB212" s="136"/>
      <c r="BC212" s="330"/>
      <c r="BD212" s="330"/>
      <c r="BE212" s="330"/>
      <c r="BF212" s="330"/>
      <c r="BG212" s="330"/>
      <c r="BH212" s="330"/>
      <c r="BI212" s="330"/>
      <c r="BJ212" s="330"/>
      <c r="BK212" s="330"/>
      <c r="BL212" s="330"/>
      <c r="BM212" s="330"/>
      <c r="BN212" s="330"/>
      <c r="BO212" s="330"/>
      <c r="BP212" s="330"/>
      <c r="BQ212" s="330"/>
      <c r="BR212" s="330"/>
      <c r="BS212" s="330"/>
      <c r="BT212" s="330"/>
      <c r="BU212" s="330"/>
      <c r="BV212" s="330"/>
      <c r="BW212" s="330"/>
      <c r="BX212" s="330"/>
    </row>
    <row r="213" spans="2:76" s="28" customFormat="1">
      <c r="B213" s="136"/>
      <c r="D213" s="222"/>
      <c r="E213" s="29"/>
      <c r="G213" s="293"/>
      <c r="H213" s="294"/>
      <c r="I213" s="294"/>
      <c r="J213" s="294"/>
      <c r="K213" s="294"/>
      <c r="L213" s="294"/>
      <c r="O213" s="335"/>
      <c r="AI213" s="31"/>
      <c r="AJ213" s="31"/>
      <c r="AK213" s="32"/>
      <c r="AL213" s="33"/>
      <c r="AM213" s="32"/>
      <c r="AN213" s="33"/>
      <c r="AO213" s="32"/>
      <c r="AP213" s="32"/>
      <c r="AQ213" s="136"/>
      <c r="AR213" s="136"/>
      <c r="AS213" s="136"/>
      <c r="AT213" s="136"/>
      <c r="AU213" s="136"/>
      <c r="AV213" s="136"/>
      <c r="AW213" s="136"/>
      <c r="AX213" s="136"/>
      <c r="AY213" s="136"/>
      <c r="AZ213" s="136"/>
      <c r="BA213" s="136"/>
      <c r="BB213" s="136"/>
      <c r="BC213" s="330"/>
      <c r="BD213" s="330"/>
      <c r="BE213" s="330"/>
      <c r="BF213" s="330"/>
      <c r="BG213" s="330"/>
      <c r="BH213" s="330"/>
      <c r="BI213" s="330"/>
      <c r="BJ213" s="330"/>
      <c r="BK213" s="330"/>
      <c r="BL213" s="330"/>
      <c r="BM213" s="330"/>
      <c r="BN213" s="330"/>
      <c r="BO213" s="330"/>
      <c r="BP213" s="330"/>
      <c r="BQ213" s="330"/>
      <c r="BR213" s="330"/>
      <c r="BS213" s="330"/>
      <c r="BT213" s="330"/>
      <c r="BU213" s="330"/>
      <c r="BV213" s="330"/>
      <c r="BW213" s="330"/>
      <c r="BX213" s="330"/>
    </row>
    <row r="214" spans="2:76" s="28" customFormat="1">
      <c r="B214" s="136"/>
      <c r="D214" s="222"/>
      <c r="E214" s="29"/>
      <c r="G214" s="293"/>
      <c r="H214" s="294"/>
      <c r="I214" s="294"/>
      <c r="J214" s="294"/>
      <c r="K214" s="294"/>
      <c r="L214" s="294"/>
      <c r="O214" s="336"/>
      <c r="AI214" s="31"/>
      <c r="AJ214" s="31"/>
      <c r="AK214" s="32"/>
      <c r="AL214" s="33"/>
      <c r="AM214" s="32"/>
      <c r="AN214" s="33"/>
      <c r="AO214" s="32"/>
      <c r="AP214" s="32"/>
      <c r="AQ214" s="136"/>
      <c r="AR214" s="136"/>
      <c r="AS214" s="136"/>
      <c r="AT214" s="136"/>
      <c r="AU214" s="136"/>
      <c r="AV214" s="136"/>
      <c r="AW214" s="136"/>
      <c r="AX214" s="136"/>
      <c r="AY214" s="136"/>
      <c r="AZ214" s="136"/>
      <c r="BA214" s="136"/>
      <c r="BB214" s="136"/>
      <c r="BC214" s="330"/>
      <c r="BD214" s="330"/>
      <c r="BE214" s="330"/>
      <c r="BF214" s="330"/>
      <c r="BG214" s="330"/>
      <c r="BH214" s="330"/>
      <c r="BI214" s="330"/>
      <c r="BJ214" s="330"/>
      <c r="BK214" s="330"/>
      <c r="BL214" s="330"/>
      <c r="BM214" s="330"/>
      <c r="BN214" s="330"/>
      <c r="BO214" s="330"/>
      <c r="BP214" s="330"/>
      <c r="BQ214" s="330"/>
      <c r="BR214" s="330"/>
      <c r="BS214" s="330"/>
      <c r="BT214" s="330"/>
      <c r="BU214" s="330"/>
      <c r="BV214" s="330"/>
      <c r="BW214" s="330"/>
      <c r="BX214" s="330"/>
    </row>
    <row r="215" spans="2:76" s="28" customFormat="1">
      <c r="B215" s="136"/>
      <c r="D215" s="222"/>
      <c r="E215" s="29"/>
      <c r="G215" s="293"/>
      <c r="H215" s="294"/>
      <c r="I215" s="294"/>
      <c r="J215" s="294"/>
      <c r="K215" s="294"/>
      <c r="L215" s="294"/>
      <c r="O215" s="337"/>
      <c r="AI215" s="31"/>
      <c r="AJ215" s="31"/>
      <c r="AK215" s="32"/>
      <c r="AL215" s="33"/>
      <c r="AM215" s="32"/>
      <c r="AN215" s="33"/>
      <c r="AO215" s="32"/>
      <c r="AP215" s="32"/>
      <c r="AQ215" s="136"/>
      <c r="AR215" s="136"/>
      <c r="AS215" s="136"/>
      <c r="AT215" s="136"/>
      <c r="AU215" s="136"/>
      <c r="AV215" s="136"/>
      <c r="AW215" s="136"/>
      <c r="AX215" s="136"/>
      <c r="AY215" s="136"/>
      <c r="AZ215" s="136"/>
      <c r="BA215" s="136"/>
      <c r="BB215" s="136"/>
      <c r="BC215" s="330"/>
      <c r="BD215" s="330"/>
      <c r="BE215" s="330"/>
      <c r="BF215" s="330"/>
      <c r="BG215" s="330"/>
      <c r="BH215" s="330"/>
      <c r="BI215" s="330"/>
      <c r="BJ215" s="330"/>
      <c r="BK215" s="330"/>
      <c r="BL215" s="330"/>
      <c r="BM215" s="330"/>
      <c r="BN215" s="330"/>
      <c r="BO215" s="330"/>
      <c r="BP215" s="330"/>
      <c r="BQ215" s="330"/>
      <c r="BR215" s="330"/>
      <c r="BS215" s="330"/>
      <c r="BT215" s="330"/>
      <c r="BU215" s="330"/>
      <c r="BV215" s="330"/>
      <c r="BW215" s="330"/>
      <c r="BX215" s="330"/>
    </row>
    <row r="216" spans="2:76" s="28" customFormat="1">
      <c r="B216" s="136"/>
      <c r="D216" s="222"/>
      <c r="E216" s="29"/>
      <c r="G216" s="293"/>
      <c r="H216" s="294"/>
      <c r="I216" s="294"/>
      <c r="J216" s="294"/>
      <c r="K216" s="294"/>
      <c r="L216" s="294"/>
      <c r="O216" s="335"/>
      <c r="AI216" s="31"/>
      <c r="AJ216" s="31"/>
      <c r="AK216" s="32"/>
      <c r="AL216" s="33"/>
      <c r="AM216" s="32"/>
      <c r="AN216" s="33"/>
      <c r="AO216" s="32"/>
      <c r="AP216" s="32"/>
      <c r="AQ216" s="136"/>
      <c r="AR216" s="136"/>
      <c r="AS216" s="136"/>
      <c r="AT216" s="136"/>
      <c r="AU216" s="136"/>
      <c r="AV216" s="136"/>
      <c r="AW216" s="136"/>
      <c r="AX216" s="136"/>
      <c r="AY216" s="136"/>
      <c r="AZ216" s="136"/>
      <c r="BA216" s="136"/>
      <c r="BB216" s="136"/>
      <c r="BC216" s="330"/>
      <c r="BD216" s="330"/>
      <c r="BE216" s="330"/>
      <c r="BF216" s="330"/>
      <c r="BG216" s="330"/>
      <c r="BH216" s="330"/>
      <c r="BI216" s="330"/>
      <c r="BJ216" s="330"/>
      <c r="BK216" s="330"/>
      <c r="BL216" s="330"/>
      <c r="BM216" s="330"/>
      <c r="BN216" s="330"/>
      <c r="BO216" s="330"/>
      <c r="BP216" s="330"/>
      <c r="BQ216" s="330"/>
      <c r="BR216" s="330"/>
      <c r="BS216" s="330"/>
      <c r="BT216" s="330"/>
      <c r="BU216" s="330"/>
      <c r="BV216" s="330"/>
      <c r="BW216" s="330"/>
      <c r="BX216" s="330"/>
    </row>
    <row r="217" spans="2:76" s="28" customFormat="1">
      <c r="B217" s="136"/>
      <c r="D217" s="222"/>
      <c r="E217" s="29"/>
      <c r="G217" s="293"/>
      <c r="H217" s="294"/>
      <c r="I217" s="294"/>
      <c r="J217" s="294"/>
      <c r="K217" s="294"/>
      <c r="L217" s="294"/>
      <c r="O217" s="336"/>
      <c r="AI217" s="31"/>
      <c r="AJ217" s="31"/>
      <c r="AK217" s="32"/>
      <c r="AL217" s="33"/>
      <c r="AM217" s="32"/>
      <c r="AN217" s="33"/>
      <c r="AO217" s="32"/>
      <c r="AP217" s="32"/>
      <c r="AQ217" s="136"/>
      <c r="AR217" s="136"/>
      <c r="AS217" s="136"/>
      <c r="AT217" s="136"/>
      <c r="AU217" s="136"/>
      <c r="AV217" s="136"/>
      <c r="AW217" s="136"/>
      <c r="AX217" s="136"/>
      <c r="AY217" s="136"/>
      <c r="AZ217" s="136"/>
      <c r="BA217" s="136"/>
      <c r="BB217" s="136"/>
      <c r="BC217" s="330"/>
      <c r="BD217" s="330"/>
      <c r="BE217" s="330"/>
      <c r="BF217" s="330"/>
      <c r="BG217" s="330"/>
      <c r="BH217" s="330"/>
      <c r="BI217" s="330"/>
      <c r="BJ217" s="330"/>
      <c r="BK217" s="330"/>
      <c r="BL217" s="330"/>
      <c r="BM217" s="330"/>
      <c r="BN217" s="330"/>
      <c r="BO217" s="330"/>
      <c r="BP217" s="330"/>
      <c r="BQ217" s="330"/>
      <c r="BR217" s="330"/>
      <c r="BS217" s="330"/>
      <c r="BT217" s="330"/>
      <c r="BU217" s="330"/>
      <c r="BV217" s="330"/>
      <c r="BW217" s="330"/>
      <c r="BX217" s="330"/>
    </row>
    <row r="218" spans="2:76" s="28" customFormat="1">
      <c r="B218" s="136"/>
      <c r="D218" s="222"/>
      <c r="E218" s="29"/>
      <c r="G218" s="293"/>
      <c r="H218" s="294"/>
      <c r="I218" s="294"/>
      <c r="J218" s="294"/>
      <c r="K218" s="294"/>
      <c r="L218" s="294"/>
      <c r="O218" s="338"/>
      <c r="AI218" s="31"/>
      <c r="AJ218" s="31"/>
      <c r="AK218" s="32"/>
      <c r="AL218" s="33"/>
      <c r="AM218" s="32"/>
      <c r="AN218" s="33"/>
      <c r="AO218" s="32"/>
      <c r="AP218" s="32"/>
      <c r="AQ218" s="136"/>
      <c r="AR218" s="136"/>
      <c r="AS218" s="136"/>
      <c r="AT218" s="136"/>
      <c r="AU218" s="136"/>
      <c r="AV218" s="136"/>
      <c r="AW218" s="136"/>
      <c r="AX218" s="136"/>
      <c r="AY218" s="136"/>
      <c r="AZ218" s="136"/>
      <c r="BA218" s="136"/>
      <c r="BB218" s="136"/>
      <c r="BC218" s="330"/>
      <c r="BD218" s="330"/>
      <c r="BE218" s="330"/>
      <c r="BF218" s="330"/>
      <c r="BG218" s="330"/>
      <c r="BH218" s="330"/>
      <c r="BI218" s="330"/>
      <c r="BJ218" s="330"/>
      <c r="BK218" s="330"/>
      <c r="BL218" s="330"/>
      <c r="BM218" s="330"/>
      <c r="BN218" s="330"/>
      <c r="BO218" s="330"/>
      <c r="BP218" s="330"/>
      <c r="BQ218" s="330"/>
      <c r="BR218" s="330"/>
      <c r="BS218" s="330"/>
      <c r="BT218" s="330"/>
      <c r="BU218" s="330"/>
      <c r="BV218" s="330"/>
      <c r="BW218" s="330"/>
      <c r="BX218" s="330"/>
    </row>
    <row r="219" spans="2:76" s="28" customFormat="1">
      <c r="B219" s="136"/>
      <c r="D219" s="222"/>
      <c r="E219" s="29"/>
      <c r="G219" s="293"/>
      <c r="H219" s="294"/>
      <c r="I219" s="294"/>
      <c r="J219" s="294"/>
      <c r="K219" s="294"/>
      <c r="L219" s="294"/>
      <c r="O219" s="335"/>
      <c r="AI219" s="31"/>
      <c r="AJ219" s="31"/>
      <c r="AK219" s="32"/>
      <c r="AL219" s="33"/>
      <c r="AM219" s="32"/>
      <c r="AN219" s="33"/>
      <c r="AO219" s="32"/>
      <c r="AP219" s="32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330"/>
      <c r="BD219" s="330"/>
      <c r="BE219" s="330"/>
      <c r="BF219" s="330"/>
      <c r="BG219" s="330"/>
      <c r="BH219" s="330"/>
      <c r="BI219" s="330"/>
      <c r="BJ219" s="330"/>
      <c r="BK219" s="330"/>
      <c r="BL219" s="330"/>
      <c r="BM219" s="330"/>
      <c r="BN219" s="330"/>
      <c r="BO219" s="330"/>
      <c r="BP219" s="330"/>
      <c r="BQ219" s="330"/>
      <c r="BR219" s="330"/>
      <c r="BS219" s="330"/>
      <c r="BT219" s="330"/>
      <c r="BU219" s="330"/>
      <c r="BV219" s="330"/>
      <c r="BW219" s="330"/>
      <c r="BX219" s="330"/>
    </row>
    <row r="220" spans="2:76" s="28" customFormat="1">
      <c r="B220" s="136"/>
      <c r="D220" s="222"/>
      <c r="E220" s="29"/>
      <c r="G220" s="293"/>
      <c r="H220" s="294"/>
      <c r="I220" s="294"/>
      <c r="J220" s="294"/>
      <c r="K220" s="294"/>
      <c r="L220" s="294"/>
      <c r="O220" s="335"/>
      <c r="AI220" s="31"/>
      <c r="AJ220" s="31"/>
      <c r="AK220" s="32"/>
      <c r="AL220" s="33"/>
      <c r="AM220" s="32"/>
      <c r="AN220" s="33"/>
      <c r="AO220" s="32"/>
      <c r="AP220" s="32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330"/>
      <c r="BD220" s="330"/>
      <c r="BE220" s="330"/>
      <c r="BF220" s="330"/>
      <c r="BG220" s="330"/>
      <c r="BH220" s="330"/>
      <c r="BI220" s="330"/>
      <c r="BJ220" s="330"/>
      <c r="BK220" s="330"/>
      <c r="BL220" s="330"/>
      <c r="BM220" s="330"/>
      <c r="BN220" s="330"/>
      <c r="BO220" s="330"/>
      <c r="BP220" s="330"/>
      <c r="BQ220" s="330"/>
      <c r="BR220" s="330"/>
      <c r="BS220" s="330"/>
      <c r="BT220" s="330"/>
      <c r="BU220" s="330"/>
      <c r="BV220" s="330"/>
      <c r="BW220" s="330"/>
      <c r="BX220" s="330"/>
    </row>
    <row r="221" spans="2:76" s="28" customFormat="1">
      <c r="B221" s="136"/>
      <c r="D221" s="222"/>
      <c r="E221" s="29"/>
      <c r="G221" s="293"/>
      <c r="H221" s="294"/>
      <c r="I221" s="294"/>
      <c r="J221" s="294"/>
      <c r="K221" s="294"/>
      <c r="L221" s="294"/>
      <c r="O221" s="335"/>
      <c r="AI221" s="31"/>
      <c r="AJ221" s="31"/>
      <c r="AK221" s="32"/>
      <c r="AL221" s="33"/>
      <c r="AM221" s="32"/>
      <c r="AN221" s="33"/>
      <c r="AO221" s="32"/>
      <c r="AP221" s="32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330"/>
      <c r="BD221" s="330"/>
      <c r="BE221" s="330"/>
      <c r="BF221" s="330"/>
      <c r="BG221" s="330"/>
      <c r="BH221" s="330"/>
      <c r="BI221" s="330"/>
      <c r="BJ221" s="330"/>
      <c r="BK221" s="330"/>
      <c r="BL221" s="330"/>
      <c r="BM221" s="330"/>
      <c r="BN221" s="330"/>
      <c r="BO221" s="330"/>
      <c r="BP221" s="330"/>
      <c r="BQ221" s="330"/>
      <c r="BR221" s="330"/>
      <c r="BS221" s="330"/>
      <c r="BT221" s="330"/>
      <c r="BU221" s="330"/>
      <c r="BV221" s="330"/>
      <c r="BW221" s="330"/>
      <c r="BX221" s="330"/>
    </row>
    <row r="222" spans="2:76" s="28" customFormat="1">
      <c r="B222" s="136"/>
      <c r="D222" s="222"/>
      <c r="E222" s="29"/>
      <c r="G222" s="293"/>
      <c r="H222" s="294"/>
      <c r="I222" s="294"/>
      <c r="J222" s="294"/>
      <c r="K222" s="294"/>
      <c r="L222" s="294"/>
      <c r="O222" s="338"/>
      <c r="AI222" s="31"/>
      <c r="AJ222" s="31"/>
      <c r="AK222" s="32"/>
      <c r="AL222" s="33"/>
      <c r="AM222" s="32"/>
      <c r="AN222" s="33"/>
      <c r="AO222" s="32"/>
      <c r="AP222" s="32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330"/>
      <c r="BD222" s="330"/>
      <c r="BE222" s="330"/>
      <c r="BF222" s="330"/>
      <c r="BG222" s="330"/>
      <c r="BH222" s="330"/>
      <c r="BI222" s="330"/>
      <c r="BJ222" s="330"/>
      <c r="BK222" s="330"/>
      <c r="BL222" s="330"/>
      <c r="BM222" s="330"/>
      <c r="BN222" s="330"/>
      <c r="BO222" s="330"/>
      <c r="BP222" s="330"/>
      <c r="BQ222" s="330"/>
      <c r="BR222" s="330"/>
      <c r="BS222" s="330"/>
      <c r="BT222" s="330"/>
      <c r="BU222" s="330"/>
      <c r="BV222" s="330"/>
      <c r="BW222" s="330"/>
      <c r="BX222" s="330"/>
    </row>
    <row r="223" spans="2:76" s="28" customFormat="1">
      <c r="B223" s="136"/>
      <c r="D223" s="222"/>
      <c r="E223" s="29"/>
      <c r="G223" s="293"/>
      <c r="H223" s="294"/>
      <c r="I223" s="294"/>
      <c r="J223" s="294"/>
      <c r="K223" s="294"/>
      <c r="L223" s="294"/>
      <c r="O223" s="334"/>
      <c r="AI223" s="31"/>
      <c r="AJ223" s="31"/>
      <c r="AK223" s="32"/>
      <c r="AL223" s="33"/>
      <c r="AM223" s="32"/>
      <c r="AN223" s="33"/>
      <c r="AO223" s="32"/>
      <c r="AP223" s="32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330"/>
      <c r="BD223" s="330"/>
      <c r="BE223" s="330"/>
      <c r="BF223" s="330"/>
      <c r="BG223" s="330"/>
      <c r="BH223" s="330"/>
      <c r="BI223" s="330"/>
      <c r="BJ223" s="330"/>
      <c r="BK223" s="330"/>
      <c r="BL223" s="330"/>
      <c r="BM223" s="330"/>
      <c r="BN223" s="330"/>
      <c r="BO223" s="330"/>
      <c r="BP223" s="330"/>
      <c r="BQ223" s="330"/>
      <c r="BR223" s="330"/>
      <c r="BS223" s="330"/>
      <c r="BT223" s="330"/>
      <c r="BU223" s="330"/>
      <c r="BV223" s="330"/>
      <c r="BW223" s="330"/>
      <c r="BX223" s="330"/>
    </row>
    <row r="224" spans="2:76" s="28" customFormat="1">
      <c r="B224" s="136"/>
      <c r="D224" s="222"/>
      <c r="E224" s="29"/>
      <c r="G224" s="293"/>
      <c r="H224" s="294"/>
      <c r="I224" s="294"/>
      <c r="J224" s="294"/>
      <c r="K224" s="294"/>
      <c r="L224" s="294"/>
      <c r="O224" s="336"/>
      <c r="AI224" s="31"/>
      <c r="AJ224" s="31"/>
      <c r="AK224" s="32"/>
      <c r="AL224" s="33"/>
      <c r="AM224" s="32"/>
      <c r="AN224" s="33"/>
      <c r="AO224" s="32"/>
      <c r="AP224" s="32"/>
      <c r="AQ224" s="136"/>
      <c r="AR224" s="136"/>
      <c r="AS224" s="136"/>
      <c r="AT224" s="136"/>
      <c r="AU224" s="136"/>
      <c r="AV224" s="136"/>
      <c r="AW224" s="136"/>
      <c r="AX224" s="136"/>
      <c r="AY224" s="136"/>
      <c r="AZ224" s="136"/>
      <c r="BA224" s="136"/>
      <c r="BB224" s="136"/>
      <c r="BC224" s="330"/>
      <c r="BD224" s="330"/>
      <c r="BE224" s="330"/>
      <c r="BF224" s="330"/>
      <c r="BG224" s="330"/>
      <c r="BH224" s="330"/>
      <c r="BI224" s="330"/>
      <c r="BJ224" s="330"/>
      <c r="BK224" s="330"/>
      <c r="BL224" s="330"/>
      <c r="BM224" s="330"/>
      <c r="BN224" s="330"/>
      <c r="BO224" s="330"/>
      <c r="BP224" s="330"/>
      <c r="BQ224" s="330"/>
      <c r="BR224" s="330"/>
      <c r="BS224" s="330"/>
      <c r="BT224" s="330"/>
      <c r="BU224" s="330"/>
      <c r="BV224" s="330"/>
      <c r="BW224" s="330"/>
      <c r="BX224" s="330"/>
    </row>
    <row r="225" spans="2:76" s="28" customFormat="1">
      <c r="B225" s="136"/>
      <c r="D225" s="222"/>
      <c r="E225" s="29"/>
      <c r="G225" s="293"/>
      <c r="H225" s="294"/>
      <c r="I225" s="294"/>
      <c r="J225" s="294"/>
      <c r="K225" s="294"/>
      <c r="L225" s="294"/>
      <c r="O225" s="335"/>
      <c r="AI225" s="31"/>
      <c r="AJ225" s="31"/>
      <c r="AK225" s="32"/>
      <c r="AL225" s="33"/>
      <c r="AM225" s="32"/>
      <c r="AN225" s="33"/>
      <c r="AO225" s="32"/>
      <c r="AP225" s="32"/>
      <c r="AQ225" s="136"/>
      <c r="AR225" s="136"/>
      <c r="AS225" s="136"/>
      <c r="AT225" s="136"/>
      <c r="AU225" s="136"/>
      <c r="AV225" s="136"/>
      <c r="AW225" s="136"/>
      <c r="AX225" s="136"/>
      <c r="AY225" s="136"/>
      <c r="AZ225" s="136"/>
      <c r="BA225" s="136"/>
      <c r="BB225" s="136"/>
      <c r="BC225" s="330"/>
      <c r="BD225" s="330"/>
      <c r="BE225" s="330"/>
      <c r="BF225" s="330"/>
      <c r="BG225" s="330"/>
      <c r="BH225" s="330"/>
      <c r="BI225" s="330"/>
      <c r="BJ225" s="330"/>
      <c r="BK225" s="330"/>
      <c r="BL225" s="330"/>
      <c r="BM225" s="330"/>
      <c r="BN225" s="330"/>
      <c r="BO225" s="330"/>
      <c r="BP225" s="330"/>
      <c r="BQ225" s="330"/>
      <c r="BR225" s="330"/>
      <c r="BS225" s="330"/>
      <c r="BT225" s="330"/>
      <c r="BU225" s="330"/>
      <c r="BV225" s="330"/>
      <c r="BW225" s="330"/>
      <c r="BX225" s="330"/>
    </row>
    <row r="226" spans="2:76" s="28" customFormat="1">
      <c r="B226" s="136"/>
      <c r="D226" s="222"/>
      <c r="E226" s="29"/>
      <c r="G226" s="293"/>
      <c r="H226" s="294"/>
      <c r="I226" s="294"/>
      <c r="J226" s="294"/>
      <c r="K226" s="294"/>
      <c r="L226" s="294"/>
      <c r="O226" s="335"/>
      <c r="AI226" s="31"/>
      <c r="AJ226" s="31"/>
      <c r="AK226" s="32"/>
      <c r="AL226" s="33"/>
      <c r="AM226" s="32"/>
      <c r="AN226" s="33"/>
      <c r="AO226" s="32"/>
      <c r="AP226" s="32"/>
      <c r="AQ226" s="136"/>
      <c r="AR226" s="136"/>
      <c r="AS226" s="136"/>
      <c r="AT226" s="136"/>
      <c r="AU226" s="136"/>
      <c r="AV226" s="136"/>
      <c r="AW226" s="136"/>
      <c r="AX226" s="136"/>
      <c r="AY226" s="136"/>
      <c r="AZ226" s="136"/>
      <c r="BA226" s="136"/>
      <c r="BB226" s="136"/>
      <c r="BC226" s="330"/>
      <c r="BD226" s="330"/>
      <c r="BE226" s="330"/>
      <c r="BF226" s="330"/>
      <c r="BG226" s="330"/>
      <c r="BH226" s="330"/>
      <c r="BI226" s="330"/>
      <c r="BJ226" s="330"/>
      <c r="BK226" s="330"/>
      <c r="BL226" s="330"/>
      <c r="BM226" s="330"/>
      <c r="BN226" s="330"/>
      <c r="BO226" s="330"/>
      <c r="BP226" s="330"/>
      <c r="BQ226" s="330"/>
      <c r="BR226" s="330"/>
      <c r="BS226" s="330"/>
      <c r="BT226" s="330"/>
      <c r="BU226" s="330"/>
      <c r="BV226" s="330"/>
      <c r="BW226" s="330"/>
      <c r="BX226" s="330"/>
    </row>
    <row r="227" spans="2:76" s="28" customFormat="1">
      <c r="B227" s="136"/>
      <c r="D227" s="222"/>
      <c r="E227" s="29"/>
      <c r="G227" s="293"/>
      <c r="H227" s="294"/>
      <c r="I227" s="294"/>
      <c r="J227" s="294"/>
      <c r="K227" s="294"/>
      <c r="L227" s="294"/>
      <c r="O227" s="335"/>
      <c r="AI227" s="31"/>
      <c r="AJ227" s="31"/>
      <c r="AK227" s="32"/>
      <c r="AL227" s="33"/>
      <c r="AM227" s="32"/>
      <c r="AN227" s="33"/>
      <c r="AO227" s="32"/>
      <c r="AP227" s="32"/>
      <c r="AQ227" s="136"/>
      <c r="AR227" s="136"/>
      <c r="AS227" s="136"/>
      <c r="AT227" s="136"/>
      <c r="AU227" s="136"/>
      <c r="AV227" s="136"/>
      <c r="AW227" s="136"/>
      <c r="AX227" s="136"/>
      <c r="AY227" s="136"/>
      <c r="AZ227" s="136"/>
      <c r="BA227" s="136"/>
      <c r="BB227" s="136"/>
      <c r="BC227" s="330"/>
      <c r="BD227" s="330"/>
      <c r="BE227" s="330"/>
      <c r="BF227" s="330"/>
      <c r="BG227" s="330"/>
      <c r="BH227" s="330"/>
      <c r="BI227" s="330"/>
      <c r="BJ227" s="330"/>
      <c r="BK227" s="330"/>
      <c r="BL227" s="330"/>
      <c r="BM227" s="330"/>
      <c r="BN227" s="330"/>
      <c r="BO227" s="330"/>
      <c r="BP227" s="330"/>
      <c r="BQ227" s="330"/>
      <c r="BR227" s="330"/>
      <c r="BS227" s="330"/>
      <c r="BT227" s="330"/>
      <c r="BU227" s="330"/>
      <c r="BV227" s="330"/>
      <c r="BW227" s="330"/>
      <c r="BX227" s="330"/>
    </row>
    <row r="228" spans="2:76" s="28" customFormat="1">
      <c r="B228" s="136"/>
      <c r="D228" s="222"/>
      <c r="E228" s="29"/>
      <c r="G228" s="293"/>
      <c r="H228" s="294"/>
      <c r="I228" s="294"/>
      <c r="J228" s="294"/>
      <c r="K228" s="294"/>
      <c r="L228" s="294"/>
      <c r="O228" s="335"/>
      <c r="AI228" s="31"/>
      <c r="AJ228" s="31"/>
      <c r="AK228" s="32"/>
      <c r="AL228" s="33"/>
      <c r="AM228" s="32"/>
      <c r="AN228" s="33"/>
      <c r="AO228" s="32"/>
      <c r="AP228" s="32"/>
      <c r="AQ228" s="136"/>
      <c r="AR228" s="136"/>
      <c r="AS228" s="136"/>
      <c r="AT228" s="136"/>
      <c r="AU228" s="136"/>
      <c r="AV228" s="136"/>
      <c r="AW228" s="136"/>
      <c r="AX228" s="136"/>
      <c r="AY228" s="136"/>
      <c r="AZ228" s="136"/>
      <c r="BA228" s="136"/>
      <c r="BB228" s="136"/>
      <c r="BC228" s="330"/>
      <c r="BD228" s="330"/>
      <c r="BE228" s="330"/>
      <c r="BF228" s="330"/>
      <c r="BG228" s="330"/>
      <c r="BH228" s="330"/>
      <c r="BI228" s="330"/>
      <c r="BJ228" s="330"/>
      <c r="BK228" s="330"/>
      <c r="BL228" s="330"/>
      <c r="BM228" s="330"/>
      <c r="BN228" s="330"/>
      <c r="BO228" s="330"/>
      <c r="BP228" s="330"/>
      <c r="BQ228" s="330"/>
      <c r="BR228" s="330"/>
      <c r="BS228" s="330"/>
      <c r="BT228" s="330"/>
      <c r="BU228" s="330"/>
      <c r="BV228" s="330"/>
      <c r="BW228" s="330"/>
      <c r="BX228" s="330"/>
    </row>
    <row r="229" spans="2:76" s="28" customFormat="1">
      <c r="B229" s="136"/>
      <c r="D229" s="222"/>
      <c r="E229" s="29"/>
      <c r="G229" s="293"/>
      <c r="H229" s="294"/>
      <c r="I229" s="294"/>
      <c r="J229" s="294"/>
      <c r="K229" s="294"/>
      <c r="L229" s="294"/>
      <c r="O229" s="335"/>
      <c r="AI229" s="31"/>
      <c r="AJ229" s="31"/>
      <c r="AK229" s="32"/>
      <c r="AL229" s="33"/>
      <c r="AM229" s="32"/>
      <c r="AN229" s="33"/>
      <c r="AO229" s="32"/>
      <c r="AP229" s="32"/>
      <c r="AQ229" s="136"/>
      <c r="AR229" s="136"/>
      <c r="AS229" s="136"/>
      <c r="AT229" s="136"/>
      <c r="AU229" s="136"/>
      <c r="AV229" s="136"/>
      <c r="AW229" s="136"/>
      <c r="AX229" s="136"/>
      <c r="AY229" s="136"/>
      <c r="AZ229" s="136"/>
      <c r="BA229" s="136"/>
      <c r="BB229" s="136"/>
      <c r="BC229" s="330"/>
      <c r="BD229" s="330"/>
      <c r="BE229" s="330"/>
      <c r="BF229" s="330"/>
      <c r="BG229" s="330"/>
      <c r="BH229" s="330"/>
      <c r="BI229" s="330"/>
      <c r="BJ229" s="330"/>
      <c r="BK229" s="330"/>
      <c r="BL229" s="330"/>
      <c r="BM229" s="330"/>
      <c r="BN229" s="330"/>
      <c r="BO229" s="330"/>
      <c r="BP229" s="330"/>
      <c r="BQ229" s="330"/>
      <c r="BR229" s="330"/>
      <c r="BS229" s="330"/>
      <c r="BT229" s="330"/>
      <c r="BU229" s="330"/>
      <c r="BV229" s="330"/>
      <c r="BW229" s="330"/>
      <c r="BX229" s="330"/>
    </row>
    <row r="230" spans="2:76" s="28" customFormat="1">
      <c r="B230" s="136"/>
      <c r="D230" s="222"/>
      <c r="E230" s="29"/>
      <c r="G230" s="293"/>
      <c r="H230" s="294"/>
      <c r="I230" s="294"/>
      <c r="J230" s="294"/>
      <c r="K230" s="294"/>
      <c r="L230" s="294"/>
      <c r="O230" s="335"/>
      <c r="AI230" s="31"/>
      <c r="AJ230" s="31"/>
      <c r="AK230" s="32"/>
      <c r="AL230" s="33"/>
      <c r="AM230" s="32"/>
      <c r="AN230" s="33"/>
      <c r="AO230" s="32"/>
      <c r="AP230" s="32"/>
      <c r="AQ230" s="136"/>
      <c r="AR230" s="136"/>
      <c r="AS230" s="136"/>
      <c r="AT230" s="136"/>
      <c r="AU230" s="136"/>
      <c r="AV230" s="136"/>
      <c r="AW230" s="136"/>
      <c r="AX230" s="136"/>
      <c r="AY230" s="136"/>
      <c r="AZ230" s="136"/>
      <c r="BA230" s="136"/>
      <c r="BB230" s="136"/>
      <c r="BC230" s="330"/>
      <c r="BD230" s="330"/>
      <c r="BE230" s="330"/>
      <c r="BF230" s="330"/>
      <c r="BG230" s="330"/>
      <c r="BH230" s="330"/>
      <c r="BI230" s="330"/>
      <c r="BJ230" s="330"/>
      <c r="BK230" s="330"/>
      <c r="BL230" s="330"/>
      <c r="BM230" s="330"/>
      <c r="BN230" s="330"/>
      <c r="BO230" s="330"/>
      <c r="BP230" s="330"/>
      <c r="BQ230" s="330"/>
      <c r="BR230" s="330"/>
      <c r="BS230" s="330"/>
      <c r="BT230" s="330"/>
      <c r="BU230" s="330"/>
      <c r="BV230" s="330"/>
      <c r="BW230" s="330"/>
      <c r="BX230" s="330"/>
    </row>
    <row r="231" spans="2:76" s="28" customFormat="1">
      <c r="B231" s="136"/>
      <c r="D231" s="222"/>
      <c r="E231" s="29"/>
      <c r="G231" s="293"/>
      <c r="H231" s="294"/>
      <c r="I231" s="294"/>
      <c r="J231" s="294"/>
      <c r="K231" s="294"/>
      <c r="L231" s="294"/>
      <c r="O231" s="335"/>
      <c r="AI231" s="31"/>
      <c r="AJ231" s="31"/>
      <c r="AK231" s="32"/>
      <c r="AL231" s="33"/>
      <c r="AM231" s="32"/>
      <c r="AN231" s="33"/>
      <c r="AO231" s="32"/>
      <c r="AP231" s="32"/>
      <c r="AQ231" s="136"/>
      <c r="AR231" s="136"/>
      <c r="AS231" s="136"/>
      <c r="AT231" s="136"/>
      <c r="AU231" s="136"/>
      <c r="AV231" s="136"/>
      <c r="AW231" s="136"/>
      <c r="AX231" s="136"/>
      <c r="AY231" s="136"/>
      <c r="AZ231" s="136"/>
      <c r="BA231" s="136"/>
      <c r="BB231" s="136"/>
      <c r="BC231" s="330"/>
      <c r="BD231" s="330"/>
      <c r="BE231" s="330"/>
      <c r="BF231" s="330"/>
      <c r="BG231" s="330"/>
      <c r="BH231" s="330"/>
      <c r="BI231" s="330"/>
      <c r="BJ231" s="330"/>
      <c r="BK231" s="330"/>
      <c r="BL231" s="330"/>
      <c r="BM231" s="330"/>
      <c r="BN231" s="330"/>
      <c r="BO231" s="330"/>
      <c r="BP231" s="330"/>
      <c r="BQ231" s="330"/>
      <c r="BR231" s="330"/>
      <c r="BS231" s="330"/>
      <c r="BT231" s="330"/>
      <c r="BU231" s="330"/>
      <c r="BV231" s="330"/>
      <c r="BW231" s="330"/>
      <c r="BX231" s="330"/>
    </row>
    <row r="232" spans="2:76" s="28" customFormat="1">
      <c r="B232" s="136"/>
      <c r="D232" s="222"/>
      <c r="E232" s="29"/>
      <c r="G232" s="293"/>
      <c r="H232" s="294"/>
      <c r="I232" s="294"/>
      <c r="J232" s="294"/>
      <c r="K232" s="294"/>
      <c r="L232" s="294"/>
      <c r="O232" s="335"/>
      <c r="AI232" s="31"/>
      <c r="AJ232" s="31"/>
      <c r="AK232" s="32"/>
      <c r="AL232" s="33"/>
      <c r="AM232" s="32"/>
      <c r="AN232" s="33"/>
      <c r="AO232" s="32"/>
      <c r="AP232" s="32"/>
      <c r="AQ232" s="136"/>
      <c r="AR232" s="136"/>
      <c r="AS232" s="136"/>
      <c r="AT232" s="136"/>
      <c r="AU232" s="136"/>
      <c r="AV232" s="136"/>
      <c r="AW232" s="136"/>
      <c r="AX232" s="136"/>
      <c r="AY232" s="136"/>
      <c r="AZ232" s="136"/>
      <c r="BA232" s="136"/>
      <c r="BB232" s="136"/>
      <c r="BC232" s="330"/>
      <c r="BD232" s="330"/>
      <c r="BE232" s="330"/>
      <c r="BF232" s="330"/>
      <c r="BG232" s="330"/>
      <c r="BH232" s="330"/>
      <c r="BI232" s="330"/>
      <c r="BJ232" s="330"/>
      <c r="BK232" s="330"/>
      <c r="BL232" s="330"/>
      <c r="BM232" s="330"/>
      <c r="BN232" s="330"/>
      <c r="BO232" s="330"/>
      <c r="BP232" s="330"/>
      <c r="BQ232" s="330"/>
      <c r="BR232" s="330"/>
      <c r="BS232" s="330"/>
      <c r="BT232" s="330"/>
      <c r="BU232" s="330"/>
      <c r="BV232" s="330"/>
      <c r="BW232" s="330"/>
      <c r="BX232" s="330"/>
    </row>
    <row r="233" spans="2:76" s="28" customFormat="1">
      <c r="B233" s="136"/>
      <c r="D233" s="222"/>
      <c r="E233" s="29"/>
      <c r="G233" s="293"/>
      <c r="H233" s="294"/>
      <c r="I233" s="294"/>
      <c r="J233" s="294"/>
      <c r="K233" s="294"/>
      <c r="L233" s="294"/>
      <c r="O233" s="339"/>
      <c r="AI233" s="31"/>
      <c r="AJ233" s="31"/>
      <c r="AK233" s="32"/>
      <c r="AL233" s="33"/>
      <c r="AM233" s="32"/>
      <c r="AN233" s="33"/>
      <c r="AO233" s="32"/>
      <c r="AP233" s="32"/>
      <c r="AQ233" s="136"/>
      <c r="AR233" s="136"/>
      <c r="AS233" s="136"/>
      <c r="AT233" s="136"/>
      <c r="AU233" s="136"/>
      <c r="AV233" s="136"/>
      <c r="AW233" s="136"/>
      <c r="AX233" s="136"/>
      <c r="AY233" s="136"/>
      <c r="AZ233" s="136"/>
      <c r="BA233" s="136"/>
      <c r="BB233" s="136"/>
      <c r="BC233" s="330"/>
      <c r="BD233" s="330"/>
      <c r="BE233" s="330"/>
      <c r="BF233" s="330"/>
      <c r="BG233" s="330"/>
      <c r="BH233" s="330"/>
      <c r="BI233" s="330"/>
      <c r="BJ233" s="330"/>
      <c r="BK233" s="330"/>
      <c r="BL233" s="330"/>
      <c r="BM233" s="330"/>
      <c r="BN233" s="330"/>
      <c r="BO233" s="330"/>
      <c r="BP233" s="330"/>
      <c r="BQ233" s="330"/>
      <c r="BR233" s="330"/>
      <c r="BS233" s="330"/>
      <c r="BT233" s="330"/>
      <c r="BU233" s="330"/>
      <c r="BV233" s="330"/>
      <c r="BW233" s="330"/>
      <c r="BX233" s="330"/>
    </row>
    <row r="234" spans="2:76" s="28" customFormat="1">
      <c r="B234" s="136"/>
      <c r="D234" s="222"/>
      <c r="E234" s="29"/>
      <c r="G234" s="293"/>
      <c r="H234" s="294"/>
      <c r="I234" s="294"/>
      <c r="J234" s="294"/>
      <c r="K234" s="294"/>
      <c r="L234" s="294"/>
      <c r="O234" s="334"/>
      <c r="AI234" s="31"/>
      <c r="AJ234" s="31"/>
      <c r="AK234" s="32"/>
      <c r="AL234" s="33"/>
      <c r="AM234" s="32"/>
      <c r="AN234" s="33"/>
      <c r="AO234" s="32"/>
      <c r="AP234" s="32"/>
      <c r="AQ234" s="136"/>
      <c r="AR234" s="136"/>
      <c r="AS234" s="136"/>
      <c r="AT234" s="136"/>
      <c r="AU234" s="136"/>
      <c r="AV234" s="136"/>
      <c r="AW234" s="136"/>
      <c r="AX234" s="136"/>
      <c r="AY234" s="136"/>
      <c r="AZ234" s="136"/>
      <c r="BA234" s="136"/>
      <c r="BB234" s="136"/>
      <c r="BC234" s="330"/>
      <c r="BD234" s="330"/>
      <c r="BE234" s="330"/>
      <c r="BF234" s="330"/>
      <c r="BG234" s="330"/>
      <c r="BH234" s="330"/>
      <c r="BI234" s="330"/>
      <c r="BJ234" s="330"/>
      <c r="BK234" s="330"/>
      <c r="BL234" s="330"/>
      <c r="BM234" s="330"/>
      <c r="BN234" s="330"/>
      <c r="BO234" s="330"/>
      <c r="BP234" s="330"/>
      <c r="BQ234" s="330"/>
      <c r="BR234" s="330"/>
      <c r="BS234" s="330"/>
      <c r="BT234" s="330"/>
      <c r="BU234" s="330"/>
      <c r="BV234" s="330"/>
      <c r="BW234" s="330"/>
      <c r="BX234" s="330"/>
    </row>
    <row r="235" spans="2:76" s="28" customFormat="1">
      <c r="B235" s="136"/>
      <c r="D235" s="222"/>
      <c r="E235" s="29"/>
      <c r="G235" s="293"/>
      <c r="H235" s="294"/>
      <c r="I235" s="294"/>
      <c r="J235" s="294"/>
      <c r="K235" s="294"/>
      <c r="L235" s="294"/>
      <c r="O235" s="338"/>
      <c r="AI235" s="31"/>
      <c r="AJ235" s="31"/>
      <c r="AK235" s="32"/>
      <c r="AL235" s="33"/>
      <c r="AM235" s="32"/>
      <c r="AN235" s="33"/>
      <c r="AO235" s="32"/>
      <c r="AP235" s="32"/>
      <c r="AQ235" s="136"/>
      <c r="AR235" s="136"/>
      <c r="AS235" s="136"/>
      <c r="AT235" s="136"/>
      <c r="AU235" s="136"/>
      <c r="AV235" s="136"/>
      <c r="AW235" s="136"/>
      <c r="AX235" s="136"/>
      <c r="AY235" s="136"/>
      <c r="AZ235" s="136"/>
      <c r="BA235" s="136"/>
      <c r="BB235" s="136"/>
      <c r="BC235" s="330"/>
      <c r="BD235" s="330"/>
      <c r="BE235" s="330"/>
      <c r="BF235" s="330"/>
      <c r="BG235" s="330"/>
      <c r="BH235" s="330"/>
      <c r="BI235" s="330"/>
      <c r="BJ235" s="330"/>
      <c r="BK235" s="330"/>
      <c r="BL235" s="330"/>
      <c r="BM235" s="330"/>
      <c r="BN235" s="330"/>
      <c r="BO235" s="330"/>
      <c r="BP235" s="330"/>
      <c r="BQ235" s="330"/>
      <c r="BR235" s="330"/>
      <c r="BS235" s="330"/>
      <c r="BT235" s="330"/>
      <c r="BU235" s="330"/>
      <c r="BV235" s="330"/>
      <c r="BW235" s="330"/>
      <c r="BX235" s="330"/>
    </row>
    <row r="236" spans="2:76" s="28" customFormat="1">
      <c r="B236" s="136"/>
      <c r="D236" s="222"/>
      <c r="E236" s="29"/>
      <c r="G236" s="293"/>
      <c r="H236" s="294"/>
      <c r="I236" s="294"/>
      <c r="J236" s="294"/>
      <c r="K236" s="294"/>
      <c r="L236" s="294"/>
      <c r="O236" s="338"/>
      <c r="AI236" s="31"/>
      <c r="AJ236" s="31"/>
      <c r="AK236" s="32"/>
      <c r="AL236" s="33"/>
      <c r="AM236" s="32"/>
      <c r="AN236" s="33"/>
      <c r="AO236" s="32"/>
      <c r="AP236" s="32"/>
      <c r="AQ236" s="136"/>
      <c r="AR236" s="136"/>
      <c r="AS236" s="136"/>
      <c r="AT236" s="136"/>
      <c r="AU236" s="136"/>
      <c r="AV236" s="136"/>
      <c r="AW236" s="136"/>
      <c r="AX236" s="136"/>
      <c r="AY236" s="136"/>
      <c r="AZ236" s="136"/>
      <c r="BA236" s="136"/>
      <c r="BB236" s="136"/>
      <c r="BC236" s="330"/>
      <c r="BD236" s="330"/>
      <c r="BE236" s="330"/>
      <c r="BF236" s="330"/>
      <c r="BG236" s="330"/>
      <c r="BH236" s="330"/>
      <c r="BI236" s="330"/>
      <c r="BJ236" s="330"/>
      <c r="BK236" s="330"/>
      <c r="BL236" s="330"/>
      <c r="BM236" s="330"/>
      <c r="BN236" s="330"/>
      <c r="BO236" s="330"/>
      <c r="BP236" s="330"/>
      <c r="BQ236" s="330"/>
      <c r="BR236" s="330"/>
      <c r="BS236" s="330"/>
      <c r="BT236" s="330"/>
      <c r="BU236" s="330"/>
      <c r="BV236" s="330"/>
      <c r="BW236" s="330"/>
      <c r="BX236" s="330"/>
    </row>
    <row r="237" spans="2:76" s="28" customFormat="1">
      <c r="B237" s="136"/>
      <c r="D237" s="222"/>
      <c r="E237" s="29"/>
      <c r="G237" s="293"/>
      <c r="H237" s="294"/>
      <c r="I237" s="294"/>
      <c r="J237" s="294"/>
      <c r="K237" s="294"/>
      <c r="L237" s="294"/>
      <c r="O237" s="337"/>
      <c r="AI237" s="31"/>
      <c r="AJ237" s="31"/>
      <c r="AK237" s="32"/>
      <c r="AL237" s="33"/>
      <c r="AM237" s="32"/>
      <c r="AN237" s="33"/>
      <c r="AO237" s="32"/>
      <c r="AP237" s="32"/>
      <c r="AQ237" s="136"/>
      <c r="AR237" s="136"/>
      <c r="AS237" s="136"/>
      <c r="AT237" s="136"/>
      <c r="AU237" s="136"/>
      <c r="AV237" s="136"/>
      <c r="AW237" s="136"/>
      <c r="AX237" s="136"/>
      <c r="AY237" s="136"/>
      <c r="AZ237" s="136"/>
      <c r="BA237" s="136"/>
      <c r="BB237" s="136"/>
      <c r="BC237" s="330"/>
      <c r="BD237" s="330"/>
      <c r="BE237" s="330"/>
      <c r="BF237" s="330"/>
      <c r="BG237" s="330"/>
      <c r="BH237" s="330"/>
      <c r="BI237" s="330"/>
      <c r="BJ237" s="330"/>
      <c r="BK237" s="330"/>
      <c r="BL237" s="330"/>
      <c r="BM237" s="330"/>
      <c r="BN237" s="330"/>
      <c r="BO237" s="330"/>
      <c r="BP237" s="330"/>
      <c r="BQ237" s="330"/>
      <c r="BR237" s="330"/>
      <c r="BS237" s="330"/>
      <c r="BT237" s="330"/>
      <c r="BU237" s="330"/>
      <c r="BV237" s="330"/>
      <c r="BW237" s="330"/>
      <c r="BX237" s="330"/>
    </row>
    <row r="238" spans="2:76" s="28" customFormat="1">
      <c r="B238" s="136"/>
      <c r="D238" s="222"/>
      <c r="E238" s="29"/>
      <c r="G238" s="293"/>
      <c r="H238" s="294"/>
      <c r="I238" s="294"/>
      <c r="J238" s="294"/>
      <c r="K238" s="294"/>
      <c r="L238" s="294"/>
      <c r="O238" s="338"/>
      <c r="AI238" s="31"/>
      <c r="AJ238" s="31"/>
      <c r="AK238" s="32"/>
      <c r="AL238" s="33"/>
      <c r="AM238" s="32"/>
      <c r="AN238" s="33"/>
      <c r="AO238" s="32"/>
      <c r="AP238" s="32"/>
      <c r="AQ238" s="136"/>
      <c r="AR238" s="136"/>
      <c r="AS238" s="136"/>
      <c r="AT238" s="136"/>
      <c r="AU238" s="136"/>
      <c r="AV238" s="136"/>
      <c r="AW238" s="136"/>
      <c r="AX238" s="136"/>
      <c r="AY238" s="136"/>
      <c r="AZ238" s="136"/>
      <c r="BA238" s="136"/>
      <c r="BB238" s="136"/>
      <c r="BC238" s="330"/>
      <c r="BD238" s="330"/>
      <c r="BE238" s="330"/>
      <c r="BF238" s="330"/>
      <c r="BG238" s="330"/>
      <c r="BH238" s="330"/>
      <c r="BI238" s="330"/>
      <c r="BJ238" s="330"/>
      <c r="BK238" s="330"/>
      <c r="BL238" s="330"/>
      <c r="BM238" s="330"/>
      <c r="BN238" s="330"/>
      <c r="BO238" s="330"/>
      <c r="BP238" s="330"/>
      <c r="BQ238" s="330"/>
      <c r="BR238" s="330"/>
      <c r="BS238" s="330"/>
      <c r="BT238" s="330"/>
      <c r="BU238" s="330"/>
      <c r="BV238" s="330"/>
      <c r="BW238" s="330"/>
      <c r="BX238" s="330"/>
    </row>
    <row r="239" spans="2:76" s="28" customFormat="1">
      <c r="B239" s="136"/>
      <c r="D239" s="222"/>
      <c r="E239" s="29"/>
      <c r="G239" s="293"/>
      <c r="H239" s="294"/>
      <c r="I239" s="294"/>
      <c r="J239" s="294"/>
      <c r="K239" s="294"/>
      <c r="L239" s="294"/>
      <c r="O239" s="337"/>
      <c r="AI239" s="31"/>
      <c r="AJ239" s="31"/>
      <c r="AK239" s="32"/>
      <c r="AL239" s="33"/>
      <c r="AM239" s="32"/>
      <c r="AN239" s="33"/>
      <c r="AO239" s="32"/>
      <c r="AP239" s="32"/>
      <c r="AQ239" s="136"/>
      <c r="AR239" s="136"/>
      <c r="AS239" s="136"/>
      <c r="AT239" s="136"/>
      <c r="AU239" s="136"/>
      <c r="AV239" s="136"/>
      <c r="AW239" s="136"/>
      <c r="AX239" s="136"/>
      <c r="AY239" s="136"/>
      <c r="AZ239" s="136"/>
      <c r="BA239" s="136"/>
      <c r="BB239" s="136"/>
      <c r="BC239" s="330"/>
      <c r="BD239" s="330"/>
      <c r="BE239" s="330"/>
      <c r="BF239" s="330"/>
      <c r="BG239" s="330"/>
      <c r="BH239" s="330"/>
      <c r="BI239" s="330"/>
      <c r="BJ239" s="330"/>
      <c r="BK239" s="330"/>
      <c r="BL239" s="330"/>
      <c r="BM239" s="330"/>
      <c r="BN239" s="330"/>
      <c r="BO239" s="330"/>
      <c r="BP239" s="330"/>
      <c r="BQ239" s="330"/>
      <c r="BR239" s="330"/>
      <c r="BS239" s="330"/>
      <c r="BT239" s="330"/>
      <c r="BU239" s="330"/>
      <c r="BV239" s="330"/>
      <c r="BW239" s="330"/>
      <c r="BX239" s="330"/>
    </row>
    <row r="240" spans="2:76" s="28" customFormat="1">
      <c r="B240" s="136"/>
      <c r="D240" s="222"/>
      <c r="E240" s="29"/>
      <c r="G240" s="293"/>
      <c r="H240" s="294"/>
      <c r="I240" s="294"/>
      <c r="J240" s="294"/>
      <c r="K240" s="294"/>
      <c r="L240" s="294"/>
      <c r="O240" s="339"/>
      <c r="AI240" s="31"/>
      <c r="AJ240" s="31"/>
      <c r="AK240" s="32"/>
      <c r="AL240" s="33"/>
      <c r="AM240" s="32"/>
      <c r="AN240" s="33"/>
      <c r="AO240" s="32"/>
      <c r="AP240" s="32"/>
      <c r="AQ240" s="136"/>
      <c r="AR240" s="136"/>
      <c r="AS240" s="136"/>
      <c r="AT240" s="136"/>
      <c r="AU240" s="136"/>
      <c r="AV240" s="136"/>
      <c r="AW240" s="136"/>
      <c r="AX240" s="136"/>
      <c r="AY240" s="136"/>
      <c r="AZ240" s="136"/>
      <c r="BA240" s="136"/>
      <c r="BB240" s="136"/>
      <c r="BC240" s="330"/>
      <c r="BD240" s="330"/>
      <c r="BE240" s="330"/>
      <c r="BF240" s="330"/>
      <c r="BG240" s="330"/>
      <c r="BH240" s="330"/>
      <c r="BI240" s="330"/>
      <c r="BJ240" s="330"/>
      <c r="BK240" s="330"/>
      <c r="BL240" s="330"/>
      <c r="BM240" s="330"/>
      <c r="BN240" s="330"/>
      <c r="BO240" s="330"/>
      <c r="BP240" s="330"/>
      <c r="BQ240" s="330"/>
      <c r="BR240" s="330"/>
      <c r="BS240" s="330"/>
      <c r="BT240" s="330"/>
      <c r="BU240" s="330"/>
      <c r="BV240" s="330"/>
      <c r="BW240" s="330"/>
      <c r="BX240" s="330"/>
    </row>
    <row r="241" spans="2:76" s="28" customFormat="1">
      <c r="B241" s="136"/>
      <c r="D241" s="222"/>
      <c r="E241" s="29"/>
      <c r="G241" s="293"/>
      <c r="H241" s="294"/>
      <c r="I241" s="294"/>
      <c r="J241" s="294"/>
      <c r="K241" s="294"/>
      <c r="L241" s="294"/>
      <c r="O241" s="339"/>
      <c r="AI241" s="31"/>
      <c r="AJ241" s="31"/>
      <c r="AK241" s="32"/>
      <c r="AL241" s="33"/>
      <c r="AM241" s="32"/>
      <c r="AN241" s="33"/>
      <c r="AO241" s="32"/>
      <c r="AP241" s="32"/>
      <c r="AQ241" s="136"/>
      <c r="AR241" s="136"/>
      <c r="AS241" s="136"/>
      <c r="AT241" s="136"/>
      <c r="AU241" s="136"/>
      <c r="AV241" s="136"/>
      <c r="AW241" s="136"/>
      <c r="AX241" s="136"/>
      <c r="AY241" s="136"/>
      <c r="AZ241" s="136"/>
      <c r="BA241" s="136"/>
      <c r="BB241" s="136"/>
      <c r="BC241" s="330"/>
      <c r="BD241" s="330"/>
      <c r="BE241" s="330"/>
      <c r="BF241" s="330"/>
      <c r="BG241" s="330"/>
      <c r="BH241" s="330"/>
      <c r="BI241" s="330"/>
      <c r="BJ241" s="330"/>
      <c r="BK241" s="330"/>
      <c r="BL241" s="330"/>
      <c r="BM241" s="330"/>
      <c r="BN241" s="330"/>
      <c r="BO241" s="330"/>
      <c r="BP241" s="330"/>
      <c r="BQ241" s="330"/>
      <c r="BR241" s="330"/>
      <c r="BS241" s="330"/>
      <c r="BT241" s="330"/>
      <c r="BU241" s="330"/>
      <c r="BV241" s="330"/>
      <c r="BW241" s="330"/>
      <c r="BX241" s="330"/>
    </row>
    <row r="242" spans="2:76" s="28" customFormat="1">
      <c r="B242" s="136"/>
      <c r="D242" s="222"/>
      <c r="E242" s="29"/>
      <c r="G242" s="293"/>
      <c r="H242" s="294"/>
      <c r="I242" s="294"/>
      <c r="J242" s="294"/>
      <c r="K242" s="294"/>
      <c r="L242" s="294"/>
      <c r="O242" s="335"/>
      <c r="AI242" s="31"/>
      <c r="AJ242" s="31"/>
      <c r="AK242" s="32"/>
      <c r="AL242" s="33"/>
      <c r="AM242" s="32"/>
      <c r="AN242" s="33"/>
      <c r="AO242" s="32"/>
      <c r="AP242" s="32"/>
      <c r="AQ242" s="136"/>
      <c r="AR242" s="136"/>
      <c r="AS242" s="136"/>
      <c r="AT242" s="136"/>
      <c r="AU242" s="136"/>
      <c r="AV242" s="136"/>
      <c r="AW242" s="136"/>
      <c r="AX242" s="136"/>
      <c r="AY242" s="136"/>
      <c r="AZ242" s="136"/>
      <c r="BA242" s="136"/>
      <c r="BB242" s="136"/>
      <c r="BC242" s="330"/>
      <c r="BD242" s="330"/>
      <c r="BE242" s="330"/>
      <c r="BF242" s="330"/>
      <c r="BG242" s="330"/>
      <c r="BH242" s="330"/>
      <c r="BI242" s="330"/>
      <c r="BJ242" s="330"/>
      <c r="BK242" s="330"/>
      <c r="BL242" s="330"/>
      <c r="BM242" s="330"/>
      <c r="BN242" s="330"/>
      <c r="BO242" s="330"/>
      <c r="BP242" s="330"/>
      <c r="BQ242" s="330"/>
      <c r="BR242" s="330"/>
      <c r="BS242" s="330"/>
      <c r="BT242" s="330"/>
      <c r="BU242" s="330"/>
      <c r="BV242" s="330"/>
      <c r="BW242" s="330"/>
      <c r="BX242" s="330"/>
    </row>
    <row r="243" spans="2:76" s="28" customFormat="1">
      <c r="B243" s="136"/>
      <c r="D243" s="222"/>
      <c r="E243" s="29"/>
      <c r="G243" s="293"/>
      <c r="H243" s="294"/>
      <c r="I243" s="294"/>
      <c r="J243" s="294"/>
      <c r="K243" s="294"/>
      <c r="L243" s="294"/>
      <c r="O243" s="335"/>
      <c r="AI243" s="31"/>
      <c r="AJ243" s="31"/>
      <c r="AK243" s="32"/>
      <c r="AL243" s="33"/>
      <c r="AM243" s="32"/>
      <c r="AN243" s="33"/>
      <c r="AO243" s="32"/>
      <c r="AP243" s="32"/>
      <c r="AQ243" s="136"/>
      <c r="AR243" s="136"/>
      <c r="AS243" s="136"/>
      <c r="AT243" s="136"/>
      <c r="AU243" s="136"/>
      <c r="AV243" s="136"/>
      <c r="AW243" s="136"/>
      <c r="AX243" s="136"/>
      <c r="AY243" s="136"/>
      <c r="AZ243" s="136"/>
      <c r="BA243" s="136"/>
      <c r="BB243" s="136"/>
      <c r="BC243" s="330"/>
      <c r="BD243" s="330"/>
      <c r="BE243" s="330"/>
      <c r="BF243" s="330"/>
      <c r="BG243" s="330"/>
      <c r="BH243" s="330"/>
      <c r="BI243" s="330"/>
      <c r="BJ243" s="330"/>
      <c r="BK243" s="330"/>
      <c r="BL243" s="330"/>
      <c r="BM243" s="330"/>
      <c r="BN243" s="330"/>
      <c r="BO243" s="330"/>
      <c r="BP243" s="330"/>
      <c r="BQ243" s="330"/>
      <c r="BR243" s="330"/>
      <c r="BS243" s="330"/>
      <c r="BT243" s="330"/>
      <c r="BU243" s="330"/>
      <c r="BV243" s="330"/>
      <c r="BW243" s="330"/>
      <c r="BX243" s="330"/>
    </row>
    <row r="244" spans="2:76" s="28" customFormat="1">
      <c r="B244" s="136"/>
      <c r="D244" s="222"/>
      <c r="E244" s="29"/>
      <c r="G244" s="293"/>
      <c r="H244" s="294"/>
      <c r="I244" s="294"/>
      <c r="J244" s="294"/>
      <c r="K244" s="294"/>
      <c r="L244" s="294"/>
      <c r="O244" s="338"/>
      <c r="AI244" s="31"/>
      <c r="AJ244" s="31"/>
      <c r="AK244" s="32"/>
      <c r="AL244" s="33"/>
      <c r="AM244" s="32"/>
      <c r="AN244" s="33"/>
      <c r="AO244" s="32"/>
      <c r="AP244" s="32"/>
      <c r="AQ244" s="136"/>
      <c r="AR244" s="136"/>
      <c r="AS244" s="136"/>
      <c r="AT244" s="136"/>
      <c r="AU244" s="136"/>
      <c r="AV244" s="136"/>
      <c r="AW244" s="136"/>
      <c r="AX244" s="136"/>
      <c r="AY244" s="136"/>
      <c r="AZ244" s="136"/>
      <c r="BA244" s="136"/>
      <c r="BB244" s="136"/>
      <c r="BC244" s="330"/>
      <c r="BD244" s="330"/>
      <c r="BE244" s="330"/>
      <c r="BF244" s="330"/>
      <c r="BG244" s="330"/>
      <c r="BH244" s="330"/>
      <c r="BI244" s="330"/>
      <c r="BJ244" s="330"/>
      <c r="BK244" s="330"/>
      <c r="BL244" s="330"/>
      <c r="BM244" s="330"/>
      <c r="BN244" s="330"/>
      <c r="BO244" s="330"/>
      <c r="BP244" s="330"/>
      <c r="BQ244" s="330"/>
      <c r="BR244" s="330"/>
      <c r="BS244" s="330"/>
      <c r="BT244" s="330"/>
      <c r="BU244" s="330"/>
      <c r="BV244" s="330"/>
      <c r="BW244" s="330"/>
      <c r="BX244" s="330"/>
    </row>
    <row r="245" spans="2:76" s="28" customFormat="1">
      <c r="B245" s="136"/>
      <c r="D245" s="222"/>
      <c r="E245" s="29"/>
      <c r="G245" s="293"/>
      <c r="H245" s="294"/>
      <c r="I245" s="294"/>
      <c r="J245" s="294"/>
      <c r="K245" s="294"/>
      <c r="L245" s="294"/>
      <c r="O245" s="335"/>
      <c r="AI245" s="31"/>
      <c r="AJ245" s="31"/>
      <c r="AK245" s="32"/>
      <c r="AL245" s="33"/>
      <c r="AM245" s="32"/>
      <c r="AN245" s="33"/>
      <c r="AO245" s="32"/>
      <c r="AP245" s="32"/>
      <c r="AQ245" s="136"/>
      <c r="AR245" s="136"/>
      <c r="AS245" s="136"/>
      <c r="AT245" s="136"/>
      <c r="AU245" s="136"/>
      <c r="AV245" s="136"/>
      <c r="AW245" s="136"/>
      <c r="AX245" s="136"/>
      <c r="AY245" s="136"/>
      <c r="AZ245" s="136"/>
      <c r="BA245" s="136"/>
      <c r="BB245" s="136"/>
      <c r="BC245" s="330"/>
      <c r="BD245" s="330"/>
      <c r="BE245" s="330"/>
      <c r="BF245" s="330"/>
      <c r="BG245" s="330"/>
      <c r="BH245" s="330"/>
      <c r="BI245" s="330"/>
      <c r="BJ245" s="330"/>
      <c r="BK245" s="330"/>
      <c r="BL245" s="330"/>
      <c r="BM245" s="330"/>
      <c r="BN245" s="330"/>
      <c r="BO245" s="330"/>
      <c r="BP245" s="330"/>
      <c r="BQ245" s="330"/>
      <c r="BR245" s="330"/>
      <c r="BS245" s="330"/>
      <c r="BT245" s="330"/>
      <c r="BU245" s="330"/>
      <c r="BV245" s="330"/>
      <c r="BW245" s="330"/>
      <c r="BX245" s="330"/>
    </row>
    <row r="246" spans="2:76" s="28" customFormat="1">
      <c r="B246" s="136"/>
      <c r="D246" s="222"/>
      <c r="E246" s="29"/>
      <c r="G246" s="293"/>
      <c r="H246" s="294"/>
      <c r="I246" s="294"/>
      <c r="J246" s="294"/>
      <c r="K246" s="294"/>
      <c r="L246" s="294"/>
      <c r="O246" s="340"/>
      <c r="AI246" s="31"/>
      <c r="AJ246" s="31"/>
      <c r="AK246" s="32"/>
      <c r="AL246" s="33"/>
      <c r="AM246" s="32"/>
      <c r="AN246" s="33"/>
      <c r="AO246" s="32"/>
      <c r="AP246" s="32"/>
      <c r="AQ246" s="136"/>
      <c r="AR246" s="136"/>
      <c r="AS246" s="136"/>
      <c r="AT246" s="136"/>
      <c r="AU246" s="136"/>
      <c r="AV246" s="136"/>
      <c r="AW246" s="136"/>
      <c r="AX246" s="136"/>
      <c r="AY246" s="136"/>
      <c r="AZ246" s="136"/>
      <c r="BA246" s="136"/>
      <c r="BB246" s="136"/>
      <c r="BC246" s="330"/>
      <c r="BD246" s="330"/>
      <c r="BE246" s="330"/>
      <c r="BF246" s="330"/>
      <c r="BG246" s="330"/>
      <c r="BH246" s="330"/>
      <c r="BI246" s="330"/>
      <c r="BJ246" s="330"/>
      <c r="BK246" s="330"/>
      <c r="BL246" s="330"/>
      <c r="BM246" s="330"/>
      <c r="BN246" s="330"/>
      <c r="BO246" s="330"/>
      <c r="BP246" s="330"/>
      <c r="BQ246" s="330"/>
      <c r="BR246" s="330"/>
      <c r="BS246" s="330"/>
      <c r="BT246" s="330"/>
      <c r="BU246" s="330"/>
      <c r="BV246" s="330"/>
      <c r="BW246" s="330"/>
      <c r="BX246" s="330"/>
    </row>
    <row r="247" spans="2:76" s="28" customFormat="1">
      <c r="B247" s="136"/>
      <c r="D247" s="222"/>
      <c r="E247" s="29"/>
      <c r="G247" s="293"/>
      <c r="H247" s="294"/>
      <c r="I247" s="294"/>
      <c r="J247" s="294"/>
      <c r="K247" s="294"/>
      <c r="L247" s="294"/>
      <c r="O247" s="336"/>
      <c r="AI247" s="31"/>
      <c r="AJ247" s="31"/>
      <c r="AK247" s="32"/>
      <c r="AL247" s="33"/>
      <c r="AM247" s="32"/>
      <c r="AN247" s="33"/>
      <c r="AO247" s="32"/>
      <c r="AP247" s="32"/>
      <c r="AQ247" s="136"/>
      <c r="AR247" s="136"/>
      <c r="AS247" s="136"/>
      <c r="AT247" s="136"/>
      <c r="AU247" s="136"/>
      <c r="AV247" s="136"/>
      <c r="AW247" s="136"/>
      <c r="AX247" s="136"/>
      <c r="AY247" s="136"/>
      <c r="AZ247" s="136"/>
      <c r="BA247" s="136"/>
      <c r="BB247" s="136"/>
      <c r="BC247" s="330"/>
      <c r="BD247" s="330"/>
      <c r="BE247" s="330"/>
      <c r="BF247" s="330"/>
      <c r="BG247" s="330"/>
      <c r="BH247" s="330"/>
      <c r="BI247" s="330"/>
      <c r="BJ247" s="330"/>
      <c r="BK247" s="330"/>
      <c r="BL247" s="330"/>
      <c r="BM247" s="330"/>
      <c r="BN247" s="330"/>
      <c r="BO247" s="330"/>
      <c r="BP247" s="330"/>
      <c r="BQ247" s="330"/>
      <c r="BR247" s="330"/>
      <c r="BS247" s="330"/>
      <c r="BT247" s="330"/>
      <c r="BU247" s="330"/>
      <c r="BV247" s="330"/>
      <c r="BW247" s="330"/>
      <c r="BX247" s="330"/>
    </row>
    <row r="248" spans="2:76" s="28" customFormat="1">
      <c r="B248" s="136"/>
      <c r="D248" s="222"/>
      <c r="E248" s="29"/>
      <c r="G248" s="293"/>
      <c r="H248" s="294"/>
      <c r="I248" s="294"/>
      <c r="J248" s="294"/>
      <c r="K248" s="294"/>
      <c r="L248" s="294"/>
      <c r="O248" s="338"/>
      <c r="AI248" s="31"/>
      <c r="AJ248" s="31"/>
      <c r="AK248" s="32"/>
      <c r="AL248" s="33"/>
      <c r="AM248" s="32"/>
      <c r="AN248" s="33"/>
      <c r="AO248" s="32"/>
      <c r="AP248" s="32"/>
      <c r="AQ248" s="136"/>
      <c r="AR248" s="136"/>
      <c r="AS248" s="136"/>
      <c r="AT248" s="136"/>
      <c r="AU248" s="136"/>
      <c r="AV248" s="136"/>
      <c r="AW248" s="136"/>
      <c r="AX248" s="136"/>
      <c r="AY248" s="136"/>
      <c r="AZ248" s="136"/>
      <c r="BA248" s="136"/>
      <c r="BB248" s="136"/>
      <c r="BC248" s="330"/>
      <c r="BD248" s="330"/>
      <c r="BE248" s="330"/>
      <c r="BF248" s="330"/>
      <c r="BG248" s="330"/>
      <c r="BH248" s="330"/>
      <c r="BI248" s="330"/>
      <c r="BJ248" s="330"/>
      <c r="BK248" s="330"/>
      <c r="BL248" s="330"/>
      <c r="BM248" s="330"/>
      <c r="BN248" s="330"/>
      <c r="BO248" s="330"/>
      <c r="BP248" s="330"/>
      <c r="BQ248" s="330"/>
      <c r="BR248" s="330"/>
      <c r="BS248" s="330"/>
      <c r="BT248" s="330"/>
      <c r="BU248" s="330"/>
      <c r="BV248" s="330"/>
      <c r="BW248" s="330"/>
      <c r="BX248" s="330"/>
    </row>
    <row r="249" spans="2:76" s="28" customFormat="1">
      <c r="B249" s="136"/>
      <c r="D249" s="222"/>
      <c r="E249" s="29"/>
      <c r="G249" s="293"/>
      <c r="H249" s="294"/>
      <c r="I249" s="294"/>
      <c r="J249" s="294"/>
      <c r="K249" s="294"/>
      <c r="L249" s="294"/>
      <c r="O249" s="338"/>
      <c r="AI249" s="31"/>
      <c r="AJ249" s="31"/>
      <c r="AK249" s="32"/>
      <c r="AL249" s="33"/>
      <c r="AM249" s="32"/>
      <c r="AN249" s="33"/>
      <c r="AO249" s="32"/>
      <c r="AP249" s="32"/>
      <c r="AQ249" s="136"/>
      <c r="AR249" s="136"/>
      <c r="AS249" s="136"/>
      <c r="AT249" s="136"/>
      <c r="AU249" s="136"/>
      <c r="AV249" s="136"/>
      <c r="AW249" s="136"/>
      <c r="AX249" s="136"/>
      <c r="AY249" s="136"/>
      <c r="AZ249" s="136"/>
      <c r="BA249" s="136"/>
      <c r="BB249" s="136"/>
      <c r="BC249" s="330"/>
      <c r="BD249" s="330"/>
      <c r="BE249" s="330"/>
      <c r="BF249" s="330"/>
      <c r="BG249" s="330"/>
      <c r="BH249" s="330"/>
      <c r="BI249" s="330"/>
      <c r="BJ249" s="330"/>
      <c r="BK249" s="330"/>
      <c r="BL249" s="330"/>
      <c r="BM249" s="330"/>
      <c r="BN249" s="330"/>
      <c r="BO249" s="330"/>
      <c r="BP249" s="330"/>
      <c r="BQ249" s="330"/>
      <c r="BR249" s="330"/>
      <c r="BS249" s="330"/>
      <c r="BT249" s="330"/>
      <c r="BU249" s="330"/>
      <c r="BV249" s="330"/>
      <c r="BW249" s="330"/>
      <c r="BX249" s="330"/>
    </row>
    <row r="250" spans="2:76" s="28" customFormat="1">
      <c r="B250" s="136"/>
      <c r="D250" s="222"/>
      <c r="E250" s="29"/>
      <c r="G250" s="293"/>
      <c r="H250" s="294"/>
      <c r="I250" s="294"/>
      <c r="J250" s="294"/>
      <c r="K250" s="294"/>
      <c r="L250" s="294"/>
      <c r="O250" s="335"/>
      <c r="AI250" s="31"/>
      <c r="AJ250" s="31"/>
      <c r="AK250" s="32"/>
      <c r="AL250" s="33"/>
      <c r="AM250" s="32"/>
      <c r="AN250" s="33"/>
      <c r="AO250" s="32"/>
      <c r="AP250" s="32"/>
      <c r="AQ250" s="136"/>
      <c r="AR250" s="136"/>
      <c r="AS250" s="136"/>
      <c r="AT250" s="136"/>
      <c r="AU250" s="136"/>
      <c r="AV250" s="136"/>
      <c r="AW250" s="136"/>
      <c r="AX250" s="136"/>
      <c r="AY250" s="136"/>
      <c r="AZ250" s="136"/>
      <c r="BA250" s="136"/>
      <c r="BB250" s="136"/>
      <c r="BC250" s="330"/>
      <c r="BD250" s="330"/>
      <c r="BE250" s="330"/>
      <c r="BF250" s="330"/>
      <c r="BG250" s="330"/>
      <c r="BH250" s="330"/>
      <c r="BI250" s="330"/>
      <c r="BJ250" s="330"/>
      <c r="BK250" s="330"/>
      <c r="BL250" s="330"/>
      <c r="BM250" s="330"/>
      <c r="BN250" s="330"/>
      <c r="BO250" s="330"/>
      <c r="BP250" s="330"/>
      <c r="BQ250" s="330"/>
      <c r="BR250" s="330"/>
      <c r="BS250" s="330"/>
      <c r="BT250" s="330"/>
      <c r="BU250" s="330"/>
      <c r="BV250" s="330"/>
      <c r="BW250" s="330"/>
      <c r="BX250" s="330"/>
    </row>
    <row r="251" spans="2:76" s="28" customFormat="1">
      <c r="B251" s="136"/>
      <c r="D251" s="222"/>
      <c r="E251" s="29"/>
      <c r="G251" s="293"/>
      <c r="H251" s="294"/>
      <c r="I251" s="294"/>
      <c r="J251" s="294"/>
      <c r="K251" s="294"/>
      <c r="L251" s="294"/>
      <c r="O251" s="338"/>
      <c r="AI251" s="31"/>
      <c r="AJ251" s="31"/>
      <c r="AK251" s="32"/>
      <c r="AL251" s="33"/>
      <c r="AM251" s="32"/>
      <c r="AN251" s="33"/>
      <c r="AO251" s="32"/>
      <c r="AP251" s="32"/>
      <c r="AQ251" s="136"/>
      <c r="AR251" s="136"/>
      <c r="AS251" s="136"/>
      <c r="AT251" s="136"/>
      <c r="AU251" s="136"/>
      <c r="AV251" s="136"/>
      <c r="AW251" s="136"/>
      <c r="AX251" s="136"/>
      <c r="AY251" s="136"/>
      <c r="AZ251" s="136"/>
      <c r="BA251" s="136"/>
      <c r="BB251" s="136"/>
      <c r="BC251" s="330"/>
      <c r="BD251" s="330"/>
      <c r="BE251" s="330"/>
      <c r="BF251" s="330"/>
      <c r="BG251" s="330"/>
      <c r="BH251" s="330"/>
      <c r="BI251" s="330"/>
      <c r="BJ251" s="330"/>
      <c r="BK251" s="330"/>
      <c r="BL251" s="330"/>
      <c r="BM251" s="330"/>
      <c r="BN251" s="330"/>
      <c r="BO251" s="330"/>
      <c r="BP251" s="330"/>
      <c r="BQ251" s="330"/>
      <c r="BR251" s="330"/>
      <c r="BS251" s="330"/>
      <c r="BT251" s="330"/>
      <c r="BU251" s="330"/>
      <c r="BV251" s="330"/>
      <c r="BW251" s="330"/>
      <c r="BX251" s="330"/>
    </row>
    <row r="252" spans="2:76" s="28" customFormat="1">
      <c r="B252" s="136"/>
      <c r="D252" s="222"/>
      <c r="E252" s="29"/>
      <c r="G252" s="293"/>
      <c r="H252" s="294"/>
      <c r="I252" s="294"/>
      <c r="J252" s="294"/>
      <c r="K252" s="294"/>
      <c r="L252" s="294"/>
      <c r="O252" s="338"/>
      <c r="AI252" s="31"/>
      <c r="AJ252" s="31"/>
      <c r="AK252" s="32"/>
      <c r="AL252" s="33"/>
      <c r="AM252" s="32"/>
      <c r="AN252" s="33"/>
      <c r="AO252" s="32"/>
      <c r="AP252" s="32"/>
      <c r="AQ252" s="136"/>
      <c r="AR252" s="136"/>
      <c r="AS252" s="136"/>
      <c r="AT252" s="136"/>
      <c r="AU252" s="136"/>
      <c r="AV252" s="136"/>
      <c r="AW252" s="136"/>
      <c r="AX252" s="136"/>
      <c r="AY252" s="136"/>
      <c r="AZ252" s="136"/>
      <c r="BA252" s="136"/>
      <c r="BB252" s="136"/>
      <c r="BC252" s="330"/>
      <c r="BD252" s="330"/>
      <c r="BE252" s="330"/>
      <c r="BF252" s="330"/>
      <c r="BG252" s="330"/>
      <c r="BH252" s="330"/>
      <c r="BI252" s="330"/>
      <c r="BJ252" s="330"/>
      <c r="BK252" s="330"/>
      <c r="BL252" s="330"/>
      <c r="BM252" s="330"/>
      <c r="BN252" s="330"/>
      <c r="BO252" s="330"/>
      <c r="BP252" s="330"/>
      <c r="BQ252" s="330"/>
      <c r="BR252" s="330"/>
      <c r="BS252" s="330"/>
      <c r="BT252" s="330"/>
      <c r="BU252" s="330"/>
      <c r="BV252" s="330"/>
      <c r="BW252" s="330"/>
      <c r="BX252" s="330"/>
    </row>
    <row r="253" spans="2:76" s="28" customFormat="1">
      <c r="B253" s="136"/>
      <c r="D253" s="222"/>
      <c r="E253" s="29"/>
      <c r="G253" s="293"/>
      <c r="H253" s="294"/>
      <c r="I253" s="294"/>
      <c r="J253" s="294"/>
      <c r="K253" s="294"/>
      <c r="L253" s="294"/>
      <c r="O253" s="335"/>
      <c r="AI253" s="31"/>
      <c r="AJ253" s="31"/>
      <c r="AK253" s="32"/>
      <c r="AL253" s="33"/>
      <c r="AM253" s="32"/>
      <c r="AN253" s="33"/>
      <c r="AO253" s="32"/>
      <c r="AP253" s="32"/>
      <c r="AQ253" s="136"/>
      <c r="AR253" s="136"/>
      <c r="AS253" s="136"/>
      <c r="AT253" s="136"/>
      <c r="AU253" s="136"/>
      <c r="AV253" s="136"/>
      <c r="AW253" s="136"/>
      <c r="AX253" s="136"/>
      <c r="AY253" s="136"/>
      <c r="AZ253" s="136"/>
      <c r="BA253" s="136"/>
      <c r="BB253" s="136"/>
      <c r="BC253" s="330"/>
      <c r="BD253" s="330"/>
      <c r="BE253" s="330"/>
      <c r="BF253" s="330"/>
      <c r="BG253" s="330"/>
      <c r="BH253" s="330"/>
      <c r="BI253" s="330"/>
      <c r="BJ253" s="330"/>
      <c r="BK253" s="330"/>
      <c r="BL253" s="330"/>
      <c r="BM253" s="330"/>
      <c r="BN253" s="330"/>
      <c r="BO253" s="330"/>
      <c r="BP253" s="330"/>
      <c r="BQ253" s="330"/>
      <c r="BR253" s="330"/>
      <c r="BS253" s="330"/>
      <c r="BT253" s="330"/>
      <c r="BU253" s="330"/>
      <c r="BV253" s="330"/>
      <c r="BW253" s="330"/>
      <c r="BX253" s="330"/>
    </row>
    <row r="254" spans="2:76" s="28" customFormat="1">
      <c r="B254" s="136"/>
      <c r="D254" s="222"/>
      <c r="E254" s="29"/>
      <c r="G254" s="293"/>
      <c r="H254" s="294"/>
      <c r="I254" s="294"/>
      <c r="J254" s="294"/>
      <c r="K254" s="294"/>
      <c r="L254" s="294"/>
      <c r="O254" s="341"/>
      <c r="AI254" s="31"/>
      <c r="AJ254" s="31"/>
      <c r="AK254" s="32"/>
      <c r="AL254" s="33"/>
      <c r="AM254" s="32"/>
      <c r="AN254" s="33"/>
      <c r="AO254" s="32"/>
      <c r="AP254" s="32"/>
      <c r="AQ254" s="136"/>
      <c r="AR254" s="136"/>
      <c r="AS254" s="136"/>
      <c r="AT254" s="136"/>
      <c r="AU254" s="136"/>
      <c r="AV254" s="136"/>
      <c r="AW254" s="136"/>
      <c r="AX254" s="136"/>
      <c r="AY254" s="136"/>
      <c r="AZ254" s="136"/>
      <c r="BA254" s="136"/>
      <c r="BB254" s="136"/>
      <c r="BC254" s="330"/>
      <c r="BD254" s="330"/>
      <c r="BE254" s="330"/>
      <c r="BF254" s="330"/>
      <c r="BG254" s="330"/>
      <c r="BH254" s="330"/>
      <c r="BI254" s="330"/>
      <c r="BJ254" s="330"/>
      <c r="BK254" s="330"/>
      <c r="BL254" s="330"/>
      <c r="BM254" s="330"/>
      <c r="BN254" s="330"/>
      <c r="BO254" s="330"/>
      <c r="BP254" s="330"/>
      <c r="BQ254" s="330"/>
      <c r="BR254" s="330"/>
      <c r="BS254" s="330"/>
      <c r="BT254" s="330"/>
      <c r="BU254" s="330"/>
      <c r="BV254" s="330"/>
      <c r="BW254" s="330"/>
      <c r="BX254" s="330"/>
    </row>
    <row r="255" spans="2:76" s="28" customFormat="1">
      <c r="B255" s="136"/>
      <c r="D255" s="222"/>
      <c r="E255" s="29"/>
      <c r="G255" s="293"/>
      <c r="H255" s="294"/>
      <c r="I255" s="294"/>
      <c r="J255" s="294"/>
      <c r="K255" s="294"/>
      <c r="L255" s="294"/>
      <c r="O255" s="335"/>
      <c r="AI255" s="31"/>
      <c r="AJ255" s="31"/>
      <c r="AK255" s="32"/>
      <c r="AL255" s="33"/>
      <c r="AM255" s="32"/>
      <c r="AN255" s="33"/>
      <c r="AO255" s="32"/>
      <c r="AP255" s="32"/>
      <c r="AQ255" s="136"/>
      <c r="AR255" s="136"/>
      <c r="AS255" s="136"/>
      <c r="AT255" s="136"/>
      <c r="AU255" s="136"/>
      <c r="AV255" s="136"/>
      <c r="AW255" s="136"/>
      <c r="AX255" s="136"/>
      <c r="AY255" s="136"/>
      <c r="AZ255" s="136"/>
      <c r="BA255" s="136"/>
      <c r="BB255" s="136"/>
      <c r="BC255" s="330"/>
      <c r="BD255" s="330"/>
      <c r="BE255" s="330"/>
      <c r="BF255" s="330"/>
      <c r="BG255" s="330"/>
      <c r="BH255" s="330"/>
      <c r="BI255" s="330"/>
      <c r="BJ255" s="330"/>
      <c r="BK255" s="330"/>
      <c r="BL255" s="330"/>
      <c r="BM255" s="330"/>
      <c r="BN255" s="330"/>
      <c r="BO255" s="330"/>
      <c r="BP255" s="330"/>
      <c r="BQ255" s="330"/>
      <c r="BR255" s="330"/>
      <c r="BS255" s="330"/>
      <c r="BT255" s="330"/>
      <c r="BU255" s="330"/>
      <c r="BV255" s="330"/>
      <c r="BW255" s="330"/>
      <c r="BX255" s="330"/>
    </row>
    <row r="256" spans="2:76" s="28" customFormat="1">
      <c r="B256" s="136"/>
      <c r="D256" s="222"/>
      <c r="E256" s="29"/>
      <c r="G256" s="293"/>
      <c r="H256" s="294"/>
      <c r="I256" s="294"/>
      <c r="J256" s="294"/>
      <c r="K256" s="294"/>
      <c r="L256" s="294"/>
      <c r="O256" s="338"/>
      <c r="AI256" s="31"/>
      <c r="AJ256" s="31"/>
      <c r="AK256" s="32"/>
      <c r="AL256" s="33"/>
      <c r="AM256" s="32"/>
      <c r="AN256" s="33"/>
      <c r="AO256" s="32"/>
      <c r="AP256" s="32"/>
      <c r="AQ256" s="136"/>
      <c r="AR256" s="136"/>
      <c r="AS256" s="136"/>
      <c r="AT256" s="136"/>
      <c r="AU256" s="136"/>
      <c r="AV256" s="136"/>
      <c r="AW256" s="136"/>
      <c r="AX256" s="136"/>
      <c r="AY256" s="136"/>
      <c r="AZ256" s="136"/>
      <c r="BA256" s="136"/>
      <c r="BB256" s="136"/>
      <c r="BC256" s="330"/>
      <c r="BD256" s="330"/>
      <c r="BE256" s="330"/>
      <c r="BF256" s="330"/>
      <c r="BG256" s="330"/>
      <c r="BH256" s="330"/>
      <c r="BI256" s="330"/>
      <c r="BJ256" s="330"/>
      <c r="BK256" s="330"/>
      <c r="BL256" s="330"/>
      <c r="BM256" s="330"/>
      <c r="BN256" s="330"/>
      <c r="BO256" s="330"/>
      <c r="BP256" s="330"/>
      <c r="BQ256" s="330"/>
      <c r="BR256" s="330"/>
      <c r="BS256" s="330"/>
      <c r="BT256" s="330"/>
      <c r="BU256" s="330"/>
      <c r="BV256" s="330"/>
      <c r="BW256" s="330"/>
      <c r="BX256" s="330"/>
    </row>
    <row r="257" spans="2:76" s="28" customFormat="1">
      <c r="B257" s="136"/>
      <c r="D257" s="222"/>
      <c r="E257" s="29"/>
      <c r="G257" s="293"/>
      <c r="H257" s="294"/>
      <c r="I257" s="294"/>
      <c r="J257" s="294"/>
      <c r="K257" s="294"/>
      <c r="L257" s="294"/>
      <c r="O257" s="335"/>
      <c r="AI257" s="31"/>
      <c r="AJ257" s="31"/>
      <c r="AK257" s="32"/>
      <c r="AL257" s="33"/>
      <c r="AM257" s="32"/>
      <c r="AN257" s="33"/>
      <c r="AO257" s="32"/>
      <c r="AP257" s="32"/>
      <c r="AQ257" s="136"/>
      <c r="AR257" s="136"/>
      <c r="AS257" s="136"/>
      <c r="AT257" s="136"/>
      <c r="AU257" s="136"/>
      <c r="AV257" s="136"/>
      <c r="AW257" s="136"/>
      <c r="AX257" s="136"/>
      <c r="AY257" s="136"/>
      <c r="AZ257" s="136"/>
      <c r="BA257" s="136"/>
      <c r="BB257" s="136"/>
      <c r="BC257" s="330"/>
      <c r="BD257" s="330"/>
      <c r="BE257" s="330"/>
      <c r="BF257" s="330"/>
      <c r="BG257" s="330"/>
      <c r="BH257" s="330"/>
      <c r="BI257" s="330"/>
      <c r="BJ257" s="330"/>
      <c r="BK257" s="330"/>
      <c r="BL257" s="330"/>
      <c r="BM257" s="330"/>
      <c r="BN257" s="330"/>
      <c r="BO257" s="330"/>
      <c r="BP257" s="330"/>
      <c r="BQ257" s="330"/>
      <c r="BR257" s="330"/>
      <c r="BS257" s="330"/>
      <c r="BT257" s="330"/>
      <c r="BU257" s="330"/>
      <c r="BV257" s="330"/>
      <c r="BW257" s="330"/>
      <c r="BX257" s="330"/>
    </row>
    <row r="258" spans="2:76" s="28" customFormat="1">
      <c r="B258" s="136"/>
      <c r="D258" s="222"/>
      <c r="E258" s="29"/>
      <c r="G258" s="293"/>
      <c r="H258" s="294"/>
      <c r="I258" s="294"/>
      <c r="J258" s="294"/>
      <c r="K258" s="294"/>
      <c r="L258" s="294"/>
      <c r="O258" s="340"/>
      <c r="AI258" s="31"/>
      <c r="AJ258" s="31"/>
      <c r="AK258" s="32"/>
      <c r="AL258" s="33"/>
      <c r="AM258" s="32"/>
      <c r="AN258" s="33"/>
      <c r="AO258" s="32"/>
      <c r="AP258" s="32"/>
      <c r="AQ258" s="136"/>
      <c r="AR258" s="136"/>
      <c r="AS258" s="136"/>
      <c r="AT258" s="136"/>
      <c r="AU258" s="136"/>
      <c r="AV258" s="136"/>
      <c r="AW258" s="136"/>
      <c r="AX258" s="136"/>
      <c r="AY258" s="136"/>
      <c r="AZ258" s="136"/>
      <c r="BA258" s="136"/>
      <c r="BB258" s="136"/>
      <c r="BC258" s="330"/>
      <c r="BD258" s="330"/>
      <c r="BE258" s="330"/>
      <c r="BF258" s="330"/>
      <c r="BG258" s="330"/>
      <c r="BH258" s="330"/>
      <c r="BI258" s="330"/>
      <c r="BJ258" s="330"/>
      <c r="BK258" s="330"/>
      <c r="BL258" s="330"/>
      <c r="BM258" s="330"/>
      <c r="BN258" s="330"/>
      <c r="BO258" s="330"/>
      <c r="BP258" s="330"/>
      <c r="BQ258" s="330"/>
      <c r="BR258" s="330"/>
      <c r="BS258" s="330"/>
      <c r="BT258" s="330"/>
      <c r="BU258" s="330"/>
      <c r="BV258" s="330"/>
      <c r="BW258" s="330"/>
      <c r="BX258" s="330"/>
    </row>
    <row r="259" spans="2:76" s="28" customFormat="1">
      <c r="B259" s="136"/>
      <c r="D259" s="222"/>
      <c r="E259" s="29"/>
      <c r="G259" s="293"/>
      <c r="H259" s="294"/>
      <c r="I259" s="294"/>
      <c r="J259" s="294"/>
      <c r="K259" s="294"/>
      <c r="L259" s="294"/>
      <c r="O259" s="338"/>
      <c r="AI259" s="31"/>
      <c r="AJ259" s="31"/>
      <c r="AK259" s="32"/>
      <c r="AL259" s="33"/>
      <c r="AM259" s="32"/>
      <c r="AN259" s="33"/>
      <c r="AO259" s="32"/>
      <c r="AP259" s="32"/>
      <c r="AQ259" s="136"/>
      <c r="AR259" s="136"/>
      <c r="AS259" s="136"/>
      <c r="AT259" s="136"/>
      <c r="AU259" s="136"/>
      <c r="AV259" s="136"/>
      <c r="AW259" s="136"/>
      <c r="AX259" s="136"/>
      <c r="AY259" s="136"/>
      <c r="AZ259" s="136"/>
      <c r="BA259" s="136"/>
      <c r="BB259" s="136"/>
      <c r="BC259" s="330"/>
      <c r="BD259" s="330"/>
      <c r="BE259" s="330"/>
      <c r="BF259" s="330"/>
      <c r="BG259" s="330"/>
      <c r="BH259" s="330"/>
      <c r="BI259" s="330"/>
      <c r="BJ259" s="330"/>
      <c r="BK259" s="330"/>
      <c r="BL259" s="330"/>
      <c r="BM259" s="330"/>
      <c r="BN259" s="330"/>
      <c r="BO259" s="330"/>
      <c r="BP259" s="330"/>
      <c r="BQ259" s="330"/>
      <c r="BR259" s="330"/>
      <c r="BS259" s="330"/>
      <c r="BT259" s="330"/>
      <c r="BU259" s="330"/>
      <c r="BV259" s="330"/>
      <c r="BW259" s="330"/>
      <c r="BX259" s="330"/>
    </row>
    <row r="260" spans="2:76" s="28" customFormat="1">
      <c r="B260" s="136"/>
      <c r="D260" s="222"/>
      <c r="E260" s="29"/>
      <c r="G260" s="293"/>
      <c r="H260" s="294"/>
      <c r="I260" s="294"/>
      <c r="J260" s="294"/>
      <c r="K260" s="294"/>
      <c r="L260" s="294"/>
      <c r="O260" s="339"/>
      <c r="AI260" s="31"/>
      <c r="AJ260" s="31"/>
      <c r="AK260" s="32"/>
      <c r="AL260" s="33"/>
      <c r="AM260" s="32"/>
      <c r="AN260" s="33"/>
      <c r="AO260" s="32"/>
      <c r="AP260" s="32"/>
      <c r="AQ260" s="136"/>
      <c r="AR260" s="136"/>
      <c r="AS260" s="136"/>
      <c r="AT260" s="136"/>
      <c r="AU260" s="136"/>
      <c r="AV260" s="136"/>
      <c r="AW260" s="136"/>
      <c r="AX260" s="136"/>
      <c r="AY260" s="136"/>
      <c r="AZ260" s="136"/>
      <c r="BA260" s="136"/>
      <c r="BB260" s="136"/>
      <c r="BC260" s="330"/>
      <c r="BD260" s="330"/>
      <c r="BE260" s="330"/>
      <c r="BF260" s="330"/>
      <c r="BG260" s="330"/>
      <c r="BH260" s="330"/>
      <c r="BI260" s="330"/>
      <c r="BJ260" s="330"/>
      <c r="BK260" s="330"/>
      <c r="BL260" s="330"/>
      <c r="BM260" s="330"/>
      <c r="BN260" s="330"/>
      <c r="BO260" s="330"/>
      <c r="BP260" s="330"/>
      <c r="BQ260" s="330"/>
      <c r="BR260" s="330"/>
      <c r="BS260" s="330"/>
      <c r="BT260" s="330"/>
      <c r="BU260" s="330"/>
      <c r="BV260" s="330"/>
      <c r="BW260" s="330"/>
      <c r="BX260" s="330"/>
    </row>
    <row r="261" spans="2:76" s="28" customFormat="1">
      <c r="B261" s="136"/>
      <c r="D261" s="222"/>
      <c r="E261" s="29"/>
      <c r="G261" s="293"/>
      <c r="H261" s="294"/>
      <c r="I261" s="294"/>
      <c r="J261" s="294"/>
      <c r="K261" s="294"/>
      <c r="L261" s="294"/>
      <c r="O261" s="335"/>
      <c r="AI261" s="31"/>
      <c r="AJ261" s="31"/>
      <c r="AK261" s="32"/>
      <c r="AL261" s="33"/>
      <c r="AM261" s="32"/>
      <c r="AN261" s="33"/>
      <c r="AO261" s="32"/>
      <c r="AP261" s="32"/>
      <c r="AQ261" s="136"/>
      <c r="AR261" s="136"/>
      <c r="AS261" s="136"/>
      <c r="AT261" s="136"/>
      <c r="AU261" s="136"/>
      <c r="AV261" s="136"/>
      <c r="AW261" s="136"/>
      <c r="AX261" s="136"/>
      <c r="AY261" s="136"/>
      <c r="AZ261" s="136"/>
      <c r="BA261" s="136"/>
      <c r="BB261" s="136"/>
      <c r="BC261" s="330"/>
      <c r="BD261" s="330"/>
      <c r="BE261" s="330"/>
      <c r="BF261" s="330"/>
      <c r="BG261" s="330"/>
      <c r="BH261" s="330"/>
      <c r="BI261" s="330"/>
      <c r="BJ261" s="330"/>
      <c r="BK261" s="330"/>
      <c r="BL261" s="330"/>
      <c r="BM261" s="330"/>
      <c r="BN261" s="330"/>
      <c r="BO261" s="330"/>
      <c r="BP261" s="330"/>
      <c r="BQ261" s="330"/>
      <c r="BR261" s="330"/>
      <c r="BS261" s="330"/>
      <c r="BT261" s="330"/>
      <c r="BU261" s="330"/>
      <c r="BV261" s="330"/>
      <c r="BW261" s="330"/>
      <c r="BX261" s="330"/>
    </row>
    <row r="262" spans="2:76" s="28" customFormat="1">
      <c r="B262" s="136"/>
      <c r="D262" s="222"/>
      <c r="E262" s="29"/>
      <c r="G262" s="293"/>
      <c r="H262" s="294"/>
      <c r="I262" s="294"/>
      <c r="J262" s="294"/>
      <c r="K262" s="294"/>
      <c r="L262" s="294"/>
      <c r="O262" s="338"/>
      <c r="AI262" s="31"/>
      <c r="AJ262" s="31"/>
      <c r="AK262" s="32"/>
      <c r="AL262" s="33"/>
      <c r="AM262" s="32"/>
      <c r="AN262" s="33"/>
      <c r="AO262" s="32"/>
      <c r="AP262" s="32"/>
      <c r="AQ262" s="136"/>
      <c r="AR262" s="136"/>
      <c r="AS262" s="136"/>
      <c r="AT262" s="136"/>
      <c r="AU262" s="136"/>
      <c r="AV262" s="136"/>
      <c r="AW262" s="136"/>
      <c r="AX262" s="136"/>
      <c r="AY262" s="136"/>
      <c r="AZ262" s="136"/>
      <c r="BA262" s="136"/>
      <c r="BB262" s="136"/>
      <c r="BC262" s="330"/>
      <c r="BD262" s="330"/>
      <c r="BE262" s="330"/>
      <c r="BF262" s="330"/>
      <c r="BG262" s="330"/>
      <c r="BH262" s="330"/>
      <c r="BI262" s="330"/>
      <c r="BJ262" s="330"/>
      <c r="BK262" s="330"/>
      <c r="BL262" s="330"/>
      <c r="BM262" s="330"/>
      <c r="BN262" s="330"/>
      <c r="BO262" s="330"/>
      <c r="BP262" s="330"/>
      <c r="BQ262" s="330"/>
      <c r="BR262" s="330"/>
      <c r="BS262" s="330"/>
      <c r="BT262" s="330"/>
      <c r="BU262" s="330"/>
      <c r="BV262" s="330"/>
      <c r="BW262" s="330"/>
      <c r="BX262" s="330"/>
    </row>
    <row r="263" spans="2:76" s="28" customFormat="1">
      <c r="B263" s="136"/>
      <c r="D263" s="222"/>
      <c r="E263" s="29"/>
      <c r="G263" s="293"/>
      <c r="H263" s="294"/>
      <c r="I263" s="294"/>
      <c r="J263" s="294"/>
      <c r="K263" s="294"/>
      <c r="L263" s="294"/>
      <c r="O263" s="335"/>
      <c r="AI263" s="31"/>
      <c r="AJ263" s="31"/>
      <c r="AK263" s="32"/>
      <c r="AL263" s="33"/>
      <c r="AM263" s="32"/>
      <c r="AN263" s="33"/>
      <c r="AO263" s="32"/>
      <c r="AP263" s="32"/>
      <c r="AQ263" s="136"/>
      <c r="AR263" s="136"/>
      <c r="AS263" s="136"/>
      <c r="AT263" s="136"/>
      <c r="AU263" s="136"/>
      <c r="AV263" s="136"/>
      <c r="AW263" s="136"/>
      <c r="AX263" s="136"/>
      <c r="AY263" s="136"/>
      <c r="AZ263" s="136"/>
      <c r="BA263" s="136"/>
      <c r="BB263" s="136"/>
      <c r="BC263" s="330"/>
      <c r="BD263" s="330"/>
      <c r="BE263" s="330"/>
      <c r="BF263" s="330"/>
      <c r="BG263" s="330"/>
      <c r="BH263" s="330"/>
      <c r="BI263" s="330"/>
      <c r="BJ263" s="330"/>
      <c r="BK263" s="330"/>
      <c r="BL263" s="330"/>
      <c r="BM263" s="330"/>
      <c r="BN263" s="330"/>
      <c r="BO263" s="330"/>
      <c r="BP263" s="330"/>
      <c r="BQ263" s="330"/>
      <c r="BR263" s="330"/>
      <c r="BS263" s="330"/>
      <c r="BT263" s="330"/>
      <c r="BU263" s="330"/>
      <c r="BV263" s="330"/>
      <c r="BW263" s="330"/>
      <c r="BX263" s="330"/>
    </row>
    <row r="264" spans="2:76" s="28" customFormat="1">
      <c r="B264" s="136"/>
      <c r="D264" s="222"/>
      <c r="E264" s="29"/>
      <c r="G264" s="293"/>
      <c r="H264" s="294"/>
      <c r="I264" s="294"/>
      <c r="J264" s="294"/>
      <c r="K264" s="294"/>
      <c r="L264" s="294"/>
      <c r="O264" s="335"/>
      <c r="AI264" s="31"/>
      <c r="AJ264" s="31"/>
      <c r="AK264" s="32"/>
      <c r="AL264" s="33"/>
      <c r="AM264" s="32"/>
      <c r="AN264" s="33"/>
      <c r="AO264" s="32"/>
      <c r="AP264" s="32"/>
      <c r="AQ264" s="136"/>
      <c r="AR264" s="136"/>
      <c r="AS264" s="136"/>
      <c r="AT264" s="136"/>
      <c r="AU264" s="136"/>
      <c r="AV264" s="136"/>
      <c r="AW264" s="136"/>
      <c r="AX264" s="136"/>
      <c r="AY264" s="136"/>
      <c r="AZ264" s="136"/>
      <c r="BA264" s="136"/>
      <c r="BB264" s="136"/>
      <c r="BC264" s="330"/>
      <c r="BD264" s="330"/>
      <c r="BE264" s="330"/>
      <c r="BF264" s="330"/>
      <c r="BG264" s="330"/>
      <c r="BH264" s="330"/>
      <c r="BI264" s="330"/>
      <c r="BJ264" s="330"/>
      <c r="BK264" s="330"/>
      <c r="BL264" s="330"/>
      <c r="BM264" s="330"/>
      <c r="BN264" s="330"/>
      <c r="BO264" s="330"/>
      <c r="BP264" s="330"/>
      <c r="BQ264" s="330"/>
      <c r="BR264" s="330"/>
      <c r="BS264" s="330"/>
      <c r="BT264" s="330"/>
      <c r="BU264" s="330"/>
      <c r="BV264" s="330"/>
      <c r="BW264" s="330"/>
      <c r="BX264" s="330"/>
    </row>
    <row r="265" spans="2:76" s="28" customFormat="1">
      <c r="B265" s="136"/>
      <c r="D265" s="222"/>
      <c r="E265" s="29"/>
      <c r="G265" s="293"/>
      <c r="H265" s="294"/>
      <c r="I265" s="294"/>
      <c r="J265" s="294"/>
      <c r="K265" s="294"/>
      <c r="L265" s="294"/>
      <c r="O265" s="335"/>
      <c r="AI265" s="31"/>
      <c r="AJ265" s="31"/>
      <c r="AK265" s="32"/>
      <c r="AL265" s="33"/>
      <c r="AM265" s="32"/>
      <c r="AN265" s="33"/>
      <c r="AO265" s="32"/>
      <c r="AP265" s="32"/>
      <c r="AQ265" s="136"/>
      <c r="AR265" s="136"/>
      <c r="AS265" s="136"/>
      <c r="AT265" s="136"/>
      <c r="AU265" s="136"/>
      <c r="AV265" s="136"/>
      <c r="AW265" s="136"/>
      <c r="AX265" s="136"/>
      <c r="AY265" s="136"/>
      <c r="AZ265" s="136"/>
      <c r="BA265" s="136"/>
      <c r="BB265" s="136"/>
      <c r="BC265" s="330"/>
      <c r="BD265" s="330"/>
      <c r="BE265" s="330"/>
      <c r="BF265" s="330"/>
      <c r="BG265" s="330"/>
      <c r="BH265" s="330"/>
      <c r="BI265" s="330"/>
      <c r="BJ265" s="330"/>
      <c r="BK265" s="330"/>
      <c r="BL265" s="330"/>
      <c r="BM265" s="330"/>
      <c r="BN265" s="330"/>
      <c r="BO265" s="330"/>
      <c r="BP265" s="330"/>
      <c r="BQ265" s="330"/>
      <c r="BR265" s="330"/>
      <c r="BS265" s="330"/>
      <c r="BT265" s="330"/>
      <c r="BU265" s="330"/>
      <c r="BV265" s="330"/>
      <c r="BW265" s="330"/>
      <c r="BX265" s="330"/>
    </row>
    <row r="266" spans="2:76" s="28" customFormat="1">
      <c r="B266" s="136"/>
      <c r="D266" s="222"/>
      <c r="E266" s="29"/>
      <c r="G266" s="293"/>
      <c r="H266" s="294"/>
      <c r="I266" s="294"/>
      <c r="J266" s="294"/>
      <c r="K266" s="294"/>
      <c r="L266" s="294"/>
      <c r="O266" s="335"/>
      <c r="AI266" s="31"/>
      <c r="AJ266" s="31"/>
      <c r="AK266" s="32"/>
      <c r="AL266" s="33"/>
      <c r="AM266" s="32"/>
      <c r="AN266" s="33"/>
      <c r="AO266" s="32"/>
      <c r="AP266" s="32"/>
      <c r="AQ266" s="136"/>
      <c r="AR266" s="136"/>
      <c r="AS266" s="136"/>
      <c r="AT266" s="136"/>
      <c r="AU266" s="136"/>
      <c r="AV266" s="136"/>
      <c r="AW266" s="136"/>
      <c r="AX266" s="136"/>
      <c r="AY266" s="136"/>
      <c r="AZ266" s="136"/>
      <c r="BA266" s="136"/>
      <c r="BB266" s="136"/>
      <c r="BC266" s="330"/>
      <c r="BD266" s="330"/>
      <c r="BE266" s="330"/>
      <c r="BF266" s="330"/>
      <c r="BG266" s="330"/>
      <c r="BH266" s="330"/>
      <c r="BI266" s="330"/>
      <c r="BJ266" s="330"/>
      <c r="BK266" s="330"/>
      <c r="BL266" s="330"/>
      <c r="BM266" s="330"/>
      <c r="BN266" s="330"/>
      <c r="BO266" s="330"/>
      <c r="BP266" s="330"/>
      <c r="BQ266" s="330"/>
      <c r="BR266" s="330"/>
      <c r="BS266" s="330"/>
      <c r="BT266" s="330"/>
      <c r="BU266" s="330"/>
      <c r="BV266" s="330"/>
      <c r="BW266" s="330"/>
      <c r="BX266" s="330"/>
    </row>
    <row r="267" spans="2:76" s="28" customFormat="1">
      <c r="B267" s="136"/>
      <c r="D267" s="222"/>
      <c r="E267" s="29"/>
      <c r="G267" s="293"/>
      <c r="H267" s="294"/>
      <c r="I267" s="294"/>
      <c r="J267" s="294"/>
      <c r="K267" s="294"/>
      <c r="L267" s="294"/>
      <c r="O267" s="342"/>
      <c r="AI267" s="31"/>
      <c r="AJ267" s="31"/>
      <c r="AK267" s="32"/>
      <c r="AL267" s="33"/>
      <c r="AM267" s="32"/>
      <c r="AN267" s="33"/>
      <c r="AO267" s="32"/>
      <c r="AP267" s="32"/>
      <c r="AQ267" s="136"/>
      <c r="AR267" s="136"/>
      <c r="AS267" s="136"/>
      <c r="AT267" s="136"/>
      <c r="AU267" s="136"/>
      <c r="AV267" s="136"/>
      <c r="AW267" s="136"/>
      <c r="AX267" s="136"/>
      <c r="AY267" s="136"/>
      <c r="AZ267" s="136"/>
      <c r="BA267" s="136"/>
      <c r="BB267" s="136"/>
      <c r="BC267" s="330"/>
      <c r="BD267" s="330"/>
      <c r="BE267" s="330"/>
      <c r="BF267" s="330"/>
      <c r="BG267" s="330"/>
      <c r="BH267" s="330"/>
      <c r="BI267" s="330"/>
      <c r="BJ267" s="330"/>
      <c r="BK267" s="330"/>
      <c r="BL267" s="330"/>
      <c r="BM267" s="330"/>
      <c r="BN267" s="330"/>
      <c r="BO267" s="330"/>
      <c r="BP267" s="330"/>
      <c r="BQ267" s="330"/>
      <c r="BR267" s="330"/>
      <c r="BS267" s="330"/>
      <c r="BT267" s="330"/>
      <c r="BU267" s="330"/>
      <c r="BV267" s="330"/>
      <c r="BW267" s="330"/>
      <c r="BX267" s="330"/>
    </row>
    <row r="268" spans="2:76" s="28" customFormat="1">
      <c r="B268" s="136"/>
      <c r="D268" s="222"/>
      <c r="E268" s="29"/>
      <c r="G268" s="293"/>
      <c r="H268" s="294"/>
      <c r="I268" s="294"/>
      <c r="J268" s="294"/>
      <c r="K268" s="294"/>
      <c r="L268" s="294"/>
      <c r="O268" s="335"/>
      <c r="AI268" s="31"/>
      <c r="AJ268" s="31"/>
      <c r="AK268" s="32"/>
      <c r="AL268" s="33"/>
      <c r="AM268" s="32"/>
      <c r="AN268" s="33"/>
      <c r="AO268" s="32"/>
      <c r="AP268" s="32"/>
      <c r="AQ268" s="136"/>
      <c r="AR268" s="136"/>
      <c r="AS268" s="136"/>
      <c r="AT268" s="136"/>
      <c r="AU268" s="136"/>
      <c r="AV268" s="136"/>
      <c r="AW268" s="136"/>
      <c r="AX268" s="136"/>
      <c r="AY268" s="136"/>
      <c r="AZ268" s="136"/>
      <c r="BA268" s="136"/>
      <c r="BB268" s="136"/>
      <c r="BC268" s="330"/>
      <c r="BD268" s="330"/>
      <c r="BE268" s="330"/>
      <c r="BF268" s="330"/>
      <c r="BG268" s="330"/>
      <c r="BH268" s="330"/>
      <c r="BI268" s="330"/>
      <c r="BJ268" s="330"/>
      <c r="BK268" s="330"/>
      <c r="BL268" s="330"/>
      <c r="BM268" s="330"/>
      <c r="BN268" s="330"/>
      <c r="BO268" s="330"/>
      <c r="BP268" s="330"/>
      <c r="BQ268" s="330"/>
      <c r="BR268" s="330"/>
      <c r="BS268" s="330"/>
      <c r="BT268" s="330"/>
      <c r="BU268" s="330"/>
      <c r="BV268" s="330"/>
      <c r="BW268" s="330"/>
      <c r="BX268" s="330"/>
    </row>
    <row r="269" spans="2:76" s="28" customFormat="1">
      <c r="B269" s="136"/>
      <c r="D269" s="222"/>
      <c r="E269" s="29"/>
      <c r="G269" s="293"/>
      <c r="H269" s="294"/>
      <c r="I269" s="294"/>
      <c r="J269" s="294"/>
      <c r="K269" s="294"/>
      <c r="L269" s="294"/>
      <c r="O269" s="338"/>
      <c r="AI269" s="31"/>
      <c r="AJ269" s="31"/>
      <c r="AK269" s="32"/>
      <c r="AL269" s="33"/>
      <c r="AM269" s="32"/>
      <c r="AN269" s="33"/>
      <c r="AO269" s="32"/>
      <c r="AP269" s="32"/>
      <c r="AQ269" s="136"/>
      <c r="AR269" s="136"/>
      <c r="AS269" s="136"/>
      <c r="AT269" s="136"/>
      <c r="AU269" s="136"/>
      <c r="AV269" s="136"/>
      <c r="AW269" s="136"/>
      <c r="AX269" s="136"/>
      <c r="AY269" s="136"/>
      <c r="AZ269" s="136"/>
      <c r="BA269" s="136"/>
      <c r="BB269" s="136"/>
      <c r="BC269" s="330"/>
      <c r="BD269" s="330"/>
      <c r="BE269" s="330"/>
      <c r="BF269" s="330"/>
      <c r="BG269" s="330"/>
      <c r="BH269" s="330"/>
      <c r="BI269" s="330"/>
      <c r="BJ269" s="330"/>
      <c r="BK269" s="330"/>
      <c r="BL269" s="330"/>
      <c r="BM269" s="330"/>
      <c r="BN269" s="330"/>
      <c r="BO269" s="330"/>
      <c r="BP269" s="330"/>
      <c r="BQ269" s="330"/>
      <c r="BR269" s="330"/>
      <c r="BS269" s="330"/>
      <c r="BT269" s="330"/>
      <c r="BU269" s="330"/>
      <c r="BV269" s="330"/>
      <c r="BW269" s="330"/>
      <c r="BX269" s="330"/>
    </row>
    <row r="270" spans="2:76" s="28" customFormat="1">
      <c r="B270" s="136"/>
      <c r="D270" s="222"/>
      <c r="E270" s="29"/>
      <c r="G270" s="293"/>
      <c r="H270" s="294"/>
      <c r="I270" s="294"/>
      <c r="J270" s="294"/>
      <c r="K270" s="294"/>
      <c r="L270" s="294"/>
      <c r="O270" s="338"/>
      <c r="AI270" s="31"/>
      <c r="AJ270" s="31"/>
      <c r="AK270" s="32"/>
      <c r="AL270" s="33"/>
      <c r="AM270" s="32"/>
      <c r="AN270" s="33"/>
      <c r="AO270" s="32"/>
      <c r="AP270" s="32"/>
      <c r="AQ270" s="136"/>
      <c r="AR270" s="136"/>
      <c r="AS270" s="136"/>
      <c r="AT270" s="136"/>
      <c r="AU270" s="136"/>
      <c r="AV270" s="136"/>
      <c r="AW270" s="136"/>
      <c r="AX270" s="136"/>
      <c r="AY270" s="136"/>
      <c r="AZ270" s="136"/>
      <c r="BA270" s="136"/>
      <c r="BB270" s="136"/>
      <c r="BC270" s="330"/>
      <c r="BD270" s="330"/>
      <c r="BE270" s="330"/>
      <c r="BF270" s="330"/>
      <c r="BG270" s="330"/>
      <c r="BH270" s="330"/>
      <c r="BI270" s="330"/>
      <c r="BJ270" s="330"/>
      <c r="BK270" s="330"/>
      <c r="BL270" s="330"/>
      <c r="BM270" s="330"/>
      <c r="BN270" s="330"/>
      <c r="BO270" s="330"/>
      <c r="BP270" s="330"/>
      <c r="BQ270" s="330"/>
      <c r="BR270" s="330"/>
      <c r="BS270" s="330"/>
      <c r="BT270" s="330"/>
      <c r="BU270" s="330"/>
      <c r="BV270" s="330"/>
      <c r="BW270" s="330"/>
      <c r="BX270" s="330"/>
    </row>
    <row r="271" spans="2:76" s="28" customFormat="1">
      <c r="B271" s="136"/>
      <c r="D271" s="222"/>
      <c r="E271" s="29"/>
      <c r="G271" s="293"/>
      <c r="H271" s="294"/>
      <c r="I271" s="294"/>
      <c r="J271" s="294"/>
      <c r="K271" s="294"/>
      <c r="L271" s="294"/>
      <c r="O271" s="335"/>
      <c r="AI271" s="31"/>
      <c r="AJ271" s="31"/>
      <c r="AK271" s="32"/>
      <c r="AL271" s="33"/>
      <c r="AM271" s="32"/>
      <c r="AN271" s="33"/>
      <c r="AO271" s="32"/>
      <c r="AP271" s="32"/>
      <c r="AQ271" s="136"/>
      <c r="AR271" s="136"/>
      <c r="AS271" s="136"/>
      <c r="AT271" s="136"/>
      <c r="AU271" s="136"/>
      <c r="AV271" s="136"/>
      <c r="AW271" s="136"/>
      <c r="AX271" s="136"/>
      <c r="AY271" s="136"/>
      <c r="AZ271" s="136"/>
      <c r="BA271" s="136"/>
      <c r="BB271" s="136"/>
      <c r="BC271" s="330"/>
      <c r="BD271" s="330"/>
      <c r="BE271" s="330"/>
      <c r="BF271" s="330"/>
      <c r="BG271" s="330"/>
      <c r="BH271" s="330"/>
      <c r="BI271" s="330"/>
      <c r="BJ271" s="330"/>
      <c r="BK271" s="330"/>
      <c r="BL271" s="330"/>
      <c r="BM271" s="330"/>
      <c r="BN271" s="330"/>
      <c r="BO271" s="330"/>
      <c r="BP271" s="330"/>
      <c r="BQ271" s="330"/>
      <c r="BR271" s="330"/>
      <c r="BS271" s="330"/>
      <c r="BT271" s="330"/>
      <c r="BU271" s="330"/>
      <c r="BV271" s="330"/>
      <c r="BW271" s="330"/>
      <c r="BX271" s="330"/>
    </row>
    <row r="272" spans="2:76" s="28" customFormat="1">
      <c r="B272" s="136"/>
      <c r="D272" s="222"/>
      <c r="E272" s="29"/>
      <c r="G272" s="293"/>
      <c r="H272" s="294"/>
      <c r="I272" s="294"/>
      <c r="J272" s="294"/>
      <c r="K272" s="294"/>
      <c r="L272" s="294"/>
      <c r="O272" s="339"/>
      <c r="AI272" s="31"/>
      <c r="AJ272" s="31"/>
      <c r="AK272" s="32"/>
      <c r="AL272" s="33"/>
      <c r="AM272" s="32"/>
      <c r="AN272" s="33"/>
      <c r="AO272" s="32"/>
      <c r="AP272" s="32"/>
      <c r="AQ272" s="136"/>
      <c r="AR272" s="136"/>
      <c r="AS272" s="136"/>
      <c r="AT272" s="136"/>
      <c r="AU272" s="136"/>
      <c r="AV272" s="136"/>
      <c r="AW272" s="136"/>
      <c r="AX272" s="136"/>
      <c r="AY272" s="136"/>
      <c r="AZ272" s="136"/>
      <c r="BA272" s="136"/>
      <c r="BB272" s="136"/>
      <c r="BC272" s="330"/>
      <c r="BD272" s="330"/>
      <c r="BE272" s="330"/>
      <c r="BF272" s="330"/>
      <c r="BG272" s="330"/>
      <c r="BH272" s="330"/>
      <c r="BI272" s="330"/>
      <c r="BJ272" s="330"/>
      <c r="BK272" s="330"/>
      <c r="BL272" s="330"/>
      <c r="BM272" s="330"/>
      <c r="BN272" s="330"/>
      <c r="BO272" s="330"/>
      <c r="BP272" s="330"/>
      <c r="BQ272" s="330"/>
      <c r="BR272" s="330"/>
      <c r="BS272" s="330"/>
      <c r="BT272" s="330"/>
      <c r="BU272" s="330"/>
      <c r="BV272" s="330"/>
      <c r="BW272" s="330"/>
      <c r="BX272" s="330"/>
    </row>
    <row r="273" spans="2:76" s="28" customFormat="1">
      <c r="B273" s="136"/>
      <c r="D273" s="222"/>
      <c r="E273" s="29"/>
      <c r="G273" s="293"/>
      <c r="H273" s="294"/>
      <c r="I273" s="294"/>
      <c r="J273" s="294"/>
      <c r="K273" s="294"/>
      <c r="L273" s="294"/>
      <c r="O273" s="339"/>
      <c r="AI273" s="31"/>
      <c r="AJ273" s="31"/>
      <c r="AK273" s="32"/>
      <c r="AL273" s="33"/>
      <c r="AM273" s="32"/>
      <c r="AN273" s="33"/>
      <c r="AO273" s="32"/>
      <c r="AP273" s="32"/>
      <c r="AQ273" s="136"/>
      <c r="AR273" s="136"/>
      <c r="AS273" s="136"/>
      <c r="AT273" s="136"/>
      <c r="AU273" s="136"/>
      <c r="AV273" s="136"/>
      <c r="AW273" s="136"/>
      <c r="AX273" s="136"/>
      <c r="AY273" s="136"/>
      <c r="AZ273" s="136"/>
      <c r="BA273" s="136"/>
      <c r="BB273" s="136"/>
      <c r="BC273" s="330"/>
      <c r="BD273" s="330"/>
      <c r="BE273" s="330"/>
      <c r="BF273" s="330"/>
      <c r="BG273" s="330"/>
      <c r="BH273" s="330"/>
      <c r="BI273" s="330"/>
      <c r="BJ273" s="330"/>
      <c r="BK273" s="330"/>
      <c r="BL273" s="330"/>
      <c r="BM273" s="330"/>
      <c r="BN273" s="330"/>
      <c r="BO273" s="330"/>
      <c r="BP273" s="330"/>
      <c r="BQ273" s="330"/>
      <c r="BR273" s="330"/>
      <c r="BS273" s="330"/>
      <c r="BT273" s="330"/>
      <c r="BU273" s="330"/>
      <c r="BV273" s="330"/>
      <c r="BW273" s="330"/>
      <c r="BX273" s="330"/>
    </row>
    <row r="274" spans="2:76" s="28" customFormat="1">
      <c r="B274" s="136"/>
      <c r="D274" s="222"/>
      <c r="E274" s="29"/>
      <c r="G274" s="293"/>
      <c r="H274" s="294"/>
      <c r="I274" s="294"/>
      <c r="J274" s="294"/>
      <c r="K274" s="294"/>
      <c r="L274" s="294"/>
      <c r="O274" s="335"/>
      <c r="AI274" s="31"/>
      <c r="AJ274" s="31"/>
      <c r="AK274" s="32"/>
      <c r="AL274" s="33"/>
      <c r="AM274" s="32"/>
      <c r="AN274" s="33"/>
      <c r="AO274" s="32"/>
      <c r="AP274" s="32"/>
      <c r="AQ274" s="136"/>
      <c r="AR274" s="136"/>
      <c r="AS274" s="136"/>
      <c r="AT274" s="136"/>
      <c r="AU274" s="136"/>
      <c r="AV274" s="136"/>
      <c r="AW274" s="136"/>
      <c r="AX274" s="136"/>
      <c r="AY274" s="136"/>
      <c r="AZ274" s="136"/>
      <c r="BA274" s="136"/>
      <c r="BB274" s="136"/>
      <c r="BC274" s="330"/>
      <c r="BD274" s="330"/>
      <c r="BE274" s="330"/>
      <c r="BF274" s="330"/>
      <c r="BG274" s="330"/>
      <c r="BH274" s="330"/>
      <c r="BI274" s="330"/>
      <c r="BJ274" s="330"/>
      <c r="BK274" s="330"/>
      <c r="BL274" s="330"/>
      <c r="BM274" s="330"/>
      <c r="BN274" s="330"/>
      <c r="BO274" s="330"/>
      <c r="BP274" s="330"/>
      <c r="BQ274" s="330"/>
      <c r="BR274" s="330"/>
      <c r="BS274" s="330"/>
      <c r="BT274" s="330"/>
      <c r="BU274" s="330"/>
      <c r="BV274" s="330"/>
      <c r="BW274" s="330"/>
      <c r="BX274" s="330"/>
    </row>
    <row r="275" spans="2:76" s="28" customFormat="1">
      <c r="B275" s="136"/>
      <c r="D275" s="222"/>
      <c r="E275" s="29"/>
      <c r="G275" s="293"/>
      <c r="H275" s="294"/>
      <c r="I275" s="294"/>
      <c r="J275" s="294"/>
      <c r="K275" s="294"/>
      <c r="L275" s="294"/>
      <c r="O275" s="338"/>
      <c r="AI275" s="31"/>
      <c r="AJ275" s="31"/>
      <c r="AK275" s="32"/>
      <c r="AL275" s="33"/>
      <c r="AM275" s="32"/>
      <c r="AN275" s="33"/>
      <c r="AO275" s="32"/>
      <c r="AP275" s="32"/>
      <c r="AQ275" s="136"/>
      <c r="AR275" s="136"/>
      <c r="AS275" s="136"/>
      <c r="AT275" s="136"/>
      <c r="AU275" s="136"/>
      <c r="AV275" s="136"/>
      <c r="AW275" s="136"/>
      <c r="AX275" s="136"/>
      <c r="AY275" s="136"/>
      <c r="AZ275" s="136"/>
      <c r="BA275" s="136"/>
      <c r="BB275" s="136"/>
      <c r="BC275" s="330"/>
      <c r="BD275" s="330"/>
      <c r="BE275" s="330"/>
      <c r="BF275" s="330"/>
      <c r="BG275" s="330"/>
      <c r="BH275" s="330"/>
      <c r="BI275" s="330"/>
      <c r="BJ275" s="330"/>
      <c r="BK275" s="330"/>
      <c r="BL275" s="330"/>
      <c r="BM275" s="330"/>
      <c r="BN275" s="330"/>
      <c r="BO275" s="330"/>
      <c r="BP275" s="330"/>
      <c r="BQ275" s="330"/>
      <c r="BR275" s="330"/>
      <c r="BS275" s="330"/>
      <c r="BT275" s="330"/>
      <c r="BU275" s="330"/>
      <c r="BV275" s="330"/>
      <c r="BW275" s="330"/>
      <c r="BX275" s="330"/>
    </row>
    <row r="276" spans="2:76" s="28" customFormat="1">
      <c r="B276" s="136"/>
      <c r="D276" s="222"/>
      <c r="E276" s="29"/>
      <c r="G276" s="293"/>
      <c r="H276" s="294"/>
      <c r="I276" s="294"/>
      <c r="J276" s="294"/>
      <c r="K276" s="294"/>
      <c r="L276" s="294"/>
      <c r="O276" s="339"/>
      <c r="AI276" s="31"/>
      <c r="AJ276" s="31"/>
      <c r="AK276" s="32"/>
      <c r="AL276" s="33"/>
      <c r="AM276" s="32"/>
      <c r="AN276" s="33"/>
      <c r="AO276" s="32"/>
      <c r="AP276" s="32"/>
      <c r="AQ276" s="136"/>
      <c r="AR276" s="136"/>
      <c r="AS276" s="136"/>
      <c r="AT276" s="136"/>
      <c r="AU276" s="136"/>
      <c r="AV276" s="136"/>
      <c r="AW276" s="136"/>
      <c r="AX276" s="136"/>
      <c r="AY276" s="136"/>
      <c r="AZ276" s="136"/>
      <c r="BA276" s="136"/>
      <c r="BB276" s="136"/>
      <c r="BC276" s="330"/>
      <c r="BD276" s="330"/>
      <c r="BE276" s="330"/>
      <c r="BF276" s="330"/>
      <c r="BG276" s="330"/>
      <c r="BH276" s="330"/>
      <c r="BI276" s="330"/>
      <c r="BJ276" s="330"/>
      <c r="BK276" s="330"/>
      <c r="BL276" s="330"/>
      <c r="BM276" s="330"/>
      <c r="BN276" s="330"/>
      <c r="BO276" s="330"/>
      <c r="BP276" s="330"/>
      <c r="BQ276" s="330"/>
      <c r="BR276" s="330"/>
      <c r="BS276" s="330"/>
      <c r="BT276" s="330"/>
      <c r="BU276" s="330"/>
      <c r="BV276" s="330"/>
      <c r="BW276" s="330"/>
      <c r="BX276" s="330"/>
    </row>
    <row r="277" spans="2:76" s="28" customFormat="1">
      <c r="B277" s="136"/>
      <c r="D277" s="222"/>
      <c r="E277" s="29"/>
      <c r="G277" s="293"/>
      <c r="H277" s="294"/>
      <c r="I277" s="294"/>
      <c r="J277" s="294"/>
      <c r="K277" s="294"/>
      <c r="L277" s="294"/>
      <c r="O277" s="335"/>
      <c r="AI277" s="31"/>
      <c r="AJ277" s="31"/>
      <c r="AK277" s="32"/>
      <c r="AL277" s="33"/>
      <c r="AM277" s="32"/>
      <c r="AN277" s="33"/>
      <c r="AO277" s="32"/>
      <c r="AP277" s="32"/>
      <c r="AQ277" s="136"/>
      <c r="AR277" s="136"/>
      <c r="AS277" s="136"/>
      <c r="AT277" s="136"/>
      <c r="AU277" s="136"/>
      <c r="AV277" s="136"/>
      <c r="AW277" s="136"/>
      <c r="AX277" s="136"/>
      <c r="AY277" s="136"/>
      <c r="AZ277" s="136"/>
      <c r="BA277" s="136"/>
      <c r="BB277" s="136"/>
      <c r="BC277" s="330"/>
      <c r="BD277" s="330"/>
      <c r="BE277" s="330"/>
      <c r="BF277" s="330"/>
      <c r="BG277" s="330"/>
      <c r="BH277" s="330"/>
      <c r="BI277" s="330"/>
      <c r="BJ277" s="330"/>
      <c r="BK277" s="330"/>
      <c r="BL277" s="330"/>
      <c r="BM277" s="330"/>
      <c r="BN277" s="330"/>
      <c r="BO277" s="330"/>
      <c r="BP277" s="330"/>
      <c r="BQ277" s="330"/>
      <c r="BR277" s="330"/>
      <c r="BS277" s="330"/>
      <c r="BT277" s="330"/>
      <c r="BU277" s="330"/>
      <c r="BV277" s="330"/>
      <c r="BW277" s="330"/>
      <c r="BX277" s="330"/>
    </row>
    <row r="278" spans="2:76" s="28" customFormat="1">
      <c r="B278" s="136"/>
      <c r="D278" s="222"/>
      <c r="E278" s="29"/>
      <c r="G278" s="293"/>
      <c r="H278" s="294"/>
      <c r="I278" s="294"/>
      <c r="J278" s="294"/>
      <c r="K278" s="294"/>
      <c r="L278" s="294"/>
      <c r="O278" s="335"/>
      <c r="AI278" s="31"/>
      <c r="AJ278" s="31"/>
      <c r="AK278" s="32"/>
      <c r="AL278" s="33"/>
      <c r="AM278" s="32"/>
      <c r="AN278" s="33"/>
      <c r="AO278" s="32"/>
      <c r="AP278" s="32"/>
      <c r="AQ278" s="136"/>
      <c r="AR278" s="136"/>
      <c r="AS278" s="136"/>
      <c r="AT278" s="136"/>
      <c r="AU278" s="136"/>
      <c r="AV278" s="136"/>
      <c r="AW278" s="136"/>
      <c r="AX278" s="136"/>
      <c r="AY278" s="136"/>
      <c r="AZ278" s="136"/>
      <c r="BA278" s="136"/>
      <c r="BB278" s="136"/>
      <c r="BC278" s="330"/>
      <c r="BD278" s="330"/>
      <c r="BE278" s="330"/>
      <c r="BF278" s="330"/>
      <c r="BG278" s="330"/>
      <c r="BH278" s="330"/>
      <c r="BI278" s="330"/>
      <c r="BJ278" s="330"/>
      <c r="BK278" s="330"/>
      <c r="BL278" s="330"/>
      <c r="BM278" s="330"/>
      <c r="BN278" s="330"/>
      <c r="BO278" s="330"/>
      <c r="BP278" s="330"/>
      <c r="BQ278" s="330"/>
      <c r="BR278" s="330"/>
      <c r="BS278" s="330"/>
      <c r="BT278" s="330"/>
      <c r="BU278" s="330"/>
      <c r="BV278" s="330"/>
      <c r="BW278" s="330"/>
      <c r="BX278" s="330"/>
    </row>
    <row r="279" spans="2:76" s="28" customFormat="1">
      <c r="B279" s="136"/>
      <c r="D279" s="222"/>
      <c r="E279" s="29"/>
      <c r="G279" s="293"/>
      <c r="H279" s="294"/>
      <c r="I279" s="294"/>
      <c r="J279" s="294"/>
      <c r="K279" s="294"/>
      <c r="L279" s="294"/>
      <c r="O279" s="335"/>
      <c r="AI279" s="31"/>
      <c r="AJ279" s="31"/>
      <c r="AK279" s="32"/>
      <c r="AL279" s="33"/>
      <c r="AM279" s="32"/>
      <c r="AN279" s="33"/>
      <c r="AO279" s="32"/>
      <c r="AP279" s="32"/>
      <c r="AQ279" s="136"/>
      <c r="AR279" s="136"/>
      <c r="AS279" s="136"/>
      <c r="AT279" s="136"/>
      <c r="AU279" s="136"/>
      <c r="AV279" s="136"/>
      <c r="AW279" s="136"/>
      <c r="AX279" s="136"/>
      <c r="AY279" s="136"/>
      <c r="AZ279" s="136"/>
      <c r="BA279" s="136"/>
      <c r="BB279" s="136"/>
      <c r="BC279" s="330"/>
      <c r="BD279" s="330"/>
      <c r="BE279" s="330"/>
      <c r="BF279" s="330"/>
      <c r="BG279" s="330"/>
      <c r="BH279" s="330"/>
      <c r="BI279" s="330"/>
      <c r="BJ279" s="330"/>
      <c r="BK279" s="330"/>
      <c r="BL279" s="330"/>
      <c r="BM279" s="330"/>
      <c r="BN279" s="330"/>
      <c r="BO279" s="330"/>
      <c r="BP279" s="330"/>
      <c r="BQ279" s="330"/>
      <c r="BR279" s="330"/>
      <c r="BS279" s="330"/>
      <c r="BT279" s="330"/>
      <c r="BU279" s="330"/>
      <c r="BV279" s="330"/>
      <c r="BW279" s="330"/>
      <c r="BX279" s="330"/>
    </row>
    <row r="280" spans="2:76" s="28" customFormat="1">
      <c r="B280" s="136"/>
      <c r="D280" s="222"/>
      <c r="E280" s="29"/>
      <c r="G280" s="293"/>
      <c r="H280" s="294"/>
      <c r="I280" s="294"/>
      <c r="J280" s="294"/>
      <c r="K280" s="294"/>
      <c r="L280" s="294"/>
      <c r="O280" s="335"/>
      <c r="AI280" s="31"/>
      <c r="AJ280" s="31"/>
      <c r="AK280" s="32"/>
      <c r="AL280" s="33"/>
      <c r="AM280" s="32"/>
      <c r="AN280" s="33"/>
      <c r="AO280" s="32"/>
      <c r="AP280" s="32"/>
      <c r="AQ280" s="136"/>
      <c r="AR280" s="136"/>
      <c r="AS280" s="136"/>
      <c r="AT280" s="136"/>
      <c r="AU280" s="136"/>
      <c r="AV280" s="136"/>
      <c r="AW280" s="136"/>
      <c r="AX280" s="136"/>
      <c r="AY280" s="136"/>
      <c r="AZ280" s="136"/>
      <c r="BA280" s="136"/>
      <c r="BB280" s="136"/>
      <c r="BC280" s="330"/>
      <c r="BD280" s="330"/>
      <c r="BE280" s="330"/>
      <c r="BF280" s="330"/>
      <c r="BG280" s="330"/>
      <c r="BH280" s="330"/>
      <c r="BI280" s="330"/>
      <c r="BJ280" s="330"/>
      <c r="BK280" s="330"/>
      <c r="BL280" s="330"/>
      <c r="BM280" s="330"/>
      <c r="BN280" s="330"/>
      <c r="BO280" s="330"/>
      <c r="BP280" s="330"/>
      <c r="BQ280" s="330"/>
      <c r="BR280" s="330"/>
      <c r="BS280" s="330"/>
      <c r="BT280" s="330"/>
      <c r="BU280" s="330"/>
      <c r="BV280" s="330"/>
      <c r="BW280" s="330"/>
      <c r="BX280" s="330"/>
    </row>
    <row r="281" spans="2:76" s="28" customFormat="1">
      <c r="B281" s="136"/>
      <c r="D281" s="222"/>
      <c r="E281" s="29"/>
      <c r="G281" s="293"/>
      <c r="H281" s="294"/>
      <c r="I281" s="294"/>
      <c r="J281" s="294"/>
      <c r="K281" s="294"/>
      <c r="L281" s="294"/>
      <c r="O281" s="339"/>
      <c r="AI281" s="31"/>
      <c r="AJ281" s="31"/>
      <c r="AK281" s="32"/>
      <c r="AL281" s="33"/>
      <c r="AM281" s="32"/>
      <c r="AN281" s="33"/>
      <c r="AO281" s="32"/>
      <c r="AP281" s="32"/>
      <c r="AQ281" s="136"/>
      <c r="AR281" s="136"/>
      <c r="AS281" s="136"/>
      <c r="AT281" s="136"/>
      <c r="AU281" s="136"/>
      <c r="AV281" s="136"/>
      <c r="AW281" s="136"/>
      <c r="AX281" s="136"/>
      <c r="AY281" s="136"/>
      <c r="AZ281" s="136"/>
      <c r="BA281" s="136"/>
      <c r="BB281" s="136"/>
      <c r="BC281" s="330"/>
      <c r="BD281" s="330"/>
      <c r="BE281" s="330"/>
      <c r="BF281" s="330"/>
      <c r="BG281" s="330"/>
      <c r="BH281" s="330"/>
      <c r="BI281" s="330"/>
      <c r="BJ281" s="330"/>
      <c r="BK281" s="330"/>
      <c r="BL281" s="330"/>
      <c r="BM281" s="330"/>
      <c r="BN281" s="330"/>
      <c r="BO281" s="330"/>
      <c r="BP281" s="330"/>
      <c r="BQ281" s="330"/>
      <c r="BR281" s="330"/>
      <c r="BS281" s="330"/>
      <c r="BT281" s="330"/>
      <c r="BU281" s="330"/>
      <c r="BV281" s="330"/>
      <c r="BW281" s="330"/>
      <c r="BX281" s="330"/>
    </row>
    <row r="282" spans="2:76" s="28" customFormat="1">
      <c r="B282" s="136"/>
      <c r="D282" s="222"/>
      <c r="E282" s="29"/>
      <c r="G282" s="293"/>
      <c r="H282" s="294"/>
      <c r="I282" s="294"/>
      <c r="J282" s="294"/>
      <c r="K282" s="294"/>
      <c r="L282" s="294"/>
      <c r="O282" s="338"/>
      <c r="AI282" s="31"/>
      <c r="AJ282" s="31"/>
      <c r="AK282" s="32"/>
      <c r="AL282" s="33"/>
      <c r="AM282" s="32"/>
      <c r="AN282" s="33"/>
      <c r="AO282" s="32"/>
      <c r="AP282" s="32"/>
      <c r="AQ282" s="136"/>
      <c r="AR282" s="136"/>
      <c r="AS282" s="136"/>
      <c r="AT282" s="136"/>
      <c r="AU282" s="136"/>
      <c r="AV282" s="136"/>
      <c r="AW282" s="136"/>
      <c r="AX282" s="136"/>
      <c r="AY282" s="136"/>
      <c r="AZ282" s="136"/>
      <c r="BA282" s="136"/>
      <c r="BB282" s="136"/>
      <c r="BC282" s="330"/>
      <c r="BD282" s="330"/>
      <c r="BE282" s="330"/>
      <c r="BF282" s="330"/>
      <c r="BG282" s="330"/>
      <c r="BH282" s="330"/>
      <c r="BI282" s="330"/>
      <c r="BJ282" s="330"/>
      <c r="BK282" s="330"/>
      <c r="BL282" s="330"/>
      <c r="BM282" s="330"/>
      <c r="BN282" s="330"/>
      <c r="BO282" s="330"/>
      <c r="BP282" s="330"/>
      <c r="BQ282" s="330"/>
      <c r="BR282" s="330"/>
      <c r="BS282" s="330"/>
      <c r="BT282" s="330"/>
      <c r="BU282" s="330"/>
      <c r="BV282" s="330"/>
      <c r="BW282" s="330"/>
      <c r="BX282" s="330"/>
    </row>
    <row r="283" spans="2:76" s="28" customFormat="1">
      <c r="B283" s="136"/>
      <c r="D283" s="222"/>
      <c r="E283" s="29"/>
      <c r="G283" s="293"/>
      <c r="H283" s="294"/>
      <c r="I283" s="294"/>
      <c r="J283" s="294"/>
      <c r="K283" s="294"/>
      <c r="L283" s="294"/>
      <c r="O283" s="338"/>
      <c r="AI283" s="31"/>
      <c r="AJ283" s="31"/>
      <c r="AK283" s="32"/>
      <c r="AL283" s="33"/>
      <c r="AM283" s="32"/>
      <c r="AN283" s="33"/>
      <c r="AO283" s="32"/>
      <c r="AP283" s="32"/>
      <c r="AQ283" s="136"/>
      <c r="AR283" s="136"/>
      <c r="AS283" s="136"/>
      <c r="AT283" s="136"/>
      <c r="AU283" s="136"/>
      <c r="AV283" s="136"/>
      <c r="AW283" s="136"/>
      <c r="AX283" s="136"/>
      <c r="AY283" s="136"/>
      <c r="AZ283" s="136"/>
      <c r="BA283" s="136"/>
      <c r="BB283" s="136"/>
      <c r="BC283" s="330"/>
      <c r="BD283" s="330"/>
      <c r="BE283" s="330"/>
      <c r="BF283" s="330"/>
      <c r="BG283" s="330"/>
      <c r="BH283" s="330"/>
      <c r="BI283" s="330"/>
      <c r="BJ283" s="330"/>
      <c r="BK283" s="330"/>
      <c r="BL283" s="330"/>
      <c r="BM283" s="330"/>
      <c r="BN283" s="330"/>
      <c r="BO283" s="330"/>
      <c r="BP283" s="330"/>
      <c r="BQ283" s="330"/>
      <c r="BR283" s="330"/>
      <c r="BS283" s="330"/>
      <c r="BT283" s="330"/>
      <c r="BU283" s="330"/>
      <c r="BV283" s="330"/>
      <c r="BW283" s="330"/>
      <c r="BX283" s="330"/>
    </row>
    <row r="284" spans="2:76" s="28" customFormat="1">
      <c r="B284" s="136"/>
      <c r="D284" s="222"/>
      <c r="E284" s="29"/>
      <c r="G284" s="293"/>
      <c r="H284" s="294"/>
      <c r="I284" s="294"/>
      <c r="J284" s="294"/>
      <c r="K284" s="294"/>
      <c r="L284" s="294"/>
      <c r="O284" s="339"/>
      <c r="AI284" s="31"/>
      <c r="AJ284" s="31"/>
      <c r="AK284" s="32"/>
      <c r="AL284" s="33"/>
      <c r="AM284" s="32"/>
      <c r="AN284" s="33"/>
      <c r="AO284" s="32"/>
      <c r="AP284" s="32"/>
      <c r="AQ284" s="136"/>
      <c r="AR284" s="136"/>
      <c r="AS284" s="136"/>
      <c r="AT284" s="136"/>
      <c r="AU284" s="136"/>
      <c r="AV284" s="136"/>
      <c r="AW284" s="136"/>
      <c r="AX284" s="136"/>
      <c r="AY284" s="136"/>
      <c r="AZ284" s="136"/>
      <c r="BA284" s="136"/>
      <c r="BB284" s="136"/>
      <c r="BC284" s="330"/>
      <c r="BD284" s="330"/>
      <c r="BE284" s="330"/>
      <c r="BF284" s="330"/>
      <c r="BG284" s="330"/>
      <c r="BH284" s="330"/>
      <c r="BI284" s="330"/>
      <c r="BJ284" s="330"/>
      <c r="BK284" s="330"/>
      <c r="BL284" s="330"/>
      <c r="BM284" s="330"/>
      <c r="BN284" s="330"/>
      <c r="BO284" s="330"/>
      <c r="BP284" s="330"/>
      <c r="BQ284" s="330"/>
      <c r="BR284" s="330"/>
      <c r="BS284" s="330"/>
      <c r="BT284" s="330"/>
      <c r="BU284" s="330"/>
      <c r="BV284" s="330"/>
      <c r="BW284" s="330"/>
      <c r="BX284" s="330"/>
    </row>
    <row r="285" spans="2:76" s="28" customFormat="1">
      <c r="B285" s="136"/>
      <c r="D285" s="222"/>
      <c r="E285" s="29"/>
      <c r="G285" s="293"/>
      <c r="H285" s="294"/>
      <c r="I285" s="294"/>
      <c r="J285" s="294"/>
      <c r="K285" s="294"/>
      <c r="L285" s="294"/>
      <c r="O285" s="335"/>
      <c r="AI285" s="31"/>
      <c r="AJ285" s="31"/>
      <c r="AK285" s="32"/>
      <c r="AL285" s="33"/>
      <c r="AM285" s="32"/>
      <c r="AN285" s="33"/>
      <c r="AO285" s="32"/>
      <c r="AP285" s="32"/>
      <c r="AQ285" s="136"/>
      <c r="AR285" s="136"/>
      <c r="AS285" s="136"/>
      <c r="AT285" s="136"/>
      <c r="AU285" s="136"/>
      <c r="AV285" s="136"/>
      <c r="AW285" s="136"/>
      <c r="AX285" s="136"/>
      <c r="AY285" s="136"/>
      <c r="AZ285" s="136"/>
      <c r="BA285" s="136"/>
      <c r="BB285" s="136"/>
      <c r="BC285" s="330"/>
      <c r="BD285" s="330"/>
      <c r="BE285" s="330"/>
      <c r="BF285" s="330"/>
      <c r="BG285" s="330"/>
      <c r="BH285" s="330"/>
      <c r="BI285" s="330"/>
      <c r="BJ285" s="330"/>
      <c r="BK285" s="330"/>
      <c r="BL285" s="330"/>
      <c r="BM285" s="330"/>
      <c r="BN285" s="330"/>
      <c r="BO285" s="330"/>
      <c r="BP285" s="330"/>
      <c r="BQ285" s="330"/>
      <c r="BR285" s="330"/>
      <c r="BS285" s="330"/>
      <c r="BT285" s="330"/>
      <c r="BU285" s="330"/>
      <c r="BV285" s="330"/>
      <c r="BW285" s="330"/>
      <c r="BX285" s="330"/>
    </row>
    <row r="286" spans="2:76" s="28" customFormat="1">
      <c r="B286" s="136"/>
      <c r="D286" s="222"/>
      <c r="E286" s="29"/>
      <c r="G286" s="293"/>
      <c r="H286" s="294"/>
      <c r="I286" s="294"/>
      <c r="J286" s="294"/>
      <c r="K286" s="294"/>
      <c r="L286" s="294"/>
      <c r="O286" s="335"/>
      <c r="AI286" s="31"/>
      <c r="AJ286" s="31"/>
      <c r="AK286" s="32"/>
      <c r="AL286" s="33"/>
      <c r="AM286" s="32"/>
      <c r="AN286" s="33"/>
      <c r="AO286" s="32"/>
      <c r="AP286" s="32"/>
      <c r="AQ286" s="136"/>
      <c r="AR286" s="136"/>
      <c r="AS286" s="136"/>
      <c r="AT286" s="136"/>
      <c r="AU286" s="136"/>
      <c r="AV286" s="136"/>
      <c r="AW286" s="136"/>
      <c r="AX286" s="136"/>
      <c r="AY286" s="136"/>
      <c r="AZ286" s="136"/>
      <c r="BA286" s="136"/>
      <c r="BB286" s="136"/>
      <c r="BC286" s="330"/>
      <c r="BD286" s="330"/>
      <c r="BE286" s="330"/>
      <c r="BF286" s="330"/>
      <c r="BG286" s="330"/>
      <c r="BH286" s="330"/>
      <c r="BI286" s="330"/>
      <c r="BJ286" s="330"/>
      <c r="BK286" s="330"/>
      <c r="BL286" s="330"/>
      <c r="BM286" s="330"/>
      <c r="BN286" s="330"/>
      <c r="BO286" s="330"/>
      <c r="BP286" s="330"/>
      <c r="BQ286" s="330"/>
      <c r="BR286" s="330"/>
      <c r="BS286" s="330"/>
      <c r="BT286" s="330"/>
      <c r="BU286" s="330"/>
      <c r="BV286" s="330"/>
      <c r="BW286" s="330"/>
      <c r="BX286" s="330"/>
    </row>
    <row r="287" spans="2:76" s="28" customFormat="1">
      <c r="B287" s="136"/>
      <c r="D287" s="222"/>
      <c r="E287" s="29"/>
      <c r="G287" s="293"/>
      <c r="H287" s="294"/>
      <c r="I287" s="294"/>
      <c r="J287" s="294"/>
      <c r="K287" s="294"/>
      <c r="L287" s="294"/>
      <c r="O287" s="335"/>
      <c r="AI287" s="31"/>
      <c r="AJ287" s="31"/>
      <c r="AK287" s="32"/>
      <c r="AL287" s="33"/>
      <c r="AM287" s="32"/>
      <c r="AN287" s="33"/>
      <c r="AO287" s="32"/>
      <c r="AP287" s="32"/>
      <c r="AQ287" s="136"/>
      <c r="AR287" s="136"/>
      <c r="AS287" s="136"/>
      <c r="AT287" s="136"/>
      <c r="AU287" s="136"/>
      <c r="AV287" s="136"/>
      <c r="AW287" s="136"/>
      <c r="AX287" s="136"/>
      <c r="AY287" s="136"/>
      <c r="AZ287" s="136"/>
      <c r="BA287" s="136"/>
      <c r="BB287" s="136"/>
      <c r="BC287" s="330"/>
      <c r="BD287" s="330"/>
      <c r="BE287" s="330"/>
      <c r="BF287" s="330"/>
      <c r="BG287" s="330"/>
      <c r="BH287" s="330"/>
      <c r="BI287" s="330"/>
      <c r="BJ287" s="330"/>
      <c r="BK287" s="330"/>
      <c r="BL287" s="330"/>
      <c r="BM287" s="330"/>
      <c r="BN287" s="330"/>
      <c r="BO287" s="330"/>
      <c r="BP287" s="330"/>
      <c r="BQ287" s="330"/>
      <c r="BR287" s="330"/>
      <c r="BS287" s="330"/>
      <c r="BT287" s="330"/>
      <c r="BU287" s="330"/>
      <c r="BV287" s="330"/>
      <c r="BW287" s="330"/>
      <c r="BX287" s="330"/>
    </row>
    <row r="288" spans="2:76" s="28" customFormat="1">
      <c r="B288" s="136"/>
      <c r="D288" s="222"/>
      <c r="E288" s="29"/>
      <c r="G288" s="293"/>
      <c r="H288" s="294"/>
      <c r="I288" s="294"/>
      <c r="J288" s="294"/>
      <c r="K288" s="294"/>
      <c r="L288" s="294"/>
      <c r="O288" s="335"/>
      <c r="AI288" s="31"/>
      <c r="AJ288" s="31"/>
      <c r="AK288" s="32"/>
      <c r="AL288" s="33"/>
      <c r="AM288" s="32"/>
      <c r="AN288" s="33"/>
      <c r="AO288" s="32"/>
      <c r="AP288" s="32"/>
      <c r="AQ288" s="136"/>
      <c r="AR288" s="136"/>
      <c r="AS288" s="136"/>
      <c r="AT288" s="136"/>
      <c r="AU288" s="136"/>
      <c r="AV288" s="136"/>
      <c r="AW288" s="136"/>
      <c r="AX288" s="136"/>
      <c r="AY288" s="136"/>
      <c r="AZ288" s="136"/>
      <c r="BA288" s="136"/>
      <c r="BB288" s="136"/>
      <c r="BC288" s="330"/>
      <c r="BD288" s="330"/>
      <c r="BE288" s="330"/>
      <c r="BF288" s="330"/>
      <c r="BG288" s="330"/>
      <c r="BH288" s="330"/>
      <c r="BI288" s="330"/>
      <c r="BJ288" s="330"/>
      <c r="BK288" s="330"/>
      <c r="BL288" s="330"/>
      <c r="BM288" s="330"/>
      <c r="BN288" s="330"/>
      <c r="BO288" s="330"/>
      <c r="BP288" s="330"/>
      <c r="BQ288" s="330"/>
      <c r="BR288" s="330"/>
      <c r="BS288" s="330"/>
      <c r="BT288" s="330"/>
      <c r="BU288" s="330"/>
      <c r="BV288" s="330"/>
      <c r="BW288" s="330"/>
      <c r="BX288" s="330"/>
    </row>
    <row r="289" spans="2:76" s="28" customFormat="1">
      <c r="B289" s="136"/>
      <c r="D289" s="222"/>
      <c r="E289" s="29"/>
      <c r="G289" s="293"/>
      <c r="H289" s="294"/>
      <c r="I289" s="294"/>
      <c r="J289" s="294"/>
      <c r="K289" s="294"/>
      <c r="L289" s="294"/>
      <c r="O289" s="335"/>
      <c r="AI289" s="31"/>
      <c r="AJ289" s="31"/>
      <c r="AK289" s="32"/>
      <c r="AL289" s="33"/>
      <c r="AM289" s="32"/>
      <c r="AN289" s="33"/>
      <c r="AO289" s="32"/>
      <c r="AP289" s="32"/>
      <c r="AQ289" s="136"/>
      <c r="AR289" s="136"/>
      <c r="AS289" s="136"/>
      <c r="AT289" s="136"/>
      <c r="AU289" s="136"/>
      <c r="AV289" s="136"/>
      <c r="AW289" s="136"/>
      <c r="AX289" s="136"/>
      <c r="AY289" s="136"/>
      <c r="AZ289" s="136"/>
      <c r="BA289" s="136"/>
      <c r="BB289" s="136"/>
      <c r="BC289" s="330"/>
      <c r="BD289" s="330"/>
      <c r="BE289" s="330"/>
      <c r="BF289" s="330"/>
      <c r="BG289" s="330"/>
      <c r="BH289" s="330"/>
      <c r="BI289" s="330"/>
      <c r="BJ289" s="330"/>
      <c r="BK289" s="330"/>
      <c r="BL289" s="330"/>
      <c r="BM289" s="330"/>
      <c r="BN289" s="330"/>
      <c r="BO289" s="330"/>
      <c r="BP289" s="330"/>
      <c r="BQ289" s="330"/>
      <c r="BR289" s="330"/>
      <c r="BS289" s="330"/>
      <c r="BT289" s="330"/>
      <c r="BU289" s="330"/>
      <c r="BV289" s="330"/>
      <c r="BW289" s="330"/>
      <c r="BX289" s="330"/>
    </row>
    <row r="290" spans="2:76" s="28" customFormat="1">
      <c r="B290" s="136"/>
      <c r="D290" s="222"/>
      <c r="E290" s="29"/>
      <c r="G290" s="293"/>
      <c r="H290" s="294"/>
      <c r="I290" s="294"/>
      <c r="J290" s="294"/>
      <c r="K290" s="294"/>
      <c r="L290" s="294"/>
      <c r="O290" s="343"/>
      <c r="AI290" s="31"/>
      <c r="AJ290" s="31"/>
      <c r="AK290" s="32"/>
      <c r="AL290" s="33"/>
      <c r="AM290" s="32"/>
      <c r="AN290" s="33"/>
      <c r="AO290" s="32"/>
      <c r="AP290" s="32"/>
      <c r="AQ290" s="136"/>
      <c r="AR290" s="136"/>
      <c r="AS290" s="136"/>
      <c r="AT290" s="136"/>
      <c r="AU290" s="136"/>
      <c r="AV290" s="136"/>
      <c r="AW290" s="136"/>
      <c r="AX290" s="136"/>
      <c r="AY290" s="136"/>
      <c r="AZ290" s="136"/>
      <c r="BA290" s="136"/>
      <c r="BB290" s="136"/>
      <c r="BC290" s="330"/>
      <c r="BD290" s="330"/>
      <c r="BE290" s="330"/>
      <c r="BF290" s="330"/>
      <c r="BG290" s="330"/>
      <c r="BH290" s="330"/>
      <c r="BI290" s="330"/>
      <c r="BJ290" s="330"/>
      <c r="BK290" s="330"/>
      <c r="BL290" s="330"/>
      <c r="BM290" s="330"/>
      <c r="BN290" s="330"/>
      <c r="BO290" s="330"/>
      <c r="BP290" s="330"/>
      <c r="BQ290" s="330"/>
      <c r="BR290" s="330"/>
      <c r="BS290" s="330"/>
      <c r="BT290" s="330"/>
      <c r="BU290" s="330"/>
      <c r="BV290" s="330"/>
      <c r="BW290" s="330"/>
      <c r="BX290" s="330"/>
    </row>
    <row r="291" spans="2:76" s="28" customFormat="1">
      <c r="B291" s="136"/>
      <c r="D291" s="222"/>
      <c r="E291" s="29"/>
      <c r="G291" s="293"/>
      <c r="H291" s="294"/>
      <c r="I291" s="294"/>
      <c r="J291" s="294"/>
      <c r="K291" s="294"/>
      <c r="L291" s="294"/>
      <c r="O291" s="335"/>
      <c r="AI291" s="31"/>
      <c r="AJ291" s="31"/>
      <c r="AK291" s="32"/>
      <c r="AL291" s="33"/>
      <c r="AM291" s="32"/>
      <c r="AN291" s="33"/>
      <c r="AO291" s="32"/>
      <c r="AP291" s="32"/>
      <c r="AQ291" s="136"/>
      <c r="AR291" s="136"/>
      <c r="AS291" s="136"/>
      <c r="AT291" s="136"/>
      <c r="AU291" s="136"/>
      <c r="AV291" s="136"/>
      <c r="AW291" s="136"/>
      <c r="AX291" s="136"/>
      <c r="AY291" s="136"/>
      <c r="AZ291" s="136"/>
      <c r="BA291" s="136"/>
      <c r="BB291" s="136"/>
      <c r="BC291" s="330"/>
      <c r="BD291" s="330"/>
      <c r="BE291" s="330"/>
      <c r="BF291" s="330"/>
      <c r="BG291" s="330"/>
      <c r="BH291" s="330"/>
      <c r="BI291" s="330"/>
      <c r="BJ291" s="330"/>
      <c r="BK291" s="330"/>
      <c r="BL291" s="330"/>
      <c r="BM291" s="330"/>
      <c r="BN291" s="330"/>
      <c r="BO291" s="330"/>
      <c r="BP291" s="330"/>
      <c r="BQ291" s="330"/>
      <c r="BR291" s="330"/>
      <c r="BS291" s="330"/>
      <c r="BT291" s="330"/>
      <c r="BU291" s="330"/>
      <c r="BV291" s="330"/>
      <c r="BW291" s="330"/>
      <c r="BX291" s="330"/>
    </row>
    <row r="292" spans="2:76" s="28" customFormat="1">
      <c r="B292" s="136"/>
      <c r="D292" s="222"/>
      <c r="E292" s="29"/>
      <c r="G292" s="293"/>
      <c r="H292" s="294"/>
      <c r="I292" s="294"/>
      <c r="J292" s="294"/>
      <c r="K292" s="294"/>
      <c r="L292" s="294"/>
      <c r="O292" s="338"/>
      <c r="AI292" s="31"/>
      <c r="AJ292" s="31"/>
      <c r="AK292" s="32"/>
      <c r="AL292" s="33"/>
      <c r="AM292" s="32"/>
      <c r="AN292" s="33"/>
      <c r="AO292" s="32"/>
      <c r="AP292" s="32"/>
      <c r="AQ292" s="136"/>
      <c r="AR292" s="136"/>
      <c r="AS292" s="136"/>
      <c r="AT292" s="136"/>
      <c r="AU292" s="136"/>
      <c r="AV292" s="136"/>
      <c r="AW292" s="136"/>
      <c r="AX292" s="136"/>
      <c r="AY292" s="136"/>
      <c r="AZ292" s="136"/>
      <c r="BA292" s="136"/>
      <c r="BB292" s="136"/>
      <c r="BC292" s="330"/>
      <c r="BD292" s="330"/>
      <c r="BE292" s="330"/>
      <c r="BF292" s="330"/>
      <c r="BG292" s="330"/>
      <c r="BH292" s="330"/>
      <c r="BI292" s="330"/>
      <c r="BJ292" s="330"/>
      <c r="BK292" s="330"/>
      <c r="BL292" s="330"/>
      <c r="BM292" s="330"/>
      <c r="BN292" s="330"/>
      <c r="BO292" s="330"/>
      <c r="BP292" s="330"/>
      <c r="BQ292" s="330"/>
      <c r="BR292" s="330"/>
      <c r="BS292" s="330"/>
      <c r="BT292" s="330"/>
      <c r="BU292" s="330"/>
      <c r="BV292" s="330"/>
      <c r="BW292" s="330"/>
      <c r="BX292" s="330"/>
    </row>
    <row r="293" spans="2:76" s="28" customFormat="1">
      <c r="B293" s="136"/>
      <c r="D293" s="222"/>
      <c r="E293" s="29"/>
      <c r="G293" s="293"/>
      <c r="H293" s="294"/>
      <c r="I293" s="294"/>
      <c r="J293" s="294"/>
      <c r="K293" s="294"/>
      <c r="L293" s="294"/>
      <c r="O293" s="340"/>
      <c r="AI293" s="31"/>
      <c r="AJ293" s="31"/>
      <c r="AK293" s="32"/>
      <c r="AL293" s="33"/>
      <c r="AM293" s="32"/>
      <c r="AN293" s="33"/>
      <c r="AO293" s="32"/>
      <c r="AP293" s="32"/>
      <c r="AQ293" s="136"/>
      <c r="AR293" s="136"/>
      <c r="AS293" s="136"/>
      <c r="AT293" s="136"/>
      <c r="AU293" s="136"/>
      <c r="AV293" s="136"/>
      <c r="AW293" s="136"/>
      <c r="AX293" s="136"/>
      <c r="AY293" s="136"/>
      <c r="AZ293" s="136"/>
      <c r="BA293" s="136"/>
      <c r="BB293" s="136"/>
      <c r="BC293" s="330"/>
      <c r="BD293" s="330"/>
      <c r="BE293" s="330"/>
      <c r="BF293" s="330"/>
      <c r="BG293" s="330"/>
      <c r="BH293" s="330"/>
      <c r="BI293" s="330"/>
      <c r="BJ293" s="330"/>
      <c r="BK293" s="330"/>
      <c r="BL293" s="330"/>
      <c r="BM293" s="330"/>
      <c r="BN293" s="330"/>
      <c r="BO293" s="330"/>
      <c r="BP293" s="330"/>
      <c r="BQ293" s="330"/>
      <c r="BR293" s="330"/>
      <c r="BS293" s="330"/>
      <c r="BT293" s="330"/>
      <c r="BU293" s="330"/>
      <c r="BV293" s="330"/>
      <c r="BW293" s="330"/>
      <c r="BX293" s="330"/>
    </row>
    <row r="294" spans="2:76" s="28" customFormat="1">
      <c r="B294" s="136"/>
      <c r="D294" s="222"/>
      <c r="E294" s="29"/>
      <c r="G294" s="293"/>
      <c r="H294" s="294"/>
      <c r="I294" s="294"/>
      <c r="J294" s="294"/>
      <c r="K294" s="294"/>
      <c r="L294" s="294"/>
      <c r="O294" s="335"/>
      <c r="AI294" s="31"/>
      <c r="AJ294" s="31"/>
      <c r="AK294" s="32"/>
      <c r="AL294" s="33"/>
      <c r="AM294" s="32"/>
      <c r="AN294" s="33"/>
      <c r="AO294" s="32"/>
      <c r="AP294" s="32"/>
      <c r="AQ294" s="136"/>
      <c r="AR294" s="136"/>
      <c r="AS294" s="136"/>
      <c r="AT294" s="136"/>
      <c r="AU294" s="136"/>
      <c r="AV294" s="136"/>
      <c r="AW294" s="136"/>
      <c r="AX294" s="136"/>
      <c r="AY294" s="136"/>
      <c r="AZ294" s="136"/>
      <c r="BA294" s="136"/>
      <c r="BB294" s="136"/>
      <c r="BC294" s="330"/>
      <c r="BD294" s="330"/>
      <c r="BE294" s="330"/>
      <c r="BF294" s="330"/>
      <c r="BG294" s="330"/>
      <c r="BH294" s="330"/>
      <c r="BI294" s="330"/>
      <c r="BJ294" s="330"/>
      <c r="BK294" s="330"/>
      <c r="BL294" s="330"/>
      <c r="BM294" s="330"/>
      <c r="BN294" s="330"/>
      <c r="BO294" s="330"/>
      <c r="BP294" s="330"/>
      <c r="BQ294" s="330"/>
      <c r="BR294" s="330"/>
      <c r="BS294" s="330"/>
      <c r="BT294" s="330"/>
      <c r="BU294" s="330"/>
      <c r="BV294" s="330"/>
      <c r="BW294" s="330"/>
      <c r="BX294" s="330"/>
    </row>
    <row r="295" spans="2:76" s="28" customFormat="1">
      <c r="B295" s="136"/>
      <c r="D295" s="222"/>
      <c r="E295" s="29"/>
      <c r="G295" s="293"/>
      <c r="H295" s="294"/>
      <c r="I295" s="294"/>
      <c r="J295" s="294"/>
      <c r="K295" s="294"/>
      <c r="L295" s="294"/>
      <c r="O295" s="335"/>
      <c r="AI295" s="31"/>
      <c r="AJ295" s="31"/>
      <c r="AK295" s="32"/>
      <c r="AL295" s="33"/>
      <c r="AM295" s="32"/>
      <c r="AN295" s="33"/>
      <c r="AO295" s="32"/>
      <c r="AP295" s="32"/>
      <c r="AQ295" s="136"/>
      <c r="AR295" s="136"/>
      <c r="AS295" s="136"/>
      <c r="AT295" s="136"/>
      <c r="AU295" s="136"/>
      <c r="AV295" s="136"/>
      <c r="AW295" s="136"/>
      <c r="AX295" s="136"/>
      <c r="AY295" s="136"/>
      <c r="AZ295" s="136"/>
      <c r="BA295" s="136"/>
      <c r="BB295" s="136"/>
      <c r="BC295" s="330"/>
      <c r="BD295" s="330"/>
      <c r="BE295" s="330"/>
      <c r="BF295" s="330"/>
      <c r="BG295" s="330"/>
      <c r="BH295" s="330"/>
      <c r="BI295" s="330"/>
      <c r="BJ295" s="330"/>
      <c r="BK295" s="330"/>
      <c r="BL295" s="330"/>
      <c r="BM295" s="330"/>
      <c r="BN295" s="330"/>
      <c r="BO295" s="330"/>
      <c r="BP295" s="330"/>
      <c r="BQ295" s="330"/>
      <c r="BR295" s="330"/>
      <c r="BS295" s="330"/>
      <c r="BT295" s="330"/>
      <c r="BU295" s="330"/>
      <c r="BV295" s="330"/>
      <c r="BW295" s="330"/>
      <c r="BX295" s="330"/>
    </row>
    <row r="296" spans="2:76" s="28" customFormat="1">
      <c r="B296" s="136"/>
      <c r="D296" s="222"/>
      <c r="E296" s="29"/>
      <c r="G296" s="293"/>
      <c r="H296" s="294"/>
      <c r="I296" s="294"/>
      <c r="J296" s="294"/>
      <c r="K296" s="294"/>
      <c r="L296" s="294"/>
      <c r="O296" s="335"/>
      <c r="AI296" s="31"/>
      <c r="AJ296" s="31"/>
      <c r="AK296" s="32"/>
      <c r="AL296" s="33"/>
      <c r="AM296" s="32"/>
      <c r="AN296" s="33"/>
      <c r="AO296" s="32"/>
      <c r="AP296" s="32"/>
      <c r="AQ296" s="136"/>
      <c r="AR296" s="136"/>
      <c r="AS296" s="136"/>
      <c r="AT296" s="136"/>
      <c r="AU296" s="136"/>
      <c r="AV296" s="136"/>
      <c r="AW296" s="136"/>
      <c r="AX296" s="136"/>
      <c r="AY296" s="136"/>
      <c r="AZ296" s="136"/>
      <c r="BA296" s="136"/>
      <c r="BB296" s="136"/>
      <c r="BC296" s="330"/>
      <c r="BD296" s="330"/>
      <c r="BE296" s="330"/>
      <c r="BF296" s="330"/>
      <c r="BG296" s="330"/>
      <c r="BH296" s="330"/>
      <c r="BI296" s="330"/>
      <c r="BJ296" s="330"/>
      <c r="BK296" s="330"/>
      <c r="BL296" s="330"/>
      <c r="BM296" s="330"/>
      <c r="BN296" s="330"/>
      <c r="BO296" s="330"/>
      <c r="BP296" s="330"/>
      <c r="BQ296" s="330"/>
      <c r="BR296" s="330"/>
      <c r="BS296" s="330"/>
      <c r="BT296" s="330"/>
      <c r="BU296" s="330"/>
      <c r="BV296" s="330"/>
      <c r="BW296" s="330"/>
      <c r="BX296" s="330"/>
    </row>
    <row r="297" spans="2:76" s="28" customFormat="1">
      <c r="B297" s="136"/>
      <c r="D297" s="222"/>
      <c r="E297" s="29"/>
      <c r="G297" s="293"/>
      <c r="H297" s="294"/>
      <c r="I297" s="294"/>
      <c r="J297" s="294"/>
      <c r="K297" s="294"/>
      <c r="L297" s="294"/>
      <c r="O297" s="338"/>
      <c r="AI297" s="31"/>
      <c r="AJ297" s="31"/>
      <c r="AK297" s="32"/>
      <c r="AL297" s="33"/>
      <c r="AM297" s="32"/>
      <c r="AN297" s="33"/>
      <c r="AO297" s="32"/>
      <c r="AP297" s="32"/>
      <c r="AQ297" s="136"/>
      <c r="AR297" s="136"/>
      <c r="AS297" s="136"/>
      <c r="AT297" s="136"/>
      <c r="AU297" s="136"/>
      <c r="AV297" s="136"/>
      <c r="AW297" s="136"/>
      <c r="AX297" s="136"/>
      <c r="AY297" s="136"/>
      <c r="AZ297" s="136"/>
      <c r="BA297" s="136"/>
      <c r="BB297" s="136"/>
      <c r="BC297" s="330"/>
      <c r="BD297" s="330"/>
      <c r="BE297" s="330"/>
      <c r="BF297" s="330"/>
      <c r="BG297" s="330"/>
      <c r="BH297" s="330"/>
      <c r="BI297" s="330"/>
      <c r="BJ297" s="330"/>
      <c r="BK297" s="330"/>
      <c r="BL297" s="330"/>
      <c r="BM297" s="330"/>
      <c r="BN297" s="330"/>
      <c r="BO297" s="330"/>
      <c r="BP297" s="330"/>
      <c r="BQ297" s="330"/>
      <c r="BR297" s="330"/>
      <c r="BS297" s="330"/>
      <c r="BT297" s="330"/>
      <c r="BU297" s="330"/>
      <c r="BV297" s="330"/>
      <c r="BW297" s="330"/>
      <c r="BX297" s="330"/>
    </row>
    <row r="298" spans="2:76" s="28" customFormat="1">
      <c r="B298" s="136"/>
      <c r="D298" s="222"/>
      <c r="E298" s="29"/>
      <c r="G298" s="293"/>
      <c r="H298" s="294"/>
      <c r="I298" s="294"/>
      <c r="J298" s="294"/>
      <c r="K298" s="294"/>
      <c r="L298" s="294"/>
      <c r="O298" s="341"/>
      <c r="AI298" s="31"/>
      <c r="AJ298" s="31"/>
      <c r="AK298" s="32"/>
      <c r="AL298" s="33"/>
      <c r="AM298" s="32"/>
      <c r="AN298" s="33"/>
      <c r="AO298" s="32"/>
      <c r="AP298" s="32"/>
      <c r="AQ298" s="136"/>
      <c r="AR298" s="136"/>
      <c r="AS298" s="136"/>
      <c r="AT298" s="136"/>
      <c r="AU298" s="136"/>
      <c r="AV298" s="136"/>
      <c r="AW298" s="136"/>
      <c r="AX298" s="136"/>
      <c r="AY298" s="136"/>
      <c r="AZ298" s="136"/>
      <c r="BA298" s="136"/>
      <c r="BB298" s="136"/>
      <c r="BC298" s="330"/>
      <c r="BD298" s="330"/>
      <c r="BE298" s="330"/>
      <c r="BF298" s="330"/>
      <c r="BG298" s="330"/>
      <c r="BH298" s="330"/>
      <c r="BI298" s="330"/>
      <c r="BJ298" s="330"/>
      <c r="BK298" s="330"/>
      <c r="BL298" s="330"/>
      <c r="BM298" s="330"/>
      <c r="BN298" s="330"/>
      <c r="BO298" s="330"/>
      <c r="BP298" s="330"/>
      <c r="BQ298" s="330"/>
      <c r="BR298" s="330"/>
      <c r="BS298" s="330"/>
      <c r="BT298" s="330"/>
      <c r="BU298" s="330"/>
      <c r="BV298" s="330"/>
      <c r="BW298" s="330"/>
      <c r="BX298" s="330"/>
    </row>
    <row r="299" spans="2:76" s="28" customFormat="1">
      <c r="B299" s="136"/>
      <c r="D299" s="222"/>
      <c r="E299" s="29"/>
      <c r="G299" s="293"/>
      <c r="H299" s="294"/>
      <c r="I299" s="294"/>
      <c r="J299" s="294"/>
      <c r="K299" s="294"/>
      <c r="L299" s="294"/>
      <c r="O299" s="339"/>
      <c r="AI299" s="31"/>
      <c r="AJ299" s="31"/>
      <c r="AK299" s="32"/>
      <c r="AL299" s="33"/>
      <c r="AM299" s="32"/>
      <c r="AN299" s="33"/>
      <c r="AO299" s="32"/>
      <c r="AP299" s="32"/>
      <c r="AQ299" s="136"/>
      <c r="AR299" s="136"/>
      <c r="AS299" s="136"/>
      <c r="AT299" s="136"/>
      <c r="AU299" s="136"/>
      <c r="AV299" s="136"/>
      <c r="AW299" s="136"/>
      <c r="AX299" s="136"/>
      <c r="AY299" s="136"/>
      <c r="AZ299" s="136"/>
      <c r="BA299" s="136"/>
      <c r="BB299" s="136"/>
      <c r="BC299" s="330"/>
      <c r="BD299" s="330"/>
      <c r="BE299" s="330"/>
      <c r="BF299" s="330"/>
      <c r="BG299" s="330"/>
      <c r="BH299" s="330"/>
      <c r="BI299" s="330"/>
      <c r="BJ299" s="330"/>
      <c r="BK299" s="330"/>
      <c r="BL299" s="330"/>
      <c r="BM299" s="330"/>
      <c r="BN299" s="330"/>
      <c r="BO299" s="330"/>
      <c r="BP299" s="330"/>
      <c r="BQ299" s="330"/>
      <c r="BR299" s="330"/>
      <c r="BS299" s="330"/>
      <c r="BT299" s="330"/>
      <c r="BU299" s="330"/>
      <c r="BV299" s="330"/>
      <c r="BW299" s="330"/>
      <c r="BX299" s="330"/>
    </row>
    <row r="300" spans="2:76" s="28" customFormat="1">
      <c r="B300" s="136"/>
      <c r="D300" s="222"/>
      <c r="E300" s="29"/>
      <c r="G300" s="293"/>
      <c r="H300" s="294"/>
      <c r="I300" s="294"/>
      <c r="J300" s="294"/>
      <c r="K300" s="294"/>
      <c r="L300" s="294"/>
      <c r="O300" s="334"/>
      <c r="AI300" s="31"/>
      <c r="AJ300" s="31"/>
      <c r="AK300" s="32"/>
      <c r="AL300" s="33"/>
      <c r="AM300" s="32"/>
      <c r="AN300" s="33"/>
      <c r="AO300" s="32"/>
      <c r="AP300" s="32"/>
      <c r="AQ300" s="136"/>
      <c r="AR300" s="136"/>
      <c r="AS300" s="136"/>
      <c r="AT300" s="136"/>
      <c r="AU300" s="136"/>
      <c r="AV300" s="136"/>
      <c r="AW300" s="136"/>
      <c r="AX300" s="136"/>
      <c r="AY300" s="136"/>
      <c r="AZ300" s="136"/>
      <c r="BA300" s="136"/>
      <c r="BB300" s="136"/>
      <c r="BC300" s="330"/>
      <c r="BD300" s="330"/>
      <c r="BE300" s="330"/>
      <c r="BF300" s="330"/>
      <c r="BG300" s="330"/>
      <c r="BH300" s="330"/>
      <c r="BI300" s="330"/>
      <c r="BJ300" s="330"/>
      <c r="BK300" s="330"/>
      <c r="BL300" s="330"/>
      <c r="BM300" s="330"/>
      <c r="BN300" s="330"/>
      <c r="BO300" s="330"/>
      <c r="BP300" s="330"/>
      <c r="BQ300" s="330"/>
      <c r="BR300" s="330"/>
      <c r="BS300" s="330"/>
      <c r="BT300" s="330"/>
      <c r="BU300" s="330"/>
      <c r="BV300" s="330"/>
      <c r="BW300" s="330"/>
      <c r="BX300" s="330"/>
    </row>
    <row r="301" spans="2:76" s="28" customFormat="1">
      <c r="B301" s="136"/>
      <c r="D301" s="222"/>
      <c r="E301" s="29"/>
      <c r="G301" s="293"/>
      <c r="H301" s="294"/>
      <c r="I301" s="294"/>
      <c r="J301" s="294"/>
      <c r="K301" s="294"/>
      <c r="L301" s="294"/>
      <c r="O301" s="337"/>
      <c r="AI301" s="31"/>
      <c r="AJ301" s="31"/>
      <c r="AK301" s="32"/>
      <c r="AL301" s="33"/>
      <c r="AM301" s="32"/>
      <c r="AN301" s="33"/>
      <c r="AO301" s="32"/>
      <c r="AP301" s="32"/>
      <c r="AQ301" s="136"/>
      <c r="AR301" s="136"/>
      <c r="AS301" s="136"/>
      <c r="AT301" s="136"/>
      <c r="AU301" s="136"/>
      <c r="AV301" s="136"/>
      <c r="AW301" s="136"/>
      <c r="AX301" s="136"/>
      <c r="AY301" s="136"/>
      <c r="AZ301" s="136"/>
      <c r="BA301" s="136"/>
      <c r="BB301" s="136"/>
      <c r="BC301" s="330"/>
      <c r="BD301" s="330"/>
      <c r="BE301" s="330"/>
      <c r="BF301" s="330"/>
      <c r="BG301" s="330"/>
      <c r="BH301" s="330"/>
      <c r="BI301" s="330"/>
      <c r="BJ301" s="330"/>
      <c r="BK301" s="330"/>
      <c r="BL301" s="330"/>
      <c r="BM301" s="330"/>
      <c r="BN301" s="330"/>
      <c r="BO301" s="330"/>
      <c r="BP301" s="330"/>
      <c r="BQ301" s="330"/>
      <c r="BR301" s="330"/>
      <c r="BS301" s="330"/>
      <c r="BT301" s="330"/>
      <c r="BU301" s="330"/>
      <c r="BV301" s="330"/>
      <c r="BW301" s="330"/>
      <c r="BX301" s="330"/>
    </row>
    <row r="302" spans="2:76" s="28" customFormat="1">
      <c r="B302" s="136"/>
      <c r="D302" s="222"/>
      <c r="E302" s="29"/>
      <c r="G302" s="293"/>
      <c r="H302" s="294"/>
      <c r="I302" s="294"/>
      <c r="J302" s="294"/>
      <c r="K302" s="294"/>
      <c r="L302" s="294"/>
      <c r="O302" s="335"/>
      <c r="AI302" s="31"/>
      <c r="AJ302" s="31"/>
      <c r="AK302" s="32"/>
      <c r="AL302" s="33"/>
      <c r="AM302" s="32"/>
      <c r="AN302" s="33"/>
      <c r="AO302" s="32"/>
      <c r="AP302" s="32"/>
      <c r="AQ302" s="136"/>
      <c r="AR302" s="136"/>
      <c r="AS302" s="136"/>
      <c r="AT302" s="136"/>
      <c r="AU302" s="136"/>
      <c r="AV302" s="136"/>
      <c r="AW302" s="136"/>
      <c r="AX302" s="136"/>
      <c r="AY302" s="136"/>
      <c r="AZ302" s="136"/>
      <c r="BA302" s="136"/>
      <c r="BB302" s="136"/>
      <c r="BC302" s="330"/>
      <c r="BD302" s="330"/>
      <c r="BE302" s="330"/>
      <c r="BF302" s="330"/>
      <c r="BG302" s="330"/>
      <c r="BH302" s="330"/>
      <c r="BI302" s="330"/>
      <c r="BJ302" s="330"/>
      <c r="BK302" s="330"/>
      <c r="BL302" s="330"/>
      <c r="BM302" s="330"/>
      <c r="BN302" s="330"/>
      <c r="BO302" s="330"/>
      <c r="BP302" s="330"/>
      <c r="BQ302" s="330"/>
      <c r="BR302" s="330"/>
      <c r="BS302" s="330"/>
      <c r="BT302" s="330"/>
      <c r="BU302" s="330"/>
      <c r="BV302" s="330"/>
      <c r="BW302" s="330"/>
      <c r="BX302" s="330"/>
    </row>
    <row r="303" spans="2:76" s="28" customFormat="1">
      <c r="B303" s="136"/>
      <c r="D303" s="222"/>
      <c r="E303" s="29"/>
      <c r="G303" s="293"/>
      <c r="H303" s="294"/>
      <c r="I303" s="294"/>
      <c r="J303" s="294"/>
      <c r="K303" s="294"/>
      <c r="L303" s="294"/>
      <c r="O303" s="344"/>
      <c r="AI303" s="31"/>
      <c r="AJ303" s="31"/>
      <c r="AK303" s="32"/>
      <c r="AL303" s="33"/>
      <c r="AM303" s="32"/>
      <c r="AN303" s="33"/>
      <c r="AO303" s="32"/>
      <c r="AP303" s="32"/>
      <c r="AQ303" s="136"/>
      <c r="AR303" s="136"/>
      <c r="AS303" s="136"/>
      <c r="AT303" s="136"/>
      <c r="AU303" s="136"/>
      <c r="AV303" s="136"/>
      <c r="AW303" s="136"/>
      <c r="AX303" s="136"/>
      <c r="AY303" s="136"/>
      <c r="AZ303" s="136"/>
      <c r="BA303" s="136"/>
      <c r="BB303" s="136"/>
      <c r="BC303" s="330"/>
      <c r="BD303" s="330"/>
      <c r="BE303" s="330"/>
      <c r="BF303" s="330"/>
      <c r="BG303" s="330"/>
      <c r="BH303" s="330"/>
      <c r="BI303" s="330"/>
      <c r="BJ303" s="330"/>
      <c r="BK303" s="330"/>
      <c r="BL303" s="330"/>
      <c r="BM303" s="330"/>
      <c r="BN303" s="330"/>
      <c r="BO303" s="330"/>
      <c r="BP303" s="330"/>
      <c r="BQ303" s="330"/>
      <c r="BR303" s="330"/>
      <c r="BS303" s="330"/>
      <c r="BT303" s="330"/>
      <c r="BU303" s="330"/>
      <c r="BV303" s="330"/>
      <c r="BW303" s="330"/>
      <c r="BX303" s="330"/>
    </row>
    <row r="304" spans="2:76" s="28" customFormat="1">
      <c r="B304" s="136"/>
      <c r="D304" s="222"/>
      <c r="E304" s="29"/>
      <c r="G304" s="293"/>
      <c r="H304" s="294"/>
      <c r="I304" s="294"/>
      <c r="J304" s="294"/>
      <c r="K304" s="294"/>
      <c r="L304" s="294"/>
      <c r="O304" s="334"/>
      <c r="AI304" s="31"/>
      <c r="AJ304" s="31"/>
      <c r="AK304" s="32"/>
      <c r="AL304" s="33"/>
      <c r="AM304" s="32"/>
      <c r="AN304" s="33"/>
      <c r="AO304" s="32"/>
      <c r="AP304" s="32"/>
      <c r="AQ304" s="136"/>
      <c r="AR304" s="136"/>
      <c r="AS304" s="136"/>
      <c r="AT304" s="136"/>
      <c r="AU304" s="136"/>
      <c r="AV304" s="136"/>
      <c r="AW304" s="136"/>
      <c r="AX304" s="136"/>
      <c r="AY304" s="136"/>
      <c r="AZ304" s="136"/>
      <c r="BA304" s="136"/>
      <c r="BB304" s="136"/>
      <c r="BC304" s="330"/>
      <c r="BD304" s="330"/>
      <c r="BE304" s="330"/>
      <c r="BF304" s="330"/>
      <c r="BG304" s="330"/>
      <c r="BH304" s="330"/>
      <c r="BI304" s="330"/>
      <c r="BJ304" s="330"/>
      <c r="BK304" s="330"/>
      <c r="BL304" s="330"/>
      <c r="BM304" s="330"/>
      <c r="BN304" s="330"/>
      <c r="BO304" s="330"/>
      <c r="BP304" s="330"/>
      <c r="BQ304" s="330"/>
      <c r="BR304" s="330"/>
      <c r="BS304" s="330"/>
      <c r="BT304" s="330"/>
      <c r="BU304" s="330"/>
      <c r="BV304" s="330"/>
      <c r="BW304" s="330"/>
      <c r="BX304" s="330"/>
    </row>
    <row r="305" spans="2:76" s="28" customFormat="1">
      <c r="B305" s="136"/>
      <c r="D305" s="222"/>
      <c r="E305" s="29"/>
      <c r="G305" s="293"/>
      <c r="H305" s="294"/>
      <c r="I305" s="294"/>
      <c r="J305" s="294"/>
      <c r="K305" s="294"/>
      <c r="L305" s="294"/>
      <c r="O305" s="345"/>
      <c r="AI305" s="31"/>
      <c r="AJ305" s="31"/>
      <c r="AK305" s="32"/>
      <c r="AL305" s="33"/>
      <c r="AM305" s="32"/>
      <c r="AN305" s="33"/>
      <c r="AO305" s="32"/>
      <c r="AP305" s="32"/>
      <c r="AQ305" s="136"/>
      <c r="AR305" s="136"/>
      <c r="AS305" s="136"/>
      <c r="AT305" s="136"/>
      <c r="AU305" s="136"/>
      <c r="AV305" s="136"/>
      <c r="AW305" s="136"/>
      <c r="AX305" s="136"/>
      <c r="AY305" s="136"/>
      <c r="AZ305" s="136"/>
      <c r="BA305" s="136"/>
      <c r="BB305" s="136"/>
      <c r="BC305" s="330"/>
      <c r="BD305" s="330"/>
      <c r="BE305" s="330"/>
      <c r="BF305" s="330"/>
      <c r="BG305" s="330"/>
      <c r="BH305" s="330"/>
      <c r="BI305" s="330"/>
      <c r="BJ305" s="330"/>
      <c r="BK305" s="330"/>
      <c r="BL305" s="330"/>
      <c r="BM305" s="330"/>
      <c r="BN305" s="330"/>
      <c r="BO305" s="330"/>
      <c r="BP305" s="330"/>
      <c r="BQ305" s="330"/>
      <c r="BR305" s="330"/>
      <c r="BS305" s="330"/>
      <c r="BT305" s="330"/>
      <c r="BU305" s="330"/>
      <c r="BV305" s="330"/>
      <c r="BW305" s="330"/>
      <c r="BX305" s="330"/>
    </row>
    <row r="306" spans="2:76" s="28" customFormat="1">
      <c r="B306" s="136"/>
      <c r="D306" s="222"/>
      <c r="E306" s="29"/>
      <c r="G306" s="293"/>
      <c r="H306" s="294"/>
      <c r="I306" s="294"/>
      <c r="J306" s="294"/>
      <c r="K306" s="294"/>
      <c r="L306" s="294"/>
      <c r="O306" s="337"/>
      <c r="AI306" s="31"/>
      <c r="AJ306" s="31"/>
      <c r="AK306" s="32"/>
      <c r="AL306" s="33"/>
      <c r="AM306" s="32"/>
      <c r="AN306" s="33"/>
      <c r="AO306" s="32"/>
      <c r="AP306" s="32"/>
      <c r="AQ306" s="136"/>
      <c r="AR306" s="136"/>
      <c r="AS306" s="136"/>
      <c r="AT306" s="136"/>
      <c r="AU306" s="136"/>
      <c r="AV306" s="136"/>
      <c r="AW306" s="136"/>
      <c r="AX306" s="136"/>
      <c r="AY306" s="136"/>
      <c r="AZ306" s="136"/>
      <c r="BA306" s="136"/>
      <c r="BB306" s="136"/>
      <c r="BC306" s="330"/>
      <c r="BD306" s="330"/>
      <c r="BE306" s="330"/>
      <c r="BF306" s="330"/>
      <c r="BG306" s="330"/>
      <c r="BH306" s="330"/>
      <c r="BI306" s="330"/>
      <c r="BJ306" s="330"/>
      <c r="BK306" s="330"/>
      <c r="BL306" s="330"/>
      <c r="BM306" s="330"/>
      <c r="BN306" s="330"/>
      <c r="BO306" s="330"/>
      <c r="BP306" s="330"/>
      <c r="BQ306" s="330"/>
      <c r="BR306" s="330"/>
      <c r="BS306" s="330"/>
      <c r="BT306" s="330"/>
      <c r="BU306" s="330"/>
      <c r="BV306" s="330"/>
      <c r="BW306" s="330"/>
      <c r="BX306" s="330"/>
    </row>
    <row r="307" spans="2:76" s="28" customFormat="1">
      <c r="B307" s="136"/>
      <c r="D307" s="222"/>
      <c r="E307" s="29"/>
      <c r="G307" s="293"/>
      <c r="H307" s="294"/>
      <c r="I307" s="294"/>
      <c r="J307" s="294"/>
      <c r="K307" s="294"/>
      <c r="L307" s="294"/>
      <c r="O307" s="334"/>
      <c r="AI307" s="31"/>
      <c r="AJ307" s="31"/>
      <c r="AK307" s="32"/>
      <c r="AL307" s="33"/>
      <c r="AM307" s="32"/>
      <c r="AN307" s="33"/>
      <c r="AO307" s="32"/>
      <c r="AP307" s="32"/>
      <c r="AQ307" s="136"/>
      <c r="AR307" s="136"/>
      <c r="AS307" s="136"/>
      <c r="AT307" s="136"/>
      <c r="AU307" s="136"/>
      <c r="AV307" s="136"/>
      <c r="AW307" s="136"/>
      <c r="AX307" s="136"/>
      <c r="AY307" s="136"/>
      <c r="AZ307" s="136"/>
      <c r="BA307" s="136"/>
      <c r="BB307" s="136"/>
      <c r="BC307" s="330"/>
      <c r="BD307" s="330"/>
      <c r="BE307" s="330"/>
      <c r="BF307" s="330"/>
      <c r="BG307" s="330"/>
      <c r="BH307" s="330"/>
      <c r="BI307" s="330"/>
      <c r="BJ307" s="330"/>
      <c r="BK307" s="330"/>
      <c r="BL307" s="330"/>
      <c r="BM307" s="330"/>
      <c r="BN307" s="330"/>
      <c r="BO307" s="330"/>
      <c r="BP307" s="330"/>
      <c r="BQ307" s="330"/>
      <c r="BR307" s="330"/>
      <c r="BS307" s="330"/>
      <c r="BT307" s="330"/>
      <c r="BU307" s="330"/>
      <c r="BV307" s="330"/>
      <c r="BW307" s="330"/>
      <c r="BX307" s="330"/>
    </row>
    <row r="308" spans="2:76" s="28" customFormat="1">
      <c r="B308" s="136"/>
      <c r="D308" s="222"/>
      <c r="E308" s="29"/>
      <c r="G308" s="293"/>
      <c r="H308" s="294"/>
      <c r="I308" s="294"/>
      <c r="J308" s="294"/>
      <c r="K308" s="294"/>
      <c r="L308" s="294"/>
      <c r="O308" s="335"/>
      <c r="AI308" s="31"/>
      <c r="AJ308" s="31"/>
      <c r="AK308" s="32"/>
      <c r="AL308" s="33"/>
      <c r="AM308" s="32"/>
      <c r="AN308" s="33"/>
      <c r="AO308" s="32"/>
      <c r="AP308" s="32"/>
      <c r="AQ308" s="136"/>
      <c r="AR308" s="136"/>
      <c r="AS308" s="136"/>
      <c r="AT308" s="136"/>
      <c r="AU308" s="136"/>
      <c r="AV308" s="136"/>
      <c r="AW308" s="136"/>
      <c r="AX308" s="136"/>
      <c r="AY308" s="136"/>
      <c r="AZ308" s="136"/>
      <c r="BA308" s="136"/>
      <c r="BB308" s="136"/>
      <c r="BC308" s="330"/>
      <c r="BD308" s="330"/>
      <c r="BE308" s="330"/>
      <c r="BF308" s="330"/>
      <c r="BG308" s="330"/>
      <c r="BH308" s="330"/>
      <c r="BI308" s="330"/>
      <c r="BJ308" s="330"/>
      <c r="BK308" s="330"/>
      <c r="BL308" s="330"/>
      <c r="BM308" s="330"/>
      <c r="BN308" s="330"/>
      <c r="BO308" s="330"/>
      <c r="BP308" s="330"/>
      <c r="BQ308" s="330"/>
      <c r="BR308" s="330"/>
      <c r="BS308" s="330"/>
      <c r="BT308" s="330"/>
      <c r="BU308" s="330"/>
      <c r="BV308" s="330"/>
      <c r="BW308" s="330"/>
      <c r="BX308" s="330"/>
    </row>
    <row r="309" spans="2:76" s="28" customFormat="1">
      <c r="B309" s="136"/>
      <c r="D309" s="222"/>
      <c r="E309" s="29"/>
      <c r="G309" s="293"/>
      <c r="H309" s="294"/>
      <c r="I309" s="294"/>
      <c r="J309" s="294"/>
      <c r="K309" s="294"/>
      <c r="L309" s="294"/>
      <c r="O309" s="335"/>
      <c r="AI309" s="31"/>
      <c r="AJ309" s="31"/>
      <c r="AK309" s="32"/>
      <c r="AL309" s="33"/>
      <c r="AM309" s="32"/>
      <c r="AN309" s="33"/>
      <c r="AO309" s="32"/>
      <c r="AP309" s="32"/>
      <c r="AQ309" s="136"/>
      <c r="AR309" s="136"/>
      <c r="AS309" s="136"/>
      <c r="AT309" s="136"/>
      <c r="AU309" s="136"/>
      <c r="AV309" s="136"/>
      <c r="AW309" s="136"/>
      <c r="AX309" s="136"/>
      <c r="AY309" s="136"/>
      <c r="AZ309" s="136"/>
      <c r="BA309" s="136"/>
      <c r="BB309" s="136"/>
      <c r="BC309" s="330"/>
      <c r="BD309" s="330"/>
      <c r="BE309" s="330"/>
      <c r="BF309" s="330"/>
      <c r="BG309" s="330"/>
      <c r="BH309" s="330"/>
      <c r="BI309" s="330"/>
      <c r="BJ309" s="330"/>
      <c r="BK309" s="330"/>
      <c r="BL309" s="330"/>
      <c r="BM309" s="330"/>
      <c r="BN309" s="330"/>
      <c r="BO309" s="330"/>
      <c r="BP309" s="330"/>
      <c r="BQ309" s="330"/>
      <c r="BR309" s="330"/>
      <c r="BS309" s="330"/>
      <c r="BT309" s="330"/>
      <c r="BU309" s="330"/>
      <c r="BV309" s="330"/>
      <c r="BW309" s="330"/>
      <c r="BX309" s="330"/>
    </row>
    <row r="310" spans="2:76" s="28" customFormat="1">
      <c r="B310" s="136"/>
      <c r="D310" s="222"/>
      <c r="E310" s="29"/>
      <c r="G310" s="293"/>
      <c r="H310" s="294"/>
      <c r="I310" s="294"/>
      <c r="J310" s="294"/>
      <c r="K310" s="294"/>
      <c r="L310" s="294"/>
      <c r="O310" s="335"/>
      <c r="AI310" s="31"/>
      <c r="AJ310" s="31"/>
      <c r="AK310" s="32"/>
      <c r="AL310" s="33"/>
      <c r="AM310" s="32"/>
      <c r="AN310" s="33"/>
      <c r="AO310" s="32"/>
      <c r="AP310" s="32"/>
      <c r="AQ310" s="136"/>
      <c r="AR310" s="136"/>
      <c r="AS310" s="136"/>
      <c r="AT310" s="136"/>
      <c r="AU310" s="136"/>
      <c r="AV310" s="136"/>
      <c r="AW310" s="136"/>
      <c r="AX310" s="136"/>
      <c r="AY310" s="136"/>
      <c r="AZ310" s="136"/>
      <c r="BA310" s="136"/>
      <c r="BB310" s="136"/>
      <c r="BC310" s="330"/>
      <c r="BD310" s="330"/>
      <c r="BE310" s="330"/>
      <c r="BF310" s="330"/>
      <c r="BG310" s="330"/>
      <c r="BH310" s="330"/>
      <c r="BI310" s="330"/>
      <c r="BJ310" s="330"/>
      <c r="BK310" s="330"/>
      <c r="BL310" s="330"/>
      <c r="BM310" s="330"/>
      <c r="BN310" s="330"/>
      <c r="BO310" s="330"/>
      <c r="BP310" s="330"/>
      <c r="BQ310" s="330"/>
      <c r="BR310" s="330"/>
      <c r="BS310" s="330"/>
      <c r="BT310" s="330"/>
      <c r="BU310" s="330"/>
      <c r="BV310" s="330"/>
      <c r="BW310" s="330"/>
      <c r="BX310" s="330"/>
    </row>
    <row r="311" spans="2:76" s="28" customFormat="1">
      <c r="B311" s="136"/>
      <c r="D311" s="222"/>
      <c r="E311" s="29"/>
      <c r="G311" s="293"/>
      <c r="H311" s="294"/>
      <c r="I311" s="294"/>
      <c r="J311" s="294"/>
      <c r="K311" s="294"/>
      <c r="L311" s="294"/>
      <c r="O311" s="335"/>
      <c r="AI311" s="31"/>
      <c r="AJ311" s="31"/>
      <c r="AK311" s="32"/>
      <c r="AL311" s="33"/>
      <c r="AM311" s="32"/>
      <c r="AN311" s="33"/>
      <c r="AO311" s="32"/>
      <c r="AP311" s="32"/>
      <c r="AQ311" s="136"/>
      <c r="AR311" s="136"/>
      <c r="AS311" s="136"/>
      <c r="AT311" s="136"/>
      <c r="AU311" s="136"/>
      <c r="AV311" s="136"/>
      <c r="AW311" s="136"/>
      <c r="AX311" s="136"/>
      <c r="AY311" s="136"/>
      <c r="AZ311" s="136"/>
      <c r="BA311" s="136"/>
      <c r="BB311" s="136"/>
      <c r="BC311" s="330"/>
      <c r="BD311" s="330"/>
      <c r="BE311" s="330"/>
      <c r="BF311" s="330"/>
      <c r="BG311" s="330"/>
      <c r="BH311" s="330"/>
      <c r="BI311" s="330"/>
      <c r="BJ311" s="330"/>
      <c r="BK311" s="330"/>
      <c r="BL311" s="330"/>
      <c r="BM311" s="330"/>
      <c r="BN311" s="330"/>
      <c r="BO311" s="330"/>
      <c r="BP311" s="330"/>
      <c r="BQ311" s="330"/>
      <c r="BR311" s="330"/>
      <c r="BS311" s="330"/>
      <c r="BT311" s="330"/>
      <c r="BU311" s="330"/>
      <c r="BV311" s="330"/>
      <c r="BW311" s="330"/>
      <c r="BX311" s="330"/>
    </row>
    <row r="312" spans="2:76" s="28" customFormat="1">
      <c r="B312" s="136"/>
      <c r="D312" s="222"/>
      <c r="E312" s="29"/>
      <c r="G312" s="293"/>
      <c r="H312" s="294"/>
      <c r="I312" s="294"/>
      <c r="J312" s="294"/>
      <c r="K312" s="294"/>
      <c r="L312" s="294"/>
      <c r="O312" s="336"/>
      <c r="AI312" s="31"/>
      <c r="AJ312" s="31"/>
      <c r="AK312" s="32"/>
      <c r="AL312" s="33"/>
      <c r="AM312" s="32"/>
      <c r="AN312" s="33"/>
      <c r="AO312" s="32"/>
      <c r="AP312" s="32"/>
      <c r="AQ312" s="136"/>
      <c r="AR312" s="136"/>
      <c r="AS312" s="136"/>
      <c r="AT312" s="136"/>
      <c r="AU312" s="136"/>
      <c r="AV312" s="136"/>
      <c r="AW312" s="136"/>
      <c r="AX312" s="136"/>
      <c r="AY312" s="136"/>
      <c r="AZ312" s="136"/>
      <c r="BA312" s="136"/>
      <c r="BB312" s="136"/>
      <c r="BC312" s="330"/>
      <c r="BD312" s="330"/>
      <c r="BE312" s="330"/>
      <c r="BF312" s="330"/>
      <c r="BG312" s="330"/>
      <c r="BH312" s="330"/>
      <c r="BI312" s="330"/>
      <c r="BJ312" s="330"/>
      <c r="BK312" s="330"/>
      <c r="BL312" s="330"/>
      <c r="BM312" s="330"/>
      <c r="BN312" s="330"/>
      <c r="BO312" s="330"/>
      <c r="BP312" s="330"/>
      <c r="BQ312" s="330"/>
      <c r="BR312" s="330"/>
      <c r="BS312" s="330"/>
      <c r="BT312" s="330"/>
      <c r="BU312" s="330"/>
      <c r="BV312" s="330"/>
      <c r="BW312" s="330"/>
      <c r="BX312" s="330"/>
    </row>
    <row r="313" spans="2:76" s="28" customFormat="1">
      <c r="B313" s="136"/>
      <c r="D313" s="222"/>
      <c r="E313" s="29"/>
      <c r="G313" s="293"/>
      <c r="H313" s="294"/>
      <c r="I313" s="294"/>
      <c r="J313" s="294"/>
      <c r="K313" s="294"/>
      <c r="L313" s="294"/>
      <c r="O313" s="338"/>
      <c r="AI313" s="31"/>
      <c r="AJ313" s="31"/>
      <c r="AK313" s="32"/>
      <c r="AL313" s="33"/>
      <c r="AM313" s="32"/>
      <c r="AN313" s="33"/>
      <c r="AO313" s="32"/>
      <c r="AP313" s="32"/>
      <c r="AQ313" s="136"/>
      <c r="AR313" s="136"/>
      <c r="AS313" s="136"/>
      <c r="AT313" s="136"/>
      <c r="AU313" s="136"/>
      <c r="AV313" s="136"/>
      <c r="AW313" s="136"/>
      <c r="AX313" s="136"/>
      <c r="AY313" s="136"/>
      <c r="AZ313" s="136"/>
      <c r="BA313" s="136"/>
      <c r="BB313" s="136"/>
      <c r="BC313" s="330"/>
      <c r="BD313" s="330"/>
      <c r="BE313" s="330"/>
      <c r="BF313" s="330"/>
      <c r="BG313" s="330"/>
      <c r="BH313" s="330"/>
      <c r="BI313" s="330"/>
      <c r="BJ313" s="330"/>
      <c r="BK313" s="330"/>
      <c r="BL313" s="330"/>
      <c r="BM313" s="330"/>
      <c r="BN313" s="330"/>
      <c r="BO313" s="330"/>
      <c r="BP313" s="330"/>
      <c r="BQ313" s="330"/>
      <c r="BR313" s="330"/>
      <c r="BS313" s="330"/>
      <c r="BT313" s="330"/>
      <c r="BU313" s="330"/>
      <c r="BV313" s="330"/>
      <c r="BW313" s="330"/>
      <c r="BX313" s="330"/>
    </row>
    <row r="314" spans="2:76" s="28" customFormat="1">
      <c r="B314" s="136"/>
      <c r="D314" s="222"/>
      <c r="E314" s="29"/>
      <c r="G314" s="293"/>
      <c r="H314" s="294"/>
      <c r="I314" s="294"/>
      <c r="J314" s="294"/>
      <c r="K314" s="294"/>
      <c r="L314" s="294"/>
      <c r="O314" s="335"/>
      <c r="AI314" s="31"/>
      <c r="AJ314" s="31"/>
      <c r="AK314" s="32"/>
      <c r="AL314" s="33"/>
      <c r="AM314" s="32"/>
      <c r="AN314" s="33"/>
      <c r="AO314" s="32"/>
      <c r="AP314" s="32"/>
      <c r="AQ314" s="136"/>
      <c r="AR314" s="136"/>
      <c r="AS314" s="136"/>
      <c r="AT314" s="136"/>
      <c r="AU314" s="136"/>
      <c r="AV314" s="136"/>
      <c r="AW314" s="136"/>
      <c r="AX314" s="136"/>
      <c r="AY314" s="136"/>
      <c r="AZ314" s="136"/>
      <c r="BA314" s="136"/>
      <c r="BB314" s="136"/>
      <c r="BC314" s="330"/>
      <c r="BD314" s="330"/>
      <c r="BE314" s="330"/>
      <c r="BF314" s="330"/>
      <c r="BG314" s="330"/>
      <c r="BH314" s="330"/>
      <c r="BI314" s="330"/>
      <c r="BJ314" s="330"/>
      <c r="BK314" s="330"/>
      <c r="BL314" s="330"/>
      <c r="BM314" s="330"/>
      <c r="BN314" s="330"/>
      <c r="BO314" s="330"/>
      <c r="BP314" s="330"/>
      <c r="BQ314" s="330"/>
      <c r="BR314" s="330"/>
      <c r="BS314" s="330"/>
      <c r="BT314" s="330"/>
      <c r="BU314" s="330"/>
      <c r="BV314" s="330"/>
      <c r="BW314" s="330"/>
      <c r="BX314" s="330"/>
    </row>
    <row r="315" spans="2:76" s="28" customFormat="1">
      <c r="B315" s="136"/>
      <c r="D315" s="222"/>
      <c r="E315" s="29"/>
      <c r="G315" s="293"/>
      <c r="H315" s="294"/>
      <c r="I315" s="294"/>
      <c r="J315" s="294"/>
      <c r="K315" s="294"/>
      <c r="L315" s="294"/>
      <c r="O315" s="335"/>
      <c r="AI315" s="31"/>
      <c r="AJ315" s="31"/>
      <c r="AK315" s="32"/>
      <c r="AL315" s="33"/>
      <c r="AM315" s="32"/>
      <c r="AN315" s="33"/>
      <c r="AO315" s="32"/>
      <c r="AP315" s="32"/>
      <c r="AQ315" s="136"/>
      <c r="AR315" s="136"/>
      <c r="AS315" s="136"/>
      <c r="AT315" s="136"/>
      <c r="AU315" s="136"/>
      <c r="AV315" s="136"/>
      <c r="AW315" s="136"/>
      <c r="AX315" s="136"/>
      <c r="AY315" s="136"/>
      <c r="AZ315" s="136"/>
      <c r="BA315" s="136"/>
      <c r="BB315" s="136"/>
      <c r="BC315" s="330"/>
      <c r="BD315" s="330"/>
      <c r="BE315" s="330"/>
      <c r="BF315" s="330"/>
      <c r="BG315" s="330"/>
      <c r="BH315" s="330"/>
      <c r="BI315" s="330"/>
      <c r="BJ315" s="330"/>
      <c r="BK315" s="330"/>
      <c r="BL315" s="330"/>
      <c r="BM315" s="330"/>
      <c r="BN315" s="330"/>
      <c r="BO315" s="330"/>
      <c r="BP315" s="330"/>
      <c r="BQ315" s="330"/>
      <c r="BR315" s="330"/>
      <c r="BS315" s="330"/>
      <c r="BT315" s="330"/>
      <c r="BU315" s="330"/>
      <c r="BV315" s="330"/>
      <c r="BW315" s="330"/>
      <c r="BX315" s="330"/>
    </row>
    <row r="316" spans="2:76" s="28" customFormat="1">
      <c r="B316" s="136"/>
      <c r="D316" s="222"/>
      <c r="E316" s="29"/>
      <c r="G316" s="293"/>
      <c r="H316" s="294"/>
      <c r="I316" s="294"/>
      <c r="J316" s="294"/>
      <c r="K316" s="294"/>
      <c r="L316" s="294"/>
      <c r="O316" s="339"/>
      <c r="AI316" s="31"/>
      <c r="AJ316" s="31"/>
      <c r="AK316" s="32"/>
      <c r="AL316" s="33"/>
      <c r="AM316" s="32"/>
      <c r="AN316" s="33"/>
      <c r="AO316" s="32"/>
      <c r="AP316" s="32"/>
      <c r="AQ316" s="136"/>
      <c r="AR316" s="136"/>
      <c r="AS316" s="136"/>
      <c r="AT316" s="136"/>
      <c r="AU316" s="136"/>
      <c r="AV316" s="136"/>
      <c r="AW316" s="136"/>
      <c r="AX316" s="136"/>
      <c r="AY316" s="136"/>
      <c r="AZ316" s="136"/>
      <c r="BA316" s="136"/>
      <c r="BB316" s="136"/>
      <c r="BC316" s="330"/>
      <c r="BD316" s="330"/>
      <c r="BE316" s="330"/>
      <c r="BF316" s="330"/>
      <c r="BG316" s="330"/>
      <c r="BH316" s="330"/>
      <c r="BI316" s="330"/>
      <c r="BJ316" s="330"/>
      <c r="BK316" s="330"/>
      <c r="BL316" s="330"/>
      <c r="BM316" s="330"/>
      <c r="BN316" s="330"/>
      <c r="BO316" s="330"/>
      <c r="BP316" s="330"/>
      <c r="BQ316" s="330"/>
      <c r="BR316" s="330"/>
      <c r="BS316" s="330"/>
      <c r="BT316" s="330"/>
      <c r="BU316" s="330"/>
      <c r="BV316" s="330"/>
      <c r="BW316" s="330"/>
      <c r="BX316" s="330"/>
    </row>
    <row r="317" spans="2:76" s="28" customFormat="1">
      <c r="B317" s="136"/>
      <c r="D317" s="222"/>
      <c r="E317" s="29"/>
      <c r="G317" s="293"/>
      <c r="H317" s="294"/>
      <c r="I317" s="294"/>
      <c r="J317" s="294"/>
      <c r="K317" s="294"/>
      <c r="L317" s="294"/>
      <c r="O317" s="338"/>
      <c r="AI317" s="31"/>
      <c r="AJ317" s="31"/>
      <c r="AK317" s="32"/>
      <c r="AL317" s="33"/>
      <c r="AM317" s="32"/>
      <c r="AN317" s="33"/>
      <c r="AO317" s="32"/>
      <c r="AP317" s="32"/>
      <c r="AQ317" s="136"/>
      <c r="AR317" s="136"/>
      <c r="AS317" s="136"/>
      <c r="AT317" s="136"/>
      <c r="AU317" s="136"/>
      <c r="AV317" s="136"/>
      <c r="AW317" s="136"/>
      <c r="AX317" s="136"/>
      <c r="AY317" s="136"/>
      <c r="AZ317" s="136"/>
      <c r="BA317" s="136"/>
      <c r="BB317" s="136"/>
      <c r="BC317" s="330"/>
      <c r="BD317" s="330"/>
      <c r="BE317" s="330"/>
      <c r="BF317" s="330"/>
      <c r="BG317" s="330"/>
      <c r="BH317" s="330"/>
      <c r="BI317" s="330"/>
      <c r="BJ317" s="330"/>
      <c r="BK317" s="330"/>
      <c r="BL317" s="330"/>
      <c r="BM317" s="330"/>
      <c r="BN317" s="330"/>
      <c r="BO317" s="330"/>
      <c r="BP317" s="330"/>
      <c r="BQ317" s="330"/>
      <c r="BR317" s="330"/>
      <c r="BS317" s="330"/>
      <c r="BT317" s="330"/>
      <c r="BU317" s="330"/>
      <c r="BV317" s="330"/>
      <c r="BW317" s="330"/>
      <c r="BX317" s="330"/>
    </row>
    <row r="318" spans="2:76" s="28" customFormat="1">
      <c r="B318" s="136"/>
      <c r="D318" s="222"/>
      <c r="E318" s="29"/>
      <c r="G318" s="293"/>
      <c r="H318" s="294"/>
      <c r="I318" s="294"/>
      <c r="J318" s="294"/>
      <c r="K318" s="294"/>
      <c r="L318" s="294"/>
      <c r="O318" s="338"/>
      <c r="AI318" s="31"/>
      <c r="AJ318" s="31"/>
      <c r="AK318" s="32"/>
      <c r="AL318" s="33"/>
      <c r="AM318" s="32"/>
      <c r="AN318" s="33"/>
      <c r="AO318" s="32"/>
      <c r="AP318" s="32"/>
      <c r="AQ318" s="136"/>
      <c r="AR318" s="136"/>
      <c r="AS318" s="136"/>
      <c r="AT318" s="136"/>
      <c r="AU318" s="136"/>
      <c r="AV318" s="136"/>
      <c r="AW318" s="136"/>
      <c r="AX318" s="136"/>
      <c r="AY318" s="136"/>
      <c r="AZ318" s="136"/>
      <c r="BA318" s="136"/>
      <c r="BB318" s="136"/>
      <c r="BC318" s="330"/>
      <c r="BD318" s="330"/>
      <c r="BE318" s="330"/>
      <c r="BF318" s="330"/>
      <c r="BG318" s="330"/>
      <c r="BH318" s="330"/>
      <c r="BI318" s="330"/>
      <c r="BJ318" s="330"/>
      <c r="BK318" s="330"/>
      <c r="BL318" s="330"/>
      <c r="BM318" s="330"/>
      <c r="BN318" s="330"/>
      <c r="BO318" s="330"/>
      <c r="BP318" s="330"/>
      <c r="BQ318" s="330"/>
      <c r="BR318" s="330"/>
      <c r="BS318" s="330"/>
      <c r="BT318" s="330"/>
      <c r="BU318" s="330"/>
      <c r="BV318" s="330"/>
      <c r="BW318" s="330"/>
      <c r="BX318" s="330"/>
    </row>
    <row r="319" spans="2:76" s="28" customFormat="1">
      <c r="B319" s="136"/>
      <c r="D319" s="222"/>
      <c r="E319" s="29"/>
      <c r="G319" s="293"/>
      <c r="H319" s="294"/>
      <c r="I319" s="294"/>
      <c r="J319" s="294"/>
      <c r="K319" s="294"/>
      <c r="L319" s="294"/>
      <c r="O319" s="335"/>
      <c r="AI319" s="31"/>
      <c r="AJ319" s="31"/>
      <c r="AK319" s="32"/>
      <c r="AL319" s="33"/>
      <c r="AM319" s="32"/>
      <c r="AN319" s="33"/>
      <c r="AO319" s="32"/>
      <c r="AP319" s="32"/>
      <c r="AQ319" s="136"/>
      <c r="AR319" s="136"/>
      <c r="AS319" s="136"/>
      <c r="AT319" s="136"/>
      <c r="AU319" s="136"/>
      <c r="AV319" s="136"/>
      <c r="AW319" s="136"/>
      <c r="AX319" s="136"/>
      <c r="AY319" s="136"/>
      <c r="AZ319" s="136"/>
      <c r="BA319" s="136"/>
      <c r="BB319" s="136"/>
      <c r="BC319" s="330"/>
      <c r="BD319" s="330"/>
      <c r="BE319" s="330"/>
      <c r="BF319" s="330"/>
      <c r="BG319" s="330"/>
      <c r="BH319" s="330"/>
      <c r="BI319" s="330"/>
      <c r="BJ319" s="330"/>
      <c r="BK319" s="330"/>
      <c r="BL319" s="330"/>
      <c r="BM319" s="330"/>
      <c r="BN319" s="330"/>
      <c r="BO319" s="330"/>
      <c r="BP319" s="330"/>
      <c r="BQ319" s="330"/>
      <c r="BR319" s="330"/>
      <c r="BS319" s="330"/>
      <c r="BT319" s="330"/>
      <c r="BU319" s="330"/>
      <c r="BV319" s="330"/>
      <c r="BW319" s="330"/>
      <c r="BX319" s="330"/>
    </row>
    <row r="320" spans="2:76" s="28" customFormat="1">
      <c r="B320" s="136"/>
      <c r="D320" s="222"/>
      <c r="E320" s="29"/>
      <c r="G320" s="293"/>
      <c r="H320" s="294"/>
      <c r="I320" s="294"/>
      <c r="J320" s="294"/>
      <c r="K320" s="294"/>
      <c r="L320" s="294"/>
      <c r="O320" s="343"/>
      <c r="AI320" s="31"/>
      <c r="AJ320" s="31"/>
      <c r="AK320" s="32"/>
      <c r="AL320" s="33"/>
      <c r="AM320" s="32"/>
      <c r="AN320" s="33"/>
      <c r="AO320" s="32"/>
      <c r="AP320" s="32"/>
      <c r="AQ320" s="136"/>
      <c r="AR320" s="136"/>
      <c r="AS320" s="136"/>
      <c r="AT320" s="136"/>
      <c r="AU320" s="136"/>
      <c r="AV320" s="136"/>
      <c r="AW320" s="136"/>
      <c r="AX320" s="136"/>
      <c r="AY320" s="136"/>
      <c r="AZ320" s="136"/>
      <c r="BA320" s="136"/>
      <c r="BB320" s="136"/>
      <c r="BC320" s="330"/>
      <c r="BD320" s="330"/>
      <c r="BE320" s="330"/>
      <c r="BF320" s="330"/>
      <c r="BG320" s="330"/>
      <c r="BH320" s="330"/>
      <c r="BI320" s="330"/>
      <c r="BJ320" s="330"/>
      <c r="BK320" s="330"/>
      <c r="BL320" s="330"/>
      <c r="BM320" s="330"/>
      <c r="BN320" s="330"/>
      <c r="BO320" s="330"/>
      <c r="BP320" s="330"/>
      <c r="BQ320" s="330"/>
      <c r="BR320" s="330"/>
      <c r="BS320" s="330"/>
      <c r="BT320" s="330"/>
      <c r="BU320" s="330"/>
      <c r="BV320" s="330"/>
      <c r="BW320" s="330"/>
      <c r="BX320" s="330"/>
    </row>
    <row r="321" spans="2:76" s="28" customFormat="1">
      <c r="B321" s="136"/>
      <c r="D321" s="222"/>
      <c r="E321" s="29"/>
      <c r="G321" s="293"/>
      <c r="H321" s="294"/>
      <c r="I321" s="294"/>
      <c r="J321" s="294"/>
      <c r="K321" s="294"/>
      <c r="L321" s="294"/>
      <c r="O321" s="338"/>
      <c r="AI321" s="31"/>
      <c r="AJ321" s="31"/>
      <c r="AK321" s="32"/>
      <c r="AL321" s="33"/>
      <c r="AM321" s="32"/>
      <c r="AN321" s="33"/>
      <c r="AO321" s="32"/>
      <c r="AP321" s="32"/>
      <c r="AQ321" s="136"/>
      <c r="AR321" s="136"/>
      <c r="AS321" s="136"/>
      <c r="AT321" s="136"/>
      <c r="AU321" s="136"/>
      <c r="AV321" s="136"/>
      <c r="AW321" s="136"/>
      <c r="AX321" s="136"/>
      <c r="AY321" s="136"/>
      <c r="AZ321" s="136"/>
      <c r="BA321" s="136"/>
      <c r="BB321" s="136"/>
      <c r="BC321" s="330"/>
      <c r="BD321" s="330"/>
      <c r="BE321" s="330"/>
      <c r="BF321" s="330"/>
      <c r="BG321" s="330"/>
      <c r="BH321" s="330"/>
      <c r="BI321" s="330"/>
      <c r="BJ321" s="330"/>
      <c r="BK321" s="330"/>
      <c r="BL321" s="330"/>
      <c r="BM321" s="330"/>
      <c r="BN321" s="330"/>
      <c r="BO321" s="330"/>
      <c r="BP321" s="330"/>
      <c r="BQ321" s="330"/>
      <c r="BR321" s="330"/>
      <c r="BS321" s="330"/>
      <c r="BT321" s="330"/>
      <c r="BU321" s="330"/>
      <c r="BV321" s="330"/>
      <c r="BW321" s="330"/>
      <c r="BX321" s="330"/>
    </row>
    <row r="322" spans="2:76" s="28" customFormat="1">
      <c r="B322" s="136"/>
      <c r="D322" s="222"/>
      <c r="E322" s="29"/>
      <c r="G322" s="293"/>
      <c r="H322" s="294"/>
      <c r="I322" s="294"/>
      <c r="J322" s="294"/>
      <c r="K322" s="294"/>
      <c r="L322" s="294"/>
      <c r="O322" s="335"/>
      <c r="AI322" s="31"/>
      <c r="AJ322" s="31"/>
      <c r="AK322" s="32"/>
      <c r="AL322" s="33"/>
      <c r="AM322" s="32"/>
      <c r="AN322" s="33"/>
      <c r="AO322" s="32"/>
      <c r="AP322" s="32"/>
      <c r="AQ322" s="136"/>
      <c r="AR322" s="136"/>
      <c r="AS322" s="136"/>
      <c r="AT322" s="136"/>
      <c r="AU322" s="136"/>
      <c r="AV322" s="136"/>
      <c r="AW322" s="136"/>
      <c r="AX322" s="136"/>
      <c r="AY322" s="136"/>
      <c r="AZ322" s="136"/>
      <c r="BA322" s="136"/>
      <c r="BB322" s="136"/>
      <c r="BC322" s="330"/>
      <c r="BD322" s="330"/>
      <c r="BE322" s="330"/>
      <c r="BF322" s="330"/>
      <c r="BG322" s="330"/>
      <c r="BH322" s="330"/>
      <c r="BI322" s="330"/>
      <c r="BJ322" s="330"/>
      <c r="BK322" s="330"/>
      <c r="BL322" s="330"/>
      <c r="BM322" s="330"/>
      <c r="BN322" s="330"/>
      <c r="BO322" s="330"/>
      <c r="BP322" s="330"/>
      <c r="BQ322" s="330"/>
      <c r="BR322" s="330"/>
      <c r="BS322" s="330"/>
      <c r="BT322" s="330"/>
      <c r="BU322" s="330"/>
      <c r="BV322" s="330"/>
      <c r="BW322" s="330"/>
      <c r="BX322" s="330"/>
    </row>
    <row r="323" spans="2:76" s="28" customFormat="1">
      <c r="B323" s="136"/>
      <c r="D323" s="222"/>
      <c r="E323" s="29"/>
      <c r="G323" s="293"/>
      <c r="H323" s="294"/>
      <c r="I323" s="294"/>
      <c r="J323" s="294"/>
      <c r="K323" s="294"/>
      <c r="L323" s="294"/>
      <c r="O323" s="336"/>
      <c r="AI323" s="31"/>
      <c r="AJ323" s="31"/>
      <c r="AK323" s="32"/>
      <c r="AL323" s="33"/>
      <c r="AM323" s="32"/>
      <c r="AN323" s="33"/>
      <c r="AO323" s="32"/>
      <c r="AP323" s="32"/>
      <c r="AQ323" s="136"/>
      <c r="AR323" s="136"/>
      <c r="AS323" s="136"/>
      <c r="AT323" s="136"/>
      <c r="AU323" s="136"/>
      <c r="AV323" s="136"/>
      <c r="AW323" s="136"/>
      <c r="AX323" s="136"/>
      <c r="AY323" s="136"/>
      <c r="AZ323" s="136"/>
      <c r="BA323" s="136"/>
      <c r="BB323" s="136"/>
      <c r="BC323" s="330"/>
      <c r="BD323" s="330"/>
      <c r="BE323" s="330"/>
      <c r="BF323" s="330"/>
      <c r="BG323" s="330"/>
      <c r="BH323" s="330"/>
      <c r="BI323" s="330"/>
      <c r="BJ323" s="330"/>
      <c r="BK323" s="330"/>
      <c r="BL323" s="330"/>
      <c r="BM323" s="330"/>
      <c r="BN323" s="330"/>
      <c r="BO323" s="330"/>
      <c r="BP323" s="330"/>
      <c r="BQ323" s="330"/>
      <c r="BR323" s="330"/>
      <c r="BS323" s="330"/>
      <c r="BT323" s="330"/>
      <c r="BU323" s="330"/>
      <c r="BV323" s="330"/>
      <c r="BW323" s="330"/>
      <c r="BX323" s="330"/>
    </row>
    <row r="324" spans="2:76" s="28" customFormat="1">
      <c r="B324" s="136"/>
      <c r="D324" s="222"/>
      <c r="E324" s="29"/>
      <c r="G324" s="293"/>
      <c r="H324" s="294"/>
      <c r="I324" s="294"/>
      <c r="J324" s="294"/>
      <c r="K324" s="294"/>
      <c r="L324" s="294"/>
      <c r="O324" s="338"/>
      <c r="AI324" s="31"/>
      <c r="AJ324" s="31"/>
      <c r="AK324" s="32"/>
      <c r="AL324" s="33"/>
      <c r="AM324" s="32"/>
      <c r="AN324" s="33"/>
      <c r="AO324" s="32"/>
      <c r="AP324" s="32"/>
      <c r="AQ324" s="136"/>
      <c r="AR324" s="136"/>
      <c r="AS324" s="136"/>
      <c r="AT324" s="136"/>
      <c r="AU324" s="136"/>
      <c r="AV324" s="136"/>
      <c r="AW324" s="136"/>
      <c r="AX324" s="136"/>
      <c r="AY324" s="136"/>
      <c r="AZ324" s="136"/>
      <c r="BA324" s="136"/>
      <c r="BB324" s="136"/>
      <c r="BC324" s="330"/>
      <c r="BD324" s="330"/>
      <c r="BE324" s="330"/>
      <c r="BF324" s="330"/>
      <c r="BG324" s="330"/>
      <c r="BH324" s="330"/>
      <c r="BI324" s="330"/>
      <c r="BJ324" s="330"/>
      <c r="BK324" s="330"/>
      <c r="BL324" s="330"/>
      <c r="BM324" s="330"/>
      <c r="BN324" s="330"/>
      <c r="BO324" s="330"/>
      <c r="BP324" s="330"/>
      <c r="BQ324" s="330"/>
      <c r="BR324" s="330"/>
      <c r="BS324" s="330"/>
      <c r="BT324" s="330"/>
      <c r="BU324" s="330"/>
      <c r="BV324" s="330"/>
      <c r="BW324" s="330"/>
      <c r="BX324" s="330"/>
    </row>
    <row r="325" spans="2:76" s="28" customFormat="1">
      <c r="B325" s="136"/>
      <c r="D325" s="222"/>
      <c r="E325" s="29"/>
      <c r="G325" s="293"/>
      <c r="H325" s="294"/>
      <c r="I325" s="294"/>
      <c r="J325" s="294"/>
      <c r="K325" s="294"/>
      <c r="L325" s="294"/>
      <c r="O325" s="346"/>
      <c r="AI325" s="31"/>
      <c r="AJ325" s="31"/>
      <c r="AK325" s="32"/>
      <c r="AL325" s="33"/>
      <c r="AM325" s="32"/>
      <c r="AN325" s="33"/>
      <c r="AO325" s="32"/>
      <c r="AP325" s="32"/>
      <c r="AQ325" s="136"/>
      <c r="AR325" s="136"/>
      <c r="AS325" s="136"/>
      <c r="AT325" s="136"/>
      <c r="AU325" s="136"/>
      <c r="AV325" s="136"/>
      <c r="AW325" s="136"/>
      <c r="AX325" s="136"/>
      <c r="AY325" s="136"/>
      <c r="AZ325" s="136"/>
      <c r="BA325" s="136"/>
      <c r="BB325" s="136"/>
      <c r="BC325" s="330"/>
      <c r="BD325" s="330"/>
      <c r="BE325" s="330"/>
      <c r="BF325" s="330"/>
      <c r="BG325" s="330"/>
      <c r="BH325" s="330"/>
      <c r="BI325" s="330"/>
      <c r="BJ325" s="330"/>
      <c r="BK325" s="330"/>
      <c r="BL325" s="330"/>
      <c r="BM325" s="330"/>
      <c r="BN325" s="330"/>
      <c r="BO325" s="330"/>
      <c r="BP325" s="330"/>
      <c r="BQ325" s="330"/>
      <c r="BR325" s="330"/>
      <c r="BS325" s="330"/>
      <c r="BT325" s="330"/>
      <c r="BU325" s="330"/>
      <c r="BV325" s="330"/>
      <c r="BW325" s="330"/>
      <c r="BX325" s="330"/>
    </row>
    <row r="326" spans="2:76" s="28" customFormat="1">
      <c r="B326" s="136"/>
      <c r="D326" s="222"/>
      <c r="E326" s="29"/>
      <c r="G326" s="293"/>
      <c r="H326" s="294"/>
      <c r="I326" s="294"/>
      <c r="J326" s="294"/>
      <c r="K326" s="294"/>
      <c r="L326" s="294"/>
      <c r="O326" s="338"/>
      <c r="AI326" s="31"/>
      <c r="AJ326" s="31"/>
      <c r="AK326" s="32"/>
      <c r="AL326" s="33"/>
      <c r="AM326" s="32"/>
      <c r="AN326" s="33"/>
      <c r="AO326" s="32"/>
      <c r="AP326" s="32"/>
      <c r="AQ326" s="136"/>
      <c r="AR326" s="136"/>
      <c r="AS326" s="136"/>
      <c r="AT326" s="136"/>
      <c r="AU326" s="136"/>
      <c r="AV326" s="136"/>
      <c r="AW326" s="136"/>
      <c r="AX326" s="136"/>
      <c r="AY326" s="136"/>
      <c r="AZ326" s="136"/>
      <c r="BA326" s="136"/>
      <c r="BB326" s="136"/>
      <c r="BC326" s="330"/>
      <c r="BD326" s="330"/>
      <c r="BE326" s="330"/>
      <c r="BF326" s="330"/>
      <c r="BG326" s="330"/>
      <c r="BH326" s="330"/>
      <c r="BI326" s="330"/>
      <c r="BJ326" s="330"/>
      <c r="BK326" s="330"/>
      <c r="BL326" s="330"/>
      <c r="BM326" s="330"/>
      <c r="BN326" s="330"/>
      <c r="BO326" s="330"/>
      <c r="BP326" s="330"/>
      <c r="BQ326" s="330"/>
      <c r="BR326" s="330"/>
      <c r="BS326" s="330"/>
      <c r="BT326" s="330"/>
      <c r="BU326" s="330"/>
      <c r="BV326" s="330"/>
      <c r="BW326" s="330"/>
      <c r="BX326" s="330"/>
    </row>
    <row r="327" spans="2:76" s="28" customFormat="1">
      <c r="B327" s="136"/>
      <c r="D327" s="222"/>
      <c r="E327" s="29"/>
      <c r="G327" s="293"/>
      <c r="H327" s="294"/>
      <c r="I327" s="294"/>
      <c r="J327" s="294"/>
      <c r="K327" s="294"/>
      <c r="L327" s="294"/>
      <c r="O327" s="335"/>
      <c r="AI327" s="31"/>
      <c r="AJ327" s="31"/>
      <c r="AK327" s="32"/>
      <c r="AL327" s="33"/>
      <c r="AM327" s="32"/>
      <c r="AN327" s="33"/>
      <c r="AO327" s="32"/>
      <c r="AP327" s="32"/>
      <c r="AQ327" s="136"/>
      <c r="AR327" s="136"/>
      <c r="AS327" s="136"/>
      <c r="AT327" s="136"/>
      <c r="AU327" s="136"/>
      <c r="AV327" s="136"/>
      <c r="AW327" s="136"/>
      <c r="AX327" s="136"/>
      <c r="AY327" s="136"/>
      <c r="AZ327" s="136"/>
      <c r="BA327" s="136"/>
      <c r="BB327" s="136"/>
      <c r="BC327" s="330"/>
      <c r="BD327" s="330"/>
      <c r="BE327" s="330"/>
      <c r="BF327" s="330"/>
      <c r="BG327" s="330"/>
      <c r="BH327" s="330"/>
      <c r="BI327" s="330"/>
      <c r="BJ327" s="330"/>
      <c r="BK327" s="330"/>
      <c r="BL327" s="330"/>
      <c r="BM327" s="330"/>
      <c r="BN327" s="330"/>
      <c r="BO327" s="330"/>
      <c r="BP327" s="330"/>
      <c r="BQ327" s="330"/>
      <c r="BR327" s="330"/>
      <c r="BS327" s="330"/>
      <c r="BT327" s="330"/>
      <c r="BU327" s="330"/>
      <c r="BV327" s="330"/>
      <c r="BW327" s="330"/>
      <c r="BX327" s="330"/>
    </row>
    <row r="328" spans="2:76" s="28" customFormat="1">
      <c r="B328" s="136"/>
      <c r="D328" s="222"/>
      <c r="E328" s="29"/>
      <c r="G328" s="293"/>
      <c r="H328" s="294"/>
      <c r="I328" s="294"/>
      <c r="J328" s="294"/>
      <c r="K328" s="294"/>
      <c r="L328" s="294"/>
      <c r="O328" s="346"/>
      <c r="AI328" s="31"/>
      <c r="AJ328" s="31"/>
      <c r="AK328" s="32"/>
      <c r="AL328" s="33"/>
      <c r="AM328" s="32"/>
      <c r="AN328" s="33"/>
      <c r="AO328" s="32"/>
      <c r="AP328" s="32"/>
      <c r="AQ328" s="136"/>
      <c r="AR328" s="136"/>
      <c r="AS328" s="136"/>
      <c r="AT328" s="136"/>
      <c r="AU328" s="136"/>
      <c r="AV328" s="136"/>
      <c r="AW328" s="136"/>
      <c r="AX328" s="136"/>
      <c r="AY328" s="136"/>
      <c r="AZ328" s="136"/>
      <c r="BA328" s="136"/>
      <c r="BB328" s="136"/>
      <c r="BC328" s="330"/>
      <c r="BD328" s="330"/>
      <c r="BE328" s="330"/>
      <c r="BF328" s="330"/>
      <c r="BG328" s="330"/>
      <c r="BH328" s="330"/>
      <c r="BI328" s="330"/>
      <c r="BJ328" s="330"/>
      <c r="BK328" s="330"/>
      <c r="BL328" s="330"/>
      <c r="BM328" s="330"/>
      <c r="BN328" s="330"/>
      <c r="BO328" s="330"/>
      <c r="BP328" s="330"/>
      <c r="BQ328" s="330"/>
      <c r="BR328" s="330"/>
      <c r="BS328" s="330"/>
      <c r="BT328" s="330"/>
      <c r="BU328" s="330"/>
      <c r="BV328" s="330"/>
      <c r="BW328" s="330"/>
      <c r="BX328" s="330"/>
    </row>
    <row r="329" spans="2:76" s="28" customFormat="1">
      <c r="B329" s="136"/>
      <c r="D329" s="222"/>
      <c r="E329" s="29"/>
      <c r="G329" s="293"/>
      <c r="H329" s="294"/>
      <c r="I329" s="294"/>
      <c r="J329" s="294"/>
      <c r="K329" s="294"/>
      <c r="L329" s="294"/>
      <c r="O329" s="335"/>
      <c r="AI329" s="31"/>
      <c r="AJ329" s="31"/>
      <c r="AK329" s="32"/>
      <c r="AL329" s="33"/>
      <c r="AM329" s="32"/>
      <c r="AN329" s="33"/>
      <c r="AO329" s="32"/>
      <c r="AP329" s="32"/>
      <c r="AQ329" s="136"/>
      <c r="AR329" s="136"/>
      <c r="AS329" s="136"/>
      <c r="AT329" s="136"/>
      <c r="AU329" s="136"/>
      <c r="AV329" s="136"/>
      <c r="AW329" s="136"/>
      <c r="AX329" s="136"/>
      <c r="AY329" s="136"/>
      <c r="AZ329" s="136"/>
      <c r="BA329" s="136"/>
      <c r="BB329" s="136"/>
      <c r="BC329" s="330"/>
      <c r="BD329" s="330"/>
      <c r="BE329" s="330"/>
      <c r="BF329" s="330"/>
      <c r="BG329" s="330"/>
      <c r="BH329" s="330"/>
      <c r="BI329" s="330"/>
      <c r="BJ329" s="330"/>
      <c r="BK329" s="330"/>
      <c r="BL329" s="330"/>
      <c r="BM329" s="330"/>
      <c r="BN329" s="330"/>
      <c r="BO329" s="330"/>
      <c r="BP329" s="330"/>
      <c r="BQ329" s="330"/>
      <c r="BR329" s="330"/>
      <c r="BS329" s="330"/>
      <c r="BT329" s="330"/>
      <c r="BU329" s="330"/>
      <c r="BV329" s="330"/>
      <c r="BW329" s="330"/>
      <c r="BX329" s="330"/>
    </row>
    <row r="330" spans="2:76" s="28" customFormat="1">
      <c r="B330" s="136"/>
      <c r="D330" s="222"/>
      <c r="E330" s="29"/>
      <c r="G330" s="293"/>
      <c r="H330" s="294"/>
      <c r="I330" s="294"/>
      <c r="J330" s="294"/>
      <c r="K330" s="294"/>
      <c r="L330" s="294"/>
      <c r="O330" s="338"/>
      <c r="AI330" s="31"/>
      <c r="AJ330" s="31"/>
      <c r="AK330" s="32"/>
      <c r="AL330" s="33"/>
      <c r="AM330" s="32"/>
      <c r="AN330" s="33"/>
      <c r="AO330" s="32"/>
      <c r="AP330" s="32"/>
      <c r="AQ330" s="136"/>
      <c r="AR330" s="136"/>
      <c r="AS330" s="136"/>
      <c r="AT330" s="136"/>
      <c r="AU330" s="136"/>
      <c r="AV330" s="136"/>
      <c r="AW330" s="136"/>
      <c r="AX330" s="136"/>
      <c r="AY330" s="136"/>
      <c r="AZ330" s="136"/>
      <c r="BA330" s="136"/>
      <c r="BB330" s="136"/>
      <c r="BC330" s="330"/>
      <c r="BD330" s="330"/>
      <c r="BE330" s="330"/>
      <c r="BF330" s="330"/>
      <c r="BG330" s="330"/>
      <c r="BH330" s="330"/>
      <c r="BI330" s="330"/>
      <c r="BJ330" s="330"/>
      <c r="BK330" s="330"/>
      <c r="BL330" s="330"/>
      <c r="BM330" s="330"/>
      <c r="BN330" s="330"/>
      <c r="BO330" s="330"/>
      <c r="BP330" s="330"/>
      <c r="BQ330" s="330"/>
      <c r="BR330" s="330"/>
      <c r="BS330" s="330"/>
      <c r="BT330" s="330"/>
      <c r="BU330" s="330"/>
      <c r="BV330" s="330"/>
      <c r="BW330" s="330"/>
      <c r="BX330" s="330"/>
    </row>
    <row r="331" spans="2:76" s="28" customFormat="1">
      <c r="B331" s="136"/>
      <c r="D331" s="222"/>
      <c r="E331" s="29"/>
      <c r="G331" s="293"/>
      <c r="H331" s="294"/>
      <c r="I331" s="294"/>
      <c r="J331" s="294"/>
      <c r="K331" s="294"/>
      <c r="L331" s="294"/>
      <c r="O331" s="342"/>
      <c r="AI331" s="31"/>
      <c r="AJ331" s="31"/>
      <c r="AK331" s="32"/>
      <c r="AL331" s="33"/>
      <c r="AM331" s="32"/>
      <c r="AN331" s="33"/>
      <c r="AO331" s="32"/>
      <c r="AP331" s="32"/>
      <c r="AQ331" s="136"/>
      <c r="AR331" s="136"/>
      <c r="AS331" s="136"/>
      <c r="AT331" s="136"/>
      <c r="AU331" s="136"/>
      <c r="AV331" s="136"/>
      <c r="AW331" s="136"/>
      <c r="AX331" s="136"/>
      <c r="AY331" s="136"/>
      <c r="AZ331" s="136"/>
      <c r="BA331" s="136"/>
      <c r="BB331" s="136"/>
      <c r="BC331" s="330"/>
      <c r="BD331" s="330"/>
      <c r="BE331" s="330"/>
      <c r="BF331" s="330"/>
      <c r="BG331" s="330"/>
      <c r="BH331" s="330"/>
      <c r="BI331" s="330"/>
      <c r="BJ331" s="330"/>
      <c r="BK331" s="330"/>
      <c r="BL331" s="330"/>
      <c r="BM331" s="330"/>
      <c r="BN331" s="330"/>
      <c r="BO331" s="330"/>
      <c r="BP331" s="330"/>
      <c r="BQ331" s="330"/>
      <c r="BR331" s="330"/>
      <c r="BS331" s="330"/>
      <c r="BT331" s="330"/>
      <c r="BU331" s="330"/>
      <c r="BV331" s="330"/>
      <c r="BW331" s="330"/>
      <c r="BX331" s="330"/>
    </row>
    <row r="332" spans="2:76" s="28" customFormat="1">
      <c r="B332" s="136"/>
      <c r="D332" s="222"/>
      <c r="E332" s="29"/>
      <c r="G332" s="293"/>
      <c r="H332" s="294"/>
      <c r="I332" s="294"/>
      <c r="J332" s="294"/>
      <c r="K332" s="294"/>
      <c r="L332" s="294"/>
      <c r="O332" s="338"/>
      <c r="AI332" s="31"/>
      <c r="AJ332" s="31"/>
      <c r="AK332" s="32"/>
      <c r="AL332" s="33"/>
      <c r="AM332" s="32"/>
      <c r="AN332" s="33"/>
      <c r="AO332" s="32"/>
      <c r="AP332" s="32"/>
      <c r="AQ332" s="136"/>
      <c r="AR332" s="136"/>
      <c r="AS332" s="136"/>
      <c r="AT332" s="136"/>
      <c r="AU332" s="136"/>
      <c r="AV332" s="136"/>
      <c r="AW332" s="136"/>
      <c r="AX332" s="136"/>
      <c r="AY332" s="136"/>
      <c r="AZ332" s="136"/>
      <c r="BA332" s="136"/>
      <c r="BB332" s="136"/>
      <c r="BC332" s="330"/>
      <c r="BD332" s="330"/>
      <c r="BE332" s="330"/>
      <c r="BF332" s="330"/>
      <c r="BG332" s="330"/>
      <c r="BH332" s="330"/>
      <c r="BI332" s="330"/>
      <c r="BJ332" s="330"/>
      <c r="BK332" s="330"/>
      <c r="BL332" s="330"/>
      <c r="BM332" s="330"/>
      <c r="BN332" s="330"/>
      <c r="BO332" s="330"/>
      <c r="BP332" s="330"/>
      <c r="BQ332" s="330"/>
      <c r="BR332" s="330"/>
      <c r="BS332" s="330"/>
      <c r="BT332" s="330"/>
      <c r="BU332" s="330"/>
      <c r="BV332" s="330"/>
      <c r="BW332" s="330"/>
      <c r="BX332" s="330"/>
    </row>
    <row r="333" spans="2:76" s="28" customFormat="1">
      <c r="B333" s="136"/>
      <c r="D333" s="222"/>
      <c r="E333" s="29"/>
      <c r="G333" s="293"/>
      <c r="H333" s="294"/>
      <c r="I333" s="294"/>
      <c r="J333" s="294"/>
      <c r="K333" s="294"/>
      <c r="L333" s="294"/>
      <c r="O333" s="337"/>
      <c r="AI333" s="31"/>
      <c r="AJ333" s="31"/>
      <c r="AK333" s="32"/>
      <c r="AL333" s="33"/>
      <c r="AM333" s="32"/>
      <c r="AN333" s="33"/>
      <c r="AO333" s="32"/>
      <c r="AP333" s="32"/>
      <c r="AQ333" s="136"/>
      <c r="AR333" s="136"/>
      <c r="AS333" s="136"/>
      <c r="AT333" s="136"/>
      <c r="AU333" s="136"/>
      <c r="AV333" s="136"/>
      <c r="AW333" s="136"/>
      <c r="AX333" s="136"/>
      <c r="AY333" s="136"/>
      <c r="AZ333" s="136"/>
      <c r="BA333" s="136"/>
      <c r="BB333" s="136"/>
      <c r="BC333" s="330"/>
      <c r="BD333" s="330"/>
      <c r="BE333" s="330"/>
      <c r="BF333" s="330"/>
      <c r="BG333" s="330"/>
      <c r="BH333" s="330"/>
      <c r="BI333" s="330"/>
      <c r="BJ333" s="330"/>
      <c r="BK333" s="330"/>
      <c r="BL333" s="330"/>
      <c r="BM333" s="330"/>
      <c r="BN333" s="330"/>
      <c r="BO333" s="330"/>
      <c r="BP333" s="330"/>
      <c r="BQ333" s="330"/>
      <c r="BR333" s="330"/>
      <c r="BS333" s="330"/>
      <c r="BT333" s="330"/>
      <c r="BU333" s="330"/>
      <c r="BV333" s="330"/>
      <c r="BW333" s="330"/>
      <c r="BX333" s="330"/>
    </row>
    <row r="334" spans="2:76" s="28" customFormat="1">
      <c r="B334" s="136"/>
      <c r="D334" s="222"/>
      <c r="E334" s="29"/>
      <c r="G334" s="293"/>
      <c r="H334" s="294"/>
      <c r="I334" s="294"/>
      <c r="J334" s="294"/>
      <c r="K334" s="294"/>
      <c r="L334" s="294"/>
      <c r="O334" s="335"/>
      <c r="AI334" s="31"/>
      <c r="AJ334" s="31"/>
      <c r="AK334" s="32"/>
      <c r="AL334" s="33"/>
      <c r="AM334" s="32"/>
      <c r="AN334" s="33"/>
      <c r="AO334" s="32"/>
      <c r="AP334" s="32"/>
      <c r="AQ334" s="136"/>
      <c r="AR334" s="136"/>
      <c r="AS334" s="136"/>
      <c r="AT334" s="136"/>
      <c r="AU334" s="136"/>
      <c r="AV334" s="136"/>
      <c r="AW334" s="136"/>
      <c r="AX334" s="136"/>
      <c r="AY334" s="136"/>
      <c r="AZ334" s="136"/>
      <c r="BA334" s="136"/>
      <c r="BB334" s="136"/>
      <c r="BC334" s="330"/>
      <c r="BD334" s="330"/>
      <c r="BE334" s="330"/>
      <c r="BF334" s="330"/>
      <c r="BG334" s="330"/>
      <c r="BH334" s="330"/>
      <c r="BI334" s="330"/>
      <c r="BJ334" s="330"/>
      <c r="BK334" s="330"/>
      <c r="BL334" s="330"/>
      <c r="BM334" s="330"/>
      <c r="BN334" s="330"/>
      <c r="BO334" s="330"/>
      <c r="BP334" s="330"/>
      <c r="BQ334" s="330"/>
      <c r="BR334" s="330"/>
      <c r="BS334" s="330"/>
      <c r="BT334" s="330"/>
      <c r="BU334" s="330"/>
      <c r="BV334" s="330"/>
      <c r="BW334" s="330"/>
      <c r="BX334" s="330"/>
    </row>
    <row r="335" spans="2:76" s="28" customFormat="1">
      <c r="B335" s="136"/>
      <c r="D335" s="222"/>
      <c r="E335" s="29"/>
      <c r="G335" s="293"/>
      <c r="H335" s="294"/>
      <c r="I335" s="294"/>
      <c r="J335" s="294"/>
      <c r="K335" s="294"/>
      <c r="L335" s="294"/>
      <c r="O335" s="334"/>
      <c r="AI335" s="31"/>
      <c r="AJ335" s="31"/>
      <c r="AK335" s="32"/>
      <c r="AL335" s="33"/>
      <c r="AM335" s="32"/>
      <c r="AN335" s="33"/>
      <c r="AO335" s="32"/>
      <c r="AP335" s="32"/>
      <c r="AQ335" s="136"/>
      <c r="AR335" s="136"/>
      <c r="AS335" s="136"/>
      <c r="AT335" s="136"/>
      <c r="AU335" s="136"/>
      <c r="AV335" s="136"/>
      <c r="AW335" s="136"/>
      <c r="AX335" s="136"/>
      <c r="AY335" s="136"/>
      <c r="AZ335" s="136"/>
      <c r="BA335" s="136"/>
      <c r="BB335" s="136"/>
      <c r="BC335" s="330"/>
      <c r="BD335" s="330"/>
      <c r="BE335" s="330"/>
      <c r="BF335" s="330"/>
      <c r="BG335" s="330"/>
      <c r="BH335" s="330"/>
      <c r="BI335" s="330"/>
      <c r="BJ335" s="330"/>
      <c r="BK335" s="330"/>
      <c r="BL335" s="330"/>
      <c r="BM335" s="330"/>
      <c r="BN335" s="330"/>
      <c r="BO335" s="330"/>
      <c r="BP335" s="330"/>
      <c r="BQ335" s="330"/>
      <c r="BR335" s="330"/>
      <c r="BS335" s="330"/>
      <c r="BT335" s="330"/>
      <c r="BU335" s="330"/>
      <c r="BV335" s="330"/>
      <c r="BW335" s="330"/>
      <c r="BX335" s="330"/>
    </row>
    <row r="336" spans="2:76" s="28" customFormat="1">
      <c r="B336" s="136"/>
      <c r="D336" s="222"/>
      <c r="E336" s="29"/>
      <c r="G336" s="293"/>
      <c r="H336" s="294"/>
      <c r="I336" s="294"/>
      <c r="J336" s="294"/>
      <c r="K336" s="294"/>
      <c r="L336" s="294"/>
      <c r="O336" s="335"/>
      <c r="AI336" s="31"/>
      <c r="AJ336" s="31"/>
      <c r="AK336" s="32"/>
      <c r="AL336" s="33"/>
      <c r="AM336" s="32"/>
      <c r="AN336" s="33"/>
      <c r="AO336" s="32"/>
      <c r="AP336" s="32"/>
      <c r="AQ336" s="136"/>
      <c r="AR336" s="136"/>
      <c r="AS336" s="136"/>
      <c r="AT336" s="136"/>
      <c r="AU336" s="136"/>
      <c r="AV336" s="136"/>
      <c r="AW336" s="136"/>
      <c r="AX336" s="136"/>
      <c r="AY336" s="136"/>
      <c r="AZ336" s="136"/>
      <c r="BA336" s="136"/>
      <c r="BB336" s="136"/>
      <c r="BC336" s="330"/>
      <c r="BD336" s="330"/>
      <c r="BE336" s="330"/>
      <c r="BF336" s="330"/>
      <c r="BG336" s="330"/>
      <c r="BH336" s="330"/>
      <c r="BI336" s="330"/>
      <c r="BJ336" s="330"/>
      <c r="BK336" s="330"/>
      <c r="BL336" s="330"/>
      <c r="BM336" s="330"/>
      <c r="BN336" s="330"/>
      <c r="BO336" s="330"/>
      <c r="BP336" s="330"/>
      <c r="BQ336" s="330"/>
      <c r="BR336" s="330"/>
      <c r="BS336" s="330"/>
      <c r="BT336" s="330"/>
      <c r="BU336" s="330"/>
      <c r="BV336" s="330"/>
      <c r="BW336" s="330"/>
      <c r="BX336" s="330"/>
    </row>
    <row r="337" spans="2:76" s="28" customFormat="1">
      <c r="B337" s="136"/>
      <c r="D337" s="222"/>
      <c r="E337" s="29"/>
      <c r="G337" s="293"/>
      <c r="H337" s="294"/>
      <c r="I337" s="294"/>
      <c r="J337" s="294"/>
      <c r="K337" s="294"/>
      <c r="L337" s="294"/>
      <c r="O337" s="335"/>
      <c r="AI337" s="31"/>
      <c r="AJ337" s="31"/>
      <c r="AK337" s="32"/>
      <c r="AL337" s="33"/>
      <c r="AM337" s="32"/>
      <c r="AN337" s="33"/>
      <c r="AO337" s="32"/>
      <c r="AP337" s="32"/>
      <c r="AQ337" s="136"/>
      <c r="AR337" s="136"/>
      <c r="AS337" s="136"/>
      <c r="AT337" s="136"/>
      <c r="AU337" s="136"/>
      <c r="AV337" s="136"/>
      <c r="AW337" s="136"/>
      <c r="AX337" s="136"/>
      <c r="AY337" s="136"/>
      <c r="AZ337" s="136"/>
      <c r="BA337" s="136"/>
      <c r="BB337" s="136"/>
      <c r="BC337" s="330"/>
      <c r="BD337" s="330"/>
      <c r="BE337" s="330"/>
      <c r="BF337" s="330"/>
      <c r="BG337" s="330"/>
      <c r="BH337" s="330"/>
      <c r="BI337" s="330"/>
      <c r="BJ337" s="330"/>
      <c r="BK337" s="330"/>
      <c r="BL337" s="330"/>
      <c r="BM337" s="330"/>
      <c r="BN337" s="330"/>
      <c r="BO337" s="330"/>
      <c r="BP337" s="330"/>
      <c r="BQ337" s="330"/>
      <c r="BR337" s="330"/>
      <c r="BS337" s="330"/>
      <c r="BT337" s="330"/>
      <c r="BU337" s="330"/>
      <c r="BV337" s="330"/>
      <c r="BW337" s="330"/>
      <c r="BX337" s="330"/>
    </row>
    <row r="338" spans="2:76" s="28" customFormat="1">
      <c r="B338" s="136"/>
      <c r="D338" s="222"/>
      <c r="E338" s="29"/>
      <c r="G338" s="293"/>
      <c r="H338" s="294"/>
      <c r="I338" s="294"/>
      <c r="J338" s="294"/>
      <c r="K338" s="294"/>
      <c r="L338" s="294"/>
      <c r="O338" s="334"/>
      <c r="AI338" s="31"/>
      <c r="AJ338" s="31"/>
      <c r="AK338" s="32"/>
      <c r="AL338" s="33"/>
      <c r="AM338" s="32"/>
      <c r="AN338" s="33"/>
      <c r="AO338" s="32"/>
      <c r="AP338" s="32"/>
      <c r="AQ338" s="136"/>
      <c r="AR338" s="136"/>
      <c r="AS338" s="136"/>
      <c r="AT338" s="136"/>
      <c r="AU338" s="136"/>
      <c r="AV338" s="136"/>
      <c r="AW338" s="136"/>
      <c r="AX338" s="136"/>
      <c r="AY338" s="136"/>
      <c r="AZ338" s="136"/>
      <c r="BA338" s="136"/>
      <c r="BB338" s="136"/>
      <c r="BC338" s="330"/>
      <c r="BD338" s="330"/>
      <c r="BE338" s="330"/>
      <c r="BF338" s="330"/>
      <c r="BG338" s="330"/>
      <c r="BH338" s="330"/>
      <c r="BI338" s="330"/>
      <c r="BJ338" s="330"/>
      <c r="BK338" s="330"/>
      <c r="BL338" s="330"/>
      <c r="BM338" s="330"/>
      <c r="BN338" s="330"/>
      <c r="BO338" s="330"/>
      <c r="BP338" s="330"/>
      <c r="BQ338" s="330"/>
      <c r="BR338" s="330"/>
      <c r="BS338" s="330"/>
      <c r="BT338" s="330"/>
      <c r="BU338" s="330"/>
      <c r="BV338" s="330"/>
      <c r="BW338" s="330"/>
      <c r="BX338" s="330"/>
    </row>
    <row r="339" spans="2:76" s="28" customFormat="1">
      <c r="B339" s="136"/>
      <c r="D339" s="222"/>
      <c r="E339" s="29"/>
      <c r="G339" s="293"/>
      <c r="H339" s="294"/>
      <c r="I339" s="294"/>
      <c r="J339" s="294"/>
      <c r="K339" s="294"/>
      <c r="L339" s="294"/>
      <c r="O339" s="339"/>
      <c r="AI339" s="31"/>
      <c r="AJ339" s="31"/>
      <c r="AK339" s="32"/>
      <c r="AL339" s="33"/>
      <c r="AM339" s="32"/>
      <c r="AN339" s="33"/>
      <c r="AO339" s="32"/>
      <c r="AP339" s="32"/>
      <c r="AQ339" s="136"/>
      <c r="AR339" s="136"/>
      <c r="AS339" s="136"/>
      <c r="AT339" s="136"/>
      <c r="AU339" s="136"/>
      <c r="AV339" s="136"/>
      <c r="AW339" s="136"/>
      <c r="AX339" s="136"/>
      <c r="AY339" s="136"/>
      <c r="AZ339" s="136"/>
      <c r="BA339" s="136"/>
      <c r="BB339" s="136"/>
      <c r="BC339" s="330"/>
      <c r="BD339" s="330"/>
      <c r="BE339" s="330"/>
      <c r="BF339" s="330"/>
      <c r="BG339" s="330"/>
      <c r="BH339" s="330"/>
      <c r="BI339" s="330"/>
      <c r="BJ339" s="330"/>
      <c r="BK339" s="330"/>
      <c r="BL339" s="330"/>
      <c r="BM339" s="330"/>
      <c r="BN339" s="330"/>
      <c r="BO339" s="330"/>
      <c r="BP339" s="330"/>
      <c r="BQ339" s="330"/>
      <c r="BR339" s="330"/>
      <c r="BS339" s="330"/>
      <c r="BT339" s="330"/>
      <c r="BU339" s="330"/>
      <c r="BV339" s="330"/>
      <c r="BW339" s="330"/>
      <c r="BX339" s="330"/>
    </row>
    <row r="340" spans="2:76" s="28" customFormat="1">
      <c r="B340" s="136"/>
      <c r="D340" s="222"/>
      <c r="E340" s="29"/>
      <c r="G340" s="293"/>
      <c r="H340" s="294"/>
      <c r="I340" s="294"/>
      <c r="J340" s="294"/>
      <c r="K340" s="294"/>
      <c r="L340" s="294"/>
      <c r="O340" s="335"/>
      <c r="AI340" s="31"/>
      <c r="AJ340" s="31"/>
      <c r="AK340" s="32"/>
      <c r="AL340" s="33"/>
      <c r="AM340" s="32"/>
      <c r="AN340" s="33"/>
      <c r="AO340" s="32"/>
      <c r="AP340" s="32"/>
      <c r="AQ340" s="136"/>
      <c r="AR340" s="136"/>
      <c r="AS340" s="136"/>
      <c r="AT340" s="136"/>
      <c r="AU340" s="136"/>
      <c r="AV340" s="136"/>
      <c r="AW340" s="136"/>
      <c r="AX340" s="136"/>
      <c r="AY340" s="136"/>
      <c r="AZ340" s="136"/>
      <c r="BA340" s="136"/>
      <c r="BB340" s="136"/>
      <c r="BC340" s="330"/>
      <c r="BD340" s="330"/>
      <c r="BE340" s="330"/>
      <c r="BF340" s="330"/>
      <c r="BG340" s="330"/>
      <c r="BH340" s="330"/>
      <c r="BI340" s="330"/>
      <c r="BJ340" s="330"/>
      <c r="BK340" s="330"/>
      <c r="BL340" s="330"/>
      <c r="BM340" s="330"/>
      <c r="BN340" s="330"/>
      <c r="BO340" s="330"/>
      <c r="BP340" s="330"/>
      <c r="BQ340" s="330"/>
      <c r="BR340" s="330"/>
      <c r="BS340" s="330"/>
      <c r="BT340" s="330"/>
      <c r="BU340" s="330"/>
      <c r="BV340" s="330"/>
      <c r="BW340" s="330"/>
      <c r="BX340" s="330"/>
    </row>
    <row r="341" spans="2:76" s="28" customFormat="1">
      <c r="B341" s="136"/>
      <c r="D341" s="222"/>
      <c r="E341" s="29"/>
      <c r="G341" s="293"/>
      <c r="H341" s="294"/>
      <c r="I341" s="294"/>
      <c r="J341" s="294"/>
      <c r="K341" s="294"/>
      <c r="L341" s="294"/>
      <c r="O341" s="335"/>
      <c r="AI341" s="31"/>
      <c r="AJ341" s="31"/>
      <c r="AK341" s="32"/>
      <c r="AL341" s="33"/>
      <c r="AM341" s="32"/>
      <c r="AN341" s="33"/>
      <c r="AO341" s="32"/>
      <c r="AP341" s="32"/>
      <c r="AQ341" s="136"/>
      <c r="AR341" s="136"/>
      <c r="AS341" s="136"/>
      <c r="AT341" s="136"/>
      <c r="AU341" s="136"/>
      <c r="AV341" s="136"/>
      <c r="AW341" s="136"/>
      <c r="AX341" s="136"/>
      <c r="AY341" s="136"/>
      <c r="AZ341" s="136"/>
      <c r="BA341" s="136"/>
      <c r="BB341" s="136"/>
      <c r="BC341" s="330"/>
      <c r="BD341" s="330"/>
      <c r="BE341" s="330"/>
      <c r="BF341" s="330"/>
      <c r="BG341" s="330"/>
      <c r="BH341" s="330"/>
      <c r="BI341" s="330"/>
      <c r="BJ341" s="330"/>
      <c r="BK341" s="330"/>
      <c r="BL341" s="330"/>
      <c r="BM341" s="330"/>
      <c r="BN341" s="330"/>
      <c r="BO341" s="330"/>
      <c r="BP341" s="330"/>
      <c r="BQ341" s="330"/>
      <c r="BR341" s="330"/>
      <c r="BS341" s="330"/>
      <c r="BT341" s="330"/>
      <c r="BU341" s="330"/>
      <c r="BV341" s="330"/>
      <c r="BW341" s="330"/>
      <c r="BX341" s="330"/>
    </row>
    <row r="342" spans="2:76" s="28" customFormat="1">
      <c r="B342" s="136"/>
      <c r="D342" s="222"/>
      <c r="E342" s="29"/>
      <c r="G342" s="293"/>
      <c r="H342" s="294"/>
      <c r="I342" s="294"/>
      <c r="J342" s="294"/>
      <c r="K342" s="294"/>
      <c r="L342" s="294"/>
      <c r="O342" s="335"/>
      <c r="AI342" s="31"/>
      <c r="AJ342" s="31"/>
      <c r="AK342" s="32"/>
      <c r="AL342" s="33"/>
      <c r="AM342" s="32"/>
      <c r="AN342" s="33"/>
      <c r="AO342" s="32"/>
      <c r="AP342" s="32"/>
      <c r="AQ342" s="136"/>
      <c r="AR342" s="136"/>
      <c r="AS342" s="136"/>
      <c r="AT342" s="136"/>
      <c r="AU342" s="136"/>
      <c r="AV342" s="136"/>
      <c r="AW342" s="136"/>
      <c r="AX342" s="136"/>
      <c r="AY342" s="136"/>
      <c r="AZ342" s="136"/>
      <c r="BA342" s="136"/>
      <c r="BB342" s="136"/>
      <c r="BC342" s="330"/>
      <c r="BD342" s="330"/>
      <c r="BE342" s="330"/>
      <c r="BF342" s="330"/>
      <c r="BG342" s="330"/>
      <c r="BH342" s="330"/>
      <c r="BI342" s="330"/>
      <c r="BJ342" s="330"/>
      <c r="BK342" s="330"/>
      <c r="BL342" s="330"/>
      <c r="BM342" s="330"/>
      <c r="BN342" s="330"/>
      <c r="BO342" s="330"/>
      <c r="BP342" s="330"/>
      <c r="BQ342" s="330"/>
      <c r="BR342" s="330"/>
      <c r="BS342" s="330"/>
      <c r="BT342" s="330"/>
      <c r="BU342" s="330"/>
      <c r="BV342" s="330"/>
      <c r="BW342" s="330"/>
      <c r="BX342" s="330"/>
    </row>
    <row r="343" spans="2:76" s="28" customFormat="1">
      <c r="B343" s="136"/>
      <c r="D343" s="222"/>
      <c r="E343" s="29"/>
      <c r="G343" s="293"/>
      <c r="H343" s="294"/>
      <c r="I343" s="294"/>
      <c r="J343" s="294"/>
      <c r="K343" s="294"/>
      <c r="L343" s="294"/>
      <c r="O343" s="338"/>
      <c r="AI343" s="31"/>
      <c r="AJ343" s="31"/>
      <c r="AK343" s="32"/>
      <c r="AL343" s="33"/>
      <c r="AM343" s="32"/>
      <c r="AN343" s="33"/>
      <c r="AO343" s="32"/>
      <c r="AP343" s="32"/>
      <c r="AQ343" s="136"/>
      <c r="AR343" s="136"/>
      <c r="AS343" s="136"/>
      <c r="AT343" s="136"/>
      <c r="AU343" s="136"/>
      <c r="AV343" s="136"/>
      <c r="AW343" s="136"/>
      <c r="AX343" s="136"/>
      <c r="AY343" s="136"/>
      <c r="AZ343" s="136"/>
      <c r="BA343" s="136"/>
      <c r="BB343" s="136"/>
      <c r="BC343" s="330"/>
      <c r="BD343" s="330"/>
      <c r="BE343" s="330"/>
      <c r="BF343" s="330"/>
      <c r="BG343" s="330"/>
      <c r="BH343" s="330"/>
      <c r="BI343" s="330"/>
      <c r="BJ343" s="330"/>
      <c r="BK343" s="330"/>
      <c r="BL343" s="330"/>
      <c r="BM343" s="330"/>
      <c r="BN343" s="330"/>
      <c r="BO343" s="330"/>
      <c r="BP343" s="330"/>
      <c r="BQ343" s="330"/>
      <c r="BR343" s="330"/>
      <c r="BS343" s="330"/>
      <c r="BT343" s="330"/>
      <c r="BU343" s="330"/>
      <c r="BV343" s="330"/>
      <c r="BW343" s="330"/>
      <c r="BX343" s="330"/>
    </row>
    <row r="344" spans="2:76" s="28" customFormat="1">
      <c r="B344" s="136"/>
      <c r="D344" s="222"/>
      <c r="E344" s="29"/>
      <c r="G344" s="293"/>
      <c r="H344" s="294"/>
      <c r="I344" s="294"/>
      <c r="J344" s="294"/>
      <c r="K344" s="294"/>
      <c r="L344" s="294"/>
      <c r="O344" s="334"/>
      <c r="AI344" s="31"/>
      <c r="AJ344" s="31"/>
      <c r="AK344" s="32"/>
      <c r="AL344" s="33"/>
      <c r="AM344" s="32"/>
      <c r="AN344" s="33"/>
      <c r="AO344" s="32"/>
      <c r="AP344" s="32"/>
      <c r="AQ344" s="136"/>
      <c r="AR344" s="136"/>
      <c r="AS344" s="136"/>
      <c r="AT344" s="136"/>
      <c r="AU344" s="136"/>
      <c r="AV344" s="136"/>
      <c r="AW344" s="136"/>
      <c r="AX344" s="136"/>
      <c r="AY344" s="136"/>
      <c r="AZ344" s="136"/>
      <c r="BA344" s="136"/>
      <c r="BB344" s="136"/>
      <c r="BC344" s="330"/>
      <c r="BD344" s="330"/>
      <c r="BE344" s="330"/>
      <c r="BF344" s="330"/>
      <c r="BG344" s="330"/>
      <c r="BH344" s="330"/>
      <c r="BI344" s="330"/>
      <c r="BJ344" s="330"/>
      <c r="BK344" s="330"/>
      <c r="BL344" s="330"/>
      <c r="BM344" s="330"/>
      <c r="BN344" s="330"/>
      <c r="BO344" s="330"/>
      <c r="BP344" s="330"/>
      <c r="BQ344" s="330"/>
      <c r="BR344" s="330"/>
      <c r="BS344" s="330"/>
      <c r="BT344" s="330"/>
      <c r="BU344" s="330"/>
      <c r="BV344" s="330"/>
      <c r="BW344" s="330"/>
      <c r="BX344" s="330"/>
    </row>
    <row r="345" spans="2:76" s="28" customFormat="1">
      <c r="B345" s="136"/>
      <c r="D345" s="222"/>
      <c r="E345" s="29"/>
      <c r="G345" s="293"/>
      <c r="H345" s="294"/>
      <c r="I345" s="294"/>
      <c r="J345" s="294"/>
      <c r="K345" s="294"/>
      <c r="L345" s="294"/>
      <c r="O345" s="337"/>
      <c r="AI345" s="31"/>
      <c r="AJ345" s="31"/>
      <c r="AK345" s="32"/>
      <c r="AL345" s="33"/>
      <c r="AM345" s="32"/>
      <c r="AN345" s="33"/>
      <c r="AO345" s="32"/>
      <c r="AP345" s="32"/>
      <c r="AQ345" s="136"/>
      <c r="AR345" s="136"/>
      <c r="AS345" s="136"/>
      <c r="AT345" s="136"/>
      <c r="AU345" s="136"/>
      <c r="AV345" s="136"/>
      <c r="AW345" s="136"/>
      <c r="AX345" s="136"/>
      <c r="AY345" s="136"/>
      <c r="AZ345" s="136"/>
      <c r="BA345" s="136"/>
      <c r="BB345" s="136"/>
      <c r="BC345" s="330"/>
      <c r="BD345" s="330"/>
      <c r="BE345" s="330"/>
      <c r="BF345" s="330"/>
      <c r="BG345" s="330"/>
      <c r="BH345" s="330"/>
      <c r="BI345" s="330"/>
      <c r="BJ345" s="330"/>
      <c r="BK345" s="330"/>
      <c r="BL345" s="330"/>
      <c r="BM345" s="330"/>
      <c r="BN345" s="330"/>
      <c r="BO345" s="330"/>
      <c r="BP345" s="330"/>
      <c r="BQ345" s="330"/>
      <c r="BR345" s="330"/>
      <c r="BS345" s="330"/>
      <c r="BT345" s="330"/>
      <c r="BU345" s="330"/>
      <c r="BV345" s="330"/>
      <c r="BW345" s="330"/>
      <c r="BX345" s="330"/>
    </row>
    <row r="346" spans="2:76" s="28" customFormat="1">
      <c r="B346" s="136"/>
      <c r="D346" s="222"/>
      <c r="E346" s="29"/>
      <c r="G346" s="293"/>
      <c r="H346" s="294"/>
      <c r="I346" s="294"/>
      <c r="J346" s="294"/>
      <c r="K346" s="294"/>
      <c r="L346" s="294"/>
      <c r="O346" s="335"/>
      <c r="AI346" s="31"/>
      <c r="AJ346" s="31"/>
      <c r="AK346" s="32"/>
      <c r="AL346" s="33"/>
      <c r="AM346" s="32"/>
      <c r="AN346" s="33"/>
      <c r="AO346" s="32"/>
      <c r="AP346" s="32"/>
      <c r="AQ346" s="136"/>
      <c r="AR346" s="136"/>
      <c r="AS346" s="136"/>
      <c r="AT346" s="136"/>
      <c r="AU346" s="136"/>
      <c r="AV346" s="136"/>
      <c r="AW346" s="136"/>
      <c r="AX346" s="136"/>
      <c r="AY346" s="136"/>
      <c r="AZ346" s="136"/>
      <c r="BA346" s="136"/>
      <c r="BB346" s="136"/>
      <c r="BC346" s="330"/>
      <c r="BD346" s="330"/>
      <c r="BE346" s="330"/>
      <c r="BF346" s="330"/>
      <c r="BG346" s="330"/>
      <c r="BH346" s="330"/>
      <c r="BI346" s="330"/>
      <c r="BJ346" s="330"/>
      <c r="BK346" s="330"/>
      <c r="BL346" s="330"/>
      <c r="BM346" s="330"/>
      <c r="BN346" s="330"/>
      <c r="BO346" s="330"/>
      <c r="BP346" s="330"/>
      <c r="BQ346" s="330"/>
      <c r="BR346" s="330"/>
      <c r="BS346" s="330"/>
      <c r="BT346" s="330"/>
      <c r="BU346" s="330"/>
      <c r="BV346" s="330"/>
      <c r="BW346" s="330"/>
      <c r="BX346" s="330"/>
    </row>
    <row r="347" spans="2:76" s="28" customFormat="1">
      <c r="B347" s="136"/>
      <c r="D347" s="222"/>
      <c r="E347" s="29"/>
      <c r="G347" s="293"/>
      <c r="H347" s="294"/>
      <c r="I347" s="294"/>
      <c r="J347" s="294"/>
      <c r="K347" s="294"/>
      <c r="L347" s="294"/>
      <c r="O347" s="335"/>
      <c r="AI347" s="31"/>
      <c r="AJ347" s="31"/>
      <c r="AK347" s="32"/>
      <c r="AL347" s="33"/>
      <c r="AM347" s="32"/>
      <c r="AN347" s="33"/>
      <c r="AO347" s="32"/>
      <c r="AP347" s="32"/>
      <c r="AQ347" s="136"/>
      <c r="AR347" s="136"/>
      <c r="AS347" s="136"/>
      <c r="AT347" s="136"/>
      <c r="AU347" s="136"/>
      <c r="AV347" s="136"/>
      <c r="AW347" s="136"/>
      <c r="AX347" s="136"/>
      <c r="AY347" s="136"/>
      <c r="AZ347" s="136"/>
      <c r="BA347" s="136"/>
      <c r="BB347" s="136"/>
      <c r="BC347" s="330"/>
      <c r="BD347" s="330"/>
      <c r="BE347" s="330"/>
      <c r="BF347" s="330"/>
      <c r="BG347" s="330"/>
      <c r="BH347" s="330"/>
      <c r="BI347" s="330"/>
      <c r="BJ347" s="330"/>
      <c r="BK347" s="330"/>
      <c r="BL347" s="330"/>
      <c r="BM347" s="330"/>
      <c r="BN347" s="330"/>
      <c r="BO347" s="330"/>
      <c r="BP347" s="330"/>
      <c r="BQ347" s="330"/>
      <c r="BR347" s="330"/>
      <c r="BS347" s="330"/>
      <c r="BT347" s="330"/>
      <c r="BU347" s="330"/>
      <c r="BV347" s="330"/>
      <c r="BW347" s="330"/>
      <c r="BX347" s="330"/>
    </row>
    <row r="348" spans="2:76" s="28" customFormat="1">
      <c r="B348" s="136"/>
      <c r="D348" s="222"/>
      <c r="E348" s="29"/>
      <c r="G348" s="293"/>
      <c r="H348" s="294"/>
      <c r="I348" s="294"/>
      <c r="J348" s="294"/>
      <c r="K348" s="294"/>
      <c r="L348" s="294"/>
      <c r="O348" s="335"/>
      <c r="AI348" s="31"/>
      <c r="AJ348" s="31"/>
      <c r="AK348" s="32"/>
      <c r="AL348" s="33"/>
      <c r="AM348" s="32"/>
      <c r="AN348" s="33"/>
      <c r="AO348" s="32"/>
      <c r="AP348" s="32"/>
      <c r="AQ348" s="136"/>
      <c r="AR348" s="136"/>
      <c r="AS348" s="136"/>
      <c r="AT348" s="136"/>
      <c r="AU348" s="136"/>
      <c r="AV348" s="136"/>
      <c r="AW348" s="136"/>
      <c r="AX348" s="136"/>
      <c r="AY348" s="136"/>
      <c r="AZ348" s="136"/>
      <c r="BA348" s="136"/>
      <c r="BB348" s="136"/>
      <c r="BC348" s="330"/>
      <c r="BD348" s="330"/>
      <c r="BE348" s="330"/>
      <c r="BF348" s="330"/>
      <c r="BG348" s="330"/>
      <c r="BH348" s="330"/>
      <c r="BI348" s="330"/>
      <c r="BJ348" s="330"/>
      <c r="BK348" s="330"/>
      <c r="BL348" s="330"/>
      <c r="BM348" s="330"/>
      <c r="BN348" s="330"/>
      <c r="BO348" s="330"/>
      <c r="BP348" s="330"/>
      <c r="BQ348" s="330"/>
      <c r="BR348" s="330"/>
      <c r="BS348" s="330"/>
      <c r="BT348" s="330"/>
      <c r="BU348" s="330"/>
      <c r="BV348" s="330"/>
      <c r="BW348" s="330"/>
      <c r="BX348" s="330"/>
    </row>
    <row r="349" spans="2:76" s="28" customFormat="1">
      <c r="B349" s="136"/>
      <c r="D349" s="222"/>
      <c r="E349" s="29"/>
      <c r="G349" s="293"/>
      <c r="H349" s="294"/>
      <c r="I349" s="294"/>
      <c r="J349" s="294"/>
      <c r="K349" s="294"/>
      <c r="L349" s="294"/>
      <c r="O349" s="335"/>
      <c r="AI349" s="31"/>
      <c r="AJ349" s="31"/>
      <c r="AK349" s="32"/>
      <c r="AL349" s="33"/>
      <c r="AM349" s="32"/>
      <c r="AN349" s="33"/>
      <c r="AO349" s="32"/>
      <c r="AP349" s="32"/>
      <c r="AQ349" s="136"/>
      <c r="AR349" s="136"/>
      <c r="AS349" s="136"/>
      <c r="AT349" s="136"/>
      <c r="AU349" s="136"/>
      <c r="AV349" s="136"/>
      <c r="AW349" s="136"/>
      <c r="AX349" s="136"/>
      <c r="AY349" s="136"/>
      <c r="AZ349" s="136"/>
      <c r="BA349" s="136"/>
      <c r="BB349" s="136"/>
      <c r="BC349" s="330"/>
      <c r="BD349" s="330"/>
      <c r="BE349" s="330"/>
      <c r="BF349" s="330"/>
      <c r="BG349" s="330"/>
      <c r="BH349" s="330"/>
      <c r="BI349" s="330"/>
      <c r="BJ349" s="330"/>
      <c r="BK349" s="330"/>
      <c r="BL349" s="330"/>
      <c r="BM349" s="330"/>
      <c r="BN349" s="330"/>
      <c r="BO349" s="330"/>
      <c r="BP349" s="330"/>
      <c r="BQ349" s="330"/>
      <c r="BR349" s="330"/>
      <c r="BS349" s="330"/>
      <c r="BT349" s="330"/>
      <c r="BU349" s="330"/>
      <c r="BV349" s="330"/>
      <c r="BW349" s="330"/>
      <c r="BX349" s="330"/>
    </row>
    <row r="350" spans="2:76" s="28" customFormat="1">
      <c r="B350" s="136"/>
      <c r="D350" s="222"/>
      <c r="E350" s="29"/>
      <c r="G350" s="293"/>
      <c r="H350" s="294"/>
      <c r="I350" s="294"/>
      <c r="J350" s="294"/>
      <c r="K350" s="294"/>
      <c r="L350" s="294"/>
      <c r="O350" s="347"/>
      <c r="AI350" s="31"/>
      <c r="AJ350" s="31"/>
      <c r="AK350" s="32"/>
      <c r="AL350" s="33"/>
      <c r="AM350" s="32"/>
      <c r="AN350" s="33"/>
      <c r="AO350" s="32"/>
      <c r="AP350" s="32"/>
      <c r="AQ350" s="136"/>
      <c r="AR350" s="136"/>
      <c r="AS350" s="136"/>
      <c r="AT350" s="136"/>
      <c r="AU350" s="136"/>
      <c r="AV350" s="136"/>
      <c r="AW350" s="136"/>
      <c r="AX350" s="136"/>
      <c r="AY350" s="136"/>
      <c r="AZ350" s="136"/>
      <c r="BA350" s="136"/>
      <c r="BB350" s="136"/>
      <c r="BC350" s="330"/>
      <c r="BD350" s="330"/>
      <c r="BE350" s="330"/>
      <c r="BF350" s="330"/>
      <c r="BG350" s="330"/>
      <c r="BH350" s="330"/>
      <c r="BI350" s="330"/>
      <c r="BJ350" s="330"/>
      <c r="BK350" s="330"/>
      <c r="BL350" s="330"/>
      <c r="BM350" s="330"/>
      <c r="BN350" s="330"/>
      <c r="BO350" s="330"/>
      <c r="BP350" s="330"/>
      <c r="BQ350" s="330"/>
      <c r="BR350" s="330"/>
      <c r="BS350" s="330"/>
      <c r="BT350" s="330"/>
      <c r="BU350" s="330"/>
      <c r="BV350" s="330"/>
      <c r="BW350" s="330"/>
      <c r="BX350" s="330"/>
    </row>
    <row r="351" spans="2:76" s="28" customFormat="1">
      <c r="B351" s="136"/>
      <c r="D351" s="222"/>
      <c r="E351" s="29"/>
      <c r="G351" s="293"/>
      <c r="H351" s="294"/>
      <c r="I351" s="294"/>
      <c r="J351" s="294"/>
      <c r="K351" s="294"/>
      <c r="L351" s="294"/>
      <c r="O351" s="335"/>
      <c r="AI351" s="31"/>
      <c r="AJ351" s="31"/>
      <c r="AK351" s="32"/>
      <c r="AL351" s="33"/>
      <c r="AM351" s="32"/>
      <c r="AN351" s="33"/>
      <c r="AO351" s="32"/>
      <c r="AP351" s="32"/>
      <c r="AQ351" s="136"/>
      <c r="AR351" s="136"/>
      <c r="AS351" s="136"/>
      <c r="AT351" s="136"/>
      <c r="AU351" s="136"/>
      <c r="AV351" s="136"/>
      <c r="AW351" s="136"/>
      <c r="AX351" s="136"/>
      <c r="AY351" s="136"/>
      <c r="AZ351" s="136"/>
      <c r="BA351" s="136"/>
      <c r="BB351" s="136"/>
      <c r="BC351" s="330"/>
      <c r="BD351" s="330"/>
      <c r="BE351" s="330"/>
      <c r="BF351" s="330"/>
      <c r="BG351" s="330"/>
      <c r="BH351" s="330"/>
      <c r="BI351" s="330"/>
      <c r="BJ351" s="330"/>
      <c r="BK351" s="330"/>
      <c r="BL351" s="330"/>
      <c r="BM351" s="330"/>
      <c r="BN351" s="330"/>
      <c r="BO351" s="330"/>
      <c r="BP351" s="330"/>
      <c r="BQ351" s="330"/>
      <c r="BR351" s="330"/>
      <c r="BS351" s="330"/>
      <c r="BT351" s="330"/>
      <c r="BU351" s="330"/>
      <c r="BV351" s="330"/>
      <c r="BW351" s="330"/>
      <c r="BX351" s="330"/>
    </row>
    <row r="352" spans="2:76" s="28" customFormat="1">
      <c r="B352" s="136"/>
      <c r="D352" s="222"/>
      <c r="E352" s="29"/>
      <c r="G352" s="293"/>
      <c r="H352" s="294"/>
      <c r="I352" s="294"/>
      <c r="J352" s="294"/>
      <c r="K352" s="294"/>
      <c r="L352" s="294"/>
      <c r="O352" s="335"/>
      <c r="AI352" s="31"/>
      <c r="AJ352" s="31"/>
      <c r="AK352" s="32"/>
      <c r="AL352" s="33"/>
      <c r="AM352" s="32"/>
      <c r="AN352" s="33"/>
      <c r="AO352" s="32"/>
      <c r="AP352" s="32"/>
      <c r="AQ352" s="136"/>
      <c r="AR352" s="136"/>
      <c r="AS352" s="136"/>
      <c r="AT352" s="136"/>
      <c r="AU352" s="136"/>
      <c r="AV352" s="136"/>
      <c r="AW352" s="136"/>
      <c r="AX352" s="136"/>
      <c r="AY352" s="136"/>
      <c r="AZ352" s="136"/>
      <c r="BA352" s="136"/>
      <c r="BB352" s="136"/>
      <c r="BC352" s="330"/>
      <c r="BD352" s="330"/>
      <c r="BE352" s="330"/>
      <c r="BF352" s="330"/>
      <c r="BG352" s="330"/>
      <c r="BH352" s="330"/>
      <c r="BI352" s="330"/>
      <c r="BJ352" s="330"/>
      <c r="BK352" s="330"/>
      <c r="BL352" s="330"/>
      <c r="BM352" s="330"/>
      <c r="BN352" s="330"/>
      <c r="BO352" s="330"/>
      <c r="BP352" s="330"/>
      <c r="BQ352" s="330"/>
      <c r="BR352" s="330"/>
      <c r="BS352" s="330"/>
      <c r="BT352" s="330"/>
      <c r="BU352" s="330"/>
      <c r="BV352" s="330"/>
      <c r="BW352" s="330"/>
      <c r="BX352" s="330"/>
    </row>
    <row r="353" spans="2:76" s="28" customFormat="1">
      <c r="B353" s="136"/>
      <c r="D353" s="222"/>
      <c r="E353" s="29"/>
      <c r="G353" s="293"/>
      <c r="H353" s="294"/>
      <c r="I353" s="294"/>
      <c r="J353" s="294"/>
      <c r="K353" s="294"/>
      <c r="L353" s="294"/>
      <c r="O353" s="335"/>
      <c r="AI353" s="31"/>
      <c r="AJ353" s="31"/>
      <c r="AK353" s="32"/>
      <c r="AL353" s="33"/>
      <c r="AM353" s="32"/>
      <c r="AN353" s="33"/>
      <c r="AO353" s="32"/>
      <c r="AP353" s="32"/>
      <c r="AQ353" s="136"/>
      <c r="AR353" s="136"/>
      <c r="AS353" s="136"/>
      <c r="AT353" s="136"/>
      <c r="AU353" s="136"/>
      <c r="AV353" s="136"/>
      <c r="AW353" s="136"/>
      <c r="AX353" s="136"/>
      <c r="AY353" s="136"/>
      <c r="AZ353" s="136"/>
      <c r="BA353" s="136"/>
      <c r="BB353" s="136"/>
      <c r="BC353" s="330"/>
      <c r="BD353" s="330"/>
      <c r="BE353" s="330"/>
      <c r="BF353" s="330"/>
      <c r="BG353" s="330"/>
      <c r="BH353" s="330"/>
      <c r="BI353" s="330"/>
      <c r="BJ353" s="330"/>
      <c r="BK353" s="330"/>
      <c r="BL353" s="330"/>
      <c r="BM353" s="330"/>
      <c r="BN353" s="330"/>
      <c r="BO353" s="330"/>
      <c r="BP353" s="330"/>
      <c r="BQ353" s="330"/>
      <c r="BR353" s="330"/>
      <c r="BS353" s="330"/>
      <c r="BT353" s="330"/>
      <c r="BU353" s="330"/>
      <c r="BV353" s="330"/>
      <c r="BW353" s="330"/>
      <c r="BX353" s="330"/>
    </row>
    <row r="354" spans="2:76" s="28" customFormat="1">
      <c r="B354" s="136"/>
      <c r="D354" s="222"/>
      <c r="E354" s="29"/>
      <c r="G354" s="293"/>
      <c r="H354" s="294"/>
      <c r="I354" s="294"/>
      <c r="J354" s="294"/>
      <c r="K354" s="294"/>
      <c r="L354" s="294"/>
      <c r="O354" s="338"/>
      <c r="AI354" s="31"/>
      <c r="AJ354" s="31"/>
      <c r="AK354" s="32"/>
      <c r="AL354" s="33"/>
      <c r="AM354" s="32"/>
      <c r="AN354" s="33"/>
      <c r="AO354" s="32"/>
      <c r="AP354" s="32"/>
      <c r="AQ354" s="136"/>
      <c r="AR354" s="136"/>
      <c r="AS354" s="136"/>
      <c r="AT354" s="136"/>
      <c r="AU354" s="136"/>
      <c r="AV354" s="136"/>
      <c r="AW354" s="136"/>
      <c r="AX354" s="136"/>
      <c r="AY354" s="136"/>
      <c r="AZ354" s="136"/>
      <c r="BA354" s="136"/>
      <c r="BB354" s="136"/>
      <c r="BC354" s="330"/>
      <c r="BD354" s="330"/>
      <c r="BE354" s="330"/>
      <c r="BF354" s="330"/>
      <c r="BG354" s="330"/>
      <c r="BH354" s="330"/>
      <c r="BI354" s="330"/>
      <c r="BJ354" s="330"/>
      <c r="BK354" s="330"/>
      <c r="BL354" s="330"/>
      <c r="BM354" s="330"/>
      <c r="BN354" s="330"/>
      <c r="BO354" s="330"/>
      <c r="BP354" s="330"/>
      <c r="BQ354" s="330"/>
      <c r="BR354" s="330"/>
      <c r="BS354" s="330"/>
      <c r="BT354" s="330"/>
      <c r="BU354" s="330"/>
      <c r="BV354" s="330"/>
      <c r="BW354" s="330"/>
      <c r="BX354" s="330"/>
    </row>
    <row r="355" spans="2:76" s="28" customFormat="1">
      <c r="B355" s="136"/>
      <c r="D355" s="222"/>
      <c r="E355" s="29"/>
      <c r="G355" s="293"/>
      <c r="H355" s="294"/>
      <c r="I355" s="294"/>
      <c r="J355" s="294"/>
      <c r="K355" s="294"/>
      <c r="L355" s="294"/>
      <c r="O355" s="335"/>
      <c r="AI355" s="31"/>
      <c r="AJ355" s="31"/>
      <c r="AK355" s="32"/>
      <c r="AL355" s="33"/>
      <c r="AM355" s="32"/>
      <c r="AN355" s="33"/>
      <c r="AO355" s="32"/>
      <c r="AP355" s="32"/>
      <c r="AQ355" s="136"/>
      <c r="AR355" s="136"/>
      <c r="AS355" s="136"/>
      <c r="AT355" s="136"/>
      <c r="AU355" s="136"/>
      <c r="AV355" s="136"/>
      <c r="AW355" s="136"/>
      <c r="AX355" s="136"/>
      <c r="AY355" s="136"/>
      <c r="AZ355" s="136"/>
      <c r="BA355" s="136"/>
      <c r="BB355" s="136"/>
      <c r="BC355" s="330"/>
      <c r="BD355" s="330"/>
      <c r="BE355" s="330"/>
      <c r="BF355" s="330"/>
      <c r="BG355" s="330"/>
      <c r="BH355" s="330"/>
      <c r="BI355" s="330"/>
      <c r="BJ355" s="330"/>
      <c r="BK355" s="330"/>
      <c r="BL355" s="330"/>
      <c r="BM355" s="330"/>
      <c r="BN355" s="330"/>
      <c r="BO355" s="330"/>
      <c r="BP355" s="330"/>
      <c r="BQ355" s="330"/>
      <c r="BR355" s="330"/>
      <c r="BS355" s="330"/>
      <c r="BT355" s="330"/>
      <c r="BU355" s="330"/>
      <c r="BV355" s="330"/>
      <c r="BW355" s="330"/>
      <c r="BX355" s="330"/>
    </row>
    <row r="356" spans="2:76" s="28" customFormat="1">
      <c r="B356" s="136"/>
      <c r="D356" s="222"/>
      <c r="E356" s="29"/>
      <c r="G356" s="293"/>
      <c r="H356" s="294"/>
      <c r="I356" s="294"/>
      <c r="J356" s="294"/>
      <c r="K356" s="294"/>
      <c r="L356" s="294"/>
      <c r="O356" s="335"/>
      <c r="AI356" s="31"/>
      <c r="AJ356" s="31"/>
      <c r="AK356" s="32"/>
      <c r="AL356" s="33"/>
      <c r="AM356" s="32"/>
      <c r="AN356" s="33"/>
      <c r="AO356" s="32"/>
      <c r="AP356" s="32"/>
      <c r="AQ356" s="136"/>
      <c r="AR356" s="136"/>
      <c r="AS356" s="136"/>
      <c r="AT356" s="136"/>
      <c r="AU356" s="136"/>
      <c r="AV356" s="136"/>
      <c r="AW356" s="136"/>
      <c r="AX356" s="136"/>
      <c r="AY356" s="136"/>
      <c r="AZ356" s="136"/>
      <c r="BA356" s="136"/>
      <c r="BB356" s="136"/>
      <c r="BC356" s="330"/>
      <c r="BD356" s="330"/>
      <c r="BE356" s="330"/>
      <c r="BF356" s="330"/>
      <c r="BG356" s="330"/>
      <c r="BH356" s="330"/>
      <c r="BI356" s="330"/>
      <c r="BJ356" s="330"/>
      <c r="BK356" s="330"/>
      <c r="BL356" s="330"/>
      <c r="BM356" s="330"/>
      <c r="BN356" s="330"/>
      <c r="BO356" s="330"/>
      <c r="BP356" s="330"/>
      <c r="BQ356" s="330"/>
      <c r="BR356" s="330"/>
      <c r="BS356" s="330"/>
      <c r="BT356" s="330"/>
      <c r="BU356" s="330"/>
      <c r="BV356" s="330"/>
      <c r="BW356" s="330"/>
      <c r="BX356" s="330"/>
    </row>
    <row r="357" spans="2:76" s="28" customFormat="1">
      <c r="B357" s="136"/>
      <c r="D357" s="222"/>
      <c r="E357" s="29"/>
      <c r="G357" s="293"/>
      <c r="H357" s="294"/>
      <c r="I357" s="294"/>
      <c r="J357" s="294"/>
      <c r="K357" s="294"/>
      <c r="L357" s="294"/>
      <c r="O357" s="340"/>
      <c r="AI357" s="31"/>
      <c r="AJ357" s="31"/>
      <c r="AK357" s="32"/>
      <c r="AL357" s="33"/>
      <c r="AM357" s="32"/>
      <c r="AN357" s="33"/>
      <c r="AO357" s="32"/>
      <c r="AP357" s="32"/>
      <c r="AQ357" s="136"/>
      <c r="AR357" s="136"/>
      <c r="AS357" s="136"/>
      <c r="AT357" s="136"/>
      <c r="AU357" s="136"/>
      <c r="AV357" s="136"/>
      <c r="AW357" s="136"/>
      <c r="AX357" s="136"/>
      <c r="AY357" s="136"/>
      <c r="AZ357" s="136"/>
      <c r="BA357" s="136"/>
      <c r="BB357" s="136"/>
      <c r="BC357" s="330"/>
      <c r="BD357" s="330"/>
      <c r="BE357" s="330"/>
      <c r="BF357" s="330"/>
      <c r="BG357" s="330"/>
      <c r="BH357" s="330"/>
      <c r="BI357" s="330"/>
      <c r="BJ357" s="330"/>
      <c r="BK357" s="330"/>
      <c r="BL357" s="330"/>
      <c r="BM357" s="330"/>
      <c r="BN357" s="330"/>
      <c r="BO357" s="330"/>
      <c r="BP357" s="330"/>
      <c r="BQ357" s="330"/>
      <c r="BR357" s="330"/>
      <c r="BS357" s="330"/>
      <c r="BT357" s="330"/>
      <c r="BU357" s="330"/>
      <c r="BV357" s="330"/>
      <c r="BW357" s="330"/>
      <c r="BX357" s="330"/>
    </row>
    <row r="358" spans="2:76" s="28" customFormat="1">
      <c r="B358" s="136"/>
      <c r="D358" s="222"/>
      <c r="E358" s="29"/>
      <c r="G358" s="293"/>
      <c r="H358" s="294"/>
      <c r="I358" s="294"/>
      <c r="J358" s="294"/>
      <c r="K358" s="294"/>
      <c r="L358" s="294"/>
      <c r="O358" s="335"/>
      <c r="AI358" s="31"/>
      <c r="AJ358" s="31"/>
      <c r="AK358" s="32"/>
      <c r="AL358" s="33"/>
      <c r="AM358" s="32"/>
      <c r="AN358" s="33"/>
      <c r="AO358" s="32"/>
      <c r="AP358" s="32"/>
      <c r="AQ358" s="136"/>
      <c r="AR358" s="136"/>
      <c r="AS358" s="136"/>
      <c r="AT358" s="136"/>
      <c r="AU358" s="136"/>
      <c r="AV358" s="136"/>
      <c r="AW358" s="136"/>
      <c r="AX358" s="136"/>
      <c r="AY358" s="136"/>
      <c r="AZ358" s="136"/>
      <c r="BA358" s="136"/>
      <c r="BB358" s="136"/>
      <c r="BC358" s="330"/>
      <c r="BD358" s="330"/>
      <c r="BE358" s="330"/>
      <c r="BF358" s="330"/>
      <c r="BG358" s="330"/>
      <c r="BH358" s="330"/>
      <c r="BI358" s="330"/>
      <c r="BJ358" s="330"/>
      <c r="BK358" s="330"/>
      <c r="BL358" s="330"/>
      <c r="BM358" s="330"/>
      <c r="BN358" s="330"/>
      <c r="BO358" s="330"/>
      <c r="BP358" s="330"/>
      <c r="BQ358" s="330"/>
      <c r="BR358" s="330"/>
      <c r="BS358" s="330"/>
      <c r="BT358" s="330"/>
      <c r="BU358" s="330"/>
      <c r="BV358" s="330"/>
      <c r="BW358" s="330"/>
      <c r="BX358" s="330"/>
    </row>
    <row r="359" spans="2:76" s="28" customFormat="1">
      <c r="B359" s="136"/>
      <c r="D359" s="222"/>
      <c r="E359" s="29"/>
      <c r="G359" s="293"/>
      <c r="H359" s="294"/>
      <c r="I359" s="294"/>
      <c r="J359" s="294"/>
      <c r="K359" s="294"/>
      <c r="L359" s="294"/>
      <c r="O359" s="338"/>
      <c r="AI359" s="31"/>
      <c r="AJ359" s="31"/>
      <c r="AK359" s="32"/>
      <c r="AL359" s="33"/>
      <c r="AM359" s="32"/>
      <c r="AN359" s="33"/>
      <c r="AO359" s="32"/>
      <c r="AP359" s="32"/>
      <c r="AQ359" s="136"/>
      <c r="AR359" s="136"/>
      <c r="AS359" s="136"/>
      <c r="AT359" s="136"/>
      <c r="AU359" s="136"/>
      <c r="AV359" s="136"/>
      <c r="AW359" s="136"/>
      <c r="AX359" s="136"/>
      <c r="AY359" s="136"/>
      <c r="AZ359" s="136"/>
      <c r="BA359" s="136"/>
      <c r="BB359" s="136"/>
      <c r="BC359" s="330"/>
      <c r="BD359" s="330"/>
      <c r="BE359" s="330"/>
      <c r="BF359" s="330"/>
      <c r="BG359" s="330"/>
      <c r="BH359" s="330"/>
      <c r="BI359" s="330"/>
      <c r="BJ359" s="330"/>
      <c r="BK359" s="330"/>
      <c r="BL359" s="330"/>
      <c r="BM359" s="330"/>
      <c r="BN359" s="330"/>
      <c r="BO359" s="330"/>
      <c r="BP359" s="330"/>
      <c r="BQ359" s="330"/>
      <c r="BR359" s="330"/>
      <c r="BS359" s="330"/>
      <c r="BT359" s="330"/>
      <c r="BU359" s="330"/>
      <c r="BV359" s="330"/>
      <c r="BW359" s="330"/>
      <c r="BX359" s="330"/>
    </row>
    <row r="360" spans="2:76" s="28" customFormat="1">
      <c r="B360" s="136"/>
      <c r="D360" s="222"/>
      <c r="E360" s="29"/>
      <c r="G360" s="293"/>
      <c r="H360" s="294"/>
      <c r="I360" s="294"/>
      <c r="J360" s="294"/>
      <c r="K360" s="294"/>
      <c r="L360" s="294"/>
      <c r="O360" s="338"/>
      <c r="AI360" s="31"/>
      <c r="AJ360" s="31"/>
      <c r="AK360" s="32"/>
      <c r="AL360" s="33"/>
      <c r="AM360" s="32"/>
      <c r="AN360" s="33"/>
      <c r="AO360" s="32"/>
      <c r="AP360" s="32"/>
      <c r="AQ360" s="136"/>
      <c r="AR360" s="136"/>
      <c r="AS360" s="136"/>
      <c r="AT360" s="136"/>
      <c r="AU360" s="136"/>
      <c r="AV360" s="136"/>
      <c r="AW360" s="136"/>
      <c r="AX360" s="136"/>
      <c r="AY360" s="136"/>
      <c r="AZ360" s="136"/>
      <c r="BA360" s="136"/>
      <c r="BB360" s="136"/>
      <c r="BC360" s="330"/>
      <c r="BD360" s="330"/>
      <c r="BE360" s="330"/>
      <c r="BF360" s="330"/>
      <c r="BG360" s="330"/>
      <c r="BH360" s="330"/>
      <c r="BI360" s="330"/>
      <c r="BJ360" s="330"/>
      <c r="BK360" s="330"/>
      <c r="BL360" s="330"/>
      <c r="BM360" s="330"/>
      <c r="BN360" s="330"/>
      <c r="BO360" s="330"/>
      <c r="BP360" s="330"/>
      <c r="BQ360" s="330"/>
      <c r="BR360" s="330"/>
      <c r="BS360" s="330"/>
      <c r="BT360" s="330"/>
      <c r="BU360" s="330"/>
      <c r="BV360" s="330"/>
      <c r="BW360" s="330"/>
      <c r="BX360" s="330"/>
    </row>
    <row r="361" spans="2:76" s="28" customFormat="1">
      <c r="B361" s="136"/>
      <c r="D361" s="222"/>
      <c r="E361" s="29"/>
      <c r="G361" s="293"/>
      <c r="H361" s="294"/>
      <c r="I361" s="294"/>
      <c r="J361" s="294"/>
      <c r="K361" s="294"/>
      <c r="L361" s="294"/>
      <c r="O361" s="339"/>
      <c r="AI361" s="31"/>
      <c r="AJ361" s="31"/>
      <c r="AK361" s="32"/>
      <c r="AL361" s="33"/>
      <c r="AM361" s="32"/>
      <c r="AN361" s="33"/>
      <c r="AO361" s="32"/>
      <c r="AP361" s="32"/>
      <c r="AQ361" s="136"/>
      <c r="AR361" s="136"/>
      <c r="AS361" s="136"/>
      <c r="AT361" s="136"/>
      <c r="AU361" s="136"/>
      <c r="AV361" s="136"/>
      <c r="AW361" s="136"/>
      <c r="AX361" s="136"/>
      <c r="AY361" s="136"/>
      <c r="AZ361" s="136"/>
      <c r="BA361" s="136"/>
      <c r="BB361" s="136"/>
      <c r="BC361" s="330"/>
      <c r="BD361" s="330"/>
      <c r="BE361" s="330"/>
      <c r="BF361" s="330"/>
      <c r="BG361" s="330"/>
      <c r="BH361" s="330"/>
      <c r="BI361" s="330"/>
      <c r="BJ361" s="330"/>
      <c r="BK361" s="330"/>
      <c r="BL361" s="330"/>
      <c r="BM361" s="330"/>
      <c r="BN361" s="330"/>
      <c r="BO361" s="330"/>
      <c r="BP361" s="330"/>
      <c r="BQ361" s="330"/>
      <c r="BR361" s="330"/>
      <c r="BS361" s="330"/>
      <c r="BT361" s="330"/>
      <c r="BU361" s="330"/>
      <c r="BV361" s="330"/>
      <c r="BW361" s="330"/>
      <c r="BX361" s="330"/>
    </row>
    <row r="362" spans="2:76" s="28" customFormat="1">
      <c r="B362" s="136"/>
      <c r="D362" s="222"/>
      <c r="E362" s="29"/>
      <c r="G362" s="293"/>
      <c r="H362" s="294"/>
      <c r="I362" s="294"/>
      <c r="J362" s="294"/>
      <c r="K362" s="294"/>
      <c r="L362" s="294"/>
      <c r="O362" s="335"/>
      <c r="AI362" s="31"/>
      <c r="AJ362" s="31"/>
      <c r="AK362" s="32"/>
      <c r="AL362" s="33"/>
      <c r="AM362" s="32"/>
      <c r="AN362" s="33"/>
      <c r="AO362" s="32"/>
      <c r="AP362" s="32"/>
      <c r="AQ362" s="136"/>
      <c r="AR362" s="136"/>
      <c r="AS362" s="136"/>
      <c r="AT362" s="136"/>
      <c r="AU362" s="136"/>
      <c r="AV362" s="136"/>
      <c r="AW362" s="136"/>
      <c r="AX362" s="136"/>
      <c r="AY362" s="136"/>
      <c r="AZ362" s="136"/>
      <c r="BA362" s="136"/>
      <c r="BB362" s="136"/>
      <c r="BC362" s="330"/>
      <c r="BD362" s="330"/>
      <c r="BE362" s="330"/>
      <c r="BF362" s="330"/>
      <c r="BG362" s="330"/>
      <c r="BH362" s="330"/>
      <c r="BI362" s="330"/>
      <c r="BJ362" s="330"/>
      <c r="BK362" s="330"/>
      <c r="BL362" s="330"/>
      <c r="BM362" s="330"/>
      <c r="BN362" s="330"/>
      <c r="BO362" s="330"/>
      <c r="BP362" s="330"/>
      <c r="BQ362" s="330"/>
      <c r="BR362" s="330"/>
      <c r="BS362" s="330"/>
      <c r="BT362" s="330"/>
      <c r="BU362" s="330"/>
      <c r="BV362" s="330"/>
      <c r="BW362" s="330"/>
      <c r="BX362" s="330"/>
    </row>
    <row r="363" spans="2:76" s="28" customFormat="1">
      <c r="B363" s="136"/>
      <c r="D363" s="222"/>
      <c r="E363" s="29"/>
      <c r="G363" s="293"/>
      <c r="H363" s="294"/>
      <c r="I363" s="294"/>
      <c r="J363" s="294"/>
      <c r="K363" s="294"/>
      <c r="L363" s="294"/>
      <c r="O363" s="335"/>
      <c r="AI363" s="31"/>
      <c r="AJ363" s="31"/>
      <c r="AK363" s="32"/>
      <c r="AL363" s="33"/>
      <c r="AM363" s="32"/>
      <c r="AN363" s="33"/>
      <c r="AO363" s="32"/>
      <c r="AP363" s="32"/>
      <c r="AQ363" s="136"/>
      <c r="AR363" s="136"/>
      <c r="AS363" s="136"/>
      <c r="AT363" s="136"/>
      <c r="AU363" s="136"/>
      <c r="AV363" s="136"/>
      <c r="AW363" s="136"/>
      <c r="AX363" s="136"/>
      <c r="AY363" s="136"/>
      <c r="AZ363" s="136"/>
      <c r="BA363" s="136"/>
      <c r="BB363" s="136"/>
      <c r="BC363" s="330"/>
      <c r="BD363" s="330"/>
      <c r="BE363" s="330"/>
      <c r="BF363" s="330"/>
      <c r="BG363" s="330"/>
      <c r="BH363" s="330"/>
      <c r="BI363" s="330"/>
      <c r="BJ363" s="330"/>
      <c r="BK363" s="330"/>
      <c r="BL363" s="330"/>
      <c r="BM363" s="330"/>
      <c r="BN363" s="330"/>
      <c r="BO363" s="330"/>
      <c r="BP363" s="330"/>
      <c r="BQ363" s="330"/>
      <c r="BR363" s="330"/>
      <c r="BS363" s="330"/>
      <c r="BT363" s="330"/>
      <c r="BU363" s="330"/>
      <c r="BV363" s="330"/>
      <c r="BW363" s="330"/>
      <c r="BX363" s="330"/>
    </row>
    <row r="364" spans="2:76" s="28" customFormat="1">
      <c r="B364" s="136"/>
      <c r="D364" s="222"/>
      <c r="E364" s="29"/>
      <c r="G364" s="293"/>
      <c r="H364" s="294"/>
      <c r="I364" s="294"/>
      <c r="J364" s="294"/>
      <c r="K364" s="294"/>
      <c r="L364" s="294"/>
      <c r="O364" s="339"/>
      <c r="AI364" s="31"/>
      <c r="AJ364" s="31"/>
      <c r="AK364" s="32"/>
      <c r="AL364" s="33"/>
      <c r="AM364" s="32"/>
      <c r="AN364" s="33"/>
      <c r="AO364" s="32"/>
      <c r="AP364" s="32"/>
      <c r="AQ364" s="136"/>
      <c r="AR364" s="136"/>
      <c r="AS364" s="136"/>
      <c r="AT364" s="136"/>
      <c r="AU364" s="136"/>
      <c r="AV364" s="136"/>
      <c r="AW364" s="136"/>
      <c r="AX364" s="136"/>
      <c r="AY364" s="136"/>
      <c r="AZ364" s="136"/>
      <c r="BA364" s="136"/>
      <c r="BB364" s="136"/>
      <c r="BC364" s="330"/>
      <c r="BD364" s="330"/>
      <c r="BE364" s="330"/>
      <c r="BF364" s="330"/>
      <c r="BG364" s="330"/>
      <c r="BH364" s="330"/>
      <c r="BI364" s="330"/>
      <c r="BJ364" s="330"/>
      <c r="BK364" s="330"/>
      <c r="BL364" s="330"/>
      <c r="BM364" s="330"/>
      <c r="BN364" s="330"/>
      <c r="BO364" s="330"/>
      <c r="BP364" s="330"/>
      <c r="BQ364" s="330"/>
      <c r="BR364" s="330"/>
      <c r="BS364" s="330"/>
      <c r="BT364" s="330"/>
      <c r="BU364" s="330"/>
      <c r="BV364" s="330"/>
      <c r="BW364" s="330"/>
      <c r="BX364" s="330"/>
    </row>
    <row r="365" spans="2:76" s="28" customFormat="1">
      <c r="B365" s="136"/>
      <c r="D365" s="222"/>
      <c r="E365" s="29"/>
      <c r="G365" s="293"/>
      <c r="H365" s="294"/>
      <c r="I365" s="294"/>
      <c r="J365" s="294"/>
      <c r="K365" s="294"/>
      <c r="L365" s="294"/>
      <c r="O365" s="338"/>
      <c r="AI365" s="31"/>
      <c r="AJ365" s="31"/>
      <c r="AK365" s="32"/>
      <c r="AL365" s="33"/>
      <c r="AM365" s="32"/>
      <c r="AN365" s="33"/>
      <c r="AO365" s="32"/>
      <c r="AP365" s="32"/>
      <c r="AQ365" s="136"/>
      <c r="AR365" s="136"/>
      <c r="AS365" s="136"/>
      <c r="AT365" s="136"/>
      <c r="AU365" s="136"/>
      <c r="AV365" s="136"/>
      <c r="AW365" s="136"/>
      <c r="AX365" s="136"/>
      <c r="AY365" s="136"/>
      <c r="AZ365" s="136"/>
      <c r="BA365" s="136"/>
      <c r="BB365" s="136"/>
      <c r="BC365" s="330"/>
      <c r="BD365" s="330"/>
      <c r="BE365" s="330"/>
      <c r="BF365" s="330"/>
      <c r="BG365" s="330"/>
      <c r="BH365" s="330"/>
      <c r="BI365" s="330"/>
      <c r="BJ365" s="330"/>
      <c r="BK365" s="330"/>
      <c r="BL365" s="330"/>
      <c r="BM365" s="330"/>
      <c r="BN365" s="330"/>
      <c r="BO365" s="330"/>
      <c r="BP365" s="330"/>
      <c r="BQ365" s="330"/>
      <c r="BR365" s="330"/>
      <c r="BS365" s="330"/>
      <c r="BT365" s="330"/>
      <c r="BU365" s="330"/>
      <c r="BV365" s="330"/>
      <c r="BW365" s="330"/>
      <c r="BX365" s="330"/>
    </row>
    <row r="366" spans="2:76" s="28" customFormat="1">
      <c r="B366" s="136"/>
      <c r="D366" s="222"/>
      <c r="E366" s="29"/>
      <c r="G366" s="293"/>
      <c r="H366" s="294"/>
      <c r="I366" s="294"/>
      <c r="J366" s="294"/>
      <c r="K366" s="294"/>
      <c r="L366" s="294"/>
      <c r="O366" s="335"/>
      <c r="AI366" s="31"/>
      <c r="AJ366" s="31"/>
      <c r="AK366" s="32"/>
      <c r="AL366" s="33"/>
      <c r="AM366" s="32"/>
      <c r="AN366" s="33"/>
      <c r="AO366" s="32"/>
      <c r="AP366" s="32"/>
      <c r="AQ366" s="136"/>
      <c r="AR366" s="136"/>
      <c r="AS366" s="136"/>
      <c r="AT366" s="136"/>
      <c r="AU366" s="136"/>
      <c r="AV366" s="136"/>
      <c r="AW366" s="136"/>
      <c r="AX366" s="136"/>
      <c r="AY366" s="136"/>
      <c r="AZ366" s="136"/>
      <c r="BA366" s="136"/>
      <c r="BB366" s="136"/>
      <c r="BC366" s="330"/>
      <c r="BD366" s="330"/>
      <c r="BE366" s="330"/>
      <c r="BF366" s="330"/>
      <c r="BG366" s="330"/>
      <c r="BH366" s="330"/>
      <c r="BI366" s="330"/>
      <c r="BJ366" s="330"/>
      <c r="BK366" s="330"/>
      <c r="BL366" s="330"/>
      <c r="BM366" s="330"/>
      <c r="BN366" s="330"/>
      <c r="BO366" s="330"/>
      <c r="BP366" s="330"/>
      <c r="BQ366" s="330"/>
      <c r="BR366" s="330"/>
      <c r="BS366" s="330"/>
      <c r="BT366" s="330"/>
      <c r="BU366" s="330"/>
      <c r="BV366" s="330"/>
      <c r="BW366" s="330"/>
      <c r="BX366" s="330"/>
    </row>
    <row r="367" spans="2:76" s="28" customFormat="1">
      <c r="B367" s="136"/>
      <c r="D367" s="222"/>
      <c r="E367" s="29"/>
      <c r="G367" s="293"/>
      <c r="H367" s="294"/>
      <c r="I367" s="294"/>
      <c r="J367" s="294"/>
      <c r="K367" s="294"/>
      <c r="L367" s="294"/>
      <c r="O367" s="339"/>
      <c r="AI367" s="31"/>
      <c r="AJ367" s="31"/>
      <c r="AK367" s="32"/>
      <c r="AL367" s="33"/>
      <c r="AM367" s="32"/>
      <c r="AN367" s="33"/>
      <c r="AO367" s="32"/>
      <c r="AP367" s="32"/>
      <c r="AQ367" s="136"/>
      <c r="AR367" s="136"/>
      <c r="AS367" s="136"/>
      <c r="AT367" s="136"/>
      <c r="AU367" s="136"/>
      <c r="AV367" s="136"/>
      <c r="AW367" s="136"/>
      <c r="AX367" s="136"/>
      <c r="AY367" s="136"/>
      <c r="AZ367" s="136"/>
      <c r="BA367" s="136"/>
      <c r="BB367" s="136"/>
      <c r="BC367" s="330"/>
      <c r="BD367" s="330"/>
      <c r="BE367" s="330"/>
      <c r="BF367" s="330"/>
      <c r="BG367" s="330"/>
      <c r="BH367" s="330"/>
      <c r="BI367" s="330"/>
      <c r="BJ367" s="330"/>
      <c r="BK367" s="330"/>
      <c r="BL367" s="330"/>
      <c r="BM367" s="330"/>
      <c r="BN367" s="330"/>
      <c r="BO367" s="330"/>
      <c r="BP367" s="330"/>
      <c r="BQ367" s="330"/>
      <c r="BR367" s="330"/>
      <c r="BS367" s="330"/>
      <c r="BT367" s="330"/>
      <c r="BU367" s="330"/>
      <c r="BV367" s="330"/>
      <c r="BW367" s="330"/>
      <c r="BX367" s="330"/>
    </row>
    <row r="368" spans="2:76" s="28" customFormat="1">
      <c r="B368" s="136"/>
      <c r="D368" s="222"/>
      <c r="E368" s="29"/>
      <c r="G368" s="293"/>
      <c r="H368" s="294"/>
      <c r="I368" s="294"/>
      <c r="J368" s="294"/>
      <c r="K368" s="294"/>
      <c r="L368" s="294"/>
      <c r="O368" s="338"/>
      <c r="AI368" s="31"/>
      <c r="AJ368" s="31"/>
      <c r="AK368" s="32"/>
      <c r="AL368" s="33"/>
      <c r="AM368" s="32"/>
      <c r="AN368" s="33"/>
      <c r="AO368" s="32"/>
      <c r="AP368" s="32"/>
      <c r="AQ368" s="136"/>
      <c r="AR368" s="136"/>
      <c r="AS368" s="136"/>
      <c r="AT368" s="136"/>
      <c r="AU368" s="136"/>
      <c r="AV368" s="136"/>
      <c r="AW368" s="136"/>
      <c r="AX368" s="136"/>
      <c r="AY368" s="136"/>
      <c r="AZ368" s="136"/>
      <c r="BA368" s="136"/>
      <c r="BB368" s="136"/>
      <c r="BC368" s="330"/>
      <c r="BD368" s="330"/>
      <c r="BE368" s="330"/>
      <c r="BF368" s="330"/>
      <c r="BG368" s="330"/>
      <c r="BH368" s="330"/>
      <c r="BI368" s="330"/>
      <c r="BJ368" s="330"/>
      <c r="BK368" s="330"/>
      <c r="BL368" s="330"/>
      <c r="BM368" s="330"/>
      <c r="BN368" s="330"/>
      <c r="BO368" s="330"/>
      <c r="BP368" s="330"/>
      <c r="BQ368" s="330"/>
      <c r="BR368" s="330"/>
      <c r="BS368" s="330"/>
      <c r="BT368" s="330"/>
      <c r="BU368" s="330"/>
      <c r="BV368" s="330"/>
      <c r="BW368" s="330"/>
      <c r="BX368" s="330"/>
    </row>
    <row r="369" spans="2:76" s="28" customFormat="1">
      <c r="B369" s="136"/>
      <c r="D369" s="222"/>
      <c r="E369" s="29"/>
      <c r="G369" s="293"/>
      <c r="H369" s="294"/>
      <c r="I369" s="294"/>
      <c r="J369" s="294"/>
      <c r="K369" s="294"/>
      <c r="L369" s="294"/>
      <c r="O369" s="337"/>
      <c r="AI369" s="31"/>
      <c r="AJ369" s="31"/>
      <c r="AK369" s="32"/>
      <c r="AL369" s="33"/>
      <c r="AM369" s="32"/>
      <c r="AN369" s="33"/>
      <c r="AO369" s="32"/>
      <c r="AP369" s="32"/>
      <c r="AQ369" s="136"/>
      <c r="AR369" s="136"/>
      <c r="AS369" s="136"/>
      <c r="AT369" s="136"/>
      <c r="AU369" s="136"/>
      <c r="AV369" s="136"/>
      <c r="AW369" s="136"/>
      <c r="AX369" s="136"/>
      <c r="AY369" s="136"/>
      <c r="AZ369" s="136"/>
      <c r="BA369" s="136"/>
      <c r="BB369" s="136"/>
      <c r="BC369" s="330"/>
      <c r="BD369" s="330"/>
      <c r="BE369" s="330"/>
      <c r="BF369" s="330"/>
      <c r="BG369" s="330"/>
      <c r="BH369" s="330"/>
      <c r="BI369" s="330"/>
      <c r="BJ369" s="330"/>
      <c r="BK369" s="330"/>
      <c r="BL369" s="330"/>
      <c r="BM369" s="330"/>
      <c r="BN369" s="330"/>
      <c r="BO369" s="330"/>
      <c r="BP369" s="330"/>
      <c r="BQ369" s="330"/>
      <c r="BR369" s="330"/>
      <c r="BS369" s="330"/>
      <c r="BT369" s="330"/>
      <c r="BU369" s="330"/>
      <c r="BV369" s="330"/>
      <c r="BW369" s="330"/>
      <c r="BX369" s="330"/>
    </row>
    <row r="370" spans="2:76" s="28" customFormat="1">
      <c r="B370" s="136"/>
      <c r="D370" s="222"/>
      <c r="E370" s="29"/>
      <c r="G370" s="293"/>
      <c r="H370" s="294"/>
      <c r="I370" s="294"/>
      <c r="J370" s="294"/>
      <c r="K370" s="294"/>
      <c r="L370" s="294"/>
      <c r="O370" s="343"/>
      <c r="AI370" s="31"/>
      <c r="AJ370" s="31"/>
      <c r="AK370" s="32"/>
      <c r="AL370" s="33"/>
      <c r="AM370" s="32"/>
      <c r="AN370" s="33"/>
      <c r="AO370" s="32"/>
      <c r="AP370" s="32"/>
      <c r="AQ370" s="136"/>
      <c r="AR370" s="136"/>
      <c r="AS370" s="136"/>
      <c r="AT370" s="136"/>
      <c r="AU370" s="136"/>
      <c r="AV370" s="136"/>
      <c r="AW370" s="136"/>
      <c r="AX370" s="136"/>
      <c r="AY370" s="136"/>
      <c r="AZ370" s="136"/>
      <c r="BA370" s="136"/>
      <c r="BB370" s="136"/>
      <c r="BC370" s="330"/>
      <c r="BD370" s="330"/>
      <c r="BE370" s="330"/>
      <c r="BF370" s="330"/>
      <c r="BG370" s="330"/>
      <c r="BH370" s="330"/>
      <c r="BI370" s="330"/>
      <c r="BJ370" s="330"/>
      <c r="BK370" s="330"/>
      <c r="BL370" s="330"/>
      <c r="BM370" s="330"/>
      <c r="BN370" s="330"/>
      <c r="BO370" s="330"/>
      <c r="BP370" s="330"/>
      <c r="BQ370" s="330"/>
      <c r="BR370" s="330"/>
      <c r="BS370" s="330"/>
      <c r="BT370" s="330"/>
      <c r="BU370" s="330"/>
      <c r="BV370" s="330"/>
      <c r="BW370" s="330"/>
      <c r="BX370" s="330"/>
    </row>
    <row r="371" spans="2:76" s="28" customFormat="1">
      <c r="B371" s="136"/>
      <c r="D371" s="222"/>
      <c r="E371" s="29"/>
      <c r="G371" s="293"/>
      <c r="H371" s="294"/>
      <c r="I371" s="294"/>
      <c r="J371" s="294"/>
      <c r="K371" s="294"/>
      <c r="L371" s="294"/>
      <c r="O371" s="335"/>
      <c r="AI371" s="31"/>
      <c r="AJ371" s="31"/>
      <c r="AK371" s="32"/>
      <c r="AL371" s="33"/>
      <c r="AM371" s="32"/>
      <c r="AN371" s="33"/>
      <c r="AO371" s="32"/>
      <c r="AP371" s="32"/>
      <c r="AQ371" s="136"/>
      <c r="AR371" s="136"/>
      <c r="AS371" s="136"/>
      <c r="AT371" s="136"/>
      <c r="AU371" s="136"/>
      <c r="AV371" s="136"/>
      <c r="AW371" s="136"/>
      <c r="AX371" s="136"/>
      <c r="AY371" s="136"/>
      <c r="AZ371" s="136"/>
      <c r="BA371" s="136"/>
      <c r="BB371" s="136"/>
      <c r="BC371" s="330"/>
      <c r="BD371" s="330"/>
      <c r="BE371" s="330"/>
      <c r="BF371" s="330"/>
      <c r="BG371" s="330"/>
      <c r="BH371" s="330"/>
      <c r="BI371" s="330"/>
      <c r="BJ371" s="330"/>
      <c r="BK371" s="330"/>
      <c r="BL371" s="330"/>
      <c r="BM371" s="330"/>
      <c r="BN371" s="330"/>
      <c r="BO371" s="330"/>
      <c r="BP371" s="330"/>
      <c r="BQ371" s="330"/>
      <c r="BR371" s="330"/>
      <c r="BS371" s="330"/>
      <c r="BT371" s="330"/>
      <c r="BU371" s="330"/>
      <c r="BV371" s="330"/>
      <c r="BW371" s="330"/>
      <c r="BX371" s="330"/>
    </row>
    <row r="372" spans="2:76" s="28" customFormat="1">
      <c r="B372" s="136"/>
      <c r="D372" s="222"/>
      <c r="E372" s="29"/>
      <c r="G372" s="293"/>
      <c r="H372" s="294"/>
      <c r="I372" s="294"/>
      <c r="J372" s="294"/>
      <c r="K372" s="294"/>
      <c r="L372" s="294"/>
      <c r="O372" s="338"/>
      <c r="AI372" s="31"/>
      <c r="AJ372" s="31"/>
      <c r="AK372" s="32"/>
      <c r="AL372" s="33"/>
      <c r="AM372" s="32"/>
      <c r="AN372" s="33"/>
      <c r="AO372" s="32"/>
      <c r="AP372" s="32"/>
      <c r="AQ372" s="136"/>
      <c r="AR372" s="136"/>
      <c r="AS372" s="136"/>
      <c r="AT372" s="136"/>
      <c r="AU372" s="136"/>
      <c r="AV372" s="136"/>
      <c r="AW372" s="136"/>
      <c r="AX372" s="136"/>
      <c r="AY372" s="136"/>
      <c r="AZ372" s="136"/>
      <c r="BA372" s="136"/>
      <c r="BB372" s="136"/>
      <c r="BC372" s="330"/>
      <c r="BD372" s="330"/>
      <c r="BE372" s="330"/>
      <c r="BF372" s="330"/>
      <c r="BG372" s="330"/>
      <c r="BH372" s="330"/>
      <c r="BI372" s="330"/>
      <c r="BJ372" s="330"/>
      <c r="BK372" s="330"/>
      <c r="BL372" s="330"/>
      <c r="BM372" s="330"/>
      <c r="BN372" s="330"/>
      <c r="BO372" s="330"/>
      <c r="BP372" s="330"/>
      <c r="BQ372" s="330"/>
      <c r="BR372" s="330"/>
      <c r="BS372" s="330"/>
      <c r="BT372" s="330"/>
      <c r="BU372" s="330"/>
      <c r="BV372" s="330"/>
      <c r="BW372" s="330"/>
      <c r="BX372" s="330"/>
    </row>
    <row r="373" spans="2:76" s="28" customFormat="1">
      <c r="B373" s="136"/>
      <c r="D373" s="222"/>
      <c r="E373" s="29"/>
      <c r="G373" s="293"/>
      <c r="H373" s="294"/>
      <c r="I373" s="294"/>
      <c r="J373" s="294"/>
      <c r="K373" s="294"/>
      <c r="L373" s="294"/>
      <c r="O373" s="338"/>
      <c r="AI373" s="31"/>
      <c r="AJ373" s="31"/>
      <c r="AK373" s="32"/>
      <c r="AL373" s="33"/>
      <c r="AM373" s="32"/>
      <c r="AN373" s="33"/>
      <c r="AO373" s="32"/>
      <c r="AP373" s="32"/>
      <c r="AQ373" s="136"/>
      <c r="AR373" s="136"/>
      <c r="AS373" s="136"/>
      <c r="AT373" s="136"/>
      <c r="AU373" s="136"/>
      <c r="AV373" s="136"/>
      <c r="AW373" s="136"/>
      <c r="AX373" s="136"/>
      <c r="AY373" s="136"/>
      <c r="AZ373" s="136"/>
      <c r="BA373" s="136"/>
      <c r="BB373" s="136"/>
      <c r="BC373" s="330"/>
      <c r="BD373" s="330"/>
      <c r="BE373" s="330"/>
      <c r="BF373" s="330"/>
      <c r="BG373" s="330"/>
      <c r="BH373" s="330"/>
      <c r="BI373" s="330"/>
      <c r="BJ373" s="330"/>
      <c r="BK373" s="330"/>
      <c r="BL373" s="330"/>
      <c r="BM373" s="330"/>
      <c r="BN373" s="330"/>
      <c r="BO373" s="330"/>
      <c r="BP373" s="330"/>
      <c r="BQ373" s="330"/>
      <c r="BR373" s="330"/>
      <c r="BS373" s="330"/>
      <c r="BT373" s="330"/>
      <c r="BU373" s="330"/>
      <c r="BV373" s="330"/>
      <c r="BW373" s="330"/>
      <c r="BX373" s="330"/>
    </row>
    <row r="374" spans="2:76" s="28" customFormat="1">
      <c r="B374" s="136"/>
      <c r="D374" s="222"/>
      <c r="E374" s="29"/>
      <c r="G374" s="293"/>
      <c r="H374" s="294"/>
      <c r="I374" s="294"/>
      <c r="J374" s="294"/>
      <c r="K374" s="294"/>
      <c r="L374" s="294"/>
      <c r="O374" s="339"/>
      <c r="AI374" s="31"/>
      <c r="AJ374" s="31"/>
      <c r="AK374" s="32"/>
      <c r="AL374" s="33"/>
      <c r="AM374" s="32"/>
      <c r="AN374" s="33"/>
      <c r="AO374" s="32"/>
      <c r="AP374" s="32"/>
      <c r="AQ374" s="136"/>
      <c r="AR374" s="136"/>
      <c r="AS374" s="136"/>
      <c r="AT374" s="136"/>
      <c r="AU374" s="136"/>
      <c r="AV374" s="136"/>
      <c r="AW374" s="136"/>
      <c r="AX374" s="136"/>
      <c r="AY374" s="136"/>
      <c r="AZ374" s="136"/>
      <c r="BA374" s="136"/>
      <c r="BB374" s="136"/>
      <c r="BC374" s="330"/>
      <c r="BD374" s="330"/>
      <c r="BE374" s="330"/>
      <c r="BF374" s="330"/>
      <c r="BG374" s="330"/>
      <c r="BH374" s="330"/>
      <c r="BI374" s="330"/>
      <c r="BJ374" s="330"/>
      <c r="BK374" s="330"/>
      <c r="BL374" s="330"/>
      <c r="BM374" s="330"/>
      <c r="BN374" s="330"/>
      <c r="BO374" s="330"/>
      <c r="BP374" s="330"/>
      <c r="BQ374" s="330"/>
      <c r="BR374" s="330"/>
      <c r="BS374" s="330"/>
      <c r="BT374" s="330"/>
      <c r="BU374" s="330"/>
      <c r="BV374" s="330"/>
      <c r="BW374" s="330"/>
      <c r="BX374" s="330"/>
    </row>
    <row r="375" spans="2:76" s="28" customFormat="1">
      <c r="B375" s="136"/>
      <c r="D375" s="222"/>
      <c r="E375" s="29"/>
      <c r="G375" s="293"/>
      <c r="H375" s="294"/>
      <c r="I375" s="294"/>
      <c r="J375" s="294"/>
      <c r="K375" s="294"/>
      <c r="L375" s="294"/>
      <c r="O375" s="339"/>
      <c r="AI375" s="31"/>
      <c r="AJ375" s="31"/>
      <c r="AK375" s="32"/>
      <c r="AL375" s="33"/>
      <c r="AM375" s="32"/>
      <c r="AN375" s="33"/>
      <c r="AO375" s="32"/>
      <c r="AP375" s="32"/>
      <c r="AQ375" s="136"/>
      <c r="AR375" s="136"/>
      <c r="AS375" s="136"/>
      <c r="AT375" s="136"/>
      <c r="AU375" s="136"/>
      <c r="AV375" s="136"/>
      <c r="AW375" s="136"/>
      <c r="AX375" s="136"/>
      <c r="AY375" s="136"/>
      <c r="AZ375" s="136"/>
      <c r="BA375" s="136"/>
      <c r="BB375" s="136"/>
      <c r="BC375" s="330"/>
      <c r="BD375" s="330"/>
      <c r="BE375" s="330"/>
      <c r="BF375" s="330"/>
      <c r="BG375" s="330"/>
      <c r="BH375" s="330"/>
      <c r="BI375" s="330"/>
      <c r="BJ375" s="330"/>
      <c r="BK375" s="330"/>
      <c r="BL375" s="330"/>
      <c r="BM375" s="330"/>
      <c r="BN375" s="330"/>
      <c r="BO375" s="330"/>
      <c r="BP375" s="330"/>
      <c r="BQ375" s="330"/>
      <c r="BR375" s="330"/>
      <c r="BS375" s="330"/>
      <c r="BT375" s="330"/>
      <c r="BU375" s="330"/>
      <c r="BV375" s="330"/>
      <c r="BW375" s="330"/>
      <c r="BX375" s="330"/>
    </row>
    <row r="376" spans="2:76" s="28" customFormat="1">
      <c r="B376" s="136"/>
      <c r="D376" s="222"/>
      <c r="E376" s="29"/>
      <c r="G376" s="293"/>
      <c r="H376" s="294"/>
      <c r="I376" s="294"/>
      <c r="J376" s="294"/>
      <c r="K376" s="294"/>
      <c r="L376" s="294"/>
      <c r="O376" s="339"/>
      <c r="AI376" s="31"/>
      <c r="AJ376" s="31"/>
      <c r="AK376" s="32"/>
      <c r="AL376" s="33"/>
      <c r="AM376" s="32"/>
      <c r="AN376" s="33"/>
      <c r="AO376" s="32"/>
      <c r="AP376" s="32"/>
      <c r="AQ376" s="136"/>
      <c r="AR376" s="136"/>
      <c r="AS376" s="136"/>
      <c r="AT376" s="136"/>
      <c r="AU376" s="136"/>
      <c r="AV376" s="136"/>
      <c r="AW376" s="136"/>
      <c r="AX376" s="136"/>
      <c r="AY376" s="136"/>
      <c r="AZ376" s="136"/>
      <c r="BA376" s="136"/>
      <c r="BB376" s="136"/>
      <c r="BC376" s="330"/>
      <c r="BD376" s="330"/>
      <c r="BE376" s="330"/>
      <c r="BF376" s="330"/>
      <c r="BG376" s="330"/>
      <c r="BH376" s="330"/>
      <c r="BI376" s="330"/>
      <c r="BJ376" s="330"/>
      <c r="BK376" s="330"/>
      <c r="BL376" s="330"/>
      <c r="BM376" s="330"/>
      <c r="BN376" s="330"/>
      <c r="BO376" s="330"/>
      <c r="BP376" s="330"/>
      <c r="BQ376" s="330"/>
      <c r="BR376" s="330"/>
      <c r="BS376" s="330"/>
      <c r="BT376" s="330"/>
      <c r="BU376" s="330"/>
      <c r="BV376" s="330"/>
      <c r="BW376" s="330"/>
      <c r="BX376" s="330"/>
    </row>
    <row r="377" spans="2:76" s="28" customFormat="1">
      <c r="B377" s="136"/>
      <c r="D377" s="222"/>
      <c r="E377" s="29"/>
      <c r="G377" s="293"/>
      <c r="H377" s="294"/>
      <c r="I377" s="294"/>
      <c r="J377" s="294"/>
      <c r="K377" s="294"/>
      <c r="L377" s="294"/>
      <c r="O377" s="337"/>
      <c r="AI377" s="31"/>
      <c r="AJ377" s="31"/>
      <c r="AK377" s="32"/>
      <c r="AL377" s="33"/>
      <c r="AM377" s="32"/>
      <c r="AN377" s="33"/>
      <c r="AO377" s="32"/>
      <c r="AP377" s="32"/>
      <c r="AQ377" s="136"/>
      <c r="AR377" s="136"/>
      <c r="AS377" s="136"/>
      <c r="AT377" s="136"/>
      <c r="AU377" s="136"/>
      <c r="AV377" s="136"/>
      <c r="AW377" s="136"/>
      <c r="AX377" s="136"/>
      <c r="AY377" s="136"/>
      <c r="AZ377" s="136"/>
      <c r="BA377" s="136"/>
      <c r="BB377" s="136"/>
      <c r="BC377" s="330"/>
      <c r="BD377" s="330"/>
      <c r="BE377" s="330"/>
      <c r="BF377" s="330"/>
      <c r="BG377" s="330"/>
      <c r="BH377" s="330"/>
      <c r="BI377" s="330"/>
      <c r="BJ377" s="330"/>
      <c r="BK377" s="330"/>
      <c r="BL377" s="330"/>
      <c r="BM377" s="330"/>
      <c r="BN377" s="330"/>
      <c r="BO377" s="330"/>
      <c r="BP377" s="330"/>
      <c r="BQ377" s="330"/>
      <c r="BR377" s="330"/>
      <c r="BS377" s="330"/>
      <c r="BT377" s="330"/>
      <c r="BU377" s="330"/>
      <c r="BV377" s="330"/>
      <c r="BW377" s="330"/>
      <c r="BX377" s="330"/>
    </row>
    <row r="378" spans="2:76" s="28" customFormat="1">
      <c r="B378" s="136"/>
      <c r="D378" s="222"/>
      <c r="E378" s="29"/>
      <c r="G378" s="293"/>
      <c r="H378" s="294"/>
      <c r="I378" s="294"/>
      <c r="J378" s="294"/>
      <c r="K378" s="294"/>
      <c r="L378" s="294"/>
      <c r="O378" s="335"/>
      <c r="AI378" s="31"/>
      <c r="AJ378" s="31"/>
      <c r="AK378" s="32"/>
      <c r="AL378" s="33"/>
      <c r="AM378" s="32"/>
      <c r="AN378" s="33"/>
      <c r="AO378" s="32"/>
      <c r="AP378" s="32"/>
      <c r="AQ378" s="136"/>
      <c r="AR378" s="136"/>
      <c r="AS378" s="136"/>
      <c r="AT378" s="136"/>
      <c r="AU378" s="136"/>
      <c r="AV378" s="136"/>
      <c r="AW378" s="136"/>
      <c r="AX378" s="136"/>
      <c r="AY378" s="136"/>
      <c r="AZ378" s="136"/>
      <c r="BA378" s="136"/>
      <c r="BB378" s="136"/>
      <c r="BC378" s="330"/>
      <c r="BD378" s="330"/>
      <c r="BE378" s="330"/>
      <c r="BF378" s="330"/>
      <c r="BG378" s="330"/>
      <c r="BH378" s="330"/>
      <c r="BI378" s="330"/>
      <c r="BJ378" s="330"/>
      <c r="BK378" s="330"/>
      <c r="BL378" s="330"/>
      <c r="BM378" s="330"/>
      <c r="BN378" s="330"/>
      <c r="BO378" s="330"/>
      <c r="BP378" s="330"/>
      <c r="BQ378" s="330"/>
      <c r="BR378" s="330"/>
      <c r="BS378" s="330"/>
      <c r="BT378" s="330"/>
      <c r="BU378" s="330"/>
      <c r="BV378" s="330"/>
      <c r="BW378" s="330"/>
      <c r="BX378" s="330"/>
    </row>
    <row r="379" spans="2:76" s="28" customFormat="1">
      <c r="B379" s="136"/>
      <c r="D379" s="222"/>
      <c r="E379" s="29"/>
      <c r="G379" s="293"/>
      <c r="H379" s="294"/>
      <c r="I379" s="294"/>
      <c r="J379" s="294"/>
      <c r="K379" s="294"/>
      <c r="L379" s="294"/>
      <c r="O379" s="335"/>
      <c r="AI379" s="31"/>
      <c r="AJ379" s="31"/>
      <c r="AK379" s="32"/>
      <c r="AL379" s="33"/>
      <c r="AM379" s="32"/>
      <c r="AN379" s="33"/>
      <c r="AO379" s="32"/>
      <c r="AP379" s="32"/>
      <c r="AQ379" s="136"/>
      <c r="AR379" s="136"/>
      <c r="AS379" s="136"/>
      <c r="AT379" s="136"/>
      <c r="AU379" s="136"/>
      <c r="AV379" s="136"/>
      <c r="AW379" s="136"/>
      <c r="AX379" s="136"/>
      <c r="AY379" s="136"/>
      <c r="AZ379" s="136"/>
      <c r="BA379" s="136"/>
      <c r="BB379" s="136"/>
      <c r="BC379" s="330"/>
      <c r="BD379" s="330"/>
      <c r="BE379" s="330"/>
      <c r="BF379" s="330"/>
      <c r="BG379" s="330"/>
      <c r="BH379" s="330"/>
      <c r="BI379" s="330"/>
      <c r="BJ379" s="330"/>
      <c r="BK379" s="330"/>
      <c r="BL379" s="330"/>
      <c r="BM379" s="330"/>
      <c r="BN379" s="330"/>
      <c r="BO379" s="330"/>
      <c r="BP379" s="330"/>
      <c r="BQ379" s="330"/>
      <c r="BR379" s="330"/>
      <c r="BS379" s="330"/>
      <c r="BT379" s="330"/>
      <c r="BU379" s="330"/>
      <c r="BV379" s="330"/>
      <c r="BW379" s="330"/>
      <c r="BX379" s="330"/>
    </row>
    <row r="380" spans="2:76" s="28" customFormat="1">
      <c r="B380" s="136"/>
      <c r="D380" s="222"/>
      <c r="E380" s="29"/>
      <c r="G380" s="293"/>
      <c r="H380" s="294"/>
      <c r="I380" s="294"/>
      <c r="J380" s="294"/>
      <c r="K380" s="294"/>
      <c r="L380" s="294"/>
      <c r="O380" s="335"/>
      <c r="AI380" s="31"/>
      <c r="AJ380" s="31"/>
      <c r="AK380" s="32"/>
      <c r="AL380" s="33"/>
      <c r="AM380" s="32"/>
      <c r="AN380" s="33"/>
      <c r="AO380" s="32"/>
      <c r="AP380" s="32"/>
      <c r="AQ380" s="136"/>
      <c r="AR380" s="136"/>
      <c r="AS380" s="136"/>
      <c r="AT380" s="136"/>
      <c r="AU380" s="136"/>
      <c r="AV380" s="136"/>
      <c r="AW380" s="136"/>
      <c r="AX380" s="136"/>
      <c r="AY380" s="136"/>
      <c r="AZ380" s="136"/>
      <c r="BA380" s="136"/>
      <c r="BB380" s="136"/>
      <c r="BC380" s="330"/>
      <c r="BD380" s="330"/>
      <c r="BE380" s="330"/>
      <c r="BF380" s="330"/>
      <c r="BG380" s="330"/>
      <c r="BH380" s="330"/>
      <c r="BI380" s="330"/>
      <c r="BJ380" s="330"/>
      <c r="BK380" s="330"/>
      <c r="BL380" s="330"/>
      <c r="BM380" s="330"/>
      <c r="BN380" s="330"/>
      <c r="BO380" s="330"/>
      <c r="BP380" s="330"/>
      <c r="BQ380" s="330"/>
      <c r="BR380" s="330"/>
      <c r="BS380" s="330"/>
      <c r="BT380" s="330"/>
      <c r="BU380" s="330"/>
      <c r="BV380" s="330"/>
      <c r="BW380" s="330"/>
      <c r="BX380" s="330"/>
    </row>
    <row r="381" spans="2:76" s="28" customFormat="1">
      <c r="B381" s="136"/>
      <c r="D381" s="222"/>
      <c r="E381" s="29"/>
      <c r="G381" s="293"/>
      <c r="H381" s="294"/>
      <c r="I381" s="294"/>
      <c r="J381" s="294"/>
      <c r="K381" s="294"/>
      <c r="L381" s="294"/>
      <c r="O381" s="338"/>
      <c r="AI381" s="31"/>
      <c r="AJ381" s="31"/>
      <c r="AK381" s="32"/>
      <c r="AL381" s="33"/>
      <c r="AM381" s="32"/>
      <c r="AN381" s="33"/>
      <c r="AO381" s="32"/>
      <c r="AP381" s="32"/>
      <c r="AQ381" s="136"/>
      <c r="AR381" s="136"/>
      <c r="AS381" s="136"/>
      <c r="AT381" s="136"/>
      <c r="AU381" s="136"/>
      <c r="AV381" s="136"/>
      <c r="AW381" s="136"/>
      <c r="AX381" s="136"/>
      <c r="AY381" s="136"/>
      <c r="AZ381" s="136"/>
      <c r="BA381" s="136"/>
      <c r="BB381" s="136"/>
      <c r="BC381" s="330"/>
      <c r="BD381" s="330"/>
      <c r="BE381" s="330"/>
      <c r="BF381" s="330"/>
      <c r="BG381" s="330"/>
      <c r="BH381" s="330"/>
      <c r="BI381" s="330"/>
      <c r="BJ381" s="330"/>
      <c r="BK381" s="330"/>
      <c r="BL381" s="330"/>
      <c r="BM381" s="330"/>
      <c r="BN381" s="330"/>
      <c r="BO381" s="330"/>
      <c r="BP381" s="330"/>
      <c r="BQ381" s="330"/>
      <c r="BR381" s="330"/>
      <c r="BS381" s="330"/>
      <c r="BT381" s="330"/>
      <c r="BU381" s="330"/>
      <c r="BV381" s="330"/>
      <c r="BW381" s="330"/>
      <c r="BX381" s="330"/>
    </row>
    <row r="382" spans="2:76" s="28" customFormat="1">
      <c r="B382" s="136"/>
      <c r="D382" s="222"/>
      <c r="E382" s="29"/>
      <c r="G382" s="293"/>
      <c r="H382" s="294"/>
      <c r="I382" s="294"/>
      <c r="J382" s="294"/>
      <c r="K382" s="294"/>
      <c r="L382" s="294"/>
      <c r="O382" s="338"/>
      <c r="AI382" s="31"/>
      <c r="AJ382" s="31"/>
      <c r="AK382" s="32"/>
      <c r="AL382" s="33"/>
      <c r="AM382" s="32"/>
      <c r="AN382" s="33"/>
      <c r="AO382" s="32"/>
      <c r="AP382" s="32"/>
      <c r="AQ382" s="136"/>
      <c r="AR382" s="136"/>
      <c r="AS382" s="136"/>
      <c r="AT382" s="136"/>
      <c r="AU382" s="136"/>
      <c r="AV382" s="136"/>
      <c r="AW382" s="136"/>
      <c r="AX382" s="136"/>
      <c r="AY382" s="136"/>
      <c r="AZ382" s="136"/>
      <c r="BA382" s="136"/>
      <c r="BB382" s="136"/>
      <c r="BC382" s="330"/>
      <c r="BD382" s="330"/>
      <c r="BE382" s="330"/>
      <c r="BF382" s="330"/>
      <c r="BG382" s="330"/>
      <c r="BH382" s="330"/>
      <c r="BI382" s="330"/>
      <c r="BJ382" s="330"/>
      <c r="BK382" s="330"/>
      <c r="BL382" s="330"/>
      <c r="BM382" s="330"/>
      <c r="BN382" s="330"/>
      <c r="BO382" s="330"/>
      <c r="BP382" s="330"/>
      <c r="BQ382" s="330"/>
      <c r="BR382" s="330"/>
      <c r="BS382" s="330"/>
      <c r="BT382" s="330"/>
      <c r="BU382" s="330"/>
      <c r="BV382" s="330"/>
      <c r="BW382" s="330"/>
      <c r="BX382" s="330"/>
    </row>
    <row r="383" spans="2:76" s="28" customFormat="1">
      <c r="B383" s="136"/>
      <c r="D383" s="222"/>
      <c r="E383" s="29"/>
      <c r="G383" s="293"/>
      <c r="H383" s="294"/>
      <c r="I383" s="294"/>
      <c r="J383" s="294"/>
      <c r="K383" s="294"/>
      <c r="L383" s="294"/>
      <c r="O383" s="343"/>
      <c r="AI383" s="31"/>
      <c r="AJ383" s="31"/>
      <c r="AK383" s="32"/>
      <c r="AL383" s="33"/>
      <c r="AM383" s="32"/>
      <c r="AN383" s="33"/>
      <c r="AO383" s="32"/>
      <c r="AP383" s="32"/>
      <c r="AQ383" s="136"/>
      <c r="AR383" s="136"/>
      <c r="AS383" s="136"/>
      <c r="AT383" s="136"/>
      <c r="AU383" s="136"/>
      <c r="AV383" s="136"/>
      <c r="AW383" s="136"/>
      <c r="AX383" s="136"/>
      <c r="AY383" s="136"/>
      <c r="AZ383" s="136"/>
      <c r="BA383" s="136"/>
      <c r="BB383" s="136"/>
      <c r="BC383" s="330"/>
      <c r="BD383" s="330"/>
      <c r="BE383" s="330"/>
      <c r="BF383" s="330"/>
      <c r="BG383" s="330"/>
      <c r="BH383" s="330"/>
      <c r="BI383" s="330"/>
      <c r="BJ383" s="330"/>
      <c r="BK383" s="330"/>
      <c r="BL383" s="330"/>
      <c r="BM383" s="330"/>
      <c r="BN383" s="330"/>
      <c r="BO383" s="330"/>
      <c r="BP383" s="330"/>
      <c r="BQ383" s="330"/>
      <c r="BR383" s="330"/>
      <c r="BS383" s="330"/>
      <c r="BT383" s="330"/>
      <c r="BU383" s="330"/>
      <c r="BV383" s="330"/>
      <c r="BW383" s="330"/>
      <c r="BX383" s="330"/>
    </row>
    <row r="384" spans="2:76" s="28" customFormat="1">
      <c r="B384" s="136"/>
      <c r="D384" s="222"/>
      <c r="E384" s="29"/>
      <c r="G384" s="293"/>
      <c r="H384" s="294"/>
      <c r="I384" s="294"/>
      <c r="J384" s="294"/>
      <c r="K384" s="294"/>
      <c r="L384" s="294"/>
      <c r="O384" s="335"/>
      <c r="AI384" s="31"/>
      <c r="AJ384" s="31"/>
      <c r="AK384" s="32"/>
      <c r="AL384" s="33"/>
      <c r="AM384" s="32"/>
      <c r="AN384" s="33"/>
      <c r="AO384" s="32"/>
      <c r="AP384" s="32"/>
      <c r="AQ384" s="136"/>
      <c r="AR384" s="136"/>
      <c r="AS384" s="136"/>
      <c r="AT384" s="136"/>
      <c r="AU384" s="136"/>
      <c r="AV384" s="136"/>
      <c r="AW384" s="136"/>
      <c r="AX384" s="136"/>
      <c r="AY384" s="136"/>
      <c r="AZ384" s="136"/>
      <c r="BA384" s="136"/>
      <c r="BB384" s="136"/>
      <c r="BC384" s="330"/>
      <c r="BD384" s="330"/>
      <c r="BE384" s="330"/>
      <c r="BF384" s="330"/>
      <c r="BG384" s="330"/>
      <c r="BH384" s="330"/>
      <c r="BI384" s="330"/>
      <c r="BJ384" s="330"/>
      <c r="BK384" s="330"/>
      <c r="BL384" s="330"/>
      <c r="BM384" s="330"/>
      <c r="BN384" s="330"/>
      <c r="BO384" s="330"/>
      <c r="BP384" s="330"/>
      <c r="BQ384" s="330"/>
      <c r="BR384" s="330"/>
      <c r="BS384" s="330"/>
      <c r="BT384" s="330"/>
      <c r="BU384" s="330"/>
      <c r="BV384" s="330"/>
      <c r="BW384" s="330"/>
      <c r="BX384" s="330"/>
    </row>
    <row r="385" spans="2:76" s="28" customFormat="1">
      <c r="B385" s="136"/>
      <c r="D385" s="222"/>
      <c r="E385" s="29"/>
      <c r="G385" s="293"/>
      <c r="H385" s="294"/>
      <c r="I385" s="294"/>
      <c r="J385" s="294"/>
      <c r="K385" s="294"/>
      <c r="L385" s="294"/>
      <c r="O385" s="338"/>
      <c r="AI385" s="31"/>
      <c r="AJ385" s="31"/>
      <c r="AK385" s="32"/>
      <c r="AL385" s="33"/>
      <c r="AM385" s="32"/>
      <c r="AN385" s="33"/>
      <c r="AO385" s="32"/>
      <c r="AP385" s="32"/>
      <c r="AQ385" s="136"/>
      <c r="AR385" s="136"/>
      <c r="AS385" s="136"/>
      <c r="AT385" s="136"/>
      <c r="AU385" s="136"/>
      <c r="AV385" s="136"/>
      <c r="AW385" s="136"/>
      <c r="AX385" s="136"/>
      <c r="AY385" s="136"/>
      <c r="AZ385" s="136"/>
      <c r="BA385" s="136"/>
      <c r="BB385" s="136"/>
      <c r="BC385" s="330"/>
      <c r="BD385" s="330"/>
      <c r="BE385" s="330"/>
      <c r="BF385" s="330"/>
      <c r="BG385" s="330"/>
      <c r="BH385" s="330"/>
      <c r="BI385" s="330"/>
      <c r="BJ385" s="330"/>
      <c r="BK385" s="330"/>
      <c r="BL385" s="330"/>
      <c r="BM385" s="330"/>
      <c r="BN385" s="330"/>
      <c r="BO385" s="330"/>
      <c r="BP385" s="330"/>
      <c r="BQ385" s="330"/>
      <c r="BR385" s="330"/>
      <c r="BS385" s="330"/>
      <c r="BT385" s="330"/>
      <c r="BU385" s="330"/>
      <c r="BV385" s="330"/>
      <c r="BW385" s="330"/>
      <c r="BX385" s="330"/>
    </row>
    <row r="386" spans="2:76" s="28" customFormat="1">
      <c r="B386" s="136"/>
      <c r="D386" s="222"/>
      <c r="E386" s="29"/>
      <c r="G386" s="293"/>
      <c r="H386" s="294"/>
      <c r="I386" s="294"/>
      <c r="J386" s="294"/>
      <c r="K386" s="294"/>
      <c r="L386" s="294"/>
      <c r="O386" s="338"/>
      <c r="AI386" s="31"/>
      <c r="AJ386" s="31"/>
      <c r="AK386" s="32"/>
      <c r="AL386" s="33"/>
      <c r="AM386" s="32"/>
      <c r="AN386" s="33"/>
      <c r="AO386" s="32"/>
      <c r="AP386" s="32"/>
      <c r="AQ386" s="136"/>
      <c r="AR386" s="136"/>
      <c r="AS386" s="136"/>
      <c r="AT386" s="136"/>
      <c r="AU386" s="136"/>
      <c r="AV386" s="136"/>
      <c r="AW386" s="136"/>
      <c r="AX386" s="136"/>
      <c r="AY386" s="136"/>
      <c r="AZ386" s="136"/>
      <c r="BA386" s="136"/>
      <c r="BB386" s="136"/>
      <c r="BC386" s="330"/>
      <c r="BD386" s="330"/>
      <c r="BE386" s="330"/>
      <c r="BF386" s="330"/>
      <c r="BG386" s="330"/>
      <c r="BH386" s="330"/>
      <c r="BI386" s="330"/>
      <c r="BJ386" s="330"/>
      <c r="BK386" s="330"/>
      <c r="BL386" s="330"/>
      <c r="BM386" s="330"/>
      <c r="BN386" s="330"/>
      <c r="BO386" s="330"/>
      <c r="BP386" s="330"/>
      <c r="BQ386" s="330"/>
      <c r="BR386" s="330"/>
      <c r="BS386" s="330"/>
      <c r="BT386" s="330"/>
      <c r="BU386" s="330"/>
      <c r="BV386" s="330"/>
      <c r="BW386" s="330"/>
      <c r="BX386" s="330"/>
    </row>
    <row r="387" spans="2:76" s="28" customFormat="1">
      <c r="B387" s="136"/>
      <c r="D387" s="222"/>
      <c r="E387" s="29"/>
      <c r="G387" s="293"/>
      <c r="H387" s="294"/>
      <c r="I387" s="294"/>
      <c r="J387" s="294"/>
      <c r="K387" s="294"/>
      <c r="L387" s="294"/>
      <c r="O387" s="338"/>
      <c r="AI387" s="31"/>
      <c r="AJ387" s="31"/>
      <c r="AK387" s="32"/>
      <c r="AL387" s="33"/>
      <c r="AM387" s="32"/>
      <c r="AN387" s="33"/>
      <c r="AO387" s="32"/>
      <c r="AP387" s="32"/>
      <c r="AQ387" s="136"/>
      <c r="AR387" s="136"/>
      <c r="AS387" s="136"/>
      <c r="AT387" s="136"/>
      <c r="AU387" s="136"/>
      <c r="AV387" s="136"/>
      <c r="AW387" s="136"/>
      <c r="AX387" s="136"/>
      <c r="AY387" s="136"/>
      <c r="AZ387" s="136"/>
      <c r="BA387" s="136"/>
      <c r="BB387" s="136"/>
      <c r="BC387" s="330"/>
      <c r="BD387" s="330"/>
      <c r="BE387" s="330"/>
      <c r="BF387" s="330"/>
      <c r="BG387" s="330"/>
      <c r="BH387" s="330"/>
      <c r="BI387" s="330"/>
      <c r="BJ387" s="330"/>
      <c r="BK387" s="330"/>
      <c r="BL387" s="330"/>
      <c r="BM387" s="330"/>
      <c r="BN387" s="330"/>
      <c r="BO387" s="330"/>
      <c r="BP387" s="330"/>
      <c r="BQ387" s="330"/>
      <c r="BR387" s="330"/>
      <c r="BS387" s="330"/>
      <c r="BT387" s="330"/>
      <c r="BU387" s="330"/>
      <c r="BV387" s="330"/>
      <c r="BW387" s="330"/>
      <c r="BX387" s="330"/>
    </row>
    <row r="388" spans="2:76" s="28" customFormat="1">
      <c r="B388" s="136"/>
      <c r="D388" s="222"/>
      <c r="E388" s="29"/>
      <c r="G388" s="293"/>
      <c r="H388" s="294"/>
      <c r="I388" s="294"/>
      <c r="J388" s="294"/>
      <c r="K388" s="294"/>
      <c r="L388" s="294"/>
      <c r="O388" s="340"/>
      <c r="AI388" s="31"/>
      <c r="AJ388" s="31"/>
      <c r="AK388" s="32"/>
      <c r="AL388" s="33"/>
      <c r="AM388" s="32"/>
      <c r="AN388" s="33"/>
      <c r="AO388" s="32"/>
      <c r="AP388" s="32"/>
      <c r="AQ388" s="136"/>
      <c r="AR388" s="136"/>
      <c r="AS388" s="136"/>
      <c r="AT388" s="136"/>
      <c r="AU388" s="136"/>
      <c r="AV388" s="136"/>
      <c r="AW388" s="136"/>
      <c r="AX388" s="136"/>
      <c r="AY388" s="136"/>
      <c r="AZ388" s="136"/>
      <c r="BA388" s="136"/>
      <c r="BB388" s="136"/>
      <c r="BC388" s="330"/>
      <c r="BD388" s="330"/>
      <c r="BE388" s="330"/>
      <c r="BF388" s="330"/>
      <c r="BG388" s="330"/>
      <c r="BH388" s="330"/>
      <c r="BI388" s="330"/>
      <c r="BJ388" s="330"/>
      <c r="BK388" s="330"/>
      <c r="BL388" s="330"/>
      <c r="BM388" s="330"/>
      <c r="BN388" s="330"/>
      <c r="BO388" s="330"/>
      <c r="BP388" s="330"/>
      <c r="BQ388" s="330"/>
      <c r="BR388" s="330"/>
      <c r="BS388" s="330"/>
      <c r="BT388" s="330"/>
      <c r="BU388" s="330"/>
      <c r="BV388" s="330"/>
      <c r="BW388" s="330"/>
      <c r="BX388" s="330"/>
    </row>
    <row r="389" spans="2:76" s="28" customFormat="1">
      <c r="B389" s="136"/>
      <c r="D389" s="222"/>
      <c r="E389" s="29"/>
      <c r="G389" s="293"/>
      <c r="H389" s="294"/>
      <c r="I389" s="294"/>
      <c r="J389" s="294"/>
      <c r="K389" s="294"/>
      <c r="L389" s="294"/>
      <c r="O389" s="343"/>
      <c r="AI389" s="31"/>
      <c r="AJ389" s="31"/>
      <c r="AK389" s="32"/>
      <c r="AL389" s="33"/>
      <c r="AM389" s="32"/>
      <c r="AN389" s="33"/>
      <c r="AO389" s="32"/>
      <c r="AP389" s="32"/>
      <c r="AQ389" s="136"/>
      <c r="AR389" s="136"/>
      <c r="AS389" s="136"/>
      <c r="AT389" s="136"/>
      <c r="AU389" s="136"/>
      <c r="AV389" s="136"/>
      <c r="AW389" s="136"/>
      <c r="AX389" s="136"/>
      <c r="AY389" s="136"/>
      <c r="AZ389" s="136"/>
      <c r="BA389" s="136"/>
      <c r="BB389" s="136"/>
      <c r="BC389" s="330"/>
      <c r="BD389" s="330"/>
      <c r="BE389" s="330"/>
      <c r="BF389" s="330"/>
      <c r="BG389" s="330"/>
      <c r="BH389" s="330"/>
      <c r="BI389" s="330"/>
      <c r="BJ389" s="330"/>
      <c r="BK389" s="330"/>
      <c r="BL389" s="330"/>
      <c r="BM389" s="330"/>
      <c r="BN389" s="330"/>
      <c r="BO389" s="330"/>
      <c r="BP389" s="330"/>
      <c r="BQ389" s="330"/>
      <c r="BR389" s="330"/>
      <c r="BS389" s="330"/>
      <c r="BT389" s="330"/>
      <c r="BU389" s="330"/>
      <c r="BV389" s="330"/>
      <c r="BW389" s="330"/>
      <c r="BX389" s="330"/>
    </row>
    <row r="390" spans="2:76" s="28" customFormat="1">
      <c r="B390" s="136"/>
      <c r="D390" s="222"/>
      <c r="E390" s="29"/>
      <c r="G390" s="293"/>
      <c r="H390" s="294"/>
      <c r="I390" s="294"/>
      <c r="J390" s="294"/>
      <c r="K390" s="294"/>
      <c r="L390" s="294"/>
      <c r="O390" s="334"/>
      <c r="AI390" s="31"/>
      <c r="AJ390" s="31"/>
      <c r="AK390" s="32"/>
      <c r="AL390" s="33"/>
      <c r="AM390" s="32"/>
      <c r="AN390" s="33"/>
      <c r="AO390" s="32"/>
      <c r="AP390" s="32"/>
      <c r="AQ390" s="136"/>
      <c r="AR390" s="136"/>
      <c r="AS390" s="136"/>
      <c r="AT390" s="136"/>
      <c r="AU390" s="136"/>
      <c r="AV390" s="136"/>
      <c r="AW390" s="136"/>
      <c r="AX390" s="136"/>
      <c r="AY390" s="136"/>
      <c r="AZ390" s="136"/>
      <c r="BA390" s="136"/>
      <c r="BB390" s="136"/>
      <c r="BC390" s="330"/>
      <c r="BD390" s="330"/>
      <c r="BE390" s="330"/>
      <c r="BF390" s="330"/>
      <c r="BG390" s="330"/>
      <c r="BH390" s="330"/>
      <c r="BI390" s="330"/>
      <c r="BJ390" s="330"/>
      <c r="BK390" s="330"/>
      <c r="BL390" s="330"/>
      <c r="BM390" s="330"/>
      <c r="BN390" s="330"/>
      <c r="BO390" s="330"/>
      <c r="BP390" s="330"/>
      <c r="BQ390" s="330"/>
      <c r="BR390" s="330"/>
      <c r="BS390" s="330"/>
      <c r="BT390" s="330"/>
      <c r="BU390" s="330"/>
      <c r="BV390" s="330"/>
      <c r="BW390" s="330"/>
      <c r="BX390" s="330"/>
    </row>
    <row r="391" spans="2:76" s="28" customFormat="1">
      <c r="B391" s="136"/>
      <c r="D391" s="222"/>
      <c r="E391" s="29"/>
      <c r="G391" s="293"/>
      <c r="H391" s="294"/>
      <c r="I391" s="294"/>
      <c r="J391" s="294"/>
      <c r="K391" s="294"/>
      <c r="L391" s="294"/>
      <c r="O391" s="340"/>
      <c r="AI391" s="31"/>
      <c r="AJ391" s="31"/>
      <c r="AK391" s="32"/>
      <c r="AL391" s="33"/>
      <c r="AM391" s="32"/>
      <c r="AN391" s="33"/>
      <c r="AO391" s="32"/>
      <c r="AP391" s="32"/>
      <c r="AQ391" s="136"/>
      <c r="AR391" s="136"/>
      <c r="AS391" s="136"/>
      <c r="AT391" s="136"/>
      <c r="AU391" s="136"/>
      <c r="AV391" s="136"/>
      <c r="AW391" s="136"/>
      <c r="AX391" s="136"/>
      <c r="AY391" s="136"/>
      <c r="AZ391" s="136"/>
      <c r="BA391" s="136"/>
      <c r="BB391" s="136"/>
      <c r="BC391" s="330"/>
      <c r="BD391" s="330"/>
      <c r="BE391" s="330"/>
      <c r="BF391" s="330"/>
      <c r="BG391" s="330"/>
      <c r="BH391" s="330"/>
      <c r="BI391" s="330"/>
      <c r="BJ391" s="330"/>
      <c r="BK391" s="330"/>
      <c r="BL391" s="330"/>
      <c r="BM391" s="330"/>
      <c r="BN391" s="330"/>
      <c r="BO391" s="330"/>
      <c r="BP391" s="330"/>
      <c r="BQ391" s="330"/>
      <c r="BR391" s="330"/>
      <c r="BS391" s="330"/>
      <c r="BT391" s="330"/>
      <c r="BU391" s="330"/>
      <c r="BV391" s="330"/>
      <c r="BW391" s="330"/>
      <c r="BX391" s="330"/>
    </row>
    <row r="392" spans="2:76" s="28" customFormat="1">
      <c r="B392" s="136"/>
      <c r="D392" s="222"/>
      <c r="E392" s="29"/>
      <c r="G392" s="293"/>
      <c r="H392" s="294"/>
      <c r="I392" s="294"/>
      <c r="J392" s="294"/>
      <c r="K392" s="294"/>
      <c r="L392" s="294"/>
      <c r="O392" s="335"/>
      <c r="AI392" s="31"/>
      <c r="AJ392" s="31"/>
      <c r="AK392" s="32"/>
      <c r="AL392" s="33"/>
      <c r="AM392" s="32"/>
      <c r="AN392" s="33"/>
      <c r="AO392" s="32"/>
      <c r="AP392" s="32"/>
      <c r="AQ392" s="136"/>
      <c r="AR392" s="136"/>
      <c r="AS392" s="136"/>
      <c r="AT392" s="136"/>
      <c r="AU392" s="136"/>
      <c r="AV392" s="136"/>
      <c r="AW392" s="136"/>
      <c r="AX392" s="136"/>
      <c r="AY392" s="136"/>
      <c r="AZ392" s="136"/>
      <c r="BA392" s="136"/>
      <c r="BB392" s="136"/>
      <c r="BC392" s="330"/>
      <c r="BD392" s="330"/>
      <c r="BE392" s="330"/>
      <c r="BF392" s="330"/>
      <c r="BG392" s="330"/>
      <c r="BH392" s="330"/>
      <c r="BI392" s="330"/>
      <c r="BJ392" s="330"/>
      <c r="BK392" s="330"/>
      <c r="BL392" s="330"/>
      <c r="BM392" s="330"/>
      <c r="BN392" s="330"/>
      <c r="BO392" s="330"/>
      <c r="BP392" s="330"/>
      <c r="BQ392" s="330"/>
      <c r="BR392" s="330"/>
      <c r="BS392" s="330"/>
      <c r="BT392" s="330"/>
      <c r="BU392" s="330"/>
      <c r="BV392" s="330"/>
      <c r="BW392" s="330"/>
      <c r="BX392" s="330"/>
    </row>
    <row r="393" spans="2:76" s="28" customFormat="1">
      <c r="B393" s="136"/>
      <c r="D393" s="222"/>
      <c r="E393" s="29"/>
      <c r="G393" s="293"/>
      <c r="H393" s="294"/>
      <c r="I393" s="294"/>
      <c r="J393" s="294"/>
      <c r="K393" s="294"/>
      <c r="L393" s="294"/>
      <c r="O393" s="335"/>
      <c r="AI393" s="31"/>
      <c r="AJ393" s="31"/>
      <c r="AK393" s="32"/>
      <c r="AL393" s="33"/>
      <c r="AM393" s="32"/>
      <c r="AN393" s="33"/>
      <c r="AO393" s="32"/>
      <c r="AP393" s="32"/>
      <c r="AQ393" s="136"/>
      <c r="AR393" s="136"/>
      <c r="AS393" s="136"/>
      <c r="AT393" s="136"/>
      <c r="AU393" s="136"/>
      <c r="AV393" s="136"/>
      <c r="AW393" s="136"/>
      <c r="AX393" s="136"/>
      <c r="AY393" s="136"/>
      <c r="AZ393" s="136"/>
      <c r="BA393" s="136"/>
      <c r="BB393" s="136"/>
      <c r="BC393" s="330"/>
      <c r="BD393" s="330"/>
      <c r="BE393" s="330"/>
      <c r="BF393" s="330"/>
      <c r="BG393" s="330"/>
      <c r="BH393" s="330"/>
      <c r="BI393" s="330"/>
      <c r="BJ393" s="330"/>
      <c r="BK393" s="330"/>
      <c r="BL393" s="330"/>
      <c r="BM393" s="330"/>
      <c r="BN393" s="330"/>
      <c r="BO393" s="330"/>
      <c r="BP393" s="330"/>
      <c r="BQ393" s="330"/>
      <c r="BR393" s="330"/>
      <c r="BS393" s="330"/>
      <c r="BT393" s="330"/>
      <c r="BU393" s="330"/>
      <c r="BV393" s="330"/>
      <c r="BW393" s="330"/>
      <c r="BX393" s="330"/>
    </row>
    <row r="394" spans="2:76" s="28" customFormat="1">
      <c r="B394" s="136"/>
      <c r="D394" s="222"/>
      <c r="E394" s="29"/>
      <c r="G394" s="293"/>
      <c r="H394" s="294"/>
      <c r="I394" s="294"/>
      <c r="J394" s="294"/>
      <c r="K394" s="294"/>
      <c r="L394" s="294"/>
      <c r="O394" s="339"/>
      <c r="AI394" s="31"/>
      <c r="AJ394" s="31"/>
      <c r="AK394" s="32"/>
      <c r="AL394" s="33"/>
      <c r="AM394" s="32"/>
      <c r="AN394" s="33"/>
      <c r="AO394" s="32"/>
      <c r="AP394" s="32"/>
      <c r="AQ394" s="136"/>
      <c r="AR394" s="136"/>
      <c r="AS394" s="136"/>
      <c r="AT394" s="136"/>
      <c r="AU394" s="136"/>
      <c r="AV394" s="136"/>
      <c r="AW394" s="136"/>
      <c r="AX394" s="136"/>
      <c r="AY394" s="136"/>
      <c r="AZ394" s="136"/>
      <c r="BA394" s="136"/>
      <c r="BB394" s="136"/>
      <c r="BC394" s="330"/>
      <c r="BD394" s="330"/>
      <c r="BE394" s="330"/>
      <c r="BF394" s="330"/>
      <c r="BG394" s="330"/>
      <c r="BH394" s="330"/>
      <c r="BI394" s="330"/>
      <c r="BJ394" s="330"/>
      <c r="BK394" s="330"/>
      <c r="BL394" s="330"/>
      <c r="BM394" s="330"/>
      <c r="BN394" s="330"/>
      <c r="BO394" s="330"/>
      <c r="BP394" s="330"/>
      <c r="BQ394" s="330"/>
      <c r="BR394" s="330"/>
      <c r="BS394" s="330"/>
      <c r="BT394" s="330"/>
      <c r="BU394" s="330"/>
      <c r="BV394" s="330"/>
      <c r="BW394" s="330"/>
      <c r="BX394" s="330"/>
    </row>
    <row r="395" spans="2:76" s="28" customFormat="1">
      <c r="B395" s="136"/>
      <c r="D395" s="222"/>
      <c r="E395" s="29"/>
      <c r="G395" s="293"/>
      <c r="H395" s="294"/>
      <c r="I395" s="294"/>
      <c r="J395" s="294"/>
      <c r="K395" s="294"/>
      <c r="L395" s="294"/>
      <c r="O395" s="338"/>
      <c r="AI395" s="31"/>
      <c r="AJ395" s="31"/>
      <c r="AK395" s="32"/>
      <c r="AL395" s="33"/>
      <c r="AM395" s="32"/>
      <c r="AN395" s="33"/>
      <c r="AO395" s="32"/>
      <c r="AP395" s="32"/>
      <c r="AQ395" s="136"/>
      <c r="AR395" s="136"/>
      <c r="AS395" s="136"/>
      <c r="AT395" s="136"/>
      <c r="AU395" s="136"/>
      <c r="AV395" s="136"/>
      <c r="AW395" s="136"/>
      <c r="AX395" s="136"/>
      <c r="AY395" s="136"/>
      <c r="AZ395" s="136"/>
      <c r="BA395" s="136"/>
      <c r="BB395" s="136"/>
      <c r="BC395" s="330"/>
      <c r="BD395" s="330"/>
      <c r="BE395" s="330"/>
      <c r="BF395" s="330"/>
      <c r="BG395" s="330"/>
      <c r="BH395" s="330"/>
      <c r="BI395" s="330"/>
      <c r="BJ395" s="330"/>
      <c r="BK395" s="330"/>
      <c r="BL395" s="330"/>
      <c r="BM395" s="330"/>
      <c r="BN395" s="330"/>
      <c r="BO395" s="330"/>
      <c r="BP395" s="330"/>
      <c r="BQ395" s="330"/>
      <c r="BR395" s="330"/>
      <c r="BS395" s="330"/>
      <c r="BT395" s="330"/>
      <c r="BU395" s="330"/>
      <c r="BV395" s="330"/>
      <c r="BW395" s="330"/>
      <c r="BX395" s="330"/>
    </row>
    <row r="396" spans="2:76" s="28" customFormat="1">
      <c r="B396" s="136"/>
      <c r="D396" s="222"/>
      <c r="E396" s="29"/>
      <c r="G396" s="293"/>
      <c r="H396" s="294"/>
      <c r="I396" s="294"/>
      <c r="J396" s="294"/>
      <c r="K396" s="294"/>
      <c r="L396" s="294"/>
      <c r="O396" s="338"/>
      <c r="AI396" s="31"/>
      <c r="AJ396" s="31"/>
      <c r="AK396" s="32"/>
      <c r="AL396" s="33"/>
      <c r="AM396" s="32"/>
      <c r="AN396" s="33"/>
      <c r="AO396" s="32"/>
      <c r="AP396" s="32"/>
      <c r="AQ396" s="136"/>
      <c r="AR396" s="136"/>
      <c r="AS396" s="136"/>
      <c r="AT396" s="136"/>
      <c r="AU396" s="136"/>
      <c r="AV396" s="136"/>
      <c r="AW396" s="136"/>
      <c r="AX396" s="136"/>
      <c r="AY396" s="136"/>
      <c r="AZ396" s="136"/>
      <c r="BA396" s="136"/>
      <c r="BB396" s="136"/>
      <c r="BC396" s="330"/>
      <c r="BD396" s="330"/>
      <c r="BE396" s="330"/>
      <c r="BF396" s="330"/>
      <c r="BG396" s="330"/>
      <c r="BH396" s="330"/>
      <c r="BI396" s="330"/>
      <c r="BJ396" s="330"/>
      <c r="BK396" s="330"/>
      <c r="BL396" s="330"/>
      <c r="BM396" s="330"/>
      <c r="BN396" s="330"/>
      <c r="BO396" s="330"/>
      <c r="BP396" s="330"/>
      <c r="BQ396" s="330"/>
      <c r="BR396" s="330"/>
      <c r="BS396" s="330"/>
      <c r="BT396" s="330"/>
      <c r="BU396" s="330"/>
      <c r="BV396" s="330"/>
      <c r="BW396" s="330"/>
      <c r="BX396" s="330"/>
    </row>
    <row r="397" spans="2:76" s="28" customFormat="1">
      <c r="B397" s="136"/>
      <c r="D397" s="222"/>
      <c r="E397" s="29"/>
      <c r="G397" s="293"/>
      <c r="H397" s="294"/>
      <c r="I397" s="294"/>
      <c r="J397" s="294"/>
      <c r="K397" s="294"/>
      <c r="L397" s="294"/>
      <c r="O397" s="348"/>
      <c r="AI397" s="31"/>
      <c r="AJ397" s="31"/>
      <c r="AK397" s="32"/>
      <c r="AL397" s="33"/>
      <c r="AM397" s="32"/>
      <c r="AN397" s="33"/>
      <c r="AO397" s="32"/>
      <c r="AP397" s="32"/>
      <c r="AQ397" s="136"/>
      <c r="AR397" s="136"/>
      <c r="AS397" s="136"/>
      <c r="AT397" s="136"/>
      <c r="AU397" s="136"/>
      <c r="AV397" s="136"/>
      <c r="AW397" s="136"/>
      <c r="AX397" s="136"/>
      <c r="AY397" s="136"/>
      <c r="AZ397" s="136"/>
      <c r="BA397" s="136"/>
      <c r="BB397" s="136"/>
      <c r="BC397" s="330"/>
      <c r="BD397" s="330"/>
      <c r="BE397" s="330"/>
      <c r="BF397" s="330"/>
      <c r="BG397" s="330"/>
      <c r="BH397" s="330"/>
      <c r="BI397" s="330"/>
      <c r="BJ397" s="330"/>
      <c r="BK397" s="330"/>
      <c r="BL397" s="330"/>
      <c r="BM397" s="330"/>
      <c r="BN397" s="330"/>
      <c r="BO397" s="330"/>
      <c r="BP397" s="330"/>
      <c r="BQ397" s="330"/>
      <c r="BR397" s="330"/>
      <c r="BS397" s="330"/>
      <c r="BT397" s="330"/>
      <c r="BU397" s="330"/>
      <c r="BV397" s="330"/>
      <c r="BW397" s="330"/>
      <c r="BX397" s="330"/>
    </row>
    <row r="398" spans="2:76" s="28" customFormat="1">
      <c r="B398" s="136"/>
      <c r="D398" s="222"/>
      <c r="E398" s="29"/>
      <c r="G398" s="293"/>
      <c r="H398" s="294"/>
      <c r="I398" s="294"/>
      <c r="J398" s="294"/>
      <c r="K398" s="294"/>
      <c r="L398" s="294"/>
      <c r="O398" s="335"/>
      <c r="AI398" s="31"/>
      <c r="AJ398" s="31"/>
      <c r="AK398" s="32"/>
      <c r="AL398" s="33"/>
      <c r="AM398" s="32"/>
      <c r="AN398" s="33"/>
      <c r="AO398" s="32"/>
      <c r="AP398" s="32"/>
      <c r="AQ398" s="136"/>
      <c r="AR398" s="136"/>
      <c r="AS398" s="136"/>
      <c r="AT398" s="136"/>
      <c r="AU398" s="136"/>
      <c r="AV398" s="136"/>
      <c r="AW398" s="136"/>
      <c r="AX398" s="136"/>
      <c r="AY398" s="136"/>
      <c r="AZ398" s="136"/>
      <c r="BA398" s="136"/>
      <c r="BB398" s="136"/>
      <c r="BC398" s="330"/>
      <c r="BD398" s="330"/>
      <c r="BE398" s="330"/>
      <c r="BF398" s="330"/>
      <c r="BG398" s="330"/>
      <c r="BH398" s="330"/>
      <c r="BI398" s="330"/>
      <c r="BJ398" s="330"/>
      <c r="BK398" s="330"/>
      <c r="BL398" s="330"/>
      <c r="BM398" s="330"/>
      <c r="BN398" s="330"/>
      <c r="BO398" s="330"/>
      <c r="BP398" s="330"/>
      <c r="BQ398" s="330"/>
      <c r="BR398" s="330"/>
      <c r="BS398" s="330"/>
      <c r="BT398" s="330"/>
      <c r="BU398" s="330"/>
      <c r="BV398" s="330"/>
      <c r="BW398" s="330"/>
      <c r="BX398" s="330"/>
    </row>
    <row r="399" spans="2:76" s="28" customFormat="1">
      <c r="B399" s="136"/>
      <c r="D399" s="222"/>
      <c r="E399" s="29"/>
      <c r="G399" s="293"/>
      <c r="H399" s="294"/>
      <c r="I399" s="294"/>
      <c r="J399" s="294"/>
      <c r="K399" s="294"/>
      <c r="L399" s="294"/>
      <c r="O399" s="340"/>
      <c r="AI399" s="31"/>
      <c r="AJ399" s="31"/>
      <c r="AK399" s="32"/>
      <c r="AL399" s="33"/>
      <c r="AM399" s="32"/>
      <c r="AN399" s="33"/>
      <c r="AO399" s="32"/>
      <c r="AP399" s="32"/>
      <c r="AQ399" s="136"/>
      <c r="AR399" s="136"/>
      <c r="AS399" s="136"/>
      <c r="AT399" s="136"/>
      <c r="AU399" s="136"/>
      <c r="AV399" s="136"/>
      <c r="AW399" s="136"/>
      <c r="AX399" s="136"/>
      <c r="AY399" s="136"/>
      <c r="AZ399" s="136"/>
      <c r="BA399" s="136"/>
      <c r="BB399" s="136"/>
      <c r="BC399" s="330"/>
      <c r="BD399" s="330"/>
      <c r="BE399" s="330"/>
      <c r="BF399" s="330"/>
      <c r="BG399" s="330"/>
      <c r="BH399" s="330"/>
      <c r="BI399" s="330"/>
      <c r="BJ399" s="330"/>
      <c r="BK399" s="330"/>
      <c r="BL399" s="330"/>
      <c r="BM399" s="330"/>
      <c r="BN399" s="330"/>
      <c r="BO399" s="330"/>
      <c r="BP399" s="330"/>
      <c r="BQ399" s="330"/>
      <c r="BR399" s="330"/>
      <c r="BS399" s="330"/>
      <c r="BT399" s="330"/>
      <c r="BU399" s="330"/>
      <c r="BV399" s="330"/>
      <c r="BW399" s="330"/>
      <c r="BX399" s="330"/>
    </row>
    <row r="400" spans="2:76" s="28" customFormat="1">
      <c r="B400" s="136"/>
      <c r="D400" s="222"/>
      <c r="E400" s="29"/>
      <c r="G400" s="293"/>
      <c r="H400" s="294"/>
      <c r="I400" s="294"/>
      <c r="J400" s="294"/>
      <c r="K400" s="294"/>
      <c r="L400" s="294"/>
      <c r="O400" s="338"/>
      <c r="AI400" s="31"/>
      <c r="AJ400" s="31"/>
      <c r="AK400" s="32"/>
      <c r="AL400" s="33"/>
      <c r="AM400" s="32"/>
      <c r="AN400" s="33"/>
      <c r="AO400" s="32"/>
      <c r="AP400" s="32"/>
      <c r="AQ400" s="136"/>
      <c r="AR400" s="136"/>
      <c r="AS400" s="136"/>
      <c r="AT400" s="136"/>
      <c r="AU400" s="136"/>
      <c r="AV400" s="136"/>
      <c r="AW400" s="136"/>
      <c r="AX400" s="136"/>
      <c r="AY400" s="136"/>
      <c r="AZ400" s="136"/>
      <c r="BA400" s="136"/>
      <c r="BB400" s="136"/>
      <c r="BC400" s="330"/>
      <c r="BD400" s="330"/>
      <c r="BE400" s="330"/>
      <c r="BF400" s="330"/>
      <c r="BG400" s="330"/>
      <c r="BH400" s="330"/>
      <c r="BI400" s="330"/>
      <c r="BJ400" s="330"/>
      <c r="BK400" s="330"/>
      <c r="BL400" s="330"/>
      <c r="BM400" s="330"/>
      <c r="BN400" s="330"/>
      <c r="BO400" s="330"/>
      <c r="BP400" s="330"/>
      <c r="BQ400" s="330"/>
      <c r="BR400" s="330"/>
      <c r="BS400" s="330"/>
      <c r="BT400" s="330"/>
      <c r="BU400" s="330"/>
      <c r="BV400" s="330"/>
      <c r="BW400" s="330"/>
      <c r="BX400" s="330"/>
    </row>
    <row r="401" spans="2:76" s="28" customFormat="1">
      <c r="B401" s="136"/>
      <c r="D401" s="222"/>
      <c r="E401" s="29"/>
      <c r="G401" s="293"/>
      <c r="H401" s="294"/>
      <c r="I401" s="294"/>
      <c r="J401" s="294"/>
      <c r="K401" s="294"/>
      <c r="L401" s="294"/>
      <c r="O401" s="335"/>
      <c r="AI401" s="31"/>
      <c r="AJ401" s="31"/>
      <c r="AK401" s="32"/>
      <c r="AL401" s="33"/>
      <c r="AM401" s="32"/>
      <c r="AN401" s="33"/>
      <c r="AO401" s="32"/>
      <c r="AP401" s="32"/>
      <c r="AQ401" s="136"/>
      <c r="AR401" s="136"/>
      <c r="AS401" s="136"/>
      <c r="AT401" s="136"/>
      <c r="AU401" s="136"/>
      <c r="AV401" s="136"/>
      <c r="AW401" s="136"/>
      <c r="AX401" s="136"/>
      <c r="AY401" s="136"/>
      <c r="AZ401" s="136"/>
      <c r="BA401" s="136"/>
      <c r="BB401" s="136"/>
      <c r="BC401" s="330"/>
      <c r="BD401" s="330"/>
      <c r="BE401" s="330"/>
      <c r="BF401" s="330"/>
      <c r="BG401" s="330"/>
      <c r="BH401" s="330"/>
      <c r="BI401" s="330"/>
      <c r="BJ401" s="330"/>
      <c r="BK401" s="330"/>
      <c r="BL401" s="330"/>
      <c r="BM401" s="330"/>
      <c r="BN401" s="330"/>
      <c r="BO401" s="330"/>
      <c r="BP401" s="330"/>
      <c r="BQ401" s="330"/>
      <c r="BR401" s="330"/>
      <c r="BS401" s="330"/>
      <c r="BT401" s="330"/>
      <c r="BU401" s="330"/>
      <c r="BV401" s="330"/>
      <c r="BW401" s="330"/>
      <c r="BX401" s="330"/>
    </row>
    <row r="402" spans="2:76" s="28" customFormat="1">
      <c r="B402" s="136"/>
      <c r="D402" s="222"/>
      <c r="E402" s="29"/>
      <c r="G402" s="293"/>
      <c r="H402" s="294"/>
      <c r="I402" s="294"/>
      <c r="J402" s="294"/>
      <c r="K402" s="294"/>
      <c r="L402" s="294"/>
      <c r="O402" s="338"/>
      <c r="AI402" s="31"/>
      <c r="AJ402" s="31"/>
      <c r="AK402" s="32"/>
      <c r="AL402" s="33"/>
      <c r="AM402" s="32"/>
      <c r="AN402" s="33"/>
      <c r="AO402" s="32"/>
      <c r="AP402" s="32"/>
      <c r="AQ402" s="136"/>
      <c r="AR402" s="136"/>
      <c r="AS402" s="136"/>
      <c r="AT402" s="136"/>
      <c r="AU402" s="136"/>
      <c r="AV402" s="136"/>
      <c r="AW402" s="136"/>
      <c r="AX402" s="136"/>
      <c r="AY402" s="136"/>
      <c r="AZ402" s="136"/>
      <c r="BA402" s="136"/>
      <c r="BB402" s="136"/>
      <c r="BC402" s="330"/>
      <c r="BD402" s="330"/>
      <c r="BE402" s="330"/>
      <c r="BF402" s="330"/>
      <c r="BG402" s="330"/>
      <c r="BH402" s="330"/>
      <c r="BI402" s="330"/>
      <c r="BJ402" s="330"/>
      <c r="BK402" s="330"/>
      <c r="BL402" s="330"/>
      <c r="BM402" s="330"/>
      <c r="BN402" s="330"/>
      <c r="BO402" s="330"/>
      <c r="BP402" s="330"/>
      <c r="BQ402" s="330"/>
      <c r="BR402" s="330"/>
      <c r="BS402" s="330"/>
      <c r="BT402" s="330"/>
      <c r="BU402" s="330"/>
      <c r="BV402" s="330"/>
      <c r="BW402" s="330"/>
      <c r="BX402" s="330"/>
    </row>
    <row r="403" spans="2:76" s="28" customFormat="1">
      <c r="B403" s="136"/>
      <c r="D403" s="222"/>
      <c r="E403" s="29"/>
      <c r="G403" s="293"/>
      <c r="H403" s="294"/>
      <c r="I403" s="294"/>
      <c r="J403" s="294"/>
      <c r="K403" s="294"/>
      <c r="L403" s="294"/>
      <c r="O403" s="337"/>
      <c r="AI403" s="31"/>
      <c r="AJ403" s="31"/>
      <c r="AK403" s="32"/>
      <c r="AL403" s="33"/>
      <c r="AM403" s="32"/>
      <c r="AN403" s="33"/>
      <c r="AO403" s="32"/>
      <c r="AP403" s="32"/>
      <c r="AQ403" s="136"/>
      <c r="AR403" s="136"/>
      <c r="AS403" s="136"/>
      <c r="AT403" s="136"/>
      <c r="AU403" s="136"/>
      <c r="AV403" s="136"/>
      <c r="AW403" s="136"/>
      <c r="AX403" s="136"/>
      <c r="AY403" s="136"/>
      <c r="AZ403" s="136"/>
      <c r="BA403" s="136"/>
      <c r="BB403" s="136"/>
      <c r="BC403" s="330"/>
      <c r="BD403" s="330"/>
      <c r="BE403" s="330"/>
      <c r="BF403" s="330"/>
      <c r="BG403" s="330"/>
      <c r="BH403" s="330"/>
      <c r="BI403" s="330"/>
      <c r="BJ403" s="330"/>
      <c r="BK403" s="330"/>
      <c r="BL403" s="330"/>
      <c r="BM403" s="330"/>
      <c r="BN403" s="330"/>
      <c r="BO403" s="330"/>
      <c r="BP403" s="330"/>
      <c r="BQ403" s="330"/>
      <c r="BR403" s="330"/>
      <c r="BS403" s="330"/>
      <c r="BT403" s="330"/>
      <c r="BU403" s="330"/>
      <c r="BV403" s="330"/>
      <c r="BW403" s="330"/>
      <c r="BX403" s="330"/>
    </row>
    <row r="404" spans="2:76" s="28" customFormat="1">
      <c r="B404" s="136"/>
      <c r="D404" s="222"/>
      <c r="E404" s="29"/>
      <c r="G404" s="293"/>
      <c r="H404" s="294"/>
      <c r="I404" s="294"/>
      <c r="J404" s="294"/>
      <c r="K404" s="294"/>
      <c r="L404" s="294"/>
      <c r="O404" s="334"/>
      <c r="AI404" s="31"/>
      <c r="AJ404" s="31"/>
      <c r="AK404" s="32"/>
      <c r="AL404" s="33"/>
      <c r="AM404" s="32"/>
      <c r="AN404" s="33"/>
      <c r="AO404" s="32"/>
      <c r="AP404" s="32"/>
      <c r="AQ404" s="136"/>
      <c r="AR404" s="136"/>
      <c r="AS404" s="136"/>
      <c r="AT404" s="136"/>
      <c r="AU404" s="136"/>
      <c r="AV404" s="136"/>
      <c r="AW404" s="136"/>
      <c r="AX404" s="136"/>
      <c r="AY404" s="136"/>
      <c r="AZ404" s="136"/>
      <c r="BA404" s="136"/>
      <c r="BB404" s="136"/>
      <c r="BC404" s="330"/>
      <c r="BD404" s="330"/>
      <c r="BE404" s="330"/>
      <c r="BF404" s="330"/>
      <c r="BG404" s="330"/>
      <c r="BH404" s="330"/>
      <c r="BI404" s="330"/>
      <c r="BJ404" s="330"/>
      <c r="BK404" s="330"/>
      <c r="BL404" s="330"/>
      <c r="BM404" s="330"/>
      <c r="BN404" s="330"/>
      <c r="BO404" s="330"/>
      <c r="BP404" s="330"/>
      <c r="BQ404" s="330"/>
      <c r="BR404" s="330"/>
      <c r="BS404" s="330"/>
      <c r="BT404" s="330"/>
      <c r="BU404" s="330"/>
      <c r="BV404" s="330"/>
      <c r="BW404" s="330"/>
      <c r="BX404" s="330"/>
    </row>
    <row r="405" spans="2:76" s="28" customFormat="1">
      <c r="B405" s="136"/>
      <c r="D405" s="222"/>
      <c r="E405" s="29"/>
      <c r="G405" s="293"/>
      <c r="H405" s="294"/>
      <c r="I405" s="294"/>
      <c r="J405" s="294"/>
      <c r="K405" s="294"/>
      <c r="L405" s="294"/>
      <c r="O405" s="338"/>
      <c r="AI405" s="31"/>
      <c r="AJ405" s="31"/>
      <c r="AK405" s="32"/>
      <c r="AL405" s="33"/>
      <c r="AM405" s="32"/>
      <c r="AN405" s="33"/>
      <c r="AO405" s="32"/>
      <c r="AP405" s="32"/>
      <c r="AQ405" s="136"/>
      <c r="AR405" s="136"/>
      <c r="AS405" s="136"/>
      <c r="AT405" s="136"/>
      <c r="AU405" s="136"/>
      <c r="AV405" s="136"/>
      <c r="AW405" s="136"/>
      <c r="AX405" s="136"/>
      <c r="AY405" s="136"/>
      <c r="AZ405" s="136"/>
      <c r="BA405" s="136"/>
      <c r="BB405" s="136"/>
      <c r="BC405" s="330"/>
      <c r="BD405" s="330"/>
      <c r="BE405" s="330"/>
      <c r="BF405" s="330"/>
      <c r="BG405" s="330"/>
      <c r="BH405" s="330"/>
      <c r="BI405" s="330"/>
      <c r="BJ405" s="330"/>
      <c r="BK405" s="330"/>
      <c r="BL405" s="330"/>
      <c r="BM405" s="330"/>
      <c r="BN405" s="330"/>
      <c r="BO405" s="330"/>
      <c r="BP405" s="330"/>
      <c r="BQ405" s="330"/>
      <c r="BR405" s="330"/>
      <c r="BS405" s="330"/>
      <c r="BT405" s="330"/>
      <c r="BU405" s="330"/>
      <c r="BV405" s="330"/>
      <c r="BW405" s="330"/>
      <c r="BX405" s="330"/>
    </row>
    <row r="406" spans="2:76" s="28" customFormat="1">
      <c r="B406" s="136"/>
      <c r="D406" s="222"/>
      <c r="E406" s="29"/>
      <c r="G406" s="293"/>
      <c r="H406" s="294"/>
      <c r="I406" s="294"/>
      <c r="J406" s="294"/>
      <c r="K406" s="294"/>
      <c r="L406" s="294"/>
      <c r="O406" s="335"/>
      <c r="AI406" s="31"/>
      <c r="AJ406" s="31"/>
      <c r="AK406" s="32"/>
      <c r="AL406" s="33"/>
      <c r="AM406" s="32"/>
      <c r="AN406" s="33"/>
      <c r="AO406" s="32"/>
      <c r="AP406" s="32"/>
      <c r="AQ406" s="136"/>
      <c r="AR406" s="136"/>
      <c r="AS406" s="136"/>
      <c r="AT406" s="136"/>
      <c r="AU406" s="136"/>
      <c r="AV406" s="136"/>
      <c r="AW406" s="136"/>
      <c r="AX406" s="136"/>
      <c r="AY406" s="136"/>
      <c r="AZ406" s="136"/>
      <c r="BA406" s="136"/>
      <c r="BB406" s="136"/>
      <c r="BC406" s="330"/>
      <c r="BD406" s="330"/>
      <c r="BE406" s="330"/>
      <c r="BF406" s="330"/>
      <c r="BG406" s="330"/>
      <c r="BH406" s="330"/>
      <c r="BI406" s="330"/>
      <c r="BJ406" s="330"/>
      <c r="BK406" s="330"/>
      <c r="BL406" s="330"/>
      <c r="BM406" s="330"/>
      <c r="BN406" s="330"/>
      <c r="BO406" s="330"/>
      <c r="BP406" s="330"/>
      <c r="BQ406" s="330"/>
      <c r="BR406" s="330"/>
      <c r="BS406" s="330"/>
      <c r="BT406" s="330"/>
      <c r="BU406" s="330"/>
      <c r="BV406" s="330"/>
      <c r="BW406" s="330"/>
      <c r="BX406" s="330"/>
    </row>
    <row r="407" spans="2:76" s="28" customFormat="1">
      <c r="B407" s="136"/>
      <c r="D407" s="222"/>
      <c r="E407" s="29"/>
      <c r="G407" s="293"/>
      <c r="H407" s="294"/>
      <c r="I407" s="294"/>
      <c r="J407" s="294"/>
      <c r="K407" s="294"/>
      <c r="L407" s="294"/>
      <c r="O407" s="339"/>
      <c r="AI407" s="31"/>
      <c r="AJ407" s="31"/>
      <c r="AK407" s="32"/>
      <c r="AL407" s="33"/>
      <c r="AM407" s="32"/>
      <c r="AN407" s="33"/>
      <c r="AO407" s="32"/>
      <c r="AP407" s="32"/>
      <c r="AQ407" s="136"/>
      <c r="AR407" s="136"/>
      <c r="AS407" s="136"/>
      <c r="AT407" s="136"/>
      <c r="AU407" s="136"/>
      <c r="AV407" s="136"/>
      <c r="AW407" s="136"/>
      <c r="AX407" s="136"/>
      <c r="AY407" s="136"/>
      <c r="AZ407" s="136"/>
      <c r="BA407" s="136"/>
      <c r="BB407" s="136"/>
      <c r="BC407" s="330"/>
      <c r="BD407" s="330"/>
      <c r="BE407" s="330"/>
      <c r="BF407" s="330"/>
      <c r="BG407" s="330"/>
      <c r="BH407" s="330"/>
      <c r="BI407" s="330"/>
      <c r="BJ407" s="330"/>
      <c r="BK407" s="330"/>
      <c r="BL407" s="330"/>
      <c r="BM407" s="330"/>
      <c r="BN407" s="330"/>
      <c r="BO407" s="330"/>
      <c r="BP407" s="330"/>
      <c r="BQ407" s="330"/>
      <c r="BR407" s="330"/>
      <c r="BS407" s="330"/>
      <c r="BT407" s="330"/>
      <c r="BU407" s="330"/>
      <c r="BV407" s="330"/>
      <c r="BW407" s="330"/>
      <c r="BX407" s="330"/>
    </row>
    <row r="408" spans="2:76" s="28" customFormat="1">
      <c r="B408" s="136"/>
      <c r="D408" s="222"/>
      <c r="E408" s="29"/>
      <c r="G408" s="293"/>
      <c r="H408" s="294"/>
      <c r="I408" s="294"/>
      <c r="J408" s="294"/>
      <c r="K408" s="294"/>
      <c r="L408" s="294"/>
      <c r="O408" s="335"/>
      <c r="AI408" s="31"/>
      <c r="AJ408" s="31"/>
      <c r="AK408" s="32"/>
      <c r="AL408" s="33"/>
      <c r="AM408" s="32"/>
      <c r="AN408" s="33"/>
      <c r="AO408" s="32"/>
      <c r="AP408" s="32"/>
      <c r="AQ408" s="136"/>
      <c r="AR408" s="136"/>
      <c r="AS408" s="136"/>
      <c r="AT408" s="136"/>
      <c r="AU408" s="136"/>
      <c r="AV408" s="136"/>
      <c r="AW408" s="136"/>
      <c r="AX408" s="136"/>
      <c r="AY408" s="136"/>
      <c r="AZ408" s="136"/>
      <c r="BA408" s="136"/>
      <c r="BB408" s="136"/>
      <c r="BC408" s="330"/>
      <c r="BD408" s="330"/>
      <c r="BE408" s="330"/>
      <c r="BF408" s="330"/>
      <c r="BG408" s="330"/>
      <c r="BH408" s="330"/>
      <c r="BI408" s="330"/>
      <c r="BJ408" s="330"/>
      <c r="BK408" s="330"/>
      <c r="BL408" s="330"/>
      <c r="BM408" s="330"/>
      <c r="BN408" s="330"/>
      <c r="BO408" s="330"/>
      <c r="BP408" s="330"/>
      <c r="BQ408" s="330"/>
      <c r="BR408" s="330"/>
      <c r="BS408" s="330"/>
      <c r="BT408" s="330"/>
      <c r="BU408" s="330"/>
      <c r="BV408" s="330"/>
      <c r="BW408" s="330"/>
      <c r="BX408" s="330"/>
    </row>
    <row r="409" spans="2:76" s="28" customFormat="1">
      <c r="B409" s="136"/>
      <c r="D409" s="222"/>
      <c r="E409" s="29"/>
      <c r="G409" s="293"/>
      <c r="H409" s="294"/>
      <c r="I409" s="294"/>
      <c r="J409" s="294"/>
      <c r="K409" s="294"/>
      <c r="L409" s="294"/>
      <c r="O409" s="349"/>
      <c r="AI409" s="31"/>
      <c r="AJ409" s="31"/>
      <c r="AK409" s="32"/>
      <c r="AL409" s="33"/>
      <c r="AM409" s="32"/>
      <c r="AN409" s="33"/>
      <c r="AO409" s="32"/>
      <c r="AP409" s="32"/>
      <c r="AQ409" s="136"/>
      <c r="AR409" s="136"/>
      <c r="AS409" s="136"/>
      <c r="AT409" s="136"/>
      <c r="AU409" s="136"/>
      <c r="AV409" s="136"/>
      <c r="AW409" s="136"/>
      <c r="AX409" s="136"/>
      <c r="AY409" s="136"/>
      <c r="AZ409" s="136"/>
      <c r="BA409" s="136"/>
      <c r="BB409" s="136"/>
      <c r="BC409" s="330"/>
      <c r="BD409" s="330"/>
      <c r="BE409" s="330"/>
      <c r="BF409" s="330"/>
      <c r="BG409" s="330"/>
      <c r="BH409" s="330"/>
      <c r="BI409" s="330"/>
      <c r="BJ409" s="330"/>
      <c r="BK409" s="330"/>
      <c r="BL409" s="330"/>
      <c r="BM409" s="330"/>
      <c r="BN409" s="330"/>
      <c r="BO409" s="330"/>
      <c r="BP409" s="330"/>
      <c r="BQ409" s="330"/>
      <c r="BR409" s="330"/>
      <c r="BS409" s="330"/>
      <c r="BT409" s="330"/>
      <c r="BU409" s="330"/>
      <c r="BV409" s="330"/>
      <c r="BW409" s="330"/>
      <c r="BX409" s="330"/>
    </row>
    <row r="410" spans="2:76" s="28" customFormat="1">
      <c r="B410" s="136"/>
      <c r="D410" s="222"/>
      <c r="E410" s="29"/>
      <c r="G410" s="293"/>
      <c r="H410" s="294"/>
      <c r="I410" s="294"/>
      <c r="J410" s="294"/>
      <c r="K410" s="294"/>
      <c r="L410" s="294"/>
      <c r="O410" s="335"/>
      <c r="AI410" s="31"/>
      <c r="AJ410" s="31"/>
      <c r="AK410" s="32"/>
      <c r="AL410" s="33"/>
      <c r="AM410" s="32"/>
      <c r="AN410" s="33"/>
      <c r="AO410" s="32"/>
      <c r="AP410" s="32"/>
      <c r="AQ410" s="136"/>
      <c r="AR410" s="136"/>
      <c r="AS410" s="136"/>
      <c r="AT410" s="136"/>
      <c r="AU410" s="136"/>
      <c r="AV410" s="136"/>
      <c r="AW410" s="136"/>
      <c r="AX410" s="136"/>
      <c r="AY410" s="136"/>
      <c r="AZ410" s="136"/>
      <c r="BA410" s="136"/>
      <c r="BB410" s="136"/>
      <c r="BC410" s="330"/>
      <c r="BD410" s="330"/>
      <c r="BE410" s="330"/>
      <c r="BF410" s="330"/>
      <c r="BG410" s="330"/>
      <c r="BH410" s="330"/>
      <c r="BI410" s="330"/>
      <c r="BJ410" s="330"/>
      <c r="BK410" s="330"/>
      <c r="BL410" s="330"/>
      <c r="BM410" s="330"/>
      <c r="BN410" s="330"/>
      <c r="BO410" s="330"/>
      <c r="BP410" s="330"/>
      <c r="BQ410" s="330"/>
      <c r="BR410" s="330"/>
      <c r="BS410" s="330"/>
      <c r="BT410" s="330"/>
      <c r="BU410" s="330"/>
      <c r="BV410" s="330"/>
      <c r="BW410" s="330"/>
      <c r="BX410" s="330"/>
    </row>
    <row r="411" spans="2:76" s="28" customFormat="1">
      <c r="B411" s="136"/>
      <c r="D411" s="222"/>
      <c r="E411" s="29"/>
      <c r="G411" s="293"/>
      <c r="H411" s="294"/>
      <c r="I411" s="294"/>
      <c r="J411" s="294"/>
      <c r="K411" s="294"/>
      <c r="L411" s="294"/>
      <c r="O411" s="335"/>
      <c r="AI411" s="31"/>
      <c r="AJ411" s="31"/>
      <c r="AK411" s="32"/>
      <c r="AL411" s="33"/>
      <c r="AM411" s="32"/>
      <c r="AN411" s="33"/>
      <c r="AO411" s="32"/>
      <c r="AP411" s="32"/>
      <c r="AQ411" s="136"/>
      <c r="AR411" s="136"/>
      <c r="AS411" s="136"/>
      <c r="AT411" s="136"/>
      <c r="AU411" s="136"/>
      <c r="AV411" s="136"/>
      <c r="AW411" s="136"/>
      <c r="AX411" s="136"/>
      <c r="AY411" s="136"/>
      <c r="AZ411" s="136"/>
      <c r="BA411" s="136"/>
      <c r="BB411" s="136"/>
      <c r="BC411" s="330"/>
      <c r="BD411" s="330"/>
      <c r="BE411" s="330"/>
      <c r="BF411" s="330"/>
      <c r="BG411" s="330"/>
      <c r="BH411" s="330"/>
      <c r="BI411" s="330"/>
      <c r="BJ411" s="330"/>
      <c r="BK411" s="330"/>
      <c r="BL411" s="330"/>
      <c r="BM411" s="330"/>
      <c r="BN411" s="330"/>
      <c r="BO411" s="330"/>
      <c r="BP411" s="330"/>
      <c r="BQ411" s="330"/>
      <c r="BR411" s="330"/>
      <c r="BS411" s="330"/>
      <c r="BT411" s="330"/>
      <c r="BU411" s="330"/>
      <c r="BV411" s="330"/>
      <c r="BW411" s="330"/>
      <c r="BX411" s="330"/>
    </row>
    <row r="412" spans="2:76" s="28" customFormat="1">
      <c r="B412" s="136"/>
      <c r="D412" s="222"/>
      <c r="E412" s="29"/>
      <c r="G412" s="293"/>
      <c r="H412" s="294"/>
      <c r="I412" s="294"/>
      <c r="J412" s="294"/>
      <c r="K412" s="294"/>
      <c r="L412" s="294"/>
      <c r="O412" s="335"/>
      <c r="AI412" s="31"/>
      <c r="AJ412" s="31"/>
      <c r="AK412" s="32"/>
      <c r="AL412" s="33"/>
      <c r="AM412" s="32"/>
      <c r="AN412" s="33"/>
      <c r="AO412" s="32"/>
      <c r="AP412" s="32"/>
      <c r="AQ412" s="136"/>
      <c r="AR412" s="136"/>
      <c r="AS412" s="136"/>
      <c r="AT412" s="136"/>
      <c r="AU412" s="136"/>
      <c r="AV412" s="136"/>
      <c r="AW412" s="136"/>
      <c r="AX412" s="136"/>
      <c r="AY412" s="136"/>
      <c r="AZ412" s="136"/>
      <c r="BA412" s="136"/>
      <c r="BB412" s="136"/>
      <c r="BC412" s="330"/>
      <c r="BD412" s="330"/>
      <c r="BE412" s="330"/>
      <c r="BF412" s="330"/>
      <c r="BG412" s="330"/>
      <c r="BH412" s="330"/>
      <c r="BI412" s="330"/>
      <c r="BJ412" s="330"/>
      <c r="BK412" s="330"/>
      <c r="BL412" s="330"/>
      <c r="BM412" s="330"/>
      <c r="BN412" s="330"/>
      <c r="BO412" s="330"/>
      <c r="BP412" s="330"/>
      <c r="BQ412" s="330"/>
      <c r="BR412" s="330"/>
      <c r="BS412" s="330"/>
      <c r="BT412" s="330"/>
      <c r="BU412" s="330"/>
      <c r="BV412" s="330"/>
      <c r="BW412" s="330"/>
      <c r="BX412" s="330"/>
    </row>
    <row r="413" spans="2:76" s="28" customFormat="1">
      <c r="B413" s="136"/>
      <c r="D413" s="222"/>
      <c r="E413" s="29"/>
      <c r="G413" s="293"/>
      <c r="H413" s="294"/>
      <c r="I413" s="294"/>
      <c r="J413" s="294"/>
      <c r="K413" s="294"/>
      <c r="L413" s="294"/>
      <c r="O413" s="337"/>
      <c r="AI413" s="31"/>
      <c r="AJ413" s="31"/>
      <c r="AK413" s="32"/>
      <c r="AL413" s="33"/>
      <c r="AM413" s="32"/>
      <c r="AN413" s="33"/>
      <c r="AO413" s="32"/>
      <c r="AP413" s="32"/>
      <c r="AQ413" s="136"/>
      <c r="AR413" s="136"/>
      <c r="AS413" s="136"/>
      <c r="AT413" s="136"/>
      <c r="AU413" s="136"/>
      <c r="AV413" s="136"/>
      <c r="AW413" s="136"/>
      <c r="AX413" s="136"/>
      <c r="AY413" s="136"/>
      <c r="AZ413" s="136"/>
      <c r="BA413" s="136"/>
      <c r="BB413" s="136"/>
      <c r="BC413" s="330"/>
      <c r="BD413" s="330"/>
      <c r="BE413" s="330"/>
      <c r="BF413" s="330"/>
      <c r="BG413" s="330"/>
      <c r="BH413" s="330"/>
      <c r="BI413" s="330"/>
      <c r="BJ413" s="330"/>
      <c r="BK413" s="330"/>
      <c r="BL413" s="330"/>
      <c r="BM413" s="330"/>
      <c r="BN413" s="330"/>
      <c r="BO413" s="330"/>
      <c r="BP413" s="330"/>
      <c r="BQ413" s="330"/>
      <c r="BR413" s="330"/>
      <c r="BS413" s="330"/>
      <c r="BT413" s="330"/>
      <c r="BU413" s="330"/>
      <c r="BV413" s="330"/>
      <c r="BW413" s="330"/>
      <c r="BX413" s="330"/>
    </row>
    <row r="414" spans="2:76" s="28" customFormat="1">
      <c r="B414" s="136"/>
      <c r="D414" s="222"/>
      <c r="E414" s="29"/>
      <c r="G414" s="293"/>
      <c r="H414" s="294"/>
      <c r="I414" s="294"/>
      <c r="J414" s="294"/>
      <c r="K414" s="294"/>
      <c r="L414" s="294"/>
      <c r="O414" s="346"/>
      <c r="AI414" s="31"/>
      <c r="AJ414" s="31"/>
      <c r="AK414" s="32"/>
      <c r="AL414" s="33"/>
      <c r="AM414" s="32"/>
      <c r="AN414" s="33"/>
      <c r="AO414" s="32"/>
      <c r="AP414" s="32"/>
      <c r="AQ414" s="136"/>
      <c r="AR414" s="136"/>
      <c r="AS414" s="136"/>
      <c r="AT414" s="136"/>
      <c r="AU414" s="136"/>
      <c r="AV414" s="136"/>
      <c r="AW414" s="136"/>
      <c r="AX414" s="136"/>
      <c r="AY414" s="136"/>
      <c r="AZ414" s="136"/>
      <c r="BA414" s="136"/>
      <c r="BB414" s="136"/>
      <c r="BC414" s="330"/>
      <c r="BD414" s="330"/>
      <c r="BE414" s="330"/>
      <c r="BF414" s="330"/>
      <c r="BG414" s="330"/>
      <c r="BH414" s="330"/>
      <c r="BI414" s="330"/>
      <c r="BJ414" s="330"/>
      <c r="BK414" s="330"/>
      <c r="BL414" s="330"/>
      <c r="BM414" s="330"/>
      <c r="BN414" s="330"/>
      <c r="BO414" s="330"/>
      <c r="BP414" s="330"/>
      <c r="BQ414" s="330"/>
      <c r="BR414" s="330"/>
      <c r="BS414" s="330"/>
      <c r="BT414" s="330"/>
      <c r="BU414" s="330"/>
      <c r="BV414" s="330"/>
      <c r="BW414" s="330"/>
      <c r="BX414" s="330"/>
    </row>
    <row r="415" spans="2:76" s="28" customFormat="1">
      <c r="B415" s="136"/>
      <c r="D415" s="222"/>
      <c r="E415" s="29"/>
      <c r="G415" s="293"/>
      <c r="H415" s="294"/>
      <c r="I415" s="294"/>
      <c r="J415" s="294"/>
      <c r="K415" s="294"/>
      <c r="L415" s="294"/>
      <c r="O415" s="337"/>
      <c r="AI415" s="31"/>
      <c r="AJ415" s="31"/>
      <c r="AK415" s="32"/>
      <c r="AL415" s="33"/>
      <c r="AM415" s="32"/>
      <c r="AN415" s="33"/>
      <c r="AO415" s="32"/>
      <c r="AP415" s="32"/>
      <c r="AQ415" s="136"/>
      <c r="AR415" s="136"/>
      <c r="AS415" s="136"/>
      <c r="AT415" s="136"/>
      <c r="AU415" s="136"/>
      <c r="AV415" s="136"/>
      <c r="AW415" s="136"/>
      <c r="AX415" s="136"/>
      <c r="AY415" s="136"/>
      <c r="AZ415" s="136"/>
      <c r="BA415" s="136"/>
      <c r="BB415" s="136"/>
      <c r="BC415" s="330"/>
      <c r="BD415" s="330"/>
      <c r="BE415" s="330"/>
      <c r="BF415" s="330"/>
      <c r="BG415" s="330"/>
      <c r="BH415" s="330"/>
      <c r="BI415" s="330"/>
      <c r="BJ415" s="330"/>
      <c r="BK415" s="330"/>
      <c r="BL415" s="330"/>
      <c r="BM415" s="330"/>
      <c r="BN415" s="330"/>
      <c r="BO415" s="330"/>
      <c r="BP415" s="330"/>
      <c r="BQ415" s="330"/>
      <c r="BR415" s="330"/>
      <c r="BS415" s="330"/>
      <c r="BT415" s="330"/>
      <c r="BU415" s="330"/>
      <c r="BV415" s="330"/>
      <c r="BW415" s="330"/>
      <c r="BX415" s="330"/>
    </row>
    <row r="416" spans="2:76" s="28" customFormat="1">
      <c r="B416" s="136"/>
      <c r="D416" s="222"/>
      <c r="E416" s="29"/>
      <c r="G416" s="293"/>
      <c r="H416" s="294"/>
      <c r="I416" s="294"/>
      <c r="J416" s="294"/>
      <c r="K416" s="294"/>
      <c r="L416" s="294"/>
      <c r="O416" s="335"/>
      <c r="AI416" s="31"/>
      <c r="AJ416" s="31"/>
      <c r="AK416" s="32"/>
      <c r="AL416" s="33"/>
      <c r="AM416" s="32"/>
      <c r="AN416" s="33"/>
      <c r="AO416" s="32"/>
      <c r="AP416" s="32"/>
      <c r="AQ416" s="136"/>
      <c r="AR416" s="136"/>
      <c r="AS416" s="136"/>
      <c r="AT416" s="136"/>
      <c r="AU416" s="136"/>
      <c r="AV416" s="136"/>
      <c r="AW416" s="136"/>
      <c r="AX416" s="136"/>
      <c r="AY416" s="136"/>
      <c r="AZ416" s="136"/>
      <c r="BA416" s="136"/>
      <c r="BB416" s="136"/>
      <c r="BC416" s="330"/>
      <c r="BD416" s="330"/>
      <c r="BE416" s="330"/>
      <c r="BF416" s="330"/>
      <c r="BG416" s="330"/>
      <c r="BH416" s="330"/>
      <c r="BI416" s="330"/>
      <c r="BJ416" s="330"/>
      <c r="BK416" s="330"/>
      <c r="BL416" s="330"/>
      <c r="BM416" s="330"/>
      <c r="BN416" s="330"/>
      <c r="BO416" s="330"/>
      <c r="BP416" s="330"/>
      <c r="BQ416" s="330"/>
      <c r="BR416" s="330"/>
      <c r="BS416" s="330"/>
      <c r="BT416" s="330"/>
      <c r="BU416" s="330"/>
      <c r="BV416" s="330"/>
      <c r="BW416" s="330"/>
      <c r="BX416" s="330"/>
    </row>
    <row r="417" spans="2:76" s="28" customFormat="1">
      <c r="B417" s="136"/>
      <c r="D417" s="222"/>
      <c r="E417" s="29"/>
      <c r="G417" s="293"/>
      <c r="H417" s="294"/>
      <c r="I417" s="294"/>
      <c r="J417" s="294"/>
      <c r="K417" s="294"/>
      <c r="L417" s="294"/>
      <c r="O417" s="343"/>
      <c r="AI417" s="31"/>
      <c r="AJ417" s="31"/>
      <c r="AK417" s="32"/>
      <c r="AL417" s="33"/>
      <c r="AM417" s="32"/>
      <c r="AN417" s="33"/>
      <c r="AO417" s="32"/>
      <c r="AP417" s="32"/>
      <c r="AQ417" s="136"/>
      <c r="AR417" s="136"/>
      <c r="AS417" s="136"/>
      <c r="AT417" s="136"/>
      <c r="AU417" s="136"/>
      <c r="AV417" s="136"/>
      <c r="AW417" s="136"/>
      <c r="AX417" s="136"/>
      <c r="AY417" s="136"/>
      <c r="AZ417" s="136"/>
      <c r="BA417" s="136"/>
      <c r="BB417" s="136"/>
      <c r="BC417" s="330"/>
      <c r="BD417" s="330"/>
      <c r="BE417" s="330"/>
      <c r="BF417" s="330"/>
      <c r="BG417" s="330"/>
      <c r="BH417" s="330"/>
      <c r="BI417" s="330"/>
      <c r="BJ417" s="330"/>
      <c r="BK417" s="330"/>
      <c r="BL417" s="330"/>
      <c r="BM417" s="330"/>
      <c r="BN417" s="330"/>
      <c r="BO417" s="330"/>
      <c r="BP417" s="330"/>
      <c r="BQ417" s="330"/>
      <c r="BR417" s="330"/>
      <c r="BS417" s="330"/>
      <c r="BT417" s="330"/>
      <c r="BU417" s="330"/>
      <c r="BV417" s="330"/>
      <c r="BW417" s="330"/>
      <c r="BX417" s="330"/>
    </row>
    <row r="418" spans="2:76" s="28" customFormat="1">
      <c r="B418" s="136"/>
      <c r="D418" s="222"/>
      <c r="E418" s="29"/>
      <c r="G418" s="293"/>
      <c r="H418" s="294"/>
      <c r="I418" s="294"/>
      <c r="J418" s="294"/>
      <c r="K418" s="294"/>
      <c r="L418" s="294"/>
      <c r="O418" s="335"/>
      <c r="AI418" s="31"/>
      <c r="AJ418" s="31"/>
      <c r="AK418" s="32"/>
      <c r="AL418" s="33"/>
      <c r="AM418" s="32"/>
      <c r="AN418" s="33"/>
      <c r="AO418" s="32"/>
      <c r="AP418" s="32"/>
      <c r="AQ418" s="136"/>
      <c r="AR418" s="136"/>
      <c r="AS418" s="136"/>
      <c r="AT418" s="136"/>
      <c r="AU418" s="136"/>
      <c r="AV418" s="136"/>
      <c r="AW418" s="136"/>
      <c r="AX418" s="136"/>
      <c r="AY418" s="136"/>
      <c r="AZ418" s="136"/>
      <c r="BA418" s="136"/>
      <c r="BB418" s="136"/>
      <c r="BC418" s="330"/>
      <c r="BD418" s="330"/>
      <c r="BE418" s="330"/>
      <c r="BF418" s="330"/>
      <c r="BG418" s="330"/>
      <c r="BH418" s="330"/>
      <c r="BI418" s="330"/>
      <c r="BJ418" s="330"/>
      <c r="BK418" s="330"/>
      <c r="BL418" s="330"/>
      <c r="BM418" s="330"/>
      <c r="BN418" s="330"/>
      <c r="BO418" s="330"/>
      <c r="BP418" s="330"/>
      <c r="BQ418" s="330"/>
      <c r="BR418" s="330"/>
      <c r="BS418" s="330"/>
      <c r="BT418" s="330"/>
      <c r="BU418" s="330"/>
      <c r="BV418" s="330"/>
      <c r="BW418" s="330"/>
      <c r="BX418" s="330"/>
    </row>
    <row r="419" spans="2:76" s="28" customFormat="1">
      <c r="B419" s="136"/>
      <c r="D419" s="222"/>
      <c r="E419" s="29"/>
      <c r="G419" s="293"/>
      <c r="H419" s="294"/>
      <c r="I419" s="294"/>
      <c r="J419" s="294"/>
      <c r="K419" s="294"/>
      <c r="L419" s="294"/>
      <c r="O419" s="337"/>
      <c r="AI419" s="31"/>
      <c r="AJ419" s="31"/>
      <c r="AK419" s="32"/>
      <c r="AL419" s="33"/>
      <c r="AM419" s="32"/>
      <c r="AN419" s="33"/>
      <c r="AO419" s="32"/>
      <c r="AP419" s="32"/>
      <c r="AQ419" s="136"/>
      <c r="AR419" s="136"/>
      <c r="AS419" s="136"/>
      <c r="AT419" s="136"/>
      <c r="AU419" s="136"/>
      <c r="AV419" s="136"/>
      <c r="AW419" s="136"/>
      <c r="AX419" s="136"/>
      <c r="AY419" s="136"/>
      <c r="AZ419" s="136"/>
      <c r="BA419" s="136"/>
      <c r="BB419" s="136"/>
      <c r="BC419" s="330"/>
      <c r="BD419" s="330"/>
      <c r="BE419" s="330"/>
      <c r="BF419" s="330"/>
      <c r="BG419" s="330"/>
      <c r="BH419" s="330"/>
      <c r="BI419" s="330"/>
      <c r="BJ419" s="330"/>
      <c r="BK419" s="330"/>
      <c r="BL419" s="330"/>
      <c r="BM419" s="330"/>
      <c r="BN419" s="330"/>
      <c r="BO419" s="330"/>
      <c r="BP419" s="330"/>
      <c r="BQ419" s="330"/>
      <c r="BR419" s="330"/>
      <c r="BS419" s="330"/>
      <c r="BT419" s="330"/>
      <c r="BU419" s="330"/>
      <c r="BV419" s="330"/>
      <c r="BW419" s="330"/>
      <c r="BX419" s="330"/>
    </row>
    <row r="420" spans="2:76" s="28" customFormat="1">
      <c r="B420" s="136"/>
      <c r="D420" s="222"/>
      <c r="E420" s="29"/>
      <c r="G420" s="293"/>
      <c r="H420" s="294"/>
      <c r="I420" s="294"/>
      <c r="J420" s="294"/>
      <c r="K420" s="294"/>
      <c r="L420" s="294"/>
      <c r="O420" s="337"/>
      <c r="AI420" s="31"/>
      <c r="AJ420" s="31"/>
      <c r="AK420" s="32"/>
      <c r="AL420" s="33"/>
      <c r="AM420" s="32"/>
      <c r="AN420" s="33"/>
      <c r="AO420" s="32"/>
      <c r="AP420" s="32"/>
      <c r="AQ420" s="136"/>
      <c r="AR420" s="136"/>
      <c r="AS420" s="136"/>
      <c r="AT420" s="136"/>
      <c r="AU420" s="136"/>
      <c r="AV420" s="136"/>
      <c r="AW420" s="136"/>
      <c r="AX420" s="136"/>
      <c r="AY420" s="136"/>
      <c r="AZ420" s="136"/>
      <c r="BA420" s="136"/>
      <c r="BB420" s="136"/>
      <c r="BC420" s="330"/>
      <c r="BD420" s="330"/>
      <c r="BE420" s="330"/>
      <c r="BF420" s="330"/>
      <c r="BG420" s="330"/>
      <c r="BH420" s="330"/>
      <c r="BI420" s="330"/>
      <c r="BJ420" s="330"/>
      <c r="BK420" s="330"/>
      <c r="BL420" s="330"/>
      <c r="BM420" s="330"/>
      <c r="BN420" s="330"/>
      <c r="BO420" s="330"/>
      <c r="BP420" s="330"/>
      <c r="BQ420" s="330"/>
      <c r="BR420" s="330"/>
      <c r="BS420" s="330"/>
      <c r="BT420" s="330"/>
      <c r="BU420" s="330"/>
      <c r="BV420" s="330"/>
      <c r="BW420" s="330"/>
      <c r="BX420" s="330"/>
    </row>
    <row r="421" spans="2:76" s="28" customFormat="1">
      <c r="B421" s="136"/>
      <c r="D421" s="222"/>
      <c r="E421" s="29"/>
      <c r="G421" s="293"/>
      <c r="H421" s="294"/>
      <c r="I421" s="294"/>
      <c r="J421" s="294"/>
      <c r="K421" s="294"/>
      <c r="L421" s="294"/>
      <c r="O421" s="335"/>
      <c r="AI421" s="31"/>
      <c r="AJ421" s="31"/>
      <c r="AK421" s="32"/>
      <c r="AL421" s="33"/>
      <c r="AM421" s="32"/>
      <c r="AN421" s="33"/>
      <c r="AO421" s="32"/>
      <c r="AP421" s="32"/>
      <c r="AQ421" s="136"/>
      <c r="AR421" s="136"/>
      <c r="AS421" s="136"/>
      <c r="AT421" s="136"/>
      <c r="AU421" s="136"/>
      <c r="AV421" s="136"/>
      <c r="AW421" s="136"/>
      <c r="AX421" s="136"/>
      <c r="AY421" s="136"/>
      <c r="AZ421" s="136"/>
      <c r="BA421" s="136"/>
      <c r="BB421" s="136"/>
      <c r="BC421" s="330"/>
      <c r="BD421" s="330"/>
      <c r="BE421" s="330"/>
      <c r="BF421" s="330"/>
      <c r="BG421" s="330"/>
      <c r="BH421" s="330"/>
      <c r="BI421" s="330"/>
      <c r="BJ421" s="330"/>
      <c r="BK421" s="330"/>
      <c r="BL421" s="330"/>
      <c r="BM421" s="330"/>
      <c r="BN421" s="330"/>
      <c r="BO421" s="330"/>
      <c r="BP421" s="330"/>
      <c r="BQ421" s="330"/>
      <c r="BR421" s="330"/>
      <c r="BS421" s="330"/>
      <c r="BT421" s="330"/>
      <c r="BU421" s="330"/>
      <c r="BV421" s="330"/>
      <c r="BW421" s="330"/>
      <c r="BX421" s="330"/>
    </row>
    <row r="422" spans="2:76" s="28" customFormat="1">
      <c r="B422" s="136"/>
      <c r="D422" s="222"/>
      <c r="E422" s="29"/>
      <c r="G422" s="293"/>
      <c r="H422" s="294"/>
      <c r="I422" s="294"/>
      <c r="J422" s="294"/>
      <c r="K422" s="294"/>
      <c r="L422" s="294"/>
      <c r="O422" s="338"/>
      <c r="AI422" s="31"/>
      <c r="AJ422" s="31"/>
      <c r="AK422" s="32"/>
      <c r="AL422" s="33"/>
      <c r="AM422" s="32"/>
      <c r="AN422" s="33"/>
      <c r="AO422" s="32"/>
      <c r="AP422" s="32"/>
      <c r="AQ422" s="136"/>
      <c r="AR422" s="136"/>
      <c r="AS422" s="136"/>
      <c r="AT422" s="136"/>
      <c r="AU422" s="136"/>
      <c r="AV422" s="136"/>
      <c r="AW422" s="136"/>
      <c r="AX422" s="136"/>
      <c r="AY422" s="136"/>
      <c r="AZ422" s="136"/>
      <c r="BA422" s="136"/>
      <c r="BB422" s="136"/>
      <c r="BC422" s="330"/>
      <c r="BD422" s="330"/>
      <c r="BE422" s="330"/>
      <c r="BF422" s="330"/>
      <c r="BG422" s="330"/>
      <c r="BH422" s="330"/>
      <c r="BI422" s="330"/>
      <c r="BJ422" s="330"/>
      <c r="BK422" s="330"/>
      <c r="BL422" s="330"/>
      <c r="BM422" s="330"/>
      <c r="BN422" s="330"/>
      <c r="BO422" s="330"/>
      <c r="BP422" s="330"/>
      <c r="BQ422" s="330"/>
      <c r="BR422" s="330"/>
      <c r="BS422" s="330"/>
      <c r="BT422" s="330"/>
      <c r="BU422" s="330"/>
      <c r="BV422" s="330"/>
      <c r="BW422" s="330"/>
      <c r="BX422" s="330"/>
    </row>
    <row r="423" spans="2:76" s="28" customFormat="1">
      <c r="B423" s="136"/>
      <c r="D423" s="222"/>
      <c r="E423" s="29"/>
      <c r="G423" s="293"/>
      <c r="H423" s="294"/>
      <c r="I423" s="294"/>
      <c r="J423" s="294"/>
      <c r="K423" s="294"/>
      <c r="L423" s="294"/>
      <c r="O423" s="339"/>
      <c r="AI423" s="31"/>
      <c r="AJ423" s="31"/>
      <c r="AK423" s="32"/>
      <c r="AL423" s="33"/>
      <c r="AM423" s="32"/>
      <c r="AN423" s="33"/>
      <c r="AO423" s="32"/>
      <c r="AP423" s="32"/>
      <c r="AQ423" s="136"/>
      <c r="AR423" s="136"/>
      <c r="AS423" s="136"/>
      <c r="AT423" s="136"/>
      <c r="AU423" s="136"/>
      <c r="AV423" s="136"/>
      <c r="AW423" s="136"/>
      <c r="AX423" s="136"/>
      <c r="AY423" s="136"/>
      <c r="AZ423" s="136"/>
      <c r="BA423" s="136"/>
      <c r="BB423" s="136"/>
      <c r="BC423" s="330"/>
      <c r="BD423" s="330"/>
      <c r="BE423" s="330"/>
      <c r="BF423" s="330"/>
      <c r="BG423" s="330"/>
      <c r="BH423" s="330"/>
      <c r="BI423" s="330"/>
      <c r="BJ423" s="330"/>
      <c r="BK423" s="330"/>
      <c r="BL423" s="330"/>
      <c r="BM423" s="330"/>
      <c r="BN423" s="330"/>
      <c r="BO423" s="330"/>
      <c r="BP423" s="330"/>
      <c r="BQ423" s="330"/>
      <c r="BR423" s="330"/>
      <c r="BS423" s="330"/>
      <c r="BT423" s="330"/>
      <c r="BU423" s="330"/>
      <c r="BV423" s="330"/>
      <c r="BW423" s="330"/>
      <c r="BX423" s="330"/>
    </row>
    <row r="424" spans="2:76" s="28" customFormat="1">
      <c r="B424" s="136"/>
      <c r="D424" s="222"/>
      <c r="E424" s="29"/>
      <c r="G424" s="293"/>
      <c r="H424" s="294"/>
      <c r="I424" s="294"/>
      <c r="J424" s="294"/>
      <c r="K424" s="294"/>
      <c r="L424" s="294"/>
      <c r="O424" s="338"/>
      <c r="AI424" s="31"/>
      <c r="AJ424" s="31"/>
      <c r="AK424" s="32"/>
      <c r="AL424" s="33"/>
      <c r="AM424" s="32"/>
      <c r="AN424" s="33"/>
      <c r="AO424" s="32"/>
      <c r="AP424" s="32"/>
      <c r="AQ424" s="136"/>
      <c r="AR424" s="136"/>
      <c r="AS424" s="136"/>
      <c r="AT424" s="136"/>
      <c r="AU424" s="136"/>
      <c r="AV424" s="136"/>
      <c r="AW424" s="136"/>
      <c r="AX424" s="136"/>
      <c r="AY424" s="136"/>
      <c r="AZ424" s="136"/>
      <c r="BA424" s="136"/>
      <c r="BB424" s="136"/>
      <c r="BC424" s="330"/>
      <c r="BD424" s="330"/>
      <c r="BE424" s="330"/>
      <c r="BF424" s="330"/>
      <c r="BG424" s="330"/>
      <c r="BH424" s="330"/>
      <c r="BI424" s="330"/>
      <c r="BJ424" s="330"/>
      <c r="BK424" s="330"/>
      <c r="BL424" s="330"/>
      <c r="BM424" s="330"/>
      <c r="BN424" s="330"/>
      <c r="BO424" s="330"/>
      <c r="BP424" s="330"/>
      <c r="BQ424" s="330"/>
      <c r="BR424" s="330"/>
      <c r="BS424" s="330"/>
      <c r="BT424" s="330"/>
      <c r="BU424" s="330"/>
      <c r="BV424" s="330"/>
      <c r="BW424" s="330"/>
      <c r="BX424" s="330"/>
    </row>
    <row r="425" spans="2:76" s="28" customFormat="1">
      <c r="B425" s="136"/>
      <c r="D425" s="222"/>
      <c r="E425" s="29"/>
      <c r="G425" s="293"/>
      <c r="H425" s="294"/>
      <c r="I425" s="294"/>
      <c r="J425" s="294"/>
      <c r="K425" s="294"/>
      <c r="L425" s="294"/>
      <c r="O425" s="340"/>
      <c r="AI425" s="31"/>
      <c r="AJ425" s="31"/>
      <c r="AK425" s="32"/>
      <c r="AL425" s="33"/>
      <c r="AM425" s="32"/>
      <c r="AN425" s="33"/>
      <c r="AO425" s="32"/>
      <c r="AP425" s="32"/>
      <c r="AQ425" s="136"/>
      <c r="AR425" s="136"/>
      <c r="AS425" s="136"/>
      <c r="AT425" s="136"/>
      <c r="AU425" s="136"/>
      <c r="AV425" s="136"/>
      <c r="AW425" s="136"/>
      <c r="AX425" s="136"/>
      <c r="AY425" s="136"/>
      <c r="AZ425" s="136"/>
      <c r="BA425" s="136"/>
      <c r="BB425" s="136"/>
      <c r="BC425" s="330"/>
      <c r="BD425" s="330"/>
      <c r="BE425" s="330"/>
      <c r="BF425" s="330"/>
      <c r="BG425" s="330"/>
      <c r="BH425" s="330"/>
      <c r="BI425" s="330"/>
      <c r="BJ425" s="330"/>
      <c r="BK425" s="330"/>
      <c r="BL425" s="330"/>
      <c r="BM425" s="330"/>
      <c r="BN425" s="330"/>
      <c r="BO425" s="330"/>
      <c r="BP425" s="330"/>
      <c r="BQ425" s="330"/>
      <c r="BR425" s="330"/>
      <c r="BS425" s="330"/>
      <c r="BT425" s="330"/>
      <c r="BU425" s="330"/>
      <c r="BV425" s="330"/>
      <c r="BW425" s="330"/>
      <c r="BX425" s="330"/>
    </row>
    <row r="426" spans="2:76" s="28" customFormat="1">
      <c r="B426" s="136"/>
      <c r="D426" s="222"/>
      <c r="E426" s="29"/>
      <c r="G426" s="293"/>
      <c r="H426" s="294"/>
      <c r="I426" s="294"/>
      <c r="J426" s="294"/>
      <c r="K426" s="294"/>
      <c r="L426" s="294"/>
      <c r="O426" s="335"/>
      <c r="AI426" s="31"/>
      <c r="AJ426" s="31"/>
      <c r="AK426" s="32"/>
      <c r="AL426" s="33"/>
      <c r="AM426" s="32"/>
      <c r="AN426" s="33"/>
      <c r="AO426" s="32"/>
      <c r="AP426" s="32"/>
      <c r="AQ426" s="136"/>
      <c r="AR426" s="136"/>
      <c r="AS426" s="136"/>
      <c r="AT426" s="136"/>
      <c r="AU426" s="136"/>
      <c r="AV426" s="136"/>
      <c r="AW426" s="136"/>
      <c r="AX426" s="136"/>
      <c r="AY426" s="136"/>
      <c r="AZ426" s="136"/>
      <c r="BA426" s="136"/>
      <c r="BB426" s="136"/>
      <c r="BC426" s="330"/>
      <c r="BD426" s="330"/>
      <c r="BE426" s="330"/>
      <c r="BF426" s="330"/>
      <c r="BG426" s="330"/>
      <c r="BH426" s="330"/>
      <c r="BI426" s="330"/>
      <c r="BJ426" s="330"/>
      <c r="BK426" s="330"/>
      <c r="BL426" s="330"/>
      <c r="BM426" s="330"/>
      <c r="BN426" s="330"/>
      <c r="BO426" s="330"/>
      <c r="BP426" s="330"/>
      <c r="BQ426" s="330"/>
      <c r="BR426" s="330"/>
      <c r="BS426" s="330"/>
      <c r="BT426" s="330"/>
      <c r="BU426" s="330"/>
      <c r="BV426" s="330"/>
      <c r="BW426" s="330"/>
      <c r="BX426" s="330"/>
    </row>
    <row r="427" spans="2:76" s="28" customFormat="1">
      <c r="B427" s="136"/>
      <c r="D427" s="222"/>
      <c r="E427" s="29"/>
      <c r="G427" s="293"/>
      <c r="H427" s="294"/>
      <c r="I427" s="294"/>
      <c r="J427" s="294"/>
      <c r="K427" s="294"/>
      <c r="L427" s="294"/>
      <c r="O427" s="338"/>
      <c r="AI427" s="31"/>
      <c r="AJ427" s="31"/>
      <c r="AK427" s="32"/>
      <c r="AL427" s="33"/>
      <c r="AM427" s="32"/>
      <c r="AN427" s="33"/>
      <c r="AO427" s="32"/>
      <c r="AP427" s="32"/>
      <c r="AQ427" s="136"/>
      <c r="AR427" s="136"/>
      <c r="AS427" s="136"/>
      <c r="AT427" s="136"/>
      <c r="AU427" s="136"/>
      <c r="AV427" s="136"/>
      <c r="AW427" s="136"/>
      <c r="AX427" s="136"/>
      <c r="AY427" s="136"/>
      <c r="AZ427" s="136"/>
      <c r="BA427" s="136"/>
      <c r="BB427" s="136"/>
      <c r="BC427" s="330"/>
      <c r="BD427" s="330"/>
      <c r="BE427" s="330"/>
      <c r="BF427" s="330"/>
      <c r="BG427" s="330"/>
      <c r="BH427" s="330"/>
      <c r="BI427" s="330"/>
      <c r="BJ427" s="330"/>
      <c r="BK427" s="330"/>
      <c r="BL427" s="330"/>
      <c r="BM427" s="330"/>
      <c r="BN427" s="330"/>
      <c r="BO427" s="330"/>
      <c r="BP427" s="330"/>
      <c r="BQ427" s="330"/>
      <c r="BR427" s="330"/>
      <c r="BS427" s="330"/>
      <c r="BT427" s="330"/>
      <c r="BU427" s="330"/>
      <c r="BV427" s="330"/>
      <c r="BW427" s="330"/>
      <c r="BX427" s="330"/>
    </row>
    <row r="428" spans="2:76" s="28" customFormat="1">
      <c r="B428" s="136"/>
      <c r="D428" s="222"/>
      <c r="E428" s="29"/>
      <c r="G428" s="293"/>
      <c r="H428" s="294"/>
      <c r="I428" s="294"/>
      <c r="J428" s="294"/>
      <c r="K428" s="294"/>
      <c r="L428" s="294"/>
      <c r="O428" s="335"/>
      <c r="AI428" s="31"/>
      <c r="AJ428" s="31"/>
      <c r="AK428" s="32"/>
      <c r="AL428" s="33"/>
      <c r="AM428" s="32"/>
      <c r="AN428" s="33"/>
      <c r="AO428" s="32"/>
      <c r="AP428" s="32"/>
      <c r="AQ428" s="136"/>
      <c r="AR428" s="136"/>
      <c r="AS428" s="136"/>
      <c r="AT428" s="136"/>
      <c r="AU428" s="136"/>
      <c r="AV428" s="136"/>
      <c r="AW428" s="136"/>
      <c r="AX428" s="136"/>
      <c r="AY428" s="136"/>
      <c r="AZ428" s="136"/>
      <c r="BA428" s="136"/>
      <c r="BB428" s="136"/>
      <c r="BC428" s="330"/>
      <c r="BD428" s="330"/>
      <c r="BE428" s="330"/>
      <c r="BF428" s="330"/>
      <c r="BG428" s="330"/>
      <c r="BH428" s="330"/>
      <c r="BI428" s="330"/>
      <c r="BJ428" s="330"/>
      <c r="BK428" s="330"/>
      <c r="BL428" s="330"/>
      <c r="BM428" s="330"/>
      <c r="BN428" s="330"/>
      <c r="BO428" s="330"/>
      <c r="BP428" s="330"/>
      <c r="BQ428" s="330"/>
      <c r="BR428" s="330"/>
      <c r="BS428" s="330"/>
      <c r="BT428" s="330"/>
      <c r="BU428" s="330"/>
      <c r="BV428" s="330"/>
      <c r="BW428" s="330"/>
      <c r="BX428" s="330"/>
    </row>
    <row r="429" spans="2:76" s="28" customFormat="1">
      <c r="B429" s="136"/>
      <c r="D429" s="222"/>
      <c r="E429" s="29"/>
      <c r="G429" s="293"/>
      <c r="H429" s="294"/>
      <c r="I429" s="294"/>
      <c r="J429" s="294"/>
      <c r="K429" s="294"/>
      <c r="L429" s="294"/>
      <c r="O429" s="335"/>
      <c r="AI429" s="31"/>
      <c r="AJ429" s="31"/>
      <c r="AK429" s="32"/>
      <c r="AL429" s="33"/>
      <c r="AM429" s="32"/>
      <c r="AN429" s="33"/>
      <c r="AO429" s="32"/>
      <c r="AP429" s="32"/>
      <c r="AQ429" s="136"/>
      <c r="AR429" s="136"/>
      <c r="AS429" s="136"/>
      <c r="AT429" s="136"/>
      <c r="AU429" s="136"/>
      <c r="AV429" s="136"/>
      <c r="AW429" s="136"/>
      <c r="AX429" s="136"/>
      <c r="AY429" s="136"/>
      <c r="AZ429" s="136"/>
      <c r="BA429" s="136"/>
      <c r="BB429" s="136"/>
      <c r="BC429" s="330"/>
      <c r="BD429" s="330"/>
      <c r="BE429" s="330"/>
      <c r="BF429" s="330"/>
      <c r="BG429" s="330"/>
      <c r="BH429" s="330"/>
      <c r="BI429" s="330"/>
      <c r="BJ429" s="330"/>
      <c r="BK429" s="330"/>
      <c r="BL429" s="330"/>
      <c r="BM429" s="330"/>
      <c r="BN429" s="330"/>
      <c r="BO429" s="330"/>
      <c r="BP429" s="330"/>
      <c r="BQ429" s="330"/>
      <c r="BR429" s="330"/>
      <c r="BS429" s="330"/>
      <c r="BT429" s="330"/>
      <c r="BU429" s="330"/>
      <c r="BV429" s="330"/>
      <c r="BW429" s="330"/>
      <c r="BX429" s="330"/>
    </row>
    <row r="430" spans="2:76" s="28" customFormat="1">
      <c r="B430" s="136"/>
      <c r="D430" s="222"/>
      <c r="E430" s="29"/>
      <c r="G430" s="293"/>
      <c r="H430" s="294"/>
      <c r="I430" s="294"/>
      <c r="J430" s="294"/>
      <c r="K430" s="294"/>
      <c r="L430" s="294"/>
      <c r="O430" s="335"/>
      <c r="AI430" s="31"/>
      <c r="AJ430" s="31"/>
      <c r="AK430" s="32"/>
      <c r="AL430" s="33"/>
      <c r="AM430" s="32"/>
      <c r="AN430" s="33"/>
      <c r="AO430" s="32"/>
      <c r="AP430" s="32"/>
      <c r="AQ430" s="136"/>
      <c r="AR430" s="136"/>
      <c r="AS430" s="136"/>
      <c r="AT430" s="136"/>
      <c r="AU430" s="136"/>
      <c r="AV430" s="136"/>
      <c r="AW430" s="136"/>
      <c r="AX430" s="136"/>
      <c r="AY430" s="136"/>
      <c r="AZ430" s="136"/>
      <c r="BA430" s="136"/>
      <c r="BB430" s="136"/>
      <c r="BC430" s="330"/>
      <c r="BD430" s="330"/>
      <c r="BE430" s="330"/>
      <c r="BF430" s="330"/>
      <c r="BG430" s="330"/>
      <c r="BH430" s="330"/>
      <c r="BI430" s="330"/>
      <c r="BJ430" s="330"/>
      <c r="BK430" s="330"/>
      <c r="BL430" s="330"/>
      <c r="BM430" s="330"/>
      <c r="BN430" s="330"/>
      <c r="BO430" s="330"/>
      <c r="BP430" s="330"/>
      <c r="BQ430" s="330"/>
      <c r="BR430" s="330"/>
      <c r="BS430" s="330"/>
      <c r="BT430" s="330"/>
      <c r="BU430" s="330"/>
      <c r="BV430" s="330"/>
      <c r="BW430" s="330"/>
      <c r="BX430" s="330"/>
    </row>
    <row r="431" spans="2:76" s="28" customFormat="1">
      <c r="B431" s="136"/>
      <c r="D431" s="222"/>
      <c r="E431" s="29"/>
      <c r="G431" s="293"/>
      <c r="H431" s="294"/>
      <c r="I431" s="294"/>
      <c r="J431" s="294"/>
      <c r="K431" s="294"/>
      <c r="L431" s="294"/>
      <c r="O431" s="336"/>
      <c r="AI431" s="31"/>
      <c r="AJ431" s="31"/>
      <c r="AK431" s="32"/>
      <c r="AL431" s="33"/>
      <c r="AM431" s="32"/>
      <c r="AN431" s="33"/>
      <c r="AO431" s="32"/>
      <c r="AP431" s="32"/>
      <c r="AQ431" s="136"/>
      <c r="AR431" s="136"/>
      <c r="AS431" s="136"/>
      <c r="AT431" s="136"/>
      <c r="AU431" s="136"/>
      <c r="AV431" s="136"/>
      <c r="AW431" s="136"/>
      <c r="AX431" s="136"/>
      <c r="AY431" s="136"/>
      <c r="AZ431" s="136"/>
      <c r="BA431" s="136"/>
      <c r="BB431" s="136"/>
      <c r="BC431" s="330"/>
      <c r="BD431" s="330"/>
      <c r="BE431" s="330"/>
      <c r="BF431" s="330"/>
      <c r="BG431" s="330"/>
      <c r="BH431" s="330"/>
      <c r="BI431" s="330"/>
      <c r="BJ431" s="330"/>
      <c r="BK431" s="330"/>
      <c r="BL431" s="330"/>
      <c r="BM431" s="330"/>
      <c r="BN431" s="330"/>
      <c r="BO431" s="330"/>
      <c r="BP431" s="330"/>
      <c r="BQ431" s="330"/>
      <c r="BR431" s="330"/>
      <c r="BS431" s="330"/>
      <c r="BT431" s="330"/>
      <c r="BU431" s="330"/>
      <c r="BV431" s="330"/>
      <c r="BW431" s="330"/>
      <c r="BX431" s="330"/>
    </row>
    <row r="432" spans="2:76" s="28" customFormat="1">
      <c r="B432" s="136"/>
      <c r="D432" s="222"/>
      <c r="E432" s="29"/>
      <c r="G432" s="293"/>
      <c r="H432" s="294"/>
      <c r="I432" s="294"/>
      <c r="J432" s="294"/>
      <c r="K432" s="294"/>
      <c r="L432" s="294"/>
      <c r="O432" s="340"/>
      <c r="AI432" s="31"/>
      <c r="AJ432" s="31"/>
      <c r="AK432" s="32"/>
      <c r="AL432" s="33"/>
      <c r="AM432" s="32"/>
      <c r="AN432" s="33"/>
      <c r="AO432" s="32"/>
      <c r="AP432" s="32"/>
      <c r="AQ432" s="136"/>
      <c r="AR432" s="136"/>
      <c r="AS432" s="136"/>
      <c r="AT432" s="136"/>
      <c r="AU432" s="136"/>
      <c r="AV432" s="136"/>
      <c r="AW432" s="136"/>
      <c r="AX432" s="136"/>
      <c r="AY432" s="136"/>
      <c r="AZ432" s="136"/>
      <c r="BA432" s="136"/>
      <c r="BB432" s="136"/>
      <c r="BC432" s="330"/>
      <c r="BD432" s="330"/>
      <c r="BE432" s="330"/>
      <c r="BF432" s="330"/>
      <c r="BG432" s="330"/>
      <c r="BH432" s="330"/>
      <c r="BI432" s="330"/>
      <c r="BJ432" s="330"/>
      <c r="BK432" s="330"/>
      <c r="BL432" s="330"/>
      <c r="BM432" s="330"/>
      <c r="BN432" s="330"/>
      <c r="BO432" s="330"/>
      <c r="BP432" s="330"/>
      <c r="BQ432" s="330"/>
      <c r="BR432" s="330"/>
      <c r="BS432" s="330"/>
      <c r="BT432" s="330"/>
      <c r="BU432" s="330"/>
      <c r="BV432" s="330"/>
      <c r="BW432" s="330"/>
      <c r="BX432" s="330"/>
    </row>
    <row r="433" spans="2:76" s="28" customFormat="1">
      <c r="B433" s="136"/>
      <c r="D433" s="222"/>
      <c r="E433" s="29"/>
      <c r="G433" s="293"/>
      <c r="H433" s="294"/>
      <c r="I433" s="294"/>
      <c r="J433" s="294"/>
      <c r="K433" s="294"/>
      <c r="L433" s="294"/>
      <c r="O433" s="338"/>
      <c r="AI433" s="31"/>
      <c r="AJ433" s="31"/>
      <c r="AK433" s="32"/>
      <c r="AL433" s="33"/>
      <c r="AM433" s="32"/>
      <c r="AN433" s="33"/>
      <c r="AO433" s="32"/>
      <c r="AP433" s="32"/>
      <c r="AQ433" s="136"/>
      <c r="AR433" s="136"/>
      <c r="AS433" s="136"/>
      <c r="AT433" s="136"/>
      <c r="AU433" s="136"/>
      <c r="AV433" s="136"/>
      <c r="AW433" s="136"/>
      <c r="AX433" s="136"/>
      <c r="AY433" s="136"/>
      <c r="AZ433" s="136"/>
      <c r="BA433" s="136"/>
      <c r="BB433" s="136"/>
      <c r="BC433" s="330"/>
      <c r="BD433" s="330"/>
      <c r="BE433" s="330"/>
      <c r="BF433" s="330"/>
      <c r="BG433" s="330"/>
      <c r="BH433" s="330"/>
      <c r="BI433" s="330"/>
      <c r="BJ433" s="330"/>
      <c r="BK433" s="330"/>
      <c r="BL433" s="330"/>
      <c r="BM433" s="330"/>
      <c r="BN433" s="330"/>
      <c r="BO433" s="330"/>
      <c r="BP433" s="330"/>
      <c r="BQ433" s="330"/>
      <c r="BR433" s="330"/>
      <c r="BS433" s="330"/>
      <c r="BT433" s="330"/>
      <c r="BU433" s="330"/>
      <c r="BV433" s="330"/>
      <c r="BW433" s="330"/>
      <c r="BX433" s="330"/>
    </row>
    <row r="434" spans="2:76" s="28" customFormat="1">
      <c r="B434" s="136"/>
      <c r="D434" s="222"/>
      <c r="E434" s="29"/>
      <c r="G434" s="293"/>
      <c r="H434" s="294"/>
      <c r="I434" s="294"/>
      <c r="J434" s="294"/>
      <c r="K434" s="294"/>
      <c r="L434" s="294"/>
      <c r="O434" s="335"/>
      <c r="AI434" s="31"/>
      <c r="AJ434" s="31"/>
      <c r="AK434" s="32"/>
      <c r="AL434" s="33"/>
      <c r="AM434" s="32"/>
      <c r="AN434" s="33"/>
      <c r="AO434" s="32"/>
      <c r="AP434" s="32"/>
      <c r="AQ434" s="136"/>
      <c r="AR434" s="136"/>
      <c r="AS434" s="136"/>
      <c r="AT434" s="136"/>
      <c r="AU434" s="136"/>
      <c r="AV434" s="136"/>
      <c r="AW434" s="136"/>
      <c r="AX434" s="136"/>
      <c r="AY434" s="136"/>
      <c r="AZ434" s="136"/>
      <c r="BA434" s="136"/>
      <c r="BB434" s="136"/>
      <c r="BC434" s="330"/>
      <c r="BD434" s="330"/>
      <c r="BE434" s="330"/>
      <c r="BF434" s="330"/>
      <c r="BG434" s="330"/>
      <c r="BH434" s="330"/>
      <c r="BI434" s="330"/>
      <c r="BJ434" s="330"/>
      <c r="BK434" s="330"/>
      <c r="BL434" s="330"/>
      <c r="BM434" s="330"/>
      <c r="BN434" s="330"/>
      <c r="BO434" s="330"/>
      <c r="BP434" s="330"/>
      <c r="BQ434" s="330"/>
      <c r="BR434" s="330"/>
      <c r="BS434" s="330"/>
      <c r="BT434" s="330"/>
      <c r="BU434" s="330"/>
      <c r="BV434" s="330"/>
      <c r="BW434" s="330"/>
      <c r="BX434" s="330"/>
    </row>
    <row r="435" spans="2:76" s="28" customFormat="1">
      <c r="B435" s="136"/>
      <c r="D435" s="222"/>
      <c r="E435" s="29"/>
      <c r="G435" s="293"/>
      <c r="H435" s="294"/>
      <c r="I435" s="294"/>
      <c r="J435" s="294"/>
      <c r="K435" s="294"/>
      <c r="L435" s="294"/>
      <c r="O435" s="335"/>
      <c r="AI435" s="31"/>
      <c r="AJ435" s="31"/>
      <c r="AK435" s="32"/>
      <c r="AL435" s="33"/>
      <c r="AM435" s="32"/>
      <c r="AN435" s="33"/>
      <c r="AO435" s="32"/>
      <c r="AP435" s="32"/>
      <c r="AQ435" s="136"/>
      <c r="AR435" s="136"/>
      <c r="AS435" s="136"/>
      <c r="AT435" s="136"/>
      <c r="AU435" s="136"/>
      <c r="AV435" s="136"/>
      <c r="AW435" s="136"/>
      <c r="AX435" s="136"/>
      <c r="AY435" s="136"/>
      <c r="AZ435" s="136"/>
      <c r="BA435" s="136"/>
      <c r="BB435" s="136"/>
      <c r="BC435" s="330"/>
      <c r="BD435" s="330"/>
      <c r="BE435" s="330"/>
      <c r="BF435" s="330"/>
      <c r="BG435" s="330"/>
      <c r="BH435" s="330"/>
      <c r="BI435" s="330"/>
      <c r="BJ435" s="330"/>
      <c r="BK435" s="330"/>
      <c r="BL435" s="330"/>
      <c r="BM435" s="330"/>
      <c r="BN435" s="330"/>
      <c r="BO435" s="330"/>
      <c r="BP435" s="330"/>
      <c r="BQ435" s="330"/>
      <c r="BR435" s="330"/>
      <c r="BS435" s="330"/>
      <c r="BT435" s="330"/>
      <c r="BU435" s="330"/>
      <c r="BV435" s="330"/>
      <c r="BW435" s="330"/>
      <c r="BX435" s="330"/>
    </row>
    <row r="436" spans="2:76" s="28" customFormat="1">
      <c r="B436" s="136"/>
      <c r="D436" s="222"/>
      <c r="E436" s="29"/>
      <c r="G436" s="293"/>
      <c r="H436" s="294"/>
      <c r="I436" s="294"/>
      <c r="J436" s="294"/>
      <c r="K436" s="294"/>
      <c r="L436" s="294"/>
      <c r="O436" s="337"/>
      <c r="AI436" s="31"/>
      <c r="AJ436" s="31"/>
      <c r="AK436" s="32"/>
      <c r="AL436" s="33"/>
      <c r="AM436" s="32"/>
      <c r="AN436" s="33"/>
      <c r="AO436" s="32"/>
      <c r="AP436" s="32"/>
      <c r="AQ436" s="136"/>
      <c r="AR436" s="136"/>
      <c r="AS436" s="136"/>
      <c r="AT436" s="136"/>
      <c r="AU436" s="136"/>
      <c r="AV436" s="136"/>
      <c r="AW436" s="136"/>
      <c r="AX436" s="136"/>
      <c r="AY436" s="136"/>
      <c r="AZ436" s="136"/>
      <c r="BA436" s="136"/>
      <c r="BB436" s="136"/>
      <c r="BC436" s="330"/>
      <c r="BD436" s="330"/>
      <c r="BE436" s="330"/>
      <c r="BF436" s="330"/>
      <c r="BG436" s="330"/>
      <c r="BH436" s="330"/>
      <c r="BI436" s="330"/>
      <c r="BJ436" s="330"/>
      <c r="BK436" s="330"/>
      <c r="BL436" s="330"/>
      <c r="BM436" s="330"/>
      <c r="BN436" s="330"/>
      <c r="BO436" s="330"/>
      <c r="BP436" s="330"/>
      <c r="BQ436" s="330"/>
      <c r="BR436" s="330"/>
      <c r="BS436" s="330"/>
      <c r="BT436" s="330"/>
      <c r="BU436" s="330"/>
      <c r="BV436" s="330"/>
      <c r="BW436" s="330"/>
      <c r="BX436" s="330"/>
    </row>
    <row r="437" spans="2:76" s="28" customFormat="1">
      <c r="B437" s="136"/>
      <c r="D437" s="222"/>
      <c r="E437" s="29"/>
      <c r="G437" s="293"/>
      <c r="H437" s="294"/>
      <c r="I437" s="294"/>
      <c r="J437" s="294"/>
      <c r="K437" s="294"/>
      <c r="L437" s="294"/>
      <c r="O437" s="334"/>
      <c r="AI437" s="31"/>
      <c r="AJ437" s="31"/>
      <c r="AK437" s="32"/>
      <c r="AL437" s="33"/>
      <c r="AM437" s="32"/>
      <c r="AN437" s="33"/>
      <c r="AO437" s="32"/>
      <c r="AP437" s="32"/>
      <c r="AQ437" s="136"/>
      <c r="AR437" s="136"/>
      <c r="AS437" s="136"/>
      <c r="AT437" s="136"/>
      <c r="AU437" s="136"/>
      <c r="AV437" s="136"/>
      <c r="AW437" s="136"/>
      <c r="AX437" s="136"/>
      <c r="AY437" s="136"/>
      <c r="AZ437" s="136"/>
      <c r="BA437" s="136"/>
      <c r="BB437" s="136"/>
      <c r="BC437" s="330"/>
      <c r="BD437" s="330"/>
      <c r="BE437" s="330"/>
      <c r="BF437" s="330"/>
      <c r="BG437" s="330"/>
      <c r="BH437" s="330"/>
      <c r="BI437" s="330"/>
      <c r="BJ437" s="330"/>
      <c r="BK437" s="330"/>
      <c r="BL437" s="330"/>
      <c r="BM437" s="330"/>
      <c r="BN437" s="330"/>
      <c r="BO437" s="330"/>
      <c r="BP437" s="330"/>
      <c r="BQ437" s="330"/>
      <c r="BR437" s="330"/>
      <c r="BS437" s="330"/>
      <c r="BT437" s="330"/>
      <c r="BU437" s="330"/>
      <c r="BV437" s="330"/>
      <c r="BW437" s="330"/>
      <c r="BX437" s="330"/>
    </row>
    <row r="438" spans="2:76" s="28" customFormat="1">
      <c r="B438" s="136"/>
      <c r="D438" s="222"/>
      <c r="E438" s="29"/>
      <c r="G438" s="293"/>
      <c r="H438" s="294"/>
      <c r="I438" s="294"/>
      <c r="J438" s="294"/>
      <c r="K438" s="294"/>
      <c r="L438" s="294"/>
      <c r="O438" s="335"/>
      <c r="AI438" s="31"/>
      <c r="AJ438" s="31"/>
      <c r="AK438" s="32"/>
      <c r="AL438" s="33"/>
      <c r="AM438" s="32"/>
      <c r="AN438" s="33"/>
      <c r="AO438" s="32"/>
      <c r="AP438" s="32"/>
      <c r="AQ438" s="136"/>
      <c r="AR438" s="136"/>
      <c r="AS438" s="136"/>
      <c r="AT438" s="136"/>
      <c r="AU438" s="136"/>
      <c r="AV438" s="136"/>
      <c r="AW438" s="136"/>
      <c r="AX438" s="136"/>
      <c r="AY438" s="136"/>
      <c r="AZ438" s="136"/>
      <c r="BA438" s="136"/>
      <c r="BB438" s="136"/>
      <c r="BC438" s="330"/>
      <c r="BD438" s="330"/>
      <c r="BE438" s="330"/>
      <c r="BF438" s="330"/>
      <c r="BG438" s="330"/>
      <c r="BH438" s="330"/>
      <c r="BI438" s="330"/>
      <c r="BJ438" s="330"/>
      <c r="BK438" s="330"/>
      <c r="BL438" s="330"/>
      <c r="BM438" s="330"/>
      <c r="BN438" s="330"/>
      <c r="BO438" s="330"/>
      <c r="BP438" s="330"/>
      <c r="BQ438" s="330"/>
      <c r="BR438" s="330"/>
      <c r="BS438" s="330"/>
      <c r="BT438" s="330"/>
      <c r="BU438" s="330"/>
      <c r="BV438" s="330"/>
      <c r="BW438" s="330"/>
      <c r="BX438" s="330"/>
    </row>
    <row r="439" spans="2:76" s="28" customFormat="1">
      <c r="B439" s="136"/>
      <c r="D439" s="222"/>
      <c r="E439" s="29"/>
      <c r="G439" s="293"/>
      <c r="H439" s="294"/>
      <c r="I439" s="294"/>
      <c r="J439" s="294"/>
      <c r="K439" s="294"/>
      <c r="L439" s="294"/>
      <c r="O439" s="340"/>
      <c r="AI439" s="31"/>
      <c r="AJ439" s="31"/>
      <c r="AK439" s="32"/>
      <c r="AL439" s="33"/>
      <c r="AM439" s="32"/>
      <c r="AN439" s="33"/>
      <c r="AO439" s="32"/>
      <c r="AP439" s="32"/>
      <c r="AQ439" s="136"/>
      <c r="AR439" s="136"/>
      <c r="AS439" s="136"/>
      <c r="AT439" s="136"/>
      <c r="AU439" s="136"/>
      <c r="AV439" s="136"/>
      <c r="AW439" s="136"/>
      <c r="AX439" s="136"/>
      <c r="AY439" s="136"/>
      <c r="AZ439" s="136"/>
      <c r="BA439" s="136"/>
      <c r="BB439" s="136"/>
      <c r="BC439" s="330"/>
      <c r="BD439" s="330"/>
      <c r="BE439" s="330"/>
      <c r="BF439" s="330"/>
      <c r="BG439" s="330"/>
      <c r="BH439" s="330"/>
      <c r="BI439" s="330"/>
      <c r="BJ439" s="330"/>
      <c r="BK439" s="330"/>
      <c r="BL439" s="330"/>
      <c r="BM439" s="330"/>
      <c r="BN439" s="330"/>
      <c r="BO439" s="330"/>
      <c r="BP439" s="330"/>
      <c r="BQ439" s="330"/>
      <c r="BR439" s="330"/>
      <c r="BS439" s="330"/>
      <c r="BT439" s="330"/>
      <c r="BU439" s="330"/>
      <c r="BV439" s="330"/>
      <c r="BW439" s="330"/>
      <c r="BX439" s="330"/>
    </row>
    <row r="440" spans="2:76" s="28" customFormat="1">
      <c r="B440" s="136"/>
      <c r="D440" s="222"/>
      <c r="E440" s="29"/>
      <c r="G440" s="293"/>
      <c r="H440" s="294"/>
      <c r="I440" s="294"/>
      <c r="J440" s="294"/>
      <c r="K440" s="294"/>
      <c r="L440" s="294"/>
      <c r="O440" s="338"/>
      <c r="AI440" s="31"/>
      <c r="AJ440" s="31"/>
      <c r="AK440" s="32"/>
      <c r="AL440" s="33"/>
      <c r="AM440" s="32"/>
      <c r="AN440" s="33"/>
      <c r="AO440" s="32"/>
      <c r="AP440" s="32"/>
      <c r="AQ440" s="136"/>
      <c r="AR440" s="136"/>
      <c r="AS440" s="136"/>
      <c r="AT440" s="136"/>
      <c r="AU440" s="136"/>
      <c r="AV440" s="136"/>
      <c r="AW440" s="136"/>
      <c r="AX440" s="136"/>
      <c r="AY440" s="136"/>
      <c r="AZ440" s="136"/>
      <c r="BA440" s="136"/>
      <c r="BB440" s="136"/>
      <c r="BC440" s="330"/>
      <c r="BD440" s="330"/>
      <c r="BE440" s="330"/>
      <c r="BF440" s="330"/>
      <c r="BG440" s="330"/>
      <c r="BH440" s="330"/>
      <c r="BI440" s="330"/>
      <c r="BJ440" s="330"/>
      <c r="BK440" s="330"/>
      <c r="BL440" s="330"/>
      <c r="BM440" s="330"/>
      <c r="BN440" s="330"/>
      <c r="BO440" s="330"/>
      <c r="BP440" s="330"/>
      <c r="BQ440" s="330"/>
      <c r="BR440" s="330"/>
      <c r="BS440" s="330"/>
      <c r="BT440" s="330"/>
      <c r="BU440" s="330"/>
      <c r="BV440" s="330"/>
      <c r="BW440" s="330"/>
      <c r="BX440" s="330"/>
    </row>
    <row r="441" spans="2:76" s="28" customFormat="1">
      <c r="B441" s="136"/>
      <c r="D441" s="222"/>
      <c r="E441" s="29"/>
      <c r="G441" s="293"/>
      <c r="H441" s="294"/>
      <c r="I441" s="294"/>
      <c r="J441" s="294"/>
      <c r="K441" s="294"/>
      <c r="L441" s="294"/>
      <c r="O441" s="335"/>
      <c r="AI441" s="31"/>
      <c r="AJ441" s="31"/>
      <c r="AK441" s="32"/>
      <c r="AL441" s="33"/>
      <c r="AM441" s="32"/>
      <c r="AN441" s="33"/>
      <c r="AO441" s="32"/>
      <c r="AP441" s="32"/>
      <c r="AQ441" s="136"/>
      <c r="AR441" s="136"/>
      <c r="AS441" s="136"/>
      <c r="AT441" s="136"/>
      <c r="AU441" s="136"/>
      <c r="AV441" s="136"/>
      <c r="AW441" s="136"/>
      <c r="AX441" s="136"/>
      <c r="AY441" s="136"/>
      <c r="AZ441" s="136"/>
      <c r="BA441" s="136"/>
      <c r="BB441" s="136"/>
      <c r="BC441" s="330"/>
      <c r="BD441" s="330"/>
      <c r="BE441" s="330"/>
      <c r="BF441" s="330"/>
      <c r="BG441" s="330"/>
      <c r="BH441" s="330"/>
      <c r="BI441" s="330"/>
      <c r="BJ441" s="330"/>
      <c r="BK441" s="330"/>
      <c r="BL441" s="330"/>
      <c r="BM441" s="330"/>
      <c r="BN441" s="330"/>
      <c r="BO441" s="330"/>
      <c r="BP441" s="330"/>
      <c r="BQ441" s="330"/>
      <c r="BR441" s="330"/>
      <c r="BS441" s="330"/>
      <c r="BT441" s="330"/>
      <c r="BU441" s="330"/>
      <c r="BV441" s="330"/>
      <c r="BW441" s="330"/>
      <c r="BX441" s="330"/>
    </row>
    <row r="442" spans="2:76" s="28" customFormat="1">
      <c r="B442" s="136"/>
      <c r="D442" s="222"/>
      <c r="E442" s="29"/>
      <c r="G442" s="293"/>
      <c r="H442" s="294"/>
      <c r="I442" s="294"/>
      <c r="J442" s="294"/>
      <c r="K442" s="294"/>
      <c r="L442" s="294"/>
      <c r="O442" s="339"/>
      <c r="AI442" s="31"/>
      <c r="AJ442" s="31"/>
      <c r="AK442" s="32"/>
      <c r="AL442" s="33"/>
      <c r="AM442" s="32"/>
      <c r="AN442" s="33"/>
      <c r="AO442" s="32"/>
      <c r="AP442" s="32"/>
      <c r="AQ442" s="136"/>
      <c r="AR442" s="136"/>
      <c r="AS442" s="136"/>
      <c r="AT442" s="136"/>
      <c r="AU442" s="136"/>
      <c r="AV442" s="136"/>
      <c r="AW442" s="136"/>
      <c r="AX442" s="136"/>
      <c r="AY442" s="136"/>
      <c r="AZ442" s="136"/>
      <c r="BA442" s="136"/>
      <c r="BB442" s="136"/>
      <c r="BC442" s="330"/>
      <c r="BD442" s="330"/>
      <c r="BE442" s="330"/>
      <c r="BF442" s="330"/>
      <c r="BG442" s="330"/>
      <c r="BH442" s="330"/>
      <c r="BI442" s="330"/>
      <c r="BJ442" s="330"/>
      <c r="BK442" s="330"/>
      <c r="BL442" s="330"/>
      <c r="BM442" s="330"/>
      <c r="BN442" s="330"/>
      <c r="BO442" s="330"/>
      <c r="BP442" s="330"/>
      <c r="BQ442" s="330"/>
      <c r="BR442" s="330"/>
      <c r="BS442" s="330"/>
      <c r="BT442" s="330"/>
      <c r="BU442" s="330"/>
      <c r="BV442" s="330"/>
      <c r="BW442" s="330"/>
      <c r="BX442" s="330"/>
    </row>
    <row r="443" spans="2:76" s="28" customFormat="1">
      <c r="B443" s="136"/>
      <c r="D443" s="222"/>
      <c r="E443" s="29"/>
      <c r="G443" s="293"/>
      <c r="H443" s="294"/>
      <c r="I443" s="294"/>
      <c r="J443" s="294"/>
      <c r="K443" s="294"/>
      <c r="L443" s="294"/>
      <c r="O443" s="335"/>
      <c r="AI443" s="31"/>
      <c r="AJ443" s="31"/>
      <c r="AK443" s="32"/>
      <c r="AL443" s="33"/>
      <c r="AM443" s="32"/>
      <c r="AN443" s="33"/>
      <c r="AO443" s="32"/>
      <c r="AP443" s="32"/>
      <c r="AQ443" s="136"/>
      <c r="AR443" s="136"/>
      <c r="AS443" s="136"/>
      <c r="AT443" s="136"/>
      <c r="AU443" s="136"/>
      <c r="AV443" s="136"/>
      <c r="AW443" s="136"/>
      <c r="AX443" s="136"/>
      <c r="AY443" s="136"/>
      <c r="AZ443" s="136"/>
      <c r="BA443" s="136"/>
      <c r="BB443" s="136"/>
      <c r="BC443" s="330"/>
      <c r="BD443" s="330"/>
      <c r="BE443" s="330"/>
      <c r="BF443" s="330"/>
      <c r="BG443" s="330"/>
      <c r="BH443" s="330"/>
      <c r="BI443" s="330"/>
      <c r="BJ443" s="330"/>
      <c r="BK443" s="330"/>
      <c r="BL443" s="330"/>
      <c r="BM443" s="330"/>
      <c r="BN443" s="330"/>
      <c r="BO443" s="330"/>
      <c r="BP443" s="330"/>
      <c r="BQ443" s="330"/>
      <c r="BR443" s="330"/>
      <c r="BS443" s="330"/>
      <c r="BT443" s="330"/>
      <c r="BU443" s="330"/>
      <c r="BV443" s="330"/>
      <c r="BW443" s="330"/>
      <c r="BX443" s="330"/>
    </row>
    <row r="444" spans="2:76" s="28" customFormat="1">
      <c r="B444" s="136"/>
      <c r="D444" s="222"/>
      <c r="E444" s="29"/>
      <c r="G444" s="293"/>
      <c r="H444" s="294"/>
      <c r="I444" s="294"/>
      <c r="J444" s="294"/>
      <c r="K444" s="294"/>
      <c r="L444" s="294"/>
      <c r="O444" s="335"/>
      <c r="AI444" s="31"/>
      <c r="AJ444" s="31"/>
      <c r="AK444" s="32"/>
      <c r="AL444" s="33"/>
      <c r="AM444" s="32"/>
      <c r="AN444" s="33"/>
      <c r="AO444" s="32"/>
      <c r="AP444" s="32"/>
      <c r="AQ444" s="136"/>
      <c r="AR444" s="136"/>
      <c r="AS444" s="136"/>
      <c r="AT444" s="136"/>
      <c r="AU444" s="136"/>
      <c r="AV444" s="136"/>
      <c r="AW444" s="136"/>
      <c r="AX444" s="136"/>
      <c r="AY444" s="136"/>
      <c r="AZ444" s="136"/>
      <c r="BA444" s="136"/>
      <c r="BB444" s="136"/>
      <c r="BC444" s="330"/>
      <c r="BD444" s="330"/>
      <c r="BE444" s="330"/>
      <c r="BF444" s="330"/>
      <c r="BG444" s="330"/>
      <c r="BH444" s="330"/>
      <c r="BI444" s="330"/>
      <c r="BJ444" s="330"/>
      <c r="BK444" s="330"/>
      <c r="BL444" s="330"/>
      <c r="BM444" s="330"/>
      <c r="BN444" s="330"/>
      <c r="BO444" s="330"/>
      <c r="BP444" s="330"/>
      <c r="BQ444" s="330"/>
      <c r="BR444" s="330"/>
      <c r="BS444" s="330"/>
      <c r="BT444" s="330"/>
      <c r="BU444" s="330"/>
      <c r="BV444" s="330"/>
      <c r="BW444" s="330"/>
      <c r="BX444" s="330"/>
    </row>
    <row r="445" spans="2:76" s="28" customFormat="1">
      <c r="B445" s="136"/>
      <c r="D445" s="222"/>
      <c r="E445" s="29"/>
      <c r="G445" s="293"/>
      <c r="H445" s="294"/>
      <c r="I445" s="294"/>
      <c r="J445" s="294"/>
      <c r="K445" s="294"/>
      <c r="L445" s="294"/>
      <c r="O445" s="337"/>
      <c r="AI445" s="31"/>
      <c r="AJ445" s="31"/>
      <c r="AK445" s="32"/>
      <c r="AL445" s="33"/>
      <c r="AM445" s="32"/>
      <c r="AN445" s="33"/>
      <c r="AO445" s="32"/>
      <c r="AP445" s="32"/>
      <c r="AQ445" s="136"/>
      <c r="AR445" s="136"/>
      <c r="AS445" s="136"/>
      <c r="AT445" s="136"/>
      <c r="AU445" s="136"/>
      <c r="AV445" s="136"/>
      <c r="AW445" s="136"/>
      <c r="AX445" s="136"/>
      <c r="AY445" s="136"/>
      <c r="AZ445" s="136"/>
      <c r="BA445" s="136"/>
      <c r="BB445" s="136"/>
      <c r="BC445" s="330"/>
      <c r="BD445" s="330"/>
      <c r="BE445" s="330"/>
      <c r="BF445" s="330"/>
      <c r="BG445" s="330"/>
      <c r="BH445" s="330"/>
      <c r="BI445" s="330"/>
      <c r="BJ445" s="330"/>
      <c r="BK445" s="330"/>
      <c r="BL445" s="330"/>
      <c r="BM445" s="330"/>
      <c r="BN445" s="330"/>
      <c r="BO445" s="330"/>
      <c r="BP445" s="330"/>
      <c r="BQ445" s="330"/>
      <c r="BR445" s="330"/>
      <c r="BS445" s="330"/>
      <c r="BT445" s="330"/>
      <c r="BU445" s="330"/>
      <c r="BV445" s="330"/>
      <c r="BW445" s="330"/>
      <c r="BX445" s="330"/>
    </row>
    <row r="446" spans="2:76" s="28" customFormat="1">
      <c r="B446" s="136"/>
      <c r="D446" s="222"/>
      <c r="E446" s="29"/>
      <c r="G446" s="293"/>
      <c r="H446" s="294"/>
      <c r="I446" s="294"/>
      <c r="J446" s="294"/>
      <c r="K446" s="294"/>
      <c r="L446" s="294"/>
      <c r="O446" s="335"/>
      <c r="AI446" s="31"/>
      <c r="AJ446" s="31"/>
      <c r="AK446" s="32"/>
      <c r="AL446" s="33"/>
      <c r="AM446" s="32"/>
      <c r="AN446" s="33"/>
      <c r="AO446" s="32"/>
      <c r="AP446" s="32"/>
      <c r="AQ446" s="136"/>
      <c r="AR446" s="136"/>
      <c r="AS446" s="136"/>
      <c r="AT446" s="136"/>
      <c r="AU446" s="136"/>
      <c r="AV446" s="136"/>
      <c r="AW446" s="136"/>
      <c r="AX446" s="136"/>
      <c r="AY446" s="136"/>
      <c r="AZ446" s="136"/>
      <c r="BA446" s="136"/>
      <c r="BB446" s="136"/>
      <c r="BC446" s="330"/>
      <c r="BD446" s="330"/>
      <c r="BE446" s="330"/>
      <c r="BF446" s="330"/>
      <c r="BG446" s="330"/>
      <c r="BH446" s="330"/>
      <c r="BI446" s="330"/>
      <c r="BJ446" s="330"/>
      <c r="BK446" s="330"/>
      <c r="BL446" s="330"/>
      <c r="BM446" s="330"/>
      <c r="BN446" s="330"/>
      <c r="BO446" s="330"/>
      <c r="BP446" s="330"/>
      <c r="BQ446" s="330"/>
      <c r="BR446" s="330"/>
      <c r="BS446" s="330"/>
      <c r="BT446" s="330"/>
      <c r="BU446" s="330"/>
      <c r="BV446" s="330"/>
      <c r="BW446" s="330"/>
      <c r="BX446" s="330"/>
    </row>
    <row r="447" spans="2:76" s="28" customFormat="1">
      <c r="B447" s="136"/>
      <c r="D447" s="222"/>
      <c r="E447" s="29"/>
      <c r="G447" s="293"/>
      <c r="H447" s="294"/>
      <c r="I447" s="294"/>
      <c r="J447" s="294"/>
      <c r="K447" s="294"/>
      <c r="L447" s="294"/>
      <c r="O447" s="335"/>
      <c r="AI447" s="31"/>
      <c r="AJ447" s="31"/>
      <c r="AK447" s="32"/>
      <c r="AL447" s="33"/>
      <c r="AM447" s="32"/>
      <c r="AN447" s="33"/>
      <c r="AO447" s="32"/>
      <c r="AP447" s="32"/>
      <c r="AQ447" s="136"/>
      <c r="AR447" s="136"/>
      <c r="AS447" s="136"/>
      <c r="AT447" s="136"/>
      <c r="AU447" s="136"/>
      <c r="AV447" s="136"/>
      <c r="AW447" s="136"/>
      <c r="AX447" s="136"/>
      <c r="AY447" s="136"/>
      <c r="AZ447" s="136"/>
      <c r="BA447" s="136"/>
      <c r="BB447" s="136"/>
      <c r="BC447" s="330"/>
      <c r="BD447" s="330"/>
      <c r="BE447" s="330"/>
      <c r="BF447" s="330"/>
      <c r="BG447" s="330"/>
      <c r="BH447" s="330"/>
      <c r="BI447" s="330"/>
      <c r="BJ447" s="330"/>
      <c r="BK447" s="330"/>
      <c r="BL447" s="330"/>
      <c r="BM447" s="330"/>
      <c r="BN447" s="330"/>
      <c r="BO447" s="330"/>
      <c r="BP447" s="330"/>
      <c r="BQ447" s="330"/>
      <c r="BR447" s="330"/>
      <c r="BS447" s="330"/>
      <c r="BT447" s="330"/>
      <c r="BU447" s="330"/>
      <c r="BV447" s="330"/>
      <c r="BW447" s="330"/>
      <c r="BX447" s="330"/>
    </row>
    <row r="448" spans="2:76" s="28" customFormat="1">
      <c r="B448" s="136"/>
      <c r="D448" s="222"/>
      <c r="E448" s="29"/>
      <c r="G448" s="293"/>
      <c r="H448" s="294"/>
      <c r="I448" s="294"/>
      <c r="J448" s="294"/>
      <c r="K448" s="294"/>
      <c r="L448" s="294"/>
      <c r="O448" s="334"/>
      <c r="AI448" s="31"/>
      <c r="AJ448" s="31"/>
      <c r="AK448" s="32"/>
      <c r="AL448" s="33"/>
      <c r="AM448" s="32"/>
      <c r="AN448" s="33"/>
      <c r="AO448" s="32"/>
      <c r="AP448" s="32"/>
      <c r="AQ448" s="136"/>
      <c r="AR448" s="136"/>
      <c r="AS448" s="136"/>
      <c r="AT448" s="136"/>
      <c r="AU448" s="136"/>
      <c r="AV448" s="136"/>
      <c r="AW448" s="136"/>
      <c r="AX448" s="136"/>
      <c r="AY448" s="136"/>
      <c r="AZ448" s="136"/>
      <c r="BA448" s="136"/>
      <c r="BB448" s="136"/>
      <c r="BC448" s="330"/>
      <c r="BD448" s="330"/>
      <c r="BE448" s="330"/>
      <c r="BF448" s="330"/>
      <c r="BG448" s="330"/>
      <c r="BH448" s="330"/>
      <c r="BI448" s="330"/>
      <c r="BJ448" s="330"/>
      <c r="BK448" s="330"/>
      <c r="BL448" s="330"/>
      <c r="BM448" s="330"/>
      <c r="BN448" s="330"/>
      <c r="BO448" s="330"/>
      <c r="BP448" s="330"/>
      <c r="BQ448" s="330"/>
      <c r="BR448" s="330"/>
      <c r="BS448" s="330"/>
      <c r="BT448" s="330"/>
      <c r="BU448" s="330"/>
      <c r="BV448" s="330"/>
      <c r="BW448" s="330"/>
      <c r="BX448" s="330"/>
    </row>
    <row r="449" spans="2:76" s="28" customFormat="1">
      <c r="B449" s="136"/>
      <c r="D449" s="222"/>
      <c r="E449" s="29"/>
      <c r="G449" s="293"/>
      <c r="H449" s="294"/>
      <c r="I449" s="294"/>
      <c r="J449" s="294"/>
      <c r="K449" s="294"/>
      <c r="L449" s="294"/>
      <c r="O449" s="338"/>
      <c r="AI449" s="31"/>
      <c r="AJ449" s="31"/>
      <c r="AK449" s="32"/>
      <c r="AL449" s="33"/>
      <c r="AM449" s="32"/>
      <c r="AN449" s="33"/>
      <c r="AO449" s="32"/>
      <c r="AP449" s="32"/>
      <c r="AQ449" s="136"/>
      <c r="AR449" s="136"/>
      <c r="AS449" s="136"/>
      <c r="AT449" s="136"/>
      <c r="AU449" s="136"/>
      <c r="AV449" s="136"/>
      <c r="AW449" s="136"/>
      <c r="AX449" s="136"/>
      <c r="AY449" s="136"/>
      <c r="AZ449" s="136"/>
      <c r="BA449" s="136"/>
      <c r="BB449" s="136"/>
      <c r="BC449" s="330"/>
      <c r="BD449" s="330"/>
      <c r="BE449" s="330"/>
      <c r="BF449" s="330"/>
      <c r="BG449" s="330"/>
      <c r="BH449" s="330"/>
      <c r="BI449" s="330"/>
      <c r="BJ449" s="330"/>
      <c r="BK449" s="330"/>
      <c r="BL449" s="330"/>
      <c r="BM449" s="330"/>
      <c r="BN449" s="330"/>
      <c r="BO449" s="330"/>
      <c r="BP449" s="330"/>
      <c r="BQ449" s="330"/>
      <c r="BR449" s="330"/>
      <c r="BS449" s="330"/>
      <c r="BT449" s="330"/>
      <c r="BU449" s="330"/>
      <c r="BV449" s="330"/>
      <c r="BW449" s="330"/>
      <c r="BX449" s="330"/>
    </row>
    <row r="450" spans="2:76" s="28" customFormat="1">
      <c r="B450" s="136"/>
      <c r="D450" s="222"/>
      <c r="E450" s="29"/>
      <c r="G450" s="293"/>
      <c r="H450" s="294"/>
      <c r="I450" s="294"/>
      <c r="J450" s="294"/>
      <c r="K450" s="294"/>
      <c r="L450" s="294"/>
      <c r="O450" s="338"/>
      <c r="AI450" s="31"/>
      <c r="AJ450" s="31"/>
      <c r="AK450" s="32"/>
      <c r="AL450" s="33"/>
      <c r="AM450" s="32"/>
      <c r="AN450" s="33"/>
      <c r="AO450" s="32"/>
      <c r="AP450" s="32"/>
      <c r="AQ450" s="136"/>
      <c r="AR450" s="136"/>
      <c r="AS450" s="136"/>
      <c r="AT450" s="136"/>
      <c r="AU450" s="136"/>
      <c r="AV450" s="136"/>
      <c r="AW450" s="136"/>
      <c r="AX450" s="136"/>
      <c r="AY450" s="136"/>
      <c r="AZ450" s="136"/>
      <c r="BA450" s="136"/>
      <c r="BB450" s="136"/>
      <c r="BC450" s="330"/>
      <c r="BD450" s="330"/>
      <c r="BE450" s="330"/>
      <c r="BF450" s="330"/>
      <c r="BG450" s="330"/>
      <c r="BH450" s="330"/>
      <c r="BI450" s="330"/>
      <c r="BJ450" s="330"/>
      <c r="BK450" s="330"/>
      <c r="BL450" s="330"/>
      <c r="BM450" s="330"/>
      <c r="BN450" s="330"/>
      <c r="BO450" s="330"/>
      <c r="BP450" s="330"/>
      <c r="BQ450" s="330"/>
      <c r="BR450" s="330"/>
      <c r="BS450" s="330"/>
      <c r="BT450" s="330"/>
      <c r="BU450" s="330"/>
      <c r="BV450" s="330"/>
      <c r="BW450" s="330"/>
      <c r="BX450" s="330"/>
    </row>
    <row r="451" spans="2:76" s="28" customFormat="1">
      <c r="B451" s="136"/>
      <c r="D451" s="222"/>
      <c r="E451" s="29"/>
      <c r="G451" s="293"/>
      <c r="H451" s="294"/>
      <c r="I451" s="294"/>
      <c r="J451" s="294"/>
      <c r="K451" s="294"/>
      <c r="L451" s="294"/>
      <c r="O451" s="338"/>
      <c r="AI451" s="31"/>
      <c r="AJ451" s="31"/>
      <c r="AK451" s="32"/>
      <c r="AL451" s="33"/>
      <c r="AM451" s="32"/>
      <c r="AN451" s="33"/>
      <c r="AO451" s="32"/>
      <c r="AP451" s="32"/>
      <c r="AQ451" s="136"/>
      <c r="AR451" s="136"/>
      <c r="AS451" s="136"/>
      <c r="AT451" s="136"/>
      <c r="AU451" s="136"/>
      <c r="AV451" s="136"/>
      <c r="AW451" s="136"/>
      <c r="AX451" s="136"/>
      <c r="AY451" s="136"/>
      <c r="AZ451" s="136"/>
      <c r="BA451" s="136"/>
      <c r="BB451" s="136"/>
      <c r="BC451" s="330"/>
      <c r="BD451" s="330"/>
      <c r="BE451" s="330"/>
      <c r="BF451" s="330"/>
      <c r="BG451" s="330"/>
      <c r="BH451" s="330"/>
      <c r="BI451" s="330"/>
      <c r="BJ451" s="330"/>
      <c r="BK451" s="330"/>
      <c r="BL451" s="330"/>
      <c r="BM451" s="330"/>
      <c r="BN451" s="330"/>
      <c r="BO451" s="330"/>
      <c r="BP451" s="330"/>
      <c r="BQ451" s="330"/>
      <c r="BR451" s="330"/>
      <c r="BS451" s="330"/>
      <c r="BT451" s="330"/>
      <c r="BU451" s="330"/>
      <c r="BV451" s="330"/>
      <c r="BW451" s="330"/>
      <c r="BX451" s="330"/>
    </row>
    <row r="452" spans="2:76" s="28" customFormat="1">
      <c r="B452" s="136"/>
      <c r="D452" s="222"/>
      <c r="E452" s="29"/>
      <c r="G452" s="293"/>
      <c r="H452" s="294"/>
      <c r="I452" s="294"/>
      <c r="J452" s="294"/>
      <c r="K452" s="294"/>
      <c r="L452" s="294"/>
      <c r="O452" s="335"/>
      <c r="AI452" s="31"/>
      <c r="AJ452" s="31"/>
      <c r="AK452" s="32"/>
      <c r="AL452" s="33"/>
      <c r="AM452" s="32"/>
      <c r="AN452" s="33"/>
      <c r="AO452" s="32"/>
      <c r="AP452" s="32"/>
      <c r="AQ452" s="136"/>
      <c r="AR452" s="136"/>
      <c r="AS452" s="136"/>
      <c r="AT452" s="136"/>
      <c r="AU452" s="136"/>
      <c r="AV452" s="136"/>
      <c r="AW452" s="136"/>
      <c r="AX452" s="136"/>
      <c r="AY452" s="136"/>
      <c r="AZ452" s="136"/>
      <c r="BA452" s="136"/>
      <c r="BB452" s="136"/>
      <c r="BC452" s="330"/>
      <c r="BD452" s="330"/>
      <c r="BE452" s="330"/>
      <c r="BF452" s="330"/>
      <c r="BG452" s="330"/>
      <c r="BH452" s="330"/>
      <c r="BI452" s="330"/>
      <c r="BJ452" s="330"/>
      <c r="BK452" s="330"/>
      <c r="BL452" s="330"/>
      <c r="BM452" s="330"/>
      <c r="BN452" s="330"/>
      <c r="BO452" s="330"/>
      <c r="BP452" s="330"/>
      <c r="BQ452" s="330"/>
      <c r="BR452" s="330"/>
      <c r="BS452" s="330"/>
      <c r="BT452" s="330"/>
      <c r="BU452" s="330"/>
      <c r="BV452" s="330"/>
      <c r="BW452" s="330"/>
      <c r="BX452" s="330"/>
    </row>
    <row r="453" spans="2:76" s="28" customFormat="1">
      <c r="B453" s="136"/>
      <c r="D453" s="222"/>
      <c r="E453" s="29"/>
      <c r="G453" s="293"/>
      <c r="H453" s="294"/>
      <c r="I453" s="294"/>
      <c r="J453" s="294"/>
      <c r="K453" s="294"/>
      <c r="L453" s="294"/>
      <c r="O453" s="335"/>
      <c r="AI453" s="31"/>
      <c r="AJ453" s="31"/>
      <c r="AK453" s="32"/>
      <c r="AL453" s="33"/>
      <c r="AM453" s="32"/>
      <c r="AN453" s="33"/>
      <c r="AO453" s="32"/>
      <c r="AP453" s="32"/>
      <c r="AQ453" s="136"/>
      <c r="AR453" s="136"/>
      <c r="AS453" s="136"/>
      <c r="AT453" s="136"/>
      <c r="AU453" s="136"/>
      <c r="AV453" s="136"/>
      <c r="AW453" s="136"/>
      <c r="AX453" s="136"/>
      <c r="AY453" s="136"/>
      <c r="AZ453" s="136"/>
      <c r="BA453" s="136"/>
      <c r="BB453" s="136"/>
      <c r="BC453" s="330"/>
      <c r="BD453" s="330"/>
      <c r="BE453" s="330"/>
      <c r="BF453" s="330"/>
      <c r="BG453" s="330"/>
      <c r="BH453" s="330"/>
      <c r="BI453" s="330"/>
      <c r="BJ453" s="330"/>
      <c r="BK453" s="330"/>
      <c r="BL453" s="330"/>
      <c r="BM453" s="330"/>
      <c r="BN453" s="330"/>
      <c r="BO453" s="330"/>
      <c r="BP453" s="330"/>
      <c r="BQ453" s="330"/>
      <c r="BR453" s="330"/>
      <c r="BS453" s="330"/>
      <c r="BT453" s="330"/>
      <c r="BU453" s="330"/>
      <c r="BV453" s="330"/>
      <c r="BW453" s="330"/>
      <c r="BX453" s="330"/>
    </row>
    <row r="454" spans="2:76" s="28" customFormat="1">
      <c r="B454" s="136"/>
      <c r="D454" s="222"/>
      <c r="E454" s="29"/>
      <c r="G454" s="293"/>
      <c r="H454" s="294"/>
      <c r="I454" s="294"/>
      <c r="J454" s="294"/>
      <c r="K454" s="294"/>
      <c r="L454" s="294"/>
      <c r="O454" s="335"/>
      <c r="AI454" s="31"/>
      <c r="AJ454" s="31"/>
      <c r="AK454" s="32"/>
      <c r="AL454" s="33"/>
      <c r="AM454" s="32"/>
      <c r="AN454" s="33"/>
      <c r="AO454" s="32"/>
      <c r="AP454" s="32"/>
      <c r="AQ454" s="136"/>
      <c r="AR454" s="136"/>
      <c r="AS454" s="136"/>
      <c r="AT454" s="136"/>
      <c r="AU454" s="136"/>
      <c r="AV454" s="136"/>
      <c r="AW454" s="136"/>
      <c r="AX454" s="136"/>
      <c r="AY454" s="136"/>
      <c r="AZ454" s="136"/>
      <c r="BA454" s="136"/>
      <c r="BB454" s="136"/>
      <c r="BC454" s="330"/>
      <c r="BD454" s="330"/>
      <c r="BE454" s="330"/>
      <c r="BF454" s="330"/>
      <c r="BG454" s="330"/>
      <c r="BH454" s="330"/>
      <c r="BI454" s="330"/>
      <c r="BJ454" s="330"/>
      <c r="BK454" s="330"/>
      <c r="BL454" s="330"/>
      <c r="BM454" s="330"/>
      <c r="BN454" s="330"/>
      <c r="BO454" s="330"/>
      <c r="BP454" s="330"/>
      <c r="BQ454" s="330"/>
      <c r="BR454" s="330"/>
      <c r="BS454" s="330"/>
      <c r="BT454" s="330"/>
      <c r="BU454" s="330"/>
      <c r="BV454" s="330"/>
      <c r="BW454" s="330"/>
      <c r="BX454" s="330"/>
    </row>
    <row r="455" spans="2:76" s="28" customFormat="1">
      <c r="B455" s="136"/>
      <c r="D455" s="222"/>
      <c r="E455" s="29"/>
      <c r="G455" s="293"/>
      <c r="H455" s="294"/>
      <c r="I455" s="294"/>
      <c r="J455" s="294"/>
      <c r="K455" s="294"/>
      <c r="L455" s="294"/>
      <c r="O455" s="338"/>
      <c r="AI455" s="31"/>
      <c r="AJ455" s="31"/>
      <c r="AK455" s="32"/>
      <c r="AL455" s="33"/>
      <c r="AM455" s="32"/>
      <c r="AN455" s="33"/>
      <c r="AO455" s="32"/>
      <c r="AP455" s="32"/>
      <c r="AQ455" s="136"/>
      <c r="AR455" s="136"/>
      <c r="AS455" s="136"/>
      <c r="AT455" s="136"/>
      <c r="AU455" s="136"/>
      <c r="AV455" s="136"/>
      <c r="AW455" s="136"/>
      <c r="AX455" s="136"/>
      <c r="AY455" s="136"/>
      <c r="AZ455" s="136"/>
      <c r="BA455" s="136"/>
      <c r="BB455" s="136"/>
      <c r="BC455" s="330"/>
      <c r="BD455" s="330"/>
      <c r="BE455" s="330"/>
      <c r="BF455" s="330"/>
      <c r="BG455" s="330"/>
      <c r="BH455" s="330"/>
      <c r="BI455" s="330"/>
      <c r="BJ455" s="330"/>
      <c r="BK455" s="330"/>
      <c r="BL455" s="330"/>
      <c r="BM455" s="330"/>
      <c r="BN455" s="330"/>
      <c r="BO455" s="330"/>
      <c r="BP455" s="330"/>
      <c r="BQ455" s="330"/>
      <c r="BR455" s="330"/>
      <c r="BS455" s="330"/>
      <c r="BT455" s="330"/>
      <c r="BU455" s="330"/>
      <c r="BV455" s="330"/>
      <c r="BW455" s="330"/>
      <c r="BX455" s="330"/>
    </row>
    <row r="456" spans="2:76" s="28" customFormat="1">
      <c r="B456" s="136"/>
      <c r="D456" s="222"/>
      <c r="E456" s="29"/>
      <c r="G456" s="293"/>
      <c r="H456" s="294"/>
      <c r="I456" s="294"/>
      <c r="J456" s="294"/>
      <c r="K456" s="294"/>
      <c r="L456" s="294"/>
      <c r="O456" s="335"/>
      <c r="AI456" s="31"/>
      <c r="AJ456" s="31"/>
      <c r="AK456" s="32"/>
      <c r="AL456" s="33"/>
      <c r="AM456" s="32"/>
      <c r="AN456" s="33"/>
      <c r="AO456" s="32"/>
      <c r="AP456" s="32"/>
      <c r="AQ456" s="136"/>
      <c r="AR456" s="136"/>
      <c r="AS456" s="136"/>
      <c r="AT456" s="136"/>
      <c r="AU456" s="136"/>
      <c r="AV456" s="136"/>
      <c r="AW456" s="136"/>
      <c r="AX456" s="136"/>
      <c r="AY456" s="136"/>
      <c r="AZ456" s="136"/>
      <c r="BA456" s="136"/>
      <c r="BB456" s="136"/>
      <c r="BC456" s="330"/>
      <c r="BD456" s="330"/>
      <c r="BE456" s="330"/>
      <c r="BF456" s="330"/>
      <c r="BG456" s="330"/>
      <c r="BH456" s="330"/>
      <c r="BI456" s="330"/>
      <c r="BJ456" s="330"/>
      <c r="BK456" s="330"/>
      <c r="BL456" s="330"/>
      <c r="BM456" s="330"/>
      <c r="BN456" s="330"/>
      <c r="BO456" s="330"/>
      <c r="BP456" s="330"/>
      <c r="BQ456" s="330"/>
      <c r="BR456" s="330"/>
      <c r="BS456" s="330"/>
      <c r="BT456" s="330"/>
      <c r="BU456" s="330"/>
      <c r="BV456" s="330"/>
      <c r="BW456" s="330"/>
      <c r="BX456" s="330"/>
    </row>
    <row r="457" spans="2:76" s="28" customFormat="1">
      <c r="B457" s="136"/>
      <c r="D457" s="222"/>
      <c r="E457" s="29"/>
      <c r="G457" s="293"/>
      <c r="H457" s="294"/>
      <c r="I457" s="294"/>
      <c r="J457" s="294"/>
      <c r="K457" s="294"/>
      <c r="L457" s="294"/>
      <c r="O457" s="335"/>
      <c r="AI457" s="31"/>
      <c r="AJ457" s="31"/>
      <c r="AK457" s="32"/>
      <c r="AL457" s="33"/>
      <c r="AM457" s="32"/>
      <c r="AN457" s="33"/>
      <c r="AO457" s="32"/>
      <c r="AP457" s="32"/>
      <c r="AQ457" s="136"/>
      <c r="AR457" s="136"/>
      <c r="AS457" s="136"/>
      <c r="AT457" s="136"/>
      <c r="AU457" s="136"/>
      <c r="AV457" s="136"/>
      <c r="AW457" s="136"/>
      <c r="AX457" s="136"/>
      <c r="AY457" s="136"/>
      <c r="AZ457" s="136"/>
      <c r="BA457" s="136"/>
      <c r="BB457" s="136"/>
      <c r="BC457" s="330"/>
      <c r="BD457" s="330"/>
      <c r="BE457" s="330"/>
      <c r="BF457" s="330"/>
      <c r="BG457" s="330"/>
      <c r="BH457" s="330"/>
      <c r="BI457" s="330"/>
      <c r="BJ457" s="330"/>
      <c r="BK457" s="330"/>
      <c r="BL457" s="330"/>
      <c r="BM457" s="330"/>
      <c r="BN457" s="330"/>
      <c r="BO457" s="330"/>
      <c r="BP457" s="330"/>
      <c r="BQ457" s="330"/>
      <c r="BR457" s="330"/>
      <c r="BS457" s="330"/>
      <c r="BT457" s="330"/>
      <c r="BU457" s="330"/>
      <c r="BV457" s="330"/>
      <c r="BW457" s="330"/>
      <c r="BX457" s="330"/>
    </row>
    <row r="458" spans="2:76" s="28" customFormat="1">
      <c r="B458" s="136"/>
      <c r="D458" s="222"/>
      <c r="E458" s="29"/>
      <c r="G458" s="293"/>
      <c r="H458" s="294"/>
      <c r="I458" s="294"/>
      <c r="J458" s="294"/>
      <c r="K458" s="294"/>
      <c r="L458" s="294"/>
      <c r="O458" s="338"/>
      <c r="AI458" s="31"/>
      <c r="AJ458" s="31"/>
      <c r="AK458" s="32"/>
      <c r="AL458" s="33"/>
      <c r="AM458" s="32"/>
      <c r="AN458" s="33"/>
      <c r="AO458" s="32"/>
      <c r="AP458" s="32"/>
      <c r="AQ458" s="136"/>
      <c r="AR458" s="136"/>
      <c r="AS458" s="136"/>
      <c r="AT458" s="136"/>
      <c r="AU458" s="136"/>
      <c r="AV458" s="136"/>
      <c r="AW458" s="136"/>
      <c r="AX458" s="136"/>
      <c r="AY458" s="136"/>
      <c r="AZ458" s="136"/>
      <c r="BA458" s="136"/>
      <c r="BB458" s="136"/>
      <c r="BC458" s="330"/>
      <c r="BD458" s="330"/>
      <c r="BE458" s="330"/>
      <c r="BF458" s="330"/>
      <c r="BG458" s="330"/>
      <c r="BH458" s="330"/>
      <c r="BI458" s="330"/>
      <c r="BJ458" s="330"/>
      <c r="BK458" s="330"/>
      <c r="BL458" s="330"/>
      <c r="BM458" s="330"/>
      <c r="BN458" s="330"/>
      <c r="BO458" s="330"/>
      <c r="BP458" s="330"/>
      <c r="BQ458" s="330"/>
      <c r="BR458" s="330"/>
      <c r="BS458" s="330"/>
      <c r="BT458" s="330"/>
      <c r="BU458" s="330"/>
      <c r="BV458" s="330"/>
      <c r="BW458" s="330"/>
      <c r="BX458" s="330"/>
    </row>
    <row r="459" spans="2:76" s="28" customFormat="1">
      <c r="B459" s="136"/>
      <c r="D459" s="222"/>
      <c r="E459" s="29"/>
      <c r="G459" s="293"/>
      <c r="H459" s="294"/>
      <c r="I459" s="294"/>
      <c r="J459" s="294"/>
      <c r="K459" s="294"/>
      <c r="L459" s="294"/>
      <c r="O459" s="341"/>
      <c r="AI459" s="31"/>
      <c r="AJ459" s="31"/>
      <c r="AK459" s="32"/>
      <c r="AL459" s="33"/>
      <c r="AM459" s="32"/>
      <c r="AN459" s="33"/>
      <c r="AO459" s="32"/>
      <c r="AP459" s="32"/>
      <c r="AQ459" s="136"/>
      <c r="AR459" s="136"/>
      <c r="AS459" s="136"/>
      <c r="AT459" s="136"/>
      <c r="AU459" s="136"/>
      <c r="AV459" s="136"/>
      <c r="AW459" s="136"/>
      <c r="AX459" s="136"/>
      <c r="AY459" s="136"/>
      <c r="AZ459" s="136"/>
      <c r="BA459" s="136"/>
      <c r="BB459" s="136"/>
      <c r="BC459" s="330"/>
      <c r="BD459" s="330"/>
      <c r="BE459" s="330"/>
      <c r="BF459" s="330"/>
      <c r="BG459" s="330"/>
      <c r="BH459" s="330"/>
      <c r="BI459" s="330"/>
      <c r="BJ459" s="330"/>
      <c r="BK459" s="330"/>
      <c r="BL459" s="330"/>
      <c r="BM459" s="330"/>
      <c r="BN459" s="330"/>
      <c r="BO459" s="330"/>
      <c r="BP459" s="330"/>
      <c r="BQ459" s="330"/>
      <c r="BR459" s="330"/>
      <c r="BS459" s="330"/>
      <c r="BT459" s="330"/>
      <c r="BU459" s="330"/>
      <c r="BV459" s="330"/>
      <c r="BW459" s="330"/>
      <c r="BX459" s="330"/>
    </row>
    <row r="460" spans="2:76" s="28" customFormat="1">
      <c r="B460" s="136"/>
      <c r="D460" s="222"/>
      <c r="E460" s="29"/>
      <c r="G460" s="293"/>
      <c r="H460" s="294"/>
      <c r="I460" s="294"/>
      <c r="J460" s="294"/>
      <c r="K460" s="294"/>
      <c r="L460" s="294"/>
      <c r="O460" s="340"/>
      <c r="AI460" s="31"/>
      <c r="AJ460" s="31"/>
      <c r="AK460" s="32"/>
      <c r="AL460" s="33"/>
      <c r="AM460" s="32"/>
      <c r="AN460" s="33"/>
      <c r="AO460" s="32"/>
      <c r="AP460" s="32"/>
      <c r="AQ460" s="136"/>
      <c r="AR460" s="136"/>
      <c r="AS460" s="136"/>
      <c r="AT460" s="136"/>
      <c r="AU460" s="136"/>
      <c r="AV460" s="136"/>
      <c r="AW460" s="136"/>
      <c r="AX460" s="136"/>
      <c r="AY460" s="136"/>
      <c r="AZ460" s="136"/>
      <c r="BA460" s="136"/>
      <c r="BB460" s="136"/>
      <c r="BC460" s="330"/>
      <c r="BD460" s="330"/>
      <c r="BE460" s="330"/>
      <c r="BF460" s="330"/>
      <c r="BG460" s="330"/>
      <c r="BH460" s="330"/>
      <c r="BI460" s="330"/>
      <c r="BJ460" s="330"/>
      <c r="BK460" s="330"/>
      <c r="BL460" s="330"/>
      <c r="BM460" s="330"/>
      <c r="BN460" s="330"/>
      <c r="BO460" s="330"/>
      <c r="BP460" s="330"/>
      <c r="BQ460" s="330"/>
      <c r="BR460" s="330"/>
      <c r="BS460" s="330"/>
      <c r="BT460" s="330"/>
      <c r="BU460" s="330"/>
      <c r="BV460" s="330"/>
      <c r="BW460" s="330"/>
      <c r="BX460" s="330"/>
    </row>
    <row r="461" spans="2:76" s="28" customFormat="1">
      <c r="B461" s="136"/>
      <c r="D461" s="222"/>
      <c r="E461" s="29"/>
      <c r="G461" s="293"/>
      <c r="H461" s="294"/>
      <c r="I461" s="294"/>
      <c r="J461" s="294"/>
      <c r="K461" s="294"/>
      <c r="L461" s="294"/>
      <c r="O461" s="335"/>
      <c r="AI461" s="31"/>
      <c r="AJ461" s="31"/>
      <c r="AK461" s="32"/>
      <c r="AL461" s="33"/>
      <c r="AM461" s="32"/>
      <c r="AN461" s="33"/>
      <c r="AO461" s="32"/>
      <c r="AP461" s="32"/>
      <c r="AQ461" s="136"/>
      <c r="AR461" s="136"/>
      <c r="AS461" s="136"/>
      <c r="AT461" s="136"/>
      <c r="AU461" s="136"/>
      <c r="AV461" s="136"/>
      <c r="AW461" s="136"/>
      <c r="AX461" s="136"/>
      <c r="AY461" s="136"/>
      <c r="AZ461" s="136"/>
      <c r="BA461" s="136"/>
      <c r="BB461" s="136"/>
      <c r="BC461" s="330"/>
      <c r="BD461" s="330"/>
      <c r="BE461" s="330"/>
      <c r="BF461" s="330"/>
      <c r="BG461" s="330"/>
      <c r="BH461" s="330"/>
      <c r="BI461" s="330"/>
      <c r="BJ461" s="330"/>
      <c r="BK461" s="330"/>
      <c r="BL461" s="330"/>
      <c r="BM461" s="330"/>
      <c r="BN461" s="330"/>
      <c r="BO461" s="330"/>
      <c r="BP461" s="330"/>
      <c r="BQ461" s="330"/>
      <c r="BR461" s="330"/>
      <c r="BS461" s="330"/>
      <c r="BT461" s="330"/>
      <c r="BU461" s="330"/>
      <c r="BV461" s="330"/>
      <c r="BW461" s="330"/>
      <c r="BX461" s="330"/>
    </row>
    <row r="462" spans="2:76" s="28" customFormat="1">
      <c r="B462" s="136"/>
      <c r="D462" s="222"/>
      <c r="E462" s="29"/>
      <c r="G462" s="293"/>
      <c r="H462" s="294"/>
      <c r="I462" s="294"/>
      <c r="J462" s="294"/>
      <c r="K462" s="294"/>
      <c r="L462" s="294"/>
      <c r="O462" s="340"/>
      <c r="AI462" s="31"/>
      <c r="AJ462" s="31"/>
      <c r="AK462" s="32"/>
      <c r="AL462" s="33"/>
      <c r="AM462" s="32"/>
      <c r="AN462" s="33"/>
      <c r="AO462" s="32"/>
      <c r="AP462" s="32"/>
      <c r="AQ462" s="136"/>
      <c r="AR462" s="136"/>
      <c r="AS462" s="136"/>
      <c r="AT462" s="136"/>
      <c r="AU462" s="136"/>
      <c r="AV462" s="136"/>
      <c r="AW462" s="136"/>
      <c r="AX462" s="136"/>
      <c r="AY462" s="136"/>
      <c r="AZ462" s="136"/>
      <c r="BA462" s="136"/>
      <c r="BB462" s="136"/>
      <c r="BC462" s="330"/>
      <c r="BD462" s="330"/>
      <c r="BE462" s="330"/>
      <c r="BF462" s="330"/>
      <c r="BG462" s="330"/>
      <c r="BH462" s="330"/>
      <c r="BI462" s="330"/>
      <c r="BJ462" s="330"/>
      <c r="BK462" s="330"/>
      <c r="BL462" s="330"/>
      <c r="BM462" s="330"/>
      <c r="BN462" s="330"/>
      <c r="BO462" s="330"/>
      <c r="BP462" s="330"/>
      <c r="BQ462" s="330"/>
      <c r="BR462" s="330"/>
      <c r="BS462" s="330"/>
      <c r="BT462" s="330"/>
      <c r="BU462" s="330"/>
      <c r="BV462" s="330"/>
      <c r="BW462" s="330"/>
      <c r="BX462" s="330"/>
    </row>
    <row r="463" spans="2:76" s="28" customFormat="1">
      <c r="B463" s="136"/>
      <c r="D463" s="222"/>
      <c r="E463" s="29"/>
      <c r="G463" s="293"/>
      <c r="H463" s="294"/>
      <c r="I463" s="294"/>
      <c r="J463" s="294"/>
      <c r="K463" s="294"/>
      <c r="L463" s="294"/>
      <c r="O463" s="335"/>
      <c r="AI463" s="31"/>
      <c r="AJ463" s="31"/>
      <c r="AK463" s="32"/>
      <c r="AL463" s="33"/>
      <c r="AM463" s="32"/>
      <c r="AN463" s="33"/>
      <c r="AO463" s="32"/>
      <c r="AP463" s="32"/>
      <c r="AQ463" s="136"/>
      <c r="AR463" s="136"/>
      <c r="AS463" s="136"/>
      <c r="AT463" s="136"/>
      <c r="AU463" s="136"/>
      <c r="AV463" s="136"/>
      <c r="AW463" s="136"/>
      <c r="AX463" s="136"/>
      <c r="AY463" s="136"/>
      <c r="AZ463" s="136"/>
      <c r="BA463" s="136"/>
      <c r="BB463" s="136"/>
      <c r="BC463" s="330"/>
      <c r="BD463" s="330"/>
      <c r="BE463" s="330"/>
      <c r="BF463" s="330"/>
      <c r="BG463" s="330"/>
      <c r="BH463" s="330"/>
      <c r="BI463" s="330"/>
      <c r="BJ463" s="330"/>
      <c r="BK463" s="330"/>
      <c r="BL463" s="330"/>
      <c r="BM463" s="330"/>
      <c r="BN463" s="330"/>
      <c r="BO463" s="330"/>
      <c r="BP463" s="330"/>
      <c r="BQ463" s="330"/>
      <c r="BR463" s="330"/>
      <c r="BS463" s="330"/>
      <c r="BT463" s="330"/>
      <c r="BU463" s="330"/>
      <c r="BV463" s="330"/>
      <c r="BW463" s="330"/>
      <c r="BX463" s="330"/>
    </row>
    <row r="464" spans="2:76" s="28" customFormat="1">
      <c r="B464" s="136"/>
      <c r="D464" s="222"/>
      <c r="E464" s="29"/>
      <c r="G464" s="293"/>
      <c r="H464" s="294"/>
      <c r="I464" s="294"/>
      <c r="J464" s="294"/>
      <c r="K464" s="294"/>
      <c r="L464" s="294"/>
      <c r="O464" s="339"/>
      <c r="AI464" s="31"/>
      <c r="AJ464" s="31"/>
      <c r="AK464" s="32"/>
      <c r="AL464" s="33"/>
      <c r="AM464" s="32"/>
      <c r="AN464" s="33"/>
      <c r="AO464" s="32"/>
      <c r="AP464" s="32"/>
      <c r="AQ464" s="136"/>
      <c r="AR464" s="136"/>
      <c r="AS464" s="136"/>
      <c r="AT464" s="136"/>
      <c r="AU464" s="136"/>
      <c r="AV464" s="136"/>
      <c r="AW464" s="136"/>
      <c r="AX464" s="136"/>
      <c r="AY464" s="136"/>
      <c r="AZ464" s="136"/>
      <c r="BA464" s="136"/>
      <c r="BB464" s="136"/>
      <c r="BC464" s="330"/>
      <c r="BD464" s="330"/>
      <c r="BE464" s="330"/>
      <c r="BF464" s="330"/>
      <c r="BG464" s="330"/>
      <c r="BH464" s="330"/>
      <c r="BI464" s="330"/>
      <c r="BJ464" s="330"/>
      <c r="BK464" s="330"/>
      <c r="BL464" s="330"/>
      <c r="BM464" s="330"/>
      <c r="BN464" s="330"/>
      <c r="BO464" s="330"/>
      <c r="BP464" s="330"/>
      <c r="BQ464" s="330"/>
      <c r="BR464" s="330"/>
      <c r="BS464" s="330"/>
      <c r="BT464" s="330"/>
      <c r="BU464" s="330"/>
      <c r="BV464" s="330"/>
      <c r="BW464" s="330"/>
      <c r="BX464" s="330"/>
    </row>
    <row r="465" spans="2:76" s="28" customFormat="1">
      <c r="B465" s="136"/>
      <c r="D465" s="222"/>
      <c r="E465" s="29"/>
      <c r="G465" s="293"/>
      <c r="H465" s="294"/>
      <c r="I465" s="294"/>
      <c r="J465" s="294"/>
      <c r="K465" s="294"/>
      <c r="L465" s="294"/>
      <c r="O465" s="335"/>
      <c r="AI465" s="31"/>
      <c r="AJ465" s="31"/>
      <c r="AK465" s="32"/>
      <c r="AL465" s="33"/>
      <c r="AM465" s="32"/>
      <c r="AN465" s="33"/>
      <c r="AO465" s="32"/>
      <c r="AP465" s="32"/>
      <c r="AQ465" s="136"/>
      <c r="AR465" s="136"/>
      <c r="AS465" s="136"/>
      <c r="AT465" s="136"/>
      <c r="AU465" s="136"/>
      <c r="AV465" s="136"/>
      <c r="AW465" s="136"/>
      <c r="AX465" s="136"/>
      <c r="AY465" s="136"/>
      <c r="AZ465" s="136"/>
      <c r="BA465" s="136"/>
      <c r="BB465" s="136"/>
      <c r="BC465" s="330"/>
      <c r="BD465" s="330"/>
      <c r="BE465" s="330"/>
      <c r="BF465" s="330"/>
      <c r="BG465" s="330"/>
      <c r="BH465" s="330"/>
      <c r="BI465" s="330"/>
      <c r="BJ465" s="330"/>
      <c r="BK465" s="330"/>
      <c r="BL465" s="330"/>
      <c r="BM465" s="330"/>
      <c r="BN465" s="330"/>
      <c r="BO465" s="330"/>
      <c r="BP465" s="330"/>
      <c r="BQ465" s="330"/>
      <c r="BR465" s="330"/>
      <c r="BS465" s="330"/>
      <c r="BT465" s="330"/>
      <c r="BU465" s="330"/>
      <c r="BV465" s="330"/>
      <c r="BW465" s="330"/>
      <c r="BX465" s="330"/>
    </row>
    <row r="466" spans="2:76" s="28" customFormat="1">
      <c r="B466" s="136"/>
      <c r="D466" s="222"/>
      <c r="E466" s="29"/>
      <c r="G466" s="293"/>
      <c r="H466" s="294"/>
      <c r="I466" s="294"/>
      <c r="J466" s="294"/>
      <c r="K466" s="294"/>
      <c r="L466" s="294"/>
      <c r="O466" s="338"/>
      <c r="AI466" s="31"/>
      <c r="AJ466" s="31"/>
      <c r="AK466" s="32"/>
      <c r="AL466" s="33"/>
      <c r="AM466" s="32"/>
      <c r="AN466" s="33"/>
      <c r="AO466" s="32"/>
      <c r="AP466" s="32"/>
      <c r="AQ466" s="136"/>
      <c r="AR466" s="136"/>
      <c r="AS466" s="136"/>
      <c r="AT466" s="136"/>
      <c r="AU466" s="136"/>
      <c r="AV466" s="136"/>
      <c r="AW466" s="136"/>
      <c r="AX466" s="136"/>
      <c r="AY466" s="136"/>
      <c r="AZ466" s="136"/>
      <c r="BA466" s="136"/>
      <c r="BB466" s="136"/>
      <c r="BC466" s="330"/>
      <c r="BD466" s="330"/>
      <c r="BE466" s="330"/>
      <c r="BF466" s="330"/>
      <c r="BG466" s="330"/>
      <c r="BH466" s="330"/>
      <c r="BI466" s="330"/>
      <c r="BJ466" s="330"/>
      <c r="BK466" s="330"/>
      <c r="BL466" s="330"/>
      <c r="BM466" s="330"/>
      <c r="BN466" s="330"/>
      <c r="BO466" s="330"/>
      <c r="BP466" s="330"/>
      <c r="BQ466" s="330"/>
      <c r="BR466" s="330"/>
      <c r="BS466" s="330"/>
      <c r="BT466" s="330"/>
      <c r="BU466" s="330"/>
      <c r="BV466" s="330"/>
      <c r="BW466" s="330"/>
      <c r="BX466" s="330"/>
    </row>
    <row r="467" spans="2:76" s="28" customFormat="1">
      <c r="B467" s="136"/>
      <c r="D467" s="222"/>
      <c r="E467" s="29"/>
      <c r="G467" s="293"/>
      <c r="H467" s="294"/>
      <c r="I467" s="294"/>
      <c r="J467" s="294"/>
      <c r="K467" s="294"/>
      <c r="L467" s="294"/>
      <c r="O467" s="339"/>
      <c r="AI467" s="31"/>
      <c r="AJ467" s="31"/>
      <c r="AK467" s="32"/>
      <c r="AL467" s="33"/>
      <c r="AM467" s="32"/>
      <c r="AN467" s="33"/>
      <c r="AO467" s="32"/>
      <c r="AP467" s="32"/>
      <c r="AQ467" s="136"/>
      <c r="AR467" s="136"/>
      <c r="AS467" s="136"/>
      <c r="AT467" s="136"/>
      <c r="AU467" s="136"/>
      <c r="AV467" s="136"/>
      <c r="AW467" s="136"/>
      <c r="AX467" s="136"/>
      <c r="AY467" s="136"/>
      <c r="AZ467" s="136"/>
      <c r="BA467" s="136"/>
      <c r="BB467" s="136"/>
      <c r="BC467" s="330"/>
      <c r="BD467" s="330"/>
      <c r="BE467" s="330"/>
      <c r="BF467" s="330"/>
      <c r="BG467" s="330"/>
      <c r="BH467" s="330"/>
      <c r="BI467" s="330"/>
      <c r="BJ467" s="330"/>
      <c r="BK467" s="330"/>
      <c r="BL467" s="330"/>
      <c r="BM467" s="330"/>
      <c r="BN467" s="330"/>
      <c r="BO467" s="330"/>
      <c r="BP467" s="330"/>
      <c r="BQ467" s="330"/>
      <c r="BR467" s="330"/>
      <c r="BS467" s="330"/>
      <c r="BT467" s="330"/>
      <c r="BU467" s="330"/>
      <c r="BV467" s="330"/>
      <c r="BW467" s="330"/>
      <c r="BX467" s="330"/>
    </row>
    <row r="468" spans="2:76" s="28" customFormat="1">
      <c r="B468" s="136"/>
      <c r="D468" s="222"/>
      <c r="E468" s="29"/>
      <c r="G468" s="293"/>
      <c r="H468" s="294"/>
      <c r="I468" s="294"/>
      <c r="J468" s="294"/>
      <c r="K468" s="294"/>
      <c r="L468" s="294"/>
      <c r="O468" s="337"/>
      <c r="AI468" s="31"/>
      <c r="AJ468" s="31"/>
      <c r="AK468" s="32"/>
      <c r="AL468" s="33"/>
      <c r="AM468" s="32"/>
      <c r="AN468" s="33"/>
      <c r="AO468" s="32"/>
      <c r="AP468" s="32"/>
      <c r="AQ468" s="136"/>
      <c r="AR468" s="136"/>
      <c r="AS468" s="136"/>
      <c r="AT468" s="136"/>
      <c r="AU468" s="136"/>
      <c r="AV468" s="136"/>
      <c r="AW468" s="136"/>
      <c r="AX468" s="136"/>
      <c r="AY468" s="136"/>
      <c r="AZ468" s="136"/>
      <c r="BA468" s="136"/>
      <c r="BB468" s="136"/>
      <c r="BC468" s="330"/>
      <c r="BD468" s="330"/>
      <c r="BE468" s="330"/>
      <c r="BF468" s="330"/>
      <c r="BG468" s="330"/>
      <c r="BH468" s="330"/>
      <c r="BI468" s="330"/>
      <c r="BJ468" s="330"/>
      <c r="BK468" s="330"/>
      <c r="BL468" s="330"/>
      <c r="BM468" s="330"/>
      <c r="BN468" s="330"/>
      <c r="BO468" s="330"/>
      <c r="BP468" s="330"/>
      <c r="BQ468" s="330"/>
      <c r="BR468" s="330"/>
      <c r="BS468" s="330"/>
      <c r="BT468" s="330"/>
      <c r="BU468" s="330"/>
      <c r="BV468" s="330"/>
      <c r="BW468" s="330"/>
      <c r="BX468" s="330"/>
    </row>
    <row r="469" spans="2:76" s="28" customFormat="1">
      <c r="B469" s="136"/>
      <c r="D469" s="222"/>
      <c r="E469" s="29"/>
      <c r="G469" s="293"/>
      <c r="H469" s="294"/>
      <c r="I469" s="294"/>
      <c r="J469" s="294"/>
      <c r="K469" s="294"/>
      <c r="L469" s="294"/>
      <c r="O469" s="346"/>
      <c r="AI469" s="31"/>
      <c r="AJ469" s="31"/>
      <c r="AK469" s="32"/>
      <c r="AL469" s="33"/>
      <c r="AM469" s="32"/>
      <c r="AN469" s="33"/>
      <c r="AO469" s="32"/>
      <c r="AP469" s="32"/>
      <c r="AQ469" s="136"/>
      <c r="AR469" s="136"/>
      <c r="AS469" s="136"/>
      <c r="AT469" s="136"/>
      <c r="AU469" s="136"/>
      <c r="AV469" s="136"/>
      <c r="AW469" s="136"/>
      <c r="AX469" s="136"/>
      <c r="AY469" s="136"/>
      <c r="AZ469" s="136"/>
      <c r="BA469" s="136"/>
      <c r="BB469" s="136"/>
      <c r="BC469" s="330"/>
      <c r="BD469" s="330"/>
      <c r="BE469" s="330"/>
      <c r="BF469" s="330"/>
      <c r="BG469" s="330"/>
      <c r="BH469" s="330"/>
      <c r="BI469" s="330"/>
      <c r="BJ469" s="330"/>
      <c r="BK469" s="330"/>
      <c r="BL469" s="330"/>
      <c r="BM469" s="330"/>
      <c r="BN469" s="330"/>
      <c r="BO469" s="330"/>
      <c r="BP469" s="330"/>
      <c r="BQ469" s="330"/>
      <c r="BR469" s="330"/>
      <c r="BS469" s="330"/>
      <c r="BT469" s="330"/>
      <c r="BU469" s="330"/>
      <c r="BV469" s="330"/>
      <c r="BW469" s="330"/>
      <c r="BX469" s="330"/>
    </row>
    <row r="470" spans="2:76" s="28" customFormat="1">
      <c r="B470" s="136"/>
      <c r="D470" s="222"/>
      <c r="E470" s="29"/>
      <c r="G470" s="293"/>
      <c r="H470" s="294"/>
      <c r="I470" s="294"/>
      <c r="J470" s="294"/>
      <c r="K470" s="294"/>
      <c r="L470" s="294"/>
      <c r="O470" s="339"/>
      <c r="AI470" s="31"/>
      <c r="AJ470" s="31"/>
      <c r="AK470" s="32"/>
      <c r="AL470" s="33"/>
      <c r="AM470" s="32"/>
      <c r="AN470" s="33"/>
      <c r="AO470" s="32"/>
      <c r="AP470" s="32"/>
      <c r="AQ470" s="136"/>
      <c r="AR470" s="136"/>
      <c r="AS470" s="136"/>
      <c r="AT470" s="136"/>
      <c r="AU470" s="136"/>
      <c r="AV470" s="136"/>
      <c r="AW470" s="136"/>
      <c r="AX470" s="136"/>
      <c r="AY470" s="136"/>
      <c r="AZ470" s="136"/>
      <c r="BA470" s="136"/>
      <c r="BB470" s="136"/>
      <c r="BC470" s="330"/>
      <c r="BD470" s="330"/>
      <c r="BE470" s="330"/>
      <c r="BF470" s="330"/>
      <c r="BG470" s="330"/>
      <c r="BH470" s="330"/>
      <c r="BI470" s="330"/>
      <c r="BJ470" s="330"/>
      <c r="BK470" s="330"/>
      <c r="BL470" s="330"/>
      <c r="BM470" s="330"/>
      <c r="BN470" s="330"/>
      <c r="BO470" s="330"/>
      <c r="BP470" s="330"/>
      <c r="BQ470" s="330"/>
      <c r="BR470" s="330"/>
      <c r="BS470" s="330"/>
      <c r="BT470" s="330"/>
      <c r="BU470" s="330"/>
      <c r="BV470" s="330"/>
      <c r="BW470" s="330"/>
      <c r="BX470" s="330"/>
    </row>
    <row r="471" spans="2:76" s="28" customFormat="1">
      <c r="B471" s="136"/>
      <c r="D471" s="222"/>
      <c r="E471" s="29"/>
      <c r="G471" s="293"/>
      <c r="H471" s="294"/>
      <c r="I471" s="294"/>
      <c r="J471" s="294"/>
      <c r="K471" s="294"/>
      <c r="L471" s="294"/>
      <c r="O471" s="335"/>
      <c r="AI471" s="31"/>
      <c r="AJ471" s="31"/>
      <c r="AK471" s="32"/>
      <c r="AL471" s="33"/>
      <c r="AM471" s="32"/>
      <c r="AN471" s="33"/>
      <c r="AO471" s="32"/>
      <c r="AP471" s="32"/>
      <c r="AQ471" s="136"/>
      <c r="AR471" s="136"/>
      <c r="AS471" s="136"/>
      <c r="AT471" s="136"/>
      <c r="AU471" s="136"/>
      <c r="AV471" s="136"/>
      <c r="AW471" s="136"/>
      <c r="AX471" s="136"/>
      <c r="AY471" s="136"/>
      <c r="AZ471" s="136"/>
      <c r="BA471" s="136"/>
      <c r="BB471" s="136"/>
      <c r="BC471" s="330"/>
      <c r="BD471" s="330"/>
      <c r="BE471" s="330"/>
      <c r="BF471" s="330"/>
      <c r="BG471" s="330"/>
      <c r="BH471" s="330"/>
      <c r="BI471" s="330"/>
      <c r="BJ471" s="330"/>
      <c r="BK471" s="330"/>
      <c r="BL471" s="330"/>
      <c r="BM471" s="330"/>
      <c r="BN471" s="330"/>
      <c r="BO471" s="330"/>
      <c r="BP471" s="330"/>
      <c r="BQ471" s="330"/>
      <c r="BR471" s="330"/>
      <c r="BS471" s="330"/>
      <c r="BT471" s="330"/>
      <c r="BU471" s="330"/>
      <c r="BV471" s="330"/>
      <c r="BW471" s="330"/>
      <c r="BX471" s="330"/>
    </row>
    <row r="472" spans="2:76" s="28" customFormat="1">
      <c r="B472" s="136"/>
      <c r="D472" s="222"/>
      <c r="E472" s="29"/>
      <c r="G472" s="293"/>
      <c r="H472" s="294"/>
      <c r="I472" s="294"/>
      <c r="J472" s="294"/>
      <c r="K472" s="294"/>
      <c r="L472" s="294"/>
      <c r="O472" s="339"/>
      <c r="AI472" s="31"/>
      <c r="AJ472" s="31"/>
      <c r="AK472" s="32"/>
      <c r="AL472" s="33"/>
      <c r="AM472" s="32"/>
      <c r="AN472" s="33"/>
      <c r="AO472" s="32"/>
      <c r="AP472" s="32"/>
      <c r="AQ472" s="136"/>
      <c r="AR472" s="136"/>
      <c r="AS472" s="136"/>
      <c r="AT472" s="136"/>
      <c r="AU472" s="136"/>
      <c r="AV472" s="136"/>
      <c r="AW472" s="136"/>
      <c r="AX472" s="136"/>
      <c r="AY472" s="136"/>
      <c r="AZ472" s="136"/>
      <c r="BA472" s="136"/>
      <c r="BB472" s="136"/>
      <c r="BC472" s="330"/>
      <c r="BD472" s="330"/>
      <c r="BE472" s="330"/>
      <c r="BF472" s="330"/>
      <c r="BG472" s="330"/>
      <c r="BH472" s="330"/>
      <c r="BI472" s="330"/>
      <c r="BJ472" s="330"/>
      <c r="BK472" s="330"/>
      <c r="BL472" s="330"/>
      <c r="BM472" s="330"/>
      <c r="BN472" s="330"/>
      <c r="BO472" s="330"/>
      <c r="BP472" s="330"/>
      <c r="BQ472" s="330"/>
      <c r="BR472" s="330"/>
      <c r="BS472" s="330"/>
      <c r="BT472" s="330"/>
      <c r="BU472" s="330"/>
      <c r="BV472" s="330"/>
      <c r="BW472" s="330"/>
      <c r="BX472" s="330"/>
    </row>
    <row r="473" spans="2:76" s="28" customFormat="1">
      <c r="B473" s="136"/>
      <c r="D473" s="222"/>
      <c r="E473" s="29"/>
      <c r="G473" s="293"/>
      <c r="H473" s="294"/>
      <c r="I473" s="294"/>
      <c r="J473" s="294"/>
      <c r="K473" s="294"/>
      <c r="L473" s="294"/>
      <c r="O473" s="338"/>
      <c r="AI473" s="31"/>
      <c r="AJ473" s="31"/>
      <c r="AK473" s="32"/>
      <c r="AL473" s="33"/>
      <c r="AM473" s="32"/>
      <c r="AN473" s="33"/>
      <c r="AO473" s="32"/>
      <c r="AP473" s="32"/>
      <c r="AQ473" s="136"/>
      <c r="AR473" s="136"/>
      <c r="AS473" s="136"/>
      <c r="AT473" s="136"/>
      <c r="AU473" s="136"/>
      <c r="AV473" s="136"/>
      <c r="AW473" s="136"/>
      <c r="AX473" s="136"/>
      <c r="AY473" s="136"/>
      <c r="AZ473" s="136"/>
      <c r="BA473" s="136"/>
      <c r="BB473" s="136"/>
      <c r="BC473" s="330"/>
      <c r="BD473" s="330"/>
      <c r="BE473" s="330"/>
      <c r="BF473" s="330"/>
      <c r="BG473" s="330"/>
      <c r="BH473" s="330"/>
      <c r="BI473" s="330"/>
      <c r="BJ473" s="330"/>
      <c r="BK473" s="330"/>
      <c r="BL473" s="330"/>
      <c r="BM473" s="330"/>
      <c r="BN473" s="330"/>
      <c r="BO473" s="330"/>
      <c r="BP473" s="330"/>
      <c r="BQ473" s="330"/>
      <c r="BR473" s="330"/>
      <c r="BS473" s="330"/>
      <c r="BT473" s="330"/>
      <c r="BU473" s="330"/>
      <c r="BV473" s="330"/>
      <c r="BW473" s="330"/>
      <c r="BX473" s="330"/>
    </row>
    <row r="474" spans="2:76" s="28" customFormat="1">
      <c r="B474" s="136"/>
      <c r="D474" s="222"/>
      <c r="E474" s="29"/>
      <c r="G474" s="293"/>
      <c r="H474" s="294"/>
      <c r="I474" s="294"/>
      <c r="J474" s="294"/>
      <c r="K474" s="294"/>
      <c r="L474" s="294"/>
      <c r="O474" s="335"/>
      <c r="AI474" s="31"/>
      <c r="AJ474" s="31"/>
      <c r="AK474" s="32"/>
      <c r="AL474" s="33"/>
      <c r="AM474" s="32"/>
      <c r="AN474" s="33"/>
      <c r="AO474" s="32"/>
      <c r="AP474" s="32"/>
      <c r="AQ474" s="136"/>
      <c r="AR474" s="136"/>
      <c r="AS474" s="136"/>
      <c r="AT474" s="136"/>
      <c r="AU474" s="136"/>
      <c r="AV474" s="136"/>
      <c r="AW474" s="136"/>
      <c r="AX474" s="136"/>
      <c r="AY474" s="136"/>
      <c r="AZ474" s="136"/>
      <c r="BA474" s="136"/>
      <c r="BB474" s="136"/>
      <c r="BC474" s="330"/>
      <c r="BD474" s="330"/>
      <c r="BE474" s="330"/>
      <c r="BF474" s="330"/>
      <c r="BG474" s="330"/>
      <c r="BH474" s="330"/>
      <c r="BI474" s="330"/>
      <c r="BJ474" s="330"/>
      <c r="BK474" s="330"/>
      <c r="BL474" s="330"/>
      <c r="BM474" s="330"/>
      <c r="BN474" s="330"/>
      <c r="BO474" s="330"/>
      <c r="BP474" s="330"/>
      <c r="BQ474" s="330"/>
      <c r="BR474" s="330"/>
      <c r="BS474" s="330"/>
      <c r="BT474" s="330"/>
      <c r="BU474" s="330"/>
      <c r="BV474" s="330"/>
      <c r="BW474" s="330"/>
      <c r="BX474" s="330"/>
    </row>
    <row r="475" spans="2:76" s="28" customFormat="1">
      <c r="B475" s="136"/>
      <c r="D475" s="222"/>
      <c r="E475" s="29"/>
      <c r="G475" s="293"/>
      <c r="H475" s="294"/>
      <c r="I475" s="294"/>
      <c r="J475" s="294"/>
      <c r="K475" s="294"/>
      <c r="L475" s="294"/>
      <c r="O475" s="335"/>
      <c r="AI475" s="31"/>
      <c r="AJ475" s="31"/>
      <c r="AK475" s="32"/>
      <c r="AL475" s="33"/>
      <c r="AM475" s="32"/>
      <c r="AN475" s="33"/>
      <c r="AO475" s="32"/>
      <c r="AP475" s="32"/>
      <c r="AQ475" s="136"/>
      <c r="AR475" s="136"/>
      <c r="AS475" s="136"/>
      <c r="AT475" s="136"/>
      <c r="AU475" s="136"/>
      <c r="AV475" s="136"/>
      <c r="AW475" s="136"/>
      <c r="AX475" s="136"/>
      <c r="AY475" s="136"/>
      <c r="AZ475" s="136"/>
      <c r="BA475" s="136"/>
      <c r="BB475" s="136"/>
      <c r="BC475" s="330"/>
      <c r="BD475" s="330"/>
      <c r="BE475" s="330"/>
      <c r="BF475" s="330"/>
      <c r="BG475" s="330"/>
      <c r="BH475" s="330"/>
      <c r="BI475" s="330"/>
      <c r="BJ475" s="330"/>
      <c r="BK475" s="330"/>
      <c r="BL475" s="330"/>
      <c r="BM475" s="330"/>
      <c r="BN475" s="330"/>
      <c r="BO475" s="330"/>
      <c r="BP475" s="330"/>
      <c r="BQ475" s="330"/>
      <c r="BR475" s="330"/>
      <c r="BS475" s="330"/>
      <c r="BT475" s="330"/>
      <c r="BU475" s="330"/>
      <c r="BV475" s="330"/>
      <c r="BW475" s="330"/>
      <c r="BX475" s="330"/>
    </row>
    <row r="476" spans="2:76" s="28" customFormat="1">
      <c r="B476" s="136"/>
      <c r="D476" s="222"/>
      <c r="E476" s="29"/>
      <c r="G476" s="293"/>
      <c r="H476" s="294"/>
      <c r="I476" s="294"/>
      <c r="J476" s="294"/>
      <c r="K476" s="294"/>
      <c r="L476" s="294"/>
      <c r="O476" s="340"/>
      <c r="AI476" s="31"/>
      <c r="AJ476" s="31"/>
      <c r="AK476" s="32"/>
      <c r="AL476" s="33"/>
      <c r="AM476" s="32"/>
      <c r="AN476" s="33"/>
      <c r="AO476" s="32"/>
      <c r="AP476" s="32"/>
      <c r="AQ476" s="136"/>
      <c r="AR476" s="136"/>
      <c r="AS476" s="136"/>
      <c r="AT476" s="136"/>
      <c r="AU476" s="136"/>
      <c r="AV476" s="136"/>
      <c r="AW476" s="136"/>
      <c r="AX476" s="136"/>
      <c r="AY476" s="136"/>
      <c r="AZ476" s="136"/>
      <c r="BA476" s="136"/>
      <c r="BB476" s="136"/>
      <c r="BC476" s="330"/>
      <c r="BD476" s="330"/>
      <c r="BE476" s="330"/>
      <c r="BF476" s="330"/>
      <c r="BG476" s="330"/>
      <c r="BH476" s="330"/>
      <c r="BI476" s="330"/>
      <c r="BJ476" s="330"/>
      <c r="BK476" s="330"/>
      <c r="BL476" s="330"/>
      <c r="BM476" s="330"/>
      <c r="BN476" s="330"/>
      <c r="BO476" s="330"/>
      <c r="BP476" s="330"/>
      <c r="BQ476" s="330"/>
      <c r="BR476" s="330"/>
      <c r="BS476" s="330"/>
      <c r="BT476" s="330"/>
      <c r="BU476" s="330"/>
      <c r="BV476" s="330"/>
      <c r="BW476" s="330"/>
      <c r="BX476" s="330"/>
    </row>
    <row r="477" spans="2:76" s="28" customFormat="1">
      <c r="B477" s="136"/>
      <c r="D477" s="222"/>
      <c r="E477" s="29"/>
      <c r="G477" s="293"/>
      <c r="H477" s="294"/>
      <c r="I477" s="294"/>
      <c r="J477" s="294"/>
      <c r="K477" s="294"/>
      <c r="L477" s="294"/>
      <c r="O477" s="343"/>
      <c r="AI477" s="31"/>
      <c r="AJ477" s="31"/>
      <c r="AK477" s="32"/>
      <c r="AL477" s="33"/>
      <c r="AM477" s="32"/>
      <c r="AN477" s="33"/>
      <c r="AO477" s="32"/>
      <c r="AP477" s="32"/>
      <c r="AQ477" s="136"/>
      <c r="AR477" s="136"/>
      <c r="AS477" s="136"/>
      <c r="AT477" s="136"/>
      <c r="AU477" s="136"/>
      <c r="AV477" s="136"/>
      <c r="AW477" s="136"/>
      <c r="AX477" s="136"/>
      <c r="AY477" s="136"/>
      <c r="AZ477" s="136"/>
      <c r="BA477" s="136"/>
      <c r="BB477" s="136"/>
      <c r="BC477" s="330"/>
      <c r="BD477" s="330"/>
      <c r="BE477" s="330"/>
      <c r="BF477" s="330"/>
      <c r="BG477" s="330"/>
      <c r="BH477" s="330"/>
      <c r="BI477" s="330"/>
      <c r="BJ477" s="330"/>
      <c r="BK477" s="330"/>
      <c r="BL477" s="330"/>
      <c r="BM477" s="330"/>
      <c r="BN477" s="330"/>
      <c r="BO477" s="330"/>
      <c r="BP477" s="330"/>
      <c r="BQ477" s="330"/>
      <c r="BR477" s="330"/>
      <c r="BS477" s="330"/>
      <c r="BT477" s="330"/>
      <c r="BU477" s="330"/>
      <c r="BV477" s="330"/>
      <c r="BW477" s="330"/>
      <c r="BX477" s="330"/>
    </row>
    <row r="478" spans="2:76" s="28" customFormat="1">
      <c r="B478" s="136"/>
      <c r="D478" s="222"/>
      <c r="E478" s="29"/>
      <c r="G478" s="293"/>
      <c r="H478" s="294"/>
      <c r="I478" s="294"/>
      <c r="J478" s="294"/>
      <c r="K478" s="294"/>
      <c r="L478" s="294"/>
      <c r="O478" s="335"/>
      <c r="AI478" s="31"/>
      <c r="AJ478" s="31"/>
      <c r="AK478" s="32"/>
      <c r="AL478" s="33"/>
      <c r="AM478" s="32"/>
      <c r="AN478" s="33"/>
      <c r="AO478" s="32"/>
      <c r="AP478" s="32"/>
      <c r="AQ478" s="136"/>
      <c r="AR478" s="136"/>
      <c r="AS478" s="136"/>
      <c r="AT478" s="136"/>
      <c r="AU478" s="136"/>
      <c r="AV478" s="136"/>
      <c r="AW478" s="136"/>
      <c r="AX478" s="136"/>
      <c r="AY478" s="136"/>
      <c r="AZ478" s="136"/>
      <c r="BA478" s="136"/>
      <c r="BB478" s="136"/>
      <c r="BC478" s="330"/>
      <c r="BD478" s="330"/>
      <c r="BE478" s="330"/>
      <c r="BF478" s="330"/>
      <c r="BG478" s="330"/>
      <c r="BH478" s="330"/>
      <c r="BI478" s="330"/>
      <c r="BJ478" s="330"/>
      <c r="BK478" s="330"/>
      <c r="BL478" s="330"/>
      <c r="BM478" s="330"/>
      <c r="BN478" s="330"/>
      <c r="BO478" s="330"/>
      <c r="BP478" s="330"/>
      <c r="BQ478" s="330"/>
      <c r="BR478" s="330"/>
      <c r="BS478" s="330"/>
      <c r="BT478" s="330"/>
      <c r="BU478" s="330"/>
      <c r="BV478" s="330"/>
      <c r="BW478" s="330"/>
      <c r="BX478" s="330"/>
    </row>
    <row r="479" spans="2:76" s="28" customFormat="1">
      <c r="B479" s="136"/>
      <c r="D479" s="222"/>
      <c r="E479" s="29"/>
      <c r="G479" s="293"/>
      <c r="H479" s="294"/>
      <c r="I479" s="294"/>
      <c r="J479" s="294"/>
      <c r="K479" s="294"/>
      <c r="L479" s="294"/>
      <c r="O479" s="338"/>
      <c r="AI479" s="31"/>
      <c r="AJ479" s="31"/>
      <c r="AK479" s="32"/>
      <c r="AL479" s="33"/>
      <c r="AM479" s="32"/>
      <c r="AN479" s="33"/>
      <c r="AO479" s="32"/>
      <c r="AP479" s="32"/>
      <c r="AQ479" s="136"/>
      <c r="AR479" s="136"/>
      <c r="AS479" s="136"/>
      <c r="AT479" s="136"/>
      <c r="AU479" s="136"/>
      <c r="AV479" s="136"/>
      <c r="AW479" s="136"/>
      <c r="AX479" s="136"/>
      <c r="AY479" s="136"/>
      <c r="AZ479" s="136"/>
      <c r="BA479" s="136"/>
      <c r="BB479" s="136"/>
      <c r="BC479" s="330"/>
      <c r="BD479" s="330"/>
      <c r="BE479" s="330"/>
      <c r="BF479" s="330"/>
      <c r="BG479" s="330"/>
      <c r="BH479" s="330"/>
      <c r="BI479" s="330"/>
      <c r="BJ479" s="330"/>
      <c r="BK479" s="330"/>
      <c r="BL479" s="330"/>
      <c r="BM479" s="330"/>
      <c r="BN479" s="330"/>
      <c r="BO479" s="330"/>
      <c r="BP479" s="330"/>
      <c r="BQ479" s="330"/>
      <c r="BR479" s="330"/>
      <c r="BS479" s="330"/>
      <c r="BT479" s="330"/>
      <c r="BU479" s="330"/>
      <c r="BV479" s="330"/>
      <c r="BW479" s="330"/>
      <c r="BX479" s="330"/>
    </row>
    <row r="480" spans="2:76" s="28" customFormat="1">
      <c r="B480" s="136"/>
      <c r="D480" s="222"/>
      <c r="E480" s="29"/>
      <c r="G480" s="293"/>
      <c r="H480" s="294"/>
      <c r="I480" s="294"/>
      <c r="J480" s="294"/>
      <c r="K480" s="294"/>
      <c r="L480" s="294"/>
      <c r="O480" s="335"/>
      <c r="AI480" s="31"/>
      <c r="AJ480" s="31"/>
      <c r="AK480" s="32"/>
      <c r="AL480" s="33"/>
      <c r="AM480" s="32"/>
      <c r="AN480" s="33"/>
      <c r="AO480" s="32"/>
      <c r="AP480" s="32"/>
      <c r="AQ480" s="136"/>
      <c r="AR480" s="136"/>
      <c r="AS480" s="136"/>
      <c r="AT480" s="136"/>
      <c r="AU480" s="136"/>
      <c r="AV480" s="136"/>
      <c r="AW480" s="136"/>
      <c r="AX480" s="136"/>
      <c r="AY480" s="136"/>
      <c r="AZ480" s="136"/>
      <c r="BA480" s="136"/>
      <c r="BB480" s="136"/>
      <c r="BC480" s="330"/>
      <c r="BD480" s="330"/>
      <c r="BE480" s="330"/>
      <c r="BF480" s="330"/>
      <c r="BG480" s="330"/>
      <c r="BH480" s="330"/>
      <c r="BI480" s="330"/>
      <c r="BJ480" s="330"/>
      <c r="BK480" s="330"/>
      <c r="BL480" s="330"/>
      <c r="BM480" s="330"/>
      <c r="BN480" s="330"/>
      <c r="BO480" s="330"/>
      <c r="BP480" s="330"/>
      <c r="BQ480" s="330"/>
      <c r="BR480" s="330"/>
      <c r="BS480" s="330"/>
      <c r="BT480" s="330"/>
      <c r="BU480" s="330"/>
      <c r="BV480" s="330"/>
      <c r="BW480" s="330"/>
      <c r="BX480" s="330"/>
    </row>
    <row r="481" spans="2:76" s="28" customFormat="1">
      <c r="B481" s="136"/>
      <c r="D481" s="222"/>
      <c r="E481" s="29"/>
      <c r="G481" s="293"/>
      <c r="H481" s="294"/>
      <c r="I481" s="294"/>
      <c r="J481" s="294"/>
      <c r="K481" s="294"/>
      <c r="L481" s="294"/>
      <c r="O481" s="334"/>
      <c r="AI481" s="31"/>
      <c r="AJ481" s="31"/>
      <c r="AK481" s="32"/>
      <c r="AL481" s="33"/>
      <c r="AM481" s="32"/>
      <c r="AN481" s="33"/>
      <c r="AO481" s="32"/>
      <c r="AP481" s="32"/>
      <c r="AQ481" s="136"/>
      <c r="AR481" s="136"/>
      <c r="AS481" s="136"/>
      <c r="AT481" s="136"/>
      <c r="AU481" s="136"/>
      <c r="AV481" s="136"/>
      <c r="AW481" s="136"/>
      <c r="AX481" s="136"/>
      <c r="AY481" s="136"/>
      <c r="AZ481" s="136"/>
      <c r="BA481" s="136"/>
      <c r="BB481" s="136"/>
      <c r="BC481" s="330"/>
      <c r="BD481" s="330"/>
      <c r="BE481" s="330"/>
      <c r="BF481" s="330"/>
      <c r="BG481" s="330"/>
      <c r="BH481" s="330"/>
      <c r="BI481" s="330"/>
      <c r="BJ481" s="330"/>
      <c r="BK481" s="330"/>
      <c r="BL481" s="330"/>
      <c r="BM481" s="330"/>
      <c r="BN481" s="330"/>
      <c r="BO481" s="330"/>
      <c r="BP481" s="330"/>
      <c r="BQ481" s="330"/>
      <c r="BR481" s="330"/>
      <c r="BS481" s="330"/>
      <c r="BT481" s="330"/>
      <c r="BU481" s="330"/>
      <c r="BV481" s="330"/>
      <c r="BW481" s="330"/>
      <c r="BX481" s="330"/>
    </row>
    <row r="482" spans="2:76" s="28" customFormat="1">
      <c r="B482" s="136"/>
      <c r="D482" s="222"/>
      <c r="E482" s="29"/>
      <c r="G482" s="293"/>
      <c r="H482" s="294"/>
      <c r="I482" s="294"/>
      <c r="J482" s="294"/>
      <c r="K482" s="294"/>
      <c r="L482" s="294"/>
      <c r="O482" s="338"/>
      <c r="AI482" s="31"/>
      <c r="AJ482" s="31"/>
      <c r="AK482" s="32"/>
      <c r="AL482" s="33"/>
      <c r="AM482" s="32"/>
      <c r="AN482" s="33"/>
      <c r="AO482" s="32"/>
      <c r="AP482" s="32"/>
      <c r="AQ482" s="136"/>
      <c r="AR482" s="136"/>
      <c r="AS482" s="136"/>
      <c r="AT482" s="136"/>
      <c r="AU482" s="136"/>
      <c r="AV482" s="136"/>
      <c r="AW482" s="136"/>
      <c r="AX482" s="136"/>
      <c r="AY482" s="136"/>
      <c r="AZ482" s="136"/>
      <c r="BA482" s="136"/>
      <c r="BB482" s="136"/>
      <c r="BC482" s="330"/>
      <c r="BD482" s="330"/>
      <c r="BE482" s="330"/>
      <c r="BF482" s="330"/>
      <c r="BG482" s="330"/>
      <c r="BH482" s="330"/>
      <c r="BI482" s="330"/>
      <c r="BJ482" s="330"/>
      <c r="BK482" s="330"/>
      <c r="BL482" s="330"/>
      <c r="BM482" s="330"/>
      <c r="BN482" s="330"/>
      <c r="BO482" s="330"/>
      <c r="BP482" s="330"/>
      <c r="BQ482" s="330"/>
      <c r="BR482" s="330"/>
      <c r="BS482" s="330"/>
      <c r="BT482" s="330"/>
      <c r="BU482" s="330"/>
      <c r="BV482" s="330"/>
      <c r="BW482" s="330"/>
      <c r="BX482" s="330"/>
    </row>
    <row r="483" spans="2:76" s="28" customFormat="1">
      <c r="B483" s="136"/>
      <c r="D483" s="222"/>
      <c r="E483" s="29"/>
      <c r="G483" s="293"/>
      <c r="H483" s="294"/>
      <c r="I483" s="294"/>
      <c r="J483" s="294"/>
      <c r="K483" s="294"/>
      <c r="L483" s="294"/>
      <c r="O483" s="341"/>
      <c r="AI483" s="31"/>
      <c r="AJ483" s="31"/>
      <c r="AK483" s="32"/>
      <c r="AL483" s="33"/>
      <c r="AM483" s="32"/>
      <c r="AN483" s="33"/>
      <c r="AO483" s="32"/>
      <c r="AP483" s="32"/>
      <c r="AQ483" s="136"/>
      <c r="AR483" s="136"/>
      <c r="AS483" s="136"/>
      <c r="AT483" s="136"/>
      <c r="AU483" s="136"/>
      <c r="AV483" s="136"/>
      <c r="AW483" s="136"/>
      <c r="AX483" s="136"/>
      <c r="AY483" s="136"/>
      <c r="AZ483" s="136"/>
      <c r="BA483" s="136"/>
      <c r="BB483" s="136"/>
      <c r="BC483" s="330"/>
      <c r="BD483" s="330"/>
      <c r="BE483" s="330"/>
      <c r="BF483" s="330"/>
      <c r="BG483" s="330"/>
      <c r="BH483" s="330"/>
      <c r="BI483" s="330"/>
      <c r="BJ483" s="330"/>
      <c r="BK483" s="330"/>
      <c r="BL483" s="330"/>
      <c r="BM483" s="330"/>
      <c r="BN483" s="330"/>
      <c r="BO483" s="330"/>
      <c r="BP483" s="330"/>
      <c r="BQ483" s="330"/>
      <c r="BR483" s="330"/>
      <c r="BS483" s="330"/>
      <c r="BT483" s="330"/>
      <c r="BU483" s="330"/>
      <c r="BV483" s="330"/>
      <c r="BW483" s="330"/>
      <c r="BX483" s="330"/>
    </row>
    <row r="484" spans="2:76" s="28" customFormat="1">
      <c r="B484" s="136"/>
      <c r="D484" s="222"/>
      <c r="E484" s="29"/>
      <c r="G484" s="293"/>
      <c r="H484" s="294"/>
      <c r="I484" s="294"/>
      <c r="J484" s="294"/>
      <c r="K484" s="294"/>
      <c r="L484" s="294"/>
      <c r="O484" s="338"/>
      <c r="AI484" s="31"/>
      <c r="AJ484" s="31"/>
      <c r="AK484" s="32"/>
      <c r="AL484" s="33"/>
      <c r="AM484" s="32"/>
      <c r="AN484" s="33"/>
      <c r="AO484" s="32"/>
      <c r="AP484" s="32"/>
      <c r="AQ484" s="136"/>
      <c r="AR484" s="136"/>
      <c r="AS484" s="136"/>
      <c r="AT484" s="136"/>
      <c r="AU484" s="136"/>
      <c r="AV484" s="136"/>
      <c r="AW484" s="136"/>
      <c r="AX484" s="136"/>
      <c r="AY484" s="136"/>
      <c r="AZ484" s="136"/>
      <c r="BA484" s="136"/>
      <c r="BB484" s="136"/>
      <c r="BC484" s="330"/>
      <c r="BD484" s="330"/>
      <c r="BE484" s="330"/>
      <c r="BF484" s="330"/>
      <c r="BG484" s="330"/>
      <c r="BH484" s="330"/>
      <c r="BI484" s="330"/>
      <c r="BJ484" s="330"/>
      <c r="BK484" s="330"/>
      <c r="BL484" s="330"/>
      <c r="BM484" s="330"/>
      <c r="BN484" s="330"/>
      <c r="BO484" s="330"/>
      <c r="BP484" s="330"/>
      <c r="BQ484" s="330"/>
      <c r="BR484" s="330"/>
      <c r="BS484" s="330"/>
      <c r="BT484" s="330"/>
      <c r="BU484" s="330"/>
      <c r="BV484" s="330"/>
      <c r="BW484" s="330"/>
      <c r="BX484" s="330"/>
    </row>
    <row r="485" spans="2:76" s="28" customFormat="1">
      <c r="B485" s="136"/>
      <c r="D485" s="222"/>
      <c r="E485" s="29"/>
      <c r="G485" s="293"/>
      <c r="H485" s="294"/>
      <c r="I485" s="294"/>
      <c r="J485" s="294"/>
      <c r="K485" s="294"/>
      <c r="L485" s="294"/>
      <c r="O485" s="334"/>
      <c r="AI485" s="31"/>
      <c r="AJ485" s="31"/>
      <c r="AK485" s="32"/>
      <c r="AL485" s="33"/>
      <c r="AM485" s="32"/>
      <c r="AN485" s="33"/>
      <c r="AO485" s="32"/>
      <c r="AP485" s="32"/>
      <c r="AQ485" s="136"/>
      <c r="AR485" s="136"/>
      <c r="AS485" s="136"/>
      <c r="AT485" s="136"/>
      <c r="AU485" s="136"/>
      <c r="AV485" s="136"/>
      <c r="AW485" s="136"/>
      <c r="AX485" s="136"/>
      <c r="AY485" s="136"/>
      <c r="AZ485" s="136"/>
      <c r="BA485" s="136"/>
      <c r="BB485" s="136"/>
      <c r="BC485" s="330"/>
      <c r="BD485" s="330"/>
      <c r="BE485" s="330"/>
      <c r="BF485" s="330"/>
      <c r="BG485" s="330"/>
      <c r="BH485" s="330"/>
      <c r="BI485" s="330"/>
      <c r="BJ485" s="330"/>
      <c r="BK485" s="330"/>
      <c r="BL485" s="330"/>
      <c r="BM485" s="330"/>
      <c r="BN485" s="330"/>
      <c r="BO485" s="330"/>
      <c r="BP485" s="330"/>
      <c r="BQ485" s="330"/>
      <c r="BR485" s="330"/>
      <c r="BS485" s="330"/>
      <c r="BT485" s="330"/>
      <c r="BU485" s="330"/>
      <c r="BV485" s="330"/>
      <c r="BW485" s="330"/>
      <c r="BX485" s="330"/>
    </row>
    <row r="486" spans="2:76" s="28" customFormat="1">
      <c r="B486" s="136"/>
      <c r="D486" s="222"/>
      <c r="E486" s="29"/>
      <c r="G486" s="293"/>
      <c r="H486" s="294"/>
      <c r="I486" s="294"/>
      <c r="J486" s="294"/>
      <c r="K486" s="294"/>
      <c r="L486" s="294"/>
      <c r="O486" s="342"/>
      <c r="AI486" s="31"/>
      <c r="AJ486" s="31"/>
      <c r="AK486" s="32"/>
      <c r="AL486" s="33"/>
      <c r="AM486" s="32"/>
      <c r="AN486" s="33"/>
      <c r="AO486" s="32"/>
      <c r="AP486" s="32"/>
      <c r="AQ486" s="136"/>
      <c r="AR486" s="136"/>
      <c r="AS486" s="136"/>
      <c r="AT486" s="136"/>
      <c r="AU486" s="136"/>
      <c r="AV486" s="136"/>
      <c r="AW486" s="136"/>
      <c r="AX486" s="136"/>
      <c r="AY486" s="136"/>
      <c r="AZ486" s="136"/>
      <c r="BA486" s="136"/>
      <c r="BB486" s="136"/>
      <c r="BC486" s="330"/>
      <c r="BD486" s="330"/>
      <c r="BE486" s="330"/>
      <c r="BF486" s="330"/>
      <c r="BG486" s="330"/>
      <c r="BH486" s="330"/>
      <c r="BI486" s="330"/>
      <c r="BJ486" s="330"/>
      <c r="BK486" s="330"/>
      <c r="BL486" s="330"/>
      <c r="BM486" s="330"/>
      <c r="BN486" s="330"/>
      <c r="BO486" s="330"/>
      <c r="BP486" s="330"/>
      <c r="BQ486" s="330"/>
      <c r="BR486" s="330"/>
      <c r="BS486" s="330"/>
      <c r="BT486" s="330"/>
      <c r="BU486" s="330"/>
      <c r="BV486" s="330"/>
      <c r="BW486" s="330"/>
      <c r="BX486" s="330"/>
    </row>
    <row r="487" spans="2:76" s="28" customFormat="1">
      <c r="B487" s="136"/>
      <c r="D487" s="222"/>
      <c r="E487" s="29"/>
      <c r="G487" s="293"/>
      <c r="H487" s="294"/>
      <c r="I487" s="294"/>
      <c r="J487" s="294"/>
      <c r="K487" s="294"/>
      <c r="L487" s="294"/>
      <c r="O487" s="335"/>
      <c r="AI487" s="31"/>
      <c r="AJ487" s="31"/>
      <c r="AK487" s="32"/>
      <c r="AL487" s="33"/>
      <c r="AM487" s="32"/>
      <c r="AN487" s="33"/>
      <c r="AO487" s="32"/>
      <c r="AP487" s="32"/>
      <c r="AQ487" s="136"/>
      <c r="AR487" s="136"/>
      <c r="AS487" s="136"/>
      <c r="AT487" s="136"/>
      <c r="AU487" s="136"/>
      <c r="AV487" s="136"/>
      <c r="AW487" s="136"/>
      <c r="AX487" s="136"/>
      <c r="AY487" s="136"/>
      <c r="AZ487" s="136"/>
      <c r="BA487" s="136"/>
      <c r="BB487" s="136"/>
      <c r="BC487" s="330"/>
      <c r="BD487" s="330"/>
      <c r="BE487" s="330"/>
      <c r="BF487" s="330"/>
      <c r="BG487" s="330"/>
      <c r="BH487" s="330"/>
      <c r="BI487" s="330"/>
      <c r="BJ487" s="330"/>
      <c r="BK487" s="330"/>
      <c r="BL487" s="330"/>
      <c r="BM487" s="330"/>
      <c r="BN487" s="330"/>
      <c r="BO487" s="330"/>
      <c r="BP487" s="330"/>
      <c r="BQ487" s="330"/>
      <c r="BR487" s="330"/>
      <c r="BS487" s="330"/>
      <c r="BT487" s="330"/>
      <c r="BU487" s="330"/>
      <c r="BV487" s="330"/>
      <c r="BW487" s="330"/>
      <c r="BX487" s="330"/>
    </row>
    <row r="488" spans="2:76" s="28" customFormat="1">
      <c r="B488" s="136"/>
      <c r="D488" s="222"/>
      <c r="E488" s="29"/>
      <c r="G488" s="293"/>
      <c r="H488" s="294"/>
      <c r="I488" s="294"/>
      <c r="J488" s="294"/>
      <c r="K488" s="294"/>
      <c r="L488" s="294"/>
      <c r="O488" s="334"/>
      <c r="AI488" s="31"/>
      <c r="AJ488" s="31"/>
      <c r="AK488" s="32"/>
      <c r="AL488" s="33"/>
      <c r="AM488" s="32"/>
      <c r="AN488" s="33"/>
      <c r="AO488" s="32"/>
      <c r="AP488" s="32"/>
      <c r="AQ488" s="136"/>
      <c r="AR488" s="136"/>
      <c r="AS488" s="136"/>
      <c r="AT488" s="136"/>
      <c r="AU488" s="136"/>
      <c r="AV488" s="136"/>
      <c r="AW488" s="136"/>
      <c r="AX488" s="136"/>
      <c r="AY488" s="136"/>
      <c r="AZ488" s="136"/>
      <c r="BA488" s="136"/>
      <c r="BB488" s="136"/>
      <c r="BC488" s="330"/>
      <c r="BD488" s="330"/>
      <c r="BE488" s="330"/>
      <c r="BF488" s="330"/>
      <c r="BG488" s="330"/>
      <c r="BH488" s="330"/>
      <c r="BI488" s="330"/>
      <c r="BJ488" s="330"/>
      <c r="BK488" s="330"/>
      <c r="BL488" s="330"/>
      <c r="BM488" s="330"/>
      <c r="BN488" s="330"/>
      <c r="BO488" s="330"/>
      <c r="BP488" s="330"/>
      <c r="BQ488" s="330"/>
      <c r="BR488" s="330"/>
      <c r="BS488" s="330"/>
      <c r="BT488" s="330"/>
      <c r="BU488" s="330"/>
      <c r="BV488" s="330"/>
      <c r="BW488" s="330"/>
      <c r="BX488" s="330"/>
    </row>
    <row r="489" spans="2:76" s="28" customFormat="1">
      <c r="B489" s="136"/>
      <c r="D489" s="222"/>
      <c r="E489" s="29"/>
      <c r="G489" s="293"/>
      <c r="H489" s="294"/>
      <c r="I489" s="294"/>
      <c r="J489" s="294"/>
      <c r="K489" s="294"/>
      <c r="L489" s="294"/>
      <c r="O489" s="346"/>
      <c r="AI489" s="31"/>
      <c r="AJ489" s="31"/>
      <c r="AK489" s="32"/>
      <c r="AL489" s="33"/>
      <c r="AM489" s="32"/>
      <c r="AN489" s="33"/>
      <c r="AO489" s="32"/>
      <c r="AP489" s="32"/>
      <c r="AQ489" s="136"/>
      <c r="AR489" s="136"/>
      <c r="AS489" s="136"/>
      <c r="AT489" s="136"/>
      <c r="AU489" s="136"/>
      <c r="AV489" s="136"/>
      <c r="AW489" s="136"/>
      <c r="AX489" s="136"/>
      <c r="AY489" s="136"/>
      <c r="AZ489" s="136"/>
      <c r="BA489" s="136"/>
      <c r="BB489" s="136"/>
      <c r="BC489" s="330"/>
      <c r="BD489" s="330"/>
      <c r="BE489" s="330"/>
      <c r="BF489" s="330"/>
      <c r="BG489" s="330"/>
      <c r="BH489" s="330"/>
      <c r="BI489" s="330"/>
      <c r="BJ489" s="330"/>
      <c r="BK489" s="330"/>
      <c r="BL489" s="330"/>
      <c r="BM489" s="330"/>
      <c r="BN489" s="330"/>
      <c r="BO489" s="330"/>
      <c r="BP489" s="330"/>
      <c r="BQ489" s="330"/>
      <c r="BR489" s="330"/>
      <c r="BS489" s="330"/>
      <c r="BT489" s="330"/>
      <c r="BU489" s="330"/>
      <c r="BV489" s="330"/>
      <c r="BW489" s="330"/>
      <c r="BX489" s="330"/>
    </row>
    <row r="490" spans="2:76" s="28" customFormat="1">
      <c r="B490" s="136"/>
      <c r="D490" s="222"/>
      <c r="E490" s="29"/>
      <c r="G490" s="293"/>
      <c r="H490" s="294"/>
      <c r="I490" s="294"/>
      <c r="J490" s="294"/>
      <c r="K490" s="294"/>
      <c r="L490" s="294"/>
      <c r="O490" s="339"/>
      <c r="AI490" s="31"/>
      <c r="AJ490" s="31"/>
      <c r="AK490" s="32"/>
      <c r="AL490" s="33"/>
      <c r="AM490" s="32"/>
      <c r="AN490" s="33"/>
      <c r="AO490" s="32"/>
      <c r="AP490" s="32"/>
      <c r="AQ490" s="136"/>
      <c r="AR490" s="136"/>
      <c r="AS490" s="136"/>
      <c r="AT490" s="136"/>
      <c r="AU490" s="136"/>
      <c r="AV490" s="136"/>
      <c r="AW490" s="136"/>
      <c r="AX490" s="136"/>
      <c r="AY490" s="136"/>
      <c r="AZ490" s="136"/>
      <c r="BA490" s="136"/>
      <c r="BB490" s="136"/>
      <c r="BC490" s="330"/>
      <c r="BD490" s="330"/>
      <c r="BE490" s="330"/>
      <c r="BF490" s="330"/>
      <c r="BG490" s="330"/>
      <c r="BH490" s="330"/>
      <c r="BI490" s="330"/>
      <c r="BJ490" s="330"/>
      <c r="BK490" s="330"/>
      <c r="BL490" s="330"/>
      <c r="BM490" s="330"/>
      <c r="BN490" s="330"/>
      <c r="BO490" s="330"/>
      <c r="BP490" s="330"/>
      <c r="BQ490" s="330"/>
      <c r="BR490" s="330"/>
      <c r="BS490" s="330"/>
      <c r="BT490" s="330"/>
      <c r="BU490" s="330"/>
      <c r="BV490" s="330"/>
      <c r="BW490" s="330"/>
      <c r="BX490" s="330"/>
    </row>
    <row r="491" spans="2:76" s="28" customFormat="1">
      <c r="B491" s="136"/>
      <c r="D491" s="222"/>
      <c r="E491" s="29"/>
      <c r="G491" s="293"/>
      <c r="H491" s="294"/>
      <c r="I491" s="294"/>
      <c r="J491" s="294"/>
      <c r="K491" s="294"/>
      <c r="L491" s="294"/>
      <c r="O491" s="337"/>
      <c r="AI491" s="31"/>
      <c r="AJ491" s="31"/>
      <c r="AK491" s="32"/>
      <c r="AL491" s="33"/>
      <c r="AM491" s="32"/>
      <c r="AN491" s="33"/>
      <c r="AO491" s="32"/>
      <c r="AP491" s="32"/>
      <c r="AQ491" s="136"/>
      <c r="AR491" s="136"/>
      <c r="AS491" s="136"/>
      <c r="AT491" s="136"/>
      <c r="AU491" s="136"/>
      <c r="AV491" s="136"/>
      <c r="AW491" s="136"/>
      <c r="AX491" s="136"/>
      <c r="AY491" s="136"/>
      <c r="AZ491" s="136"/>
      <c r="BA491" s="136"/>
      <c r="BB491" s="136"/>
      <c r="BC491" s="330"/>
      <c r="BD491" s="330"/>
      <c r="BE491" s="330"/>
      <c r="BF491" s="330"/>
      <c r="BG491" s="330"/>
      <c r="BH491" s="330"/>
      <c r="BI491" s="330"/>
      <c r="BJ491" s="330"/>
      <c r="BK491" s="330"/>
      <c r="BL491" s="330"/>
      <c r="BM491" s="330"/>
      <c r="BN491" s="330"/>
      <c r="BO491" s="330"/>
      <c r="BP491" s="330"/>
      <c r="BQ491" s="330"/>
      <c r="BR491" s="330"/>
      <c r="BS491" s="330"/>
      <c r="BT491" s="330"/>
      <c r="BU491" s="330"/>
      <c r="BV491" s="330"/>
      <c r="BW491" s="330"/>
      <c r="BX491" s="330"/>
    </row>
    <row r="492" spans="2:76" s="28" customFormat="1">
      <c r="B492" s="136"/>
      <c r="D492" s="222"/>
      <c r="E492" s="29"/>
      <c r="G492" s="293"/>
      <c r="H492" s="294"/>
      <c r="I492" s="294"/>
      <c r="J492" s="294"/>
      <c r="K492" s="294"/>
      <c r="L492" s="294"/>
      <c r="O492" s="342"/>
      <c r="AI492" s="31"/>
      <c r="AJ492" s="31"/>
      <c r="AK492" s="32"/>
      <c r="AL492" s="33"/>
      <c r="AM492" s="32"/>
      <c r="AN492" s="33"/>
      <c r="AO492" s="32"/>
      <c r="AP492" s="32"/>
      <c r="AQ492" s="136"/>
      <c r="AR492" s="136"/>
      <c r="AS492" s="136"/>
      <c r="AT492" s="136"/>
      <c r="AU492" s="136"/>
      <c r="AV492" s="136"/>
      <c r="AW492" s="136"/>
      <c r="AX492" s="136"/>
      <c r="AY492" s="136"/>
      <c r="AZ492" s="136"/>
      <c r="BA492" s="136"/>
      <c r="BB492" s="136"/>
      <c r="BC492" s="330"/>
      <c r="BD492" s="330"/>
      <c r="BE492" s="330"/>
      <c r="BF492" s="330"/>
      <c r="BG492" s="330"/>
      <c r="BH492" s="330"/>
      <c r="BI492" s="330"/>
      <c r="BJ492" s="330"/>
      <c r="BK492" s="330"/>
      <c r="BL492" s="330"/>
      <c r="BM492" s="330"/>
      <c r="BN492" s="330"/>
      <c r="BO492" s="330"/>
      <c r="BP492" s="330"/>
      <c r="BQ492" s="330"/>
      <c r="BR492" s="330"/>
      <c r="BS492" s="330"/>
      <c r="BT492" s="330"/>
      <c r="BU492" s="330"/>
      <c r="BV492" s="330"/>
      <c r="BW492" s="330"/>
      <c r="BX492" s="330"/>
    </row>
    <row r="493" spans="2:76" s="28" customFormat="1">
      <c r="B493" s="136"/>
      <c r="D493" s="222"/>
      <c r="E493" s="29"/>
      <c r="G493" s="293"/>
      <c r="H493" s="294"/>
      <c r="I493" s="294"/>
      <c r="J493" s="294"/>
      <c r="K493" s="294"/>
      <c r="L493" s="294"/>
      <c r="O493" s="346"/>
      <c r="AI493" s="31"/>
      <c r="AJ493" s="31"/>
      <c r="AK493" s="32"/>
      <c r="AL493" s="33"/>
      <c r="AM493" s="32"/>
      <c r="AN493" s="33"/>
      <c r="AO493" s="32"/>
      <c r="AP493" s="32"/>
      <c r="AQ493" s="136"/>
      <c r="AR493" s="136"/>
      <c r="AS493" s="136"/>
      <c r="AT493" s="136"/>
      <c r="AU493" s="136"/>
      <c r="AV493" s="136"/>
      <c r="AW493" s="136"/>
      <c r="AX493" s="136"/>
      <c r="AY493" s="136"/>
      <c r="AZ493" s="136"/>
      <c r="BA493" s="136"/>
      <c r="BB493" s="136"/>
      <c r="BC493" s="330"/>
      <c r="BD493" s="330"/>
      <c r="BE493" s="330"/>
      <c r="BF493" s="330"/>
      <c r="BG493" s="330"/>
      <c r="BH493" s="330"/>
      <c r="BI493" s="330"/>
      <c r="BJ493" s="330"/>
      <c r="BK493" s="330"/>
      <c r="BL493" s="330"/>
      <c r="BM493" s="330"/>
      <c r="BN493" s="330"/>
      <c r="BO493" s="330"/>
      <c r="BP493" s="330"/>
      <c r="BQ493" s="330"/>
      <c r="BR493" s="330"/>
      <c r="BS493" s="330"/>
      <c r="BT493" s="330"/>
      <c r="BU493" s="330"/>
      <c r="BV493" s="330"/>
      <c r="BW493" s="330"/>
      <c r="BX493" s="330"/>
    </row>
    <row r="494" spans="2:76" s="28" customFormat="1">
      <c r="B494" s="136"/>
      <c r="D494" s="222"/>
      <c r="E494" s="29"/>
      <c r="G494" s="293"/>
      <c r="H494" s="294"/>
      <c r="I494" s="294"/>
      <c r="J494" s="294"/>
      <c r="K494" s="294"/>
      <c r="L494" s="294"/>
      <c r="O494" s="346"/>
      <c r="AI494" s="31"/>
      <c r="AJ494" s="31"/>
      <c r="AK494" s="32"/>
      <c r="AL494" s="33"/>
      <c r="AM494" s="32"/>
      <c r="AN494" s="33"/>
      <c r="AO494" s="32"/>
      <c r="AP494" s="32"/>
      <c r="AQ494" s="136"/>
      <c r="AR494" s="136"/>
      <c r="AS494" s="136"/>
      <c r="AT494" s="136"/>
      <c r="AU494" s="136"/>
      <c r="AV494" s="136"/>
      <c r="AW494" s="136"/>
      <c r="AX494" s="136"/>
      <c r="AY494" s="136"/>
      <c r="AZ494" s="136"/>
      <c r="BA494" s="136"/>
      <c r="BB494" s="136"/>
      <c r="BC494" s="330"/>
      <c r="BD494" s="330"/>
      <c r="BE494" s="330"/>
      <c r="BF494" s="330"/>
      <c r="BG494" s="330"/>
      <c r="BH494" s="330"/>
      <c r="BI494" s="330"/>
      <c r="BJ494" s="330"/>
      <c r="BK494" s="330"/>
      <c r="BL494" s="330"/>
      <c r="BM494" s="330"/>
      <c r="BN494" s="330"/>
      <c r="BO494" s="330"/>
      <c r="BP494" s="330"/>
      <c r="BQ494" s="330"/>
      <c r="BR494" s="330"/>
      <c r="BS494" s="330"/>
      <c r="BT494" s="330"/>
      <c r="BU494" s="330"/>
      <c r="BV494" s="330"/>
      <c r="BW494" s="330"/>
      <c r="BX494" s="330"/>
    </row>
    <row r="495" spans="2:76" s="28" customFormat="1">
      <c r="B495" s="136"/>
      <c r="D495" s="222"/>
      <c r="E495" s="29"/>
      <c r="G495" s="293"/>
      <c r="H495" s="294"/>
      <c r="I495" s="294"/>
      <c r="J495" s="294"/>
      <c r="K495" s="294"/>
      <c r="L495" s="294"/>
      <c r="O495" s="341"/>
      <c r="AI495" s="31"/>
      <c r="AJ495" s="31"/>
      <c r="AK495" s="32"/>
      <c r="AL495" s="33"/>
      <c r="AM495" s="32"/>
      <c r="AN495" s="33"/>
      <c r="AO495" s="32"/>
      <c r="AP495" s="32"/>
      <c r="AQ495" s="136"/>
      <c r="AR495" s="136"/>
      <c r="AS495" s="136"/>
      <c r="AT495" s="136"/>
      <c r="AU495" s="136"/>
      <c r="AV495" s="136"/>
      <c r="AW495" s="136"/>
      <c r="AX495" s="136"/>
      <c r="AY495" s="136"/>
      <c r="AZ495" s="136"/>
      <c r="BA495" s="136"/>
      <c r="BB495" s="136"/>
      <c r="BC495" s="330"/>
      <c r="BD495" s="330"/>
      <c r="BE495" s="330"/>
      <c r="BF495" s="330"/>
      <c r="BG495" s="330"/>
      <c r="BH495" s="330"/>
      <c r="BI495" s="330"/>
      <c r="BJ495" s="330"/>
      <c r="BK495" s="330"/>
      <c r="BL495" s="330"/>
      <c r="BM495" s="330"/>
      <c r="BN495" s="330"/>
      <c r="BO495" s="330"/>
      <c r="BP495" s="330"/>
      <c r="BQ495" s="330"/>
      <c r="BR495" s="330"/>
      <c r="BS495" s="330"/>
      <c r="BT495" s="330"/>
      <c r="BU495" s="330"/>
      <c r="BV495" s="330"/>
      <c r="BW495" s="330"/>
      <c r="BX495" s="330"/>
    </row>
    <row r="496" spans="2:76" s="28" customFormat="1">
      <c r="B496" s="136"/>
      <c r="D496" s="222"/>
      <c r="E496" s="29"/>
      <c r="G496" s="293"/>
      <c r="H496" s="294"/>
      <c r="I496" s="294"/>
      <c r="J496" s="294"/>
      <c r="K496" s="294"/>
      <c r="L496" s="294"/>
      <c r="O496" s="334"/>
      <c r="AI496" s="31"/>
      <c r="AJ496" s="31"/>
      <c r="AK496" s="32"/>
      <c r="AL496" s="33"/>
      <c r="AM496" s="32"/>
      <c r="AN496" s="33"/>
      <c r="AO496" s="32"/>
      <c r="AP496" s="32"/>
      <c r="AQ496" s="136"/>
      <c r="AR496" s="136"/>
      <c r="AS496" s="136"/>
      <c r="AT496" s="136"/>
      <c r="AU496" s="136"/>
      <c r="AV496" s="136"/>
      <c r="AW496" s="136"/>
      <c r="AX496" s="136"/>
      <c r="AY496" s="136"/>
      <c r="AZ496" s="136"/>
      <c r="BA496" s="136"/>
      <c r="BB496" s="136"/>
      <c r="BC496" s="330"/>
      <c r="BD496" s="330"/>
      <c r="BE496" s="330"/>
      <c r="BF496" s="330"/>
      <c r="BG496" s="330"/>
      <c r="BH496" s="330"/>
      <c r="BI496" s="330"/>
      <c r="BJ496" s="330"/>
      <c r="BK496" s="330"/>
      <c r="BL496" s="330"/>
      <c r="BM496" s="330"/>
      <c r="BN496" s="330"/>
      <c r="BO496" s="330"/>
      <c r="BP496" s="330"/>
      <c r="BQ496" s="330"/>
      <c r="BR496" s="330"/>
      <c r="BS496" s="330"/>
      <c r="BT496" s="330"/>
      <c r="BU496" s="330"/>
      <c r="BV496" s="330"/>
      <c r="BW496" s="330"/>
      <c r="BX496" s="330"/>
    </row>
    <row r="497" spans="2:76" s="28" customFormat="1">
      <c r="B497" s="136"/>
      <c r="D497" s="222"/>
      <c r="E497" s="29"/>
      <c r="G497" s="293"/>
      <c r="H497" s="294"/>
      <c r="I497" s="294"/>
      <c r="J497" s="294"/>
      <c r="K497" s="294"/>
      <c r="L497" s="294"/>
      <c r="O497" s="338"/>
      <c r="AI497" s="31"/>
      <c r="AJ497" s="31"/>
      <c r="AK497" s="32"/>
      <c r="AL497" s="33"/>
      <c r="AM497" s="32"/>
      <c r="AN497" s="33"/>
      <c r="AO497" s="32"/>
      <c r="AP497" s="32"/>
      <c r="AQ497" s="136"/>
      <c r="AR497" s="136"/>
      <c r="AS497" s="136"/>
      <c r="AT497" s="136"/>
      <c r="AU497" s="136"/>
      <c r="AV497" s="136"/>
      <c r="AW497" s="136"/>
      <c r="AX497" s="136"/>
      <c r="AY497" s="136"/>
      <c r="AZ497" s="136"/>
      <c r="BA497" s="136"/>
      <c r="BB497" s="136"/>
      <c r="BC497" s="330"/>
      <c r="BD497" s="330"/>
      <c r="BE497" s="330"/>
      <c r="BF497" s="330"/>
      <c r="BG497" s="330"/>
      <c r="BH497" s="330"/>
      <c r="BI497" s="330"/>
      <c r="BJ497" s="330"/>
      <c r="BK497" s="330"/>
      <c r="BL497" s="330"/>
      <c r="BM497" s="330"/>
      <c r="BN497" s="330"/>
      <c r="BO497" s="330"/>
      <c r="BP497" s="330"/>
      <c r="BQ497" s="330"/>
      <c r="BR497" s="330"/>
      <c r="BS497" s="330"/>
      <c r="BT497" s="330"/>
      <c r="BU497" s="330"/>
      <c r="BV497" s="330"/>
      <c r="BW497" s="330"/>
      <c r="BX497" s="330"/>
    </row>
    <row r="498" spans="2:76" s="28" customFormat="1">
      <c r="B498" s="136"/>
      <c r="D498" s="222"/>
      <c r="E498" s="29"/>
      <c r="G498" s="293"/>
      <c r="H498" s="294"/>
      <c r="I498" s="294"/>
      <c r="J498" s="294"/>
      <c r="K498" s="294"/>
      <c r="L498" s="294"/>
      <c r="O498" s="338"/>
      <c r="AI498" s="31"/>
      <c r="AJ498" s="31"/>
      <c r="AK498" s="32"/>
      <c r="AL498" s="33"/>
      <c r="AM498" s="32"/>
      <c r="AN498" s="33"/>
      <c r="AO498" s="32"/>
      <c r="AP498" s="32"/>
      <c r="AQ498" s="136"/>
      <c r="AR498" s="136"/>
      <c r="AS498" s="136"/>
      <c r="AT498" s="136"/>
      <c r="AU498" s="136"/>
      <c r="AV498" s="136"/>
      <c r="AW498" s="136"/>
      <c r="AX498" s="136"/>
      <c r="AY498" s="136"/>
      <c r="AZ498" s="136"/>
      <c r="BA498" s="136"/>
      <c r="BB498" s="136"/>
      <c r="BC498" s="330"/>
      <c r="BD498" s="330"/>
      <c r="BE498" s="330"/>
      <c r="BF498" s="330"/>
      <c r="BG498" s="330"/>
      <c r="BH498" s="330"/>
      <c r="BI498" s="330"/>
      <c r="BJ498" s="330"/>
      <c r="BK498" s="330"/>
      <c r="BL498" s="330"/>
      <c r="BM498" s="330"/>
      <c r="BN498" s="330"/>
      <c r="BO498" s="330"/>
      <c r="BP498" s="330"/>
      <c r="BQ498" s="330"/>
      <c r="BR498" s="330"/>
      <c r="BS498" s="330"/>
      <c r="BT498" s="330"/>
      <c r="BU498" s="330"/>
      <c r="BV498" s="330"/>
      <c r="BW498" s="330"/>
      <c r="BX498" s="330"/>
    </row>
    <row r="499" spans="2:76" s="28" customFormat="1">
      <c r="B499" s="136"/>
      <c r="D499" s="222"/>
      <c r="E499" s="29"/>
      <c r="G499" s="293"/>
      <c r="H499" s="294"/>
      <c r="I499" s="294"/>
      <c r="J499" s="294"/>
      <c r="K499" s="294"/>
      <c r="L499" s="294"/>
      <c r="O499" s="338"/>
      <c r="AI499" s="31"/>
      <c r="AJ499" s="31"/>
      <c r="AK499" s="32"/>
      <c r="AL499" s="33"/>
      <c r="AM499" s="32"/>
      <c r="AN499" s="33"/>
      <c r="AO499" s="32"/>
      <c r="AP499" s="32"/>
      <c r="AQ499" s="136"/>
      <c r="AR499" s="136"/>
      <c r="AS499" s="136"/>
      <c r="AT499" s="136"/>
      <c r="AU499" s="136"/>
      <c r="AV499" s="136"/>
      <c r="AW499" s="136"/>
      <c r="AX499" s="136"/>
      <c r="AY499" s="136"/>
      <c r="AZ499" s="136"/>
      <c r="BA499" s="136"/>
      <c r="BB499" s="136"/>
      <c r="BC499" s="330"/>
      <c r="BD499" s="330"/>
      <c r="BE499" s="330"/>
      <c r="BF499" s="330"/>
      <c r="BG499" s="330"/>
      <c r="BH499" s="330"/>
      <c r="BI499" s="330"/>
      <c r="BJ499" s="330"/>
      <c r="BK499" s="330"/>
      <c r="BL499" s="330"/>
      <c r="BM499" s="330"/>
      <c r="BN499" s="330"/>
      <c r="BO499" s="330"/>
      <c r="BP499" s="330"/>
      <c r="BQ499" s="330"/>
      <c r="BR499" s="330"/>
      <c r="BS499" s="330"/>
      <c r="BT499" s="330"/>
      <c r="BU499" s="330"/>
      <c r="BV499" s="330"/>
      <c r="BW499" s="330"/>
      <c r="BX499" s="330"/>
    </row>
    <row r="500" spans="2:76" s="28" customFormat="1">
      <c r="B500" s="136"/>
      <c r="D500" s="222"/>
      <c r="E500" s="29"/>
      <c r="G500" s="293"/>
      <c r="H500" s="294"/>
      <c r="I500" s="294"/>
      <c r="J500" s="294"/>
      <c r="K500" s="294"/>
      <c r="L500" s="294"/>
      <c r="O500" s="338"/>
      <c r="AI500" s="31"/>
      <c r="AJ500" s="31"/>
      <c r="AK500" s="32"/>
      <c r="AL500" s="33"/>
      <c r="AM500" s="32"/>
      <c r="AN500" s="33"/>
      <c r="AO500" s="32"/>
      <c r="AP500" s="32"/>
      <c r="AQ500" s="136"/>
      <c r="AR500" s="136"/>
      <c r="AS500" s="136"/>
      <c r="AT500" s="136"/>
      <c r="AU500" s="136"/>
      <c r="AV500" s="136"/>
      <c r="AW500" s="136"/>
      <c r="AX500" s="136"/>
      <c r="AY500" s="136"/>
      <c r="AZ500" s="136"/>
      <c r="BA500" s="136"/>
      <c r="BB500" s="136"/>
      <c r="BC500" s="330"/>
      <c r="BD500" s="330"/>
      <c r="BE500" s="330"/>
      <c r="BF500" s="330"/>
      <c r="BG500" s="330"/>
      <c r="BH500" s="330"/>
      <c r="BI500" s="330"/>
      <c r="BJ500" s="330"/>
      <c r="BK500" s="330"/>
      <c r="BL500" s="330"/>
      <c r="BM500" s="330"/>
      <c r="BN500" s="330"/>
      <c r="BO500" s="330"/>
      <c r="BP500" s="330"/>
      <c r="BQ500" s="330"/>
      <c r="BR500" s="330"/>
      <c r="BS500" s="330"/>
      <c r="BT500" s="330"/>
      <c r="BU500" s="330"/>
      <c r="BV500" s="330"/>
      <c r="BW500" s="330"/>
      <c r="BX500" s="330"/>
    </row>
    <row r="501" spans="2:76" s="28" customFormat="1">
      <c r="B501" s="136"/>
      <c r="D501" s="222"/>
      <c r="E501" s="29"/>
      <c r="G501" s="293"/>
      <c r="H501" s="294"/>
      <c r="I501" s="294"/>
      <c r="J501" s="294"/>
      <c r="K501" s="294"/>
      <c r="L501" s="294"/>
      <c r="O501" s="335"/>
      <c r="AI501" s="31"/>
      <c r="AJ501" s="31"/>
      <c r="AK501" s="32"/>
      <c r="AL501" s="33"/>
      <c r="AM501" s="32"/>
      <c r="AN501" s="33"/>
      <c r="AO501" s="32"/>
      <c r="AP501" s="32"/>
      <c r="AQ501" s="136"/>
      <c r="AR501" s="136"/>
      <c r="AS501" s="136"/>
      <c r="AT501" s="136"/>
      <c r="AU501" s="136"/>
      <c r="AV501" s="136"/>
      <c r="AW501" s="136"/>
      <c r="AX501" s="136"/>
      <c r="AY501" s="136"/>
      <c r="AZ501" s="136"/>
      <c r="BA501" s="136"/>
      <c r="BB501" s="136"/>
      <c r="BC501" s="330"/>
      <c r="BD501" s="330"/>
      <c r="BE501" s="330"/>
      <c r="BF501" s="330"/>
      <c r="BG501" s="330"/>
      <c r="BH501" s="330"/>
      <c r="BI501" s="330"/>
      <c r="BJ501" s="330"/>
      <c r="BK501" s="330"/>
      <c r="BL501" s="330"/>
      <c r="BM501" s="330"/>
      <c r="BN501" s="330"/>
      <c r="BO501" s="330"/>
      <c r="BP501" s="330"/>
      <c r="BQ501" s="330"/>
      <c r="BR501" s="330"/>
      <c r="BS501" s="330"/>
      <c r="BT501" s="330"/>
      <c r="BU501" s="330"/>
      <c r="BV501" s="330"/>
      <c r="BW501" s="330"/>
      <c r="BX501" s="330"/>
    </row>
    <row r="502" spans="2:76" s="28" customFormat="1">
      <c r="B502" s="136"/>
      <c r="D502" s="222"/>
      <c r="E502" s="29"/>
      <c r="G502" s="293"/>
      <c r="H502" s="294"/>
      <c r="I502" s="294"/>
      <c r="J502" s="294"/>
      <c r="K502" s="294"/>
      <c r="L502" s="294"/>
      <c r="O502" s="335"/>
      <c r="AI502" s="31"/>
      <c r="AJ502" s="31"/>
      <c r="AK502" s="32"/>
      <c r="AL502" s="33"/>
      <c r="AM502" s="32"/>
      <c r="AN502" s="33"/>
      <c r="AO502" s="32"/>
      <c r="AP502" s="32"/>
      <c r="AQ502" s="136"/>
      <c r="AR502" s="136"/>
      <c r="AS502" s="136"/>
      <c r="AT502" s="136"/>
      <c r="AU502" s="136"/>
      <c r="AV502" s="136"/>
      <c r="AW502" s="136"/>
      <c r="AX502" s="136"/>
      <c r="AY502" s="136"/>
      <c r="AZ502" s="136"/>
      <c r="BA502" s="136"/>
      <c r="BB502" s="136"/>
      <c r="BC502" s="330"/>
      <c r="BD502" s="330"/>
      <c r="BE502" s="330"/>
      <c r="BF502" s="330"/>
      <c r="BG502" s="330"/>
      <c r="BH502" s="330"/>
      <c r="BI502" s="330"/>
      <c r="BJ502" s="330"/>
      <c r="BK502" s="330"/>
      <c r="BL502" s="330"/>
      <c r="BM502" s="330"/>
      <c r="BN502" s="330"/>
      <c r="BO502" s="330"/>
      <c r="BP502" s="330"/>
      <c r="BQ502" s="330"/>
      <c r="BR502" s="330"/>
      <c r="BS502" s="330"/>
      <c r="BT502" s="330"/>
      <c r="BU502" s="330"/>
      <c r="BV502" s="330"/>
      <c r="BW502" s="330"/>
      <c r="BX502" s="330"/>
    </row>
    <row r="503" spans="2:76" s="28" customFormat="1">
      <c r="B503" s="136"/>
      <c r="D503" s="222"/>
      <c r="E503" s="29"/>
      <c r="G503" s="293"/>
      <c r="H503" s="294"/>
      <c r="I503" s="294"/>
      <c r="J503" s="294"/>
      <c r="K503" s="294"/>
      <c r="L503" s="294"/>
      <c r="O503" s="335"/>
      <c r="AI503" s="31"/>
      <c r="AJ503" s="31"/>
      <c r="AK503" s="32"/>
      <c r="AL503" s="33"/>
      <c r="AM503" s="32"/>
      <c r="AN503" s="33"/>
      <c r="AO503" s="32"/>
      <c r="AP503" s="32"/>
      <c r="AQ503" s="136"/>
      <c r="AR503" s="136"/>
      <c r="AS503" s="136"/>
      <c r="AT503" s="136"/>
      <c r="AU503" s="136"/>
      <c r="AV503" s="136"/>
      <c r="AW503" s="136"/>
      <c r="AX503" s="136"/>
      <c r="AY503" s="136"/>
      <c r="AZ503" s="136"/>
      <c r="BA503" s="136"/>
      <c r="BB503" s="136"/>
      <c r="BC503" s="330"/>
      <c r="BD503" s="330"/>
      <c r="BE503" s="330"/>
      <c r="BF503" s="330"/>
      <c r="BG503" s="330"/>
      <c r="BH503" s="330"/>
      <c r="BI503" s="330"/>
      <c r="BJ503" s="330"/>
      <c r="BK503" s="330"/>
      <c r="BL503" s="330"/>
      <c r="BM503" s="330"/>
      <c r="BN503" s="330"/>
      <c r="BO503" s="330"/>
      <c r="BP503" s="330"/>
      <c r="BQ503" s="330"/>
      <c r="BR503" s="330"/>
      <c r="BS503" s="330"/>
      <c r="BT503" s="330"/>
      <c r="BU503" s="330"/>
      <c r="BV503" s="330"/>
      <c r="BW503" s="330"/>
      <c r="BX503" s="330"/>
    </row>
    <row r="504" spans="2:76" s="28" customFormat="1">
      <c r="B504" s="136"/>
      <c r="D504" s="222"/>
      <c r="E504" s="29"/>
      <c r="G504" s="293"/>
      <c r="H504" s="294"/>
      <c r="I504" s="294"/>
      <c r="J504" s="294"/>
      <c r="K504" s="294"/>
      <c r="L504" s="294"/>
      <c r="O504" s="335"/>
      <c r="AI504" s="31"/>
      <c r="AJ504" s="31"/>
      <c r="AK504" s="32"/>
      <c r="AL504" s="33"/>
      <c r="AM504" s="32"/>
      <c r="AN504" s="33"/>
      <c r="AO504" s="32"/>
      <c r="AP504" s="32"/>
      <c r="AQ504" s="136"/>
      <c r="AR504" s="136"/>
      <c r="AS504" s="136"/>
      <c r="AT504" s="136"/>
      <c r="AU504" s="136"/>
      <c r="AV504" s="136"/>
      <c r="AW504" s="136"/>
      <c r="AX504" s="136"/>
      <c r="AY504" s="136"/>
      <c r="AZ504" s="136"/>
      <c r="BA504" s="136"/>
      <c r="BB504" s="136"/>
      <c r="BC504" s="330"/>
      <c r="BD504" s="330"/>
      <c r="BE504" s="330"/>
      <c r="BF504" s="330"/>
      <c r="BG504" s="330"/>
      <c r="BH504" s="330"/>
      <c r="BI504" s="330"/>
      <c r="BJ504" s="330"/>
      <c r="BK504" s="330"/>
      <c r="BL504" s="330"/>
      <c r="BM504" s="330"/>
      <c r="BN504" s="330"/>
      <c r="BO504" s="330"/>
      <c r="BP504" s="330"/>
      <c r="BQ504" s="330"/>
      <c r="BR504" s="330"/>
      <c r="BS504" s="330"/>
      <c r="BT504" s="330"/>
      <c r="BU504" s="330"/>
      <c r="BV504" s="330"/>
      <c r="BW504" s="330"/>
      <c r="BX504" s="330"/>
    </row>
    <row r="505" spans="2:76" s="28" customFormat="1">
      <c r="B505" s="136"/>
      <c r="D505" s="222"/>
      <c r="E505" s="29"/>
      <c r="G505" s="293"/>
      <c r="H505" s="294"/>
      <c r="I505" s="294"/>
      <c r="J505" s="294"/>
      <c r="K505" s="294"/>
      <c r="L505" s="294"/>
      <c r="O505" s="339"/>
      <c r="AI505" s="31"/>
      <c r="AJ505" s="31"/>
      <c r="AK505" s="32"/>
      <c r="AL505" s="33"/>
      <c r="AM505" s="32"/>
      <c r="AN505" s="33"/>
      <c r="AO505" s="32"/>
      <c r="AP505" s="32"/>
      <c r="AQ505" s="136"/>
      <c r="AR505" s="136"/>
      <c r="AS505" s="136"/>
      <c r="AT505" s="136"/>
      <c r="AU505" s="136"/>
      <c r="AV505" s="136"/>
      <c r="AW505" s="136"/>
      <c r="AX505" s="136"/>
      <c r="AY505" s="136"/>
      <c r="AZ505" s="136"/>
      <c r="BA505" s="136"/>
      <c r="BB505" s="136"/>
      <c r="BC505" s="330"/>
      <c r="BD505" s="330"/>
      <c r="BE505" s="330"/>
      <c r="BF505" s="330"/>
      <c r="BG505" s="330"/>
      <c r="BH505" s="330"/>
      <c r="BI505" s="330"/>
      <c r="BJ505" s="330"/>
      <c r="BK505" s="330"/>
      <c r="BL505" s="330"/>
      <c r="BM505" s="330"/>
      <c r="BN505" s="330"/>
      <c r="BO505" s="330"/>
      <c r="BP505" s="330"/>
      <c r="BQ505" s="330"/>
      <c r="BR505" s="330"/>
      <c r="BS505" s="330"/>
      <c r="BT505" s="330"/>
      <c r="BU505" s="330"/>
      <c r="BV505" s="330"/>
      <c r="BW505" s="330"/>
      <c r="BX505" s="330"/>
    </row>
    <row r="506" spans="2:76" s="28" customFormat="1">
      <c r="B506" s="136"/>
      <c r="D506" s="222"/>
      <c r="E506" s="29"/>
      <c r="G506" s="293"/>
      <c r="H506" s="294"/>
      <c r="I506" s="294"/>
      <c r="J506" s="294"/>
      <c r="K506" s="294"/>
      <c r="L506" s="294"/>
      <c r="O506" s="335"/>
      <c r="AI506" s="31"/>
      <c r="AJ506" s="31"/>
      <c r="AK506" s="32"/>
      <c r="AL506" s="33"/>
      <c r="AM506" s="32"/>
      <c r="AN506" s="33"/>
      <c r="AO506" s="32"/>
      <c r="AP506" s="32"/>
      <c r="AQ506" s="136"/>
      <c r="AR506" s="136"/>
      <c r="AS506" s="136"/>
      <c r="AT506" s="136"/>
      <c r="AU506" s="136"/>
      <c r="AV506" s="136"/>
      <c r="AW506" s="136"/>
      <c r="AX506" s="136"/>
      <c r="AY506" s="136"/>
      <c r="AZ506" s="136"/>
      <c r="BA506" s="136"/>
      <c r="BB506" s="136"/>
      <c r="BC506" s="330"/>
      <c r="BD506" s="330"/>
      <c r="BE506" s="330"/>
      <c r="BF506" s="330"/>
      <c r="BG506" s="330"/>
      <c r="BH506" s="330"/>
      <c r="BI506" s="330"/>
      <c r="BJ506" s="330"/>
      <c r="BK506" s="330"/>
      <c r="BL506" s="330"/>
      <c r="BM506" s="330"/>
      <c r="BN506" s="330"/>
      <c r="BO506" s="330"/>
      <c r="BP506" s="330"/>
      <c r="BQ506" s="330"/>
      <c r="BR506" s="330"/>
      <c r="BS506" s="330"/>
      <c r="BT506" s="330"/>
      <c r="BU506" s="330"/>
      <c r="BV506" s="330"/>
      <c r="BW506" s="330"/>
      <c r="BX506" s="330"/>
    </row>
    <row r="507" spans="2:76" s="28" customFormat="1">
      <c r="B507" s="136"/>
      <c r="D507" s="222"/>
      <c r="E507" s="29"/>
      <c r="G507" s="293"/>
      <c r="H507" s="294"/>
      <c r="I507" s="294"/>
      <c r="J507" s="294"/>
      <c r="K507" s="294"/>
      <c r="L507" s="294"/>
      <c r="O507" s="338"/>
      <c r="AI507" s="31"/>
      <c r="AJ507" s="31"/>
      <c r="AK507" s="32"/>
      <c r="AL507" s="33"/>
      <c r="AM507" s="32"/>
      <c r="AN507" s="33"/>
      <c r="AO507" s="32"/>
      <c r="AP507" s="32"/>
      <c r="AQ507" s="136"/>
      <c r="AR507" s="136"/>
      <c r="AS507" s="136"/>
      <c r="AT507" s="136"/>
      <c r="AU507" s="136"/>
      <c r="AV507" s="136"/>
      <c r="AW507" s="136"/>
      <c r="AX507" s="136"/>
      <c r="AY507" s="136"/>
      <c r="AZ507" s="136"/>
      <c r="BA507" s="136"/>
      <c r="BB507" s="136"/>
      <c r="BC507" s="330"/>
      <c r="BD507" s="330"/>
      <c r="BE507" s="330"/>
      <c r="BF507" s="330"/>
      <c r="BG507" s="330"/>
      <c r="BH507" s="330"/>
      <c r="BI507" s="330"/>
      <c r="BJ507" s="330"/>
      <c r="BK507" s="330"/>
      <c r="BL507" s="330"/>
      <c r="BM507" s="330"/>
      <c r="BN507" s="330"/>
      <c r="BO507" s="330"/>
      <c r="BP507" s="330"/>
      <c r="BQ507" s="330"/>
      <c r="BR507" s="330"/>
      <c r="BS507" s="330"/>
      <c r="BT507" s="330"/>
      <c r="BU507" s="330"/>
      <c r="BV507" s="330"/>
      <c r="BW507" s="330"/>
      <c r="BX507" s="330"/>
    </row>
    <row r="508" spans="2:76" s="28" customFormat="1">
      <c r="B508" s="136"/>
      <c r="D508" s="222"/>
      <c r="E508" s="29"/>
      <c r="G508" s="293"/>
      <c r="H508" s="294"/>
      <c r="I508" s="294"/>
      <c r="J508" s="294"/>
      <c r="K508" s="294"/>
      <c r="L508" s="294"/>
      <c r="O508" s="338"/>
      <c r="AI508" s="31"/>
      <c r="AJ508" s="31"/>
      <c r="AK508" s="32"/>
      <c r="AL508" s="33"/>
      <c r="AM508" s="32"/>
      <c r="AN508" s="33"/>
      <c r="AO508" s="32"/>
      <c r="AP508" s="32"/>
      <c r="AQ508" s="136"/>
      <c r="AR508" s="136"/>
      <c r="AS508" s="136"/>
      <c r="AT508" s="136"/>
      <c r="AU508" s="136"/>
      <c r="AV508" s="136"/>
      <c r="AW508" s="136"/>
      <c r="AX508" s="136"/>
      <c r="AY508" s="136"/>
      <c r="AZ508" s="136"/>
      <c r="BA508" s="136"/>
      <c r="BB508" s="136"/>
      <c r="BC508" s="330"/>
      <c r="BD508" s="330"/>
      <c r="BE508" s="330"/>
      <c r="BF508" s="330"/>
      <c r="BG508" s="330"/>
      <c r="BH508" s="330"/>
      <c r="BI508" s="330"/>
      <c r="BJ508" s="330"/>
      <c r="BK508" s="330"/>
      <c r="BL508" s="330"/>
      <c r="BM508" s="330"/>
      <c r="BN508" s="330"/>
      <c r="BO508" s="330"/>
      <c r="BP508" s="330"/>
      <c r="BQ508" s="330"/>
      <c r="BR508" s="330"/>
      <c r="BS508" s="330"/>
      <c r="BT508" s="330"/>
      <c r="BU508" s="330"/>
      <c r="BV508" s="330"/>
      <c r="BW508" s="330"/>
      <c r="BX508" s="330"/>
    </row>
    <row r="509" spans="2:76" s="28" customFormat="1">
      <c r="B509" s="136"/>
      <c r="D509" s="222"/>
      <c r="E509" s="29"/>
      <c r="G509" s="293"/>
      <c r="H509" s="294"/>
      <c r="I509" s="294"/>
      <c r="J509" s="294"/>
      <c r="K509" s="294"/>
      <c r="L509" s="294"/>
      <c r="O509" s="338"/>
      <c r="AI509" s="31"/>
      <c r="AJ509" s="31"/>
      <c r="AK509" s="32"/>
      <c r="AL509" s="33"/>
      <c r="AM509" s="32"/>
      <c r="AN509" s="33"/>
      <c r="AO509" s="32"/>
      <c r="AP509" s="32"/>
      <c r="AQ509" s="136"/>
      <c r="AR509" s="136"/>
      <c r="AS509" s="136"/>
      <c r="AT509" s="136"/>
      <c r="AU509" s="136"/>
      <c r="AV509" s="136"/>
      <c r="AW509" s="136"/>
      <c r="AX509" s="136"/>
      <c r="AY509" s="136"/>
      <c r="AZ509" s="136"/>
      <c r="BA509" s="136"/>
      <c r="BB509" s="136"/>
      <c r="BC509" s="330"/>
      <c r="BD509" s="330"/>
      <c r="BE509" s="330"/>
      <c r="BF509" s="330"/>
      <c r="BG509" s="330"/>
      <c r="BH509" s="330"/>
      <c r="BI509" s="330"/>
      <c r="BJ509" s="330"/>
      <c r="BK509" s="330"/>
      <c r="BL509" s="330"/>
      <c r="BM509" s="330"/>
      <c r="BN509" s="330"/>
      <c r="BO509" s="330"/>
      <c r="BP509" s="330"/>
      <c r="BQ509" s="330"/>
      <c r="BR509" s="330"/>
      <c r="BS509" s="330"/>
      <c r="BT509" s="330"/>
      <c r="BU509" s="330"/>
      <c r="BV509" s="330"/>
      <c r="BW509" s="330"/>
      <c r="BX509" s="330"/>
    </row>
    <row r="510" spans="2:76" s="28" customFormat="1">
      <c r="B510" s="136"/>
      <c r="D510" s="222"/>
      <c r="E510" s="29"/>
      <c r="G510" s="293"/>
      <c r="H510" s="294"/>
      <c r="I510" s="294"/>
      <c r="J510" s="294"/>
      <c r="K510" s="294"/>
      <c r="L510" s="294"/>
      <c r="O510" s="335"/>
      <c r="AI510" s="31"/>
      <c r="AJ510" s="31"/>
      <c r="AK510" s="32"/>
      <c r="AL510" s="33"/>
      <c r="AM510" s="32"/>
      <c r="AN510" s="33"/>
      <c r="AO510" s="32"/>
      <c r="AP510" s="32"/>
      <c r="AQ510" s="136"/>
      <c r="AR510" s="136"/>
      <c r="AS510" s="136"/>
      <c r="AT510" s="136"/>
      <c r="AU510" s="136"/>
      <c r="AV510" s="136"/>
      <c r="AW510" s="136"/>
      <c r="AX510" s="136"/>
      <c r="AY510" s="136"/>
      <c r="AZ510" s="136"/>
      <c r="BA510" s="136"/>
      <c r="BB510" s="136"/>
      <c r="BC510" s="330"/>
      <c r="BD510" s="330"/>
      <c r="BE510" s="330"/>
      <c r="BF510" s="330"/>
      <c r="BG510" s="330"/>
      <c r="BH510" s="330"/>
      <c r="BI510" s="330"/>
      <c r="BJ510" s="330"/>
      <c r="BK510" s="330"/>
      <c r="BL510" s="330"/>
      <c r="BM510" s="330"/>
      <c r="BN510" s="330"/>
      <c r="BO510" s="330"/>
      <c r="BP510" s="330"/>
      <c r="BQ510" s="330"/>
      <c r="BR510" s="330"/>
      <c r="BS510" s="330"/>
      <c r="BT510" s="330"/>
      <c r="BU510" s="330"/>
      <c r="BV510" s="330"/>
      <c r="BW510" s="330"/>
      <c r="BX510" s="330"/>
    </row>
    <row r="511" spans="2:76" s="28" customFormat="1">
      <c r="B511" s="136"/>
      <c r="D511" s="222"/>
      <c r="E511" s="29"/>
      <c r="G511" s="293"/>
      <c r="H511" s="294"/>
      <c r="I511" s="294"/>
      <c r="J511" s="294"/>
      <c r="K511" s="294"/>
      <c r="L511" s="294"/>
      <c r="O511" s="338"/>
      <c r="AI511" s="31"/>
      <c r="AJ511" s="31"/>
      <c r="AK511" s="32"/>
      <c r="AL511" s="33"/>
      <c r="AM511" s="32"/>
      <c r="AN511" s="33"/>
      <c r="AO511" s="32"/>
      <c r="AP511" s="32"/>
      <c r="AQ511" s="136"/>
      <c r="AR511" s="136"/>
      <c r="AS511" s="136"/>
      <c r="AT511" s="136"/>
      <c r="AU511" s="136"/>
      <c r="AV511" s="136"/>
      <c r="AW511" s="136"/>
      <c r="AX511" s="136"/>
      <c r="AY511" s="136"/>
      <c r="AZ511" s="136"/>
      <c r="BA511" s="136"/>
      <c r="BB511" s="136"/>
      <c r="BC511" s="330"/>
      <c r="BD511" s="330"/>
      <c r="BE511" s="330"/>
      <c r="BF511" s="330"/>
      <c r="BG511" s="330"/>
      <c r="BH511" s="330"/>
      <c r="BI511" s="330"/>
      <c r="BJ511" s="330"/>
      <c r="BK511" s="330"/>
      <c r="BL511" s="330"/>
      <c r="BM511" s="330"/>
      <c r="BN511" s="330"/>
      <c r="BO511" s="330"/>
      <c r="BP511" s="330"/>
      <c r="BQ511" s="330"/>
      <c r="BR511" s="330"/>
      <c r="BS511" s="330"/>
      <c r="BT511" s="330"/>
      <c r="BU511" s="330"/>
      <c r="BV511" s="330"/>
      <c r="BW511" s="330"/>
      <c r="BX511" s="330"/>
    </row>
    <row r="512" spans="2:76" s="28" customFormat="1">
      <c r="B512" s="136"/>
      <c r="D512" s="222"/>
      <c r="E512" s="29"/>
      <c r="G512" s="293"/>
      <c r="H512" s="294"/>
      <c r="I512" s="294"/>
      <c r="J512" s="294"/>
      <c r="K512" s="294"/>
      <c r="L512" s="294"/>
      <c r="O512" s="335"/>
      <c r="AI512" s="31"/>
      <c r="AJ512" s="31"/>
      <c r="AK512" s="32"/>
      <c r="AL512" s="33"/>
      <c r="AM512" s="32"/>
      <c r="AN512" s="33"/>
      <c r="AO512" s="32"/>
      <c r="AP512" s="32"/>
      <c r="AQ512" s="136"/>
      <c r="AR512" s="136"/>
      <c r="AS512" s="136"/>
      <c r="AT512" s="136"/>
      <c r="AU512" s="136"/>
      <c r="AV512" s="136"/>
      <c r="AW512" s="136"/>
      <c r="AX512" s="136"/>
      <c r="AY512" s="136"/>
      <c r="AZ512" s="136"/>
      <c r="BA512" s="136"/>
      <c r="BB512" s="136"/>
      <c r="BC512" s="330"/>
      <c r="BD512" s="330"/>
      <c r="BE512" s="330"/>
      <c r="BF512" s="330"/>
      <c r="BG512" s="330"/>
      <c r="BH512" s="330"/>
      <c r="BI512" s="330"/>
      <c r="BJ512" s="330"/>
      <c r="BK512" s="330"/>
      <c r="BL512" s="330"/>
      <c r="BM512" s="330"/>
      <c r="BN512" s="330"/>
      <c r="BO512" s="330"/>
      <c r="BP512" s="330"/>
      <c r="BQ512" s="330"/>
      <c r="BR512" s="330"/>
      <c r="BS512" s="330"/>
      <c r="BT512" s="330"/>
      <c r="BU512" s="330"/>
      <c r="BV512" s="330"/>
      <c r="BW512" s="330"/>
      <c r="BX512" s="330"/>
    </row>
    <row r="513" spans="2:76" s="28" customFormat="1">
      <c r="B513" s="136"/>
      <c r="D513" s="222"/>
      <c r="E513" s="29"/>
      <c r="G513" s="293"/>
      <c r="H513" s="294"/>
      <c r="I513" s="294"/>
      <c r="J513" s="294"/>
      <c r="K513" s="294"/>
      <c r="L513" s="294"/>
      <c r="O513" s="335"/>
      <c r="AI513" s="31"/>
      <c r="AJ513" s="31"/>
      <c r="AK513" s="32"/>
      <c r="AL513" s="33"/>
      <c r="AM513" s="32"/>
      <c r="AN513" s="33"/>
      <c r="AO513" s="32"/>
      <c r="AP513" s="32"/>
      <c r="AQ513" s="136"/>
      <c r="AR513" s="136"/>
      <c r="AS513" s="136"/>
      <c r="AT513" s="136"/>
      <c r="AU513" s="136"/>
      <c r="AV513" s="136"/>
      <c r="AW513" s="136"/>
      <c r="AX513" s="136"/>
      <c r="AY513" s="136"/>
      <c r="AZ513" s="136"/>
      <c r="BA513" s="136"/>
      <c r="BB513" s="136"/>
      <c r="BC513" s="330"/>
      <c r="BD513" s="330"/>
      <c r="BE513" s="330"/>
      <c r="BF513" s="330"/>
      <c r="BG513" s="330"/>
      <c r="BH513" s="330"/>
      <c r="BI513" s="330"/>
      <c r="BJ513" s="330"/>
      <c r="BK513" s="330"/>
      <c r="BL513" s="330"/>
      <c r="BM513" s="330"/>
      <c r="BN513" s="330"/>
      <c r="BO513" s="330"/>
      <c r="BP513" s="330"/>
      <c r="BQ513" s="330"/>
      <c r="BR513" s="330"/>
      <c r="BS513" s="330"/>
      <c r="BT513" s="330"/>
      <c r="BU513" s="330"/>
      <c r="BV513" s="330"/>
      <c r="BW513" s="330"/>
      <c r="BX513" s="330"/>
    </row>
    <row r="514" spans="2:76" s="28" customFormat="1">
      <c r="B514" s="136"/>
      <c r="D514" s="222"/>
      <c r="E514" s="29"/>
      <c r="G514" s="293"/>
      <c r="H514" s="294"/>
      <c r="I514" s="294"/>
      <c r="J514" s="294"/>
      <c r="K514" s="294"/>
      <c r="L514" s="294"/>
      <c r="O514" s="338"/>
      <c r="AI514" s="31"/>
      <c r="AJ514" s="31"/>
      <c r="AK514" s="32"/>
      <c r="AL514" s="33"/>
      <c r="AM514" s="32"/>
      <c r="AN514" s="33"/>
      <c r="AO514" s="32"/>
      <c r="AP514" s="32"/>
      <c r="AQ514" s="136"/>
      <c r="AR514" s="136"/>
      <c r="AS514" s="136"/>
      <c r="AT514" s="136"/>
      <c r="AU514" s="136"/>
      <c r="AV514" s="136"/>
      <c r="AW514" s="136"/>
      <c r="AX514" s="136"/>
      <c r="AY514" s="136"/>
      <c r="AZ514" s="136"/>
      <c r="BA514" s="136"/>
      <c r="BB514" s="136"/>
      <c r="BC514" s="330"/>
      <c r="BD514" s="330"/>
      <c r="BE514" s="330"/>
      <c r="BF514" s="330"/>
      <c r="BG514" s="330"/>
      <c r="BH514" s="330"/>
      <c r="BI514" s="330"/>
      <c r="BJ514" s="330"/>
      <c r="BK514" s="330"/>
      <c r="BL514" s="330"/>
      <c r="BM514" s="330"/>
      <c r="BN514" s="330"/>
      <c r="BO514" s="330"/>
      <c r="BP514" s="330"/>
      <c r="BQ514" s="330"/>
      <c r="BR514" s="330"/>
      <c r="BS514" s="330"/>
      <c r="BT514" s="330"/>
      <c r="BU514" s="330"/>
      <c r="BV514" s="330"/>
      <c r="BW514" s="330"/>
      <c r="BX514" s="330"/>
    </row>
    <row r="515" spans="2:76" s="28" customFormat="1">
      <c r="B515" s="136"/>
      <c r="D515" s="222"/>
      <c r="E515" s="29"/>
      <c r="G515" s="293"/>
      <c r="H515" s="294"/>
      <c r="I515" s="294"/>
      <c r="J515" s="294"/>
      <c r="K515" s="294"/>
      <c r="L515" s="294"/>
      <c r="O515" s="339"/>
      <c r="AI515" s="31"/>
      <c r="AJ515" s="31"/>
      <c r="AK515" s="32"/>
      <c r="AL515" s="33"/>
      <c r="AM515" s="32"/>
      <c r="AN515" s="33"/>
      <c r="AO515" s="32"/>
      <c r="AP515" s="32"/>
      <c r="AQ515" s="136"/>
      <c r="AR515" s="136"/>
      <c r="AS515" s="136"/>
      <c r="AT515" s="136"/>
      <c r="AU515" s="136"/>
      <c r="AV515" s="136"/>
      <c r="AW515" s="136"/>
      <c r="AX515" s="136"/>
      <c r="AY515" s="136"/>
      <c r="AZ515" s="136"/>
      <c r="BA515" s="136"/>
      <c r="BB515" s="136"/>
      <c r="BC515" s="330"/>
      <c r="BD515" s="330"/>
      <c r="BE515" s="330"/>
      <c r="BF515" s="330"/>
      <c r="BG515" s="330"/>
      <c r="BH515" s="330"/>
      <c r="BI515" s="330"/>
      <c r="BJ515" s="330"/>
      <c r="BK515" s="330"/>
      <c r="BL515" s="330"/>
      <c r="BM515" s="330"/>
      <c r="BN515" s="330"/>
      <c r="BO515" s="330"/>
      <c r="BP515" s="330"/>
      <c r="BQ515" s="330"/>
      <c r="BR515" s="330"/>
      <c r="BS515" s="330"/>
      <c r="BT515" s="330"/>
      <c r="BU515" s="330"/>
      <c r="BV515" s="330"/>
      <c r="BW515" s="330"/>
      <c r="BX515" s="330"/>
    </row>
    <row r="516" spans="2:76" s="28" customFormat="1">
      <c r="B516" s="136"/>
      <c r="D516" s="222"/>
      <c r="E516" s="29"/>
      <c r="G516" s="293"/>
      <c r="H516" s="294"/>
      <c r="I516" s="294"/>
      <c r="J516" s="294"/>
      <c r="K516" s="294"/>
      <c r="L516" s="294"/>
      <c r="O516" s="334"/>
      <c r="AI516" s="31"/>
      <c r="AJ516" s="31"/>
      <c r="AK516" s="32"/>
      <c r="AL516" s="33"/>
      <c r="AM516" s="32"/>
      <c r="AN516" s="33"/>
      <c r="AO516" s="32"/>
      <c r="AP516" s="32"/>
      <c r="AQ516" s="136"/>
      <c r="AR516" s="136"/>
      <c r="AS516" s="136"/>
      <c r="AT516" s="136"/>
      <c r="AU516" s="136"/>
      <c r="AV516" s="136"/>
      <c r="AW516" s="136"/>
      <c r="AX516" s="136"/>
      <c r="AY516" s="136"/>
      <c r="AZ516" s="136"/>
      <c r="BA516" s="136"/>
      <c r="BB516" s="136"/>
      <c r="BC516" s="330"/>
      <c r="BD516" s="330"/>
      <c r="BE516" s="330"/>
      <c r="BF516" s="330"/>
      <c r="BG516" s="330"/>
      <c r="BH516" s="330"/>
      <c r="BI516" s="330"/>
      <c r="BJ516" s="330"/>
      <c r="BK516" s="330"/>
      <c r="BL516" s="330"/>
      <c r="BM516" s="330"/>
      <c r="BN516" s="330"/>
      <c r="BO516" s="330"/>
      <c r="BP516" s="330"/>
      <c r="BQ516" s="330"/>
      <c r="BR516" s="330"/>
      <c r="BS516" s="330"/>
      <c r="BT516" s="330"/>
      <c r="BU516" s="330"/>
      <c r="BV516" s="330"/>
      <c r="BW516" s="330"/>
      <c r="BX516" s="330"/>
    </row>
    <row r="517" spans="2:76" s="28" customFormat="1">
      <c r="B517" s="136"/>
      <c r="D517" s="222"/>
      <c r="E517" s="29"/>
      <c r="G517" s="293"/>
      <c r="H517" s="294"/>
      <c r="I517" s="294"/>
      <c r="J517" s="294"/>
      <c r="K517" s="294"/>
      <c r="L517" s="294"/>
      <c r="O517" s="335"/>
      <c r="AI517" s="31"/>
      <c r="AJ517" s="31"/>
      <c r="AK517" s="32"/>
      <c r="AL517" s="33"/>
      <c r="AM517" s="32"/>
      <c r="AN517" s="33"/>
      <c r="AO517" s="32"/>
      <c r="AP517" s="32"/>
      <c r="AQ517" s="136"/>
      <c r="AR517" s="136"/>
      <c r="AS517" s="136"/>
      <c r="AT517" s="136"/>
      <c r="AU517" s="136"/>
      <c r="AV517" s="136"/>
      <c r="AW517" s="136"/>
      <c r="AX517" s="136"/>
      <c r="AY517" s="136"/>
      <c r="AZ517" s="136"/>
      <c r="BA517" s="136"/>
      <c r="BB517" s="136"/>
      <c r="BC517" s="330"/>
      <c r="BD517" s="330"/>
      <c r="BE517" s="330"/>
      <c r="BF517" s="330"/>
      <c r="BG517" s="330"/>
      <c r="BH517" s="330"/>
      <c r="BI517" s="330"/>
      <c r="BJ517" s="330"/>
      <c r="BK517" s="330"/>
      <c r="BL517" s="330"/>
      <c r="BM517" s="330"/>
      <c r="BN517" s="330"/>
      <c r="BO517" s="330"/>
      <c r="BP517" s="330"/>
      <c r="BQ517" s="330"/>
      <c r="BR517" s="330"/>
      <c r="BS517" s="330"/>
      <c r="BT517" s="330"/>
      <c r="BU517" s="330"/>
      <c r="BV517" s="330"/>
      <c r="BW517" s="330"/>
      <c r="BX517" s="330"/>
    </row>
    <row r="518" spans="2:76" s="28" customFormat="1">
      <c r="B518" s="136"/>
      <c r="D518" s="222"/>
      <c r="E518" s="29"/>
      <c r="G518" s="293"/>
      <c r="H518" s="294"/>
      <c r="I518" s="294"/>
      <c r="J518" s="294"/>
      <c r="K518" s="294"/>
      <c r="L518" s="294"/>
      <c r="O518" s="335"/>
      <c r="AI518" s="31"/>
      <c r="AJ518" s="31"/>
      <c r="AK518" s="32"/>
      <c r="AL518" s="33"/>
      <c r="AM518" s="32"/>
      <c r="AN518" s="33"/>
      <c r="AO518" s="32"/>
      <c r="AP518" s="32"/>
      <c r="AQ518" s="136"/>
      <c r="AR518" s="136"/>
      <c r="AS518" s="136"/>
      <c r="AT518" s="136"/>
      <c r="AU518" s="136"/>
      <c r="AV518" s="136"/>
      <c r="AW518" s="136"/>
      <c r="AX518" s="136"/>
      <c r="AY518" s="136"/>
      <c r="AZ518" s="136"/>
      <c r="BA518" s="136"/>
      <c r="BB518" s="136"/>
      <c r="BC518" s="330"/>
      <c r="BD518" s="330"/>
      <c r="BE518" s="330"/>
      <c r="BF518" s="330"/>
      <c r="BG518" s="330"/>
      <c r="BH518" s="330"/>
      <c r="BI518" s="330"/>
      <c r="BJ518" s="330"/>
      <c r="BK518" s="330"/>
      <c r="BL518" s="330"/>
      <c r="BM518" s="330"/>
      <c r="BN518" s="330"/>
      <c r="BO518" s="330"/>
      <c r="BP518" s="330"/>
      <c r="BQ518" s="330"/>
      <c r="BR518" s="330"/>
      <c r="BS518" s="330"/>
      <c r="BT518" s="330"/>
      <c r="BU518" s="330"/>
      <c r="BV518" s="330"/>
      <c r="BW518" s="330"/>
      <c r="BX518" s="330"/>
    </row>
    <row r="519" spans="2:76" s="28" customFormat="1">
      <c r="B519" s="136"/>
      <c r="D519" s="222"/>
      <c r="E519" s="29"/>
      <c r="G519" s="293"/>
      <c r="H519" s="294"/>
      <c r="I519" s="294"/>
      <c r="J519" s="294"/>
      <c r="K519" s="294"/>
      <c r="L519" s="294"/>
      <c r="O519" s="338"/>
      <c r="AI519" s="31"/>
      <c r="AJ519" s="31"/>
      <c r="AK519" s="32"/>
      <c r="AL519" s="33"/>
      <c r="AM519" s="32"/>
      <c r="AN519" s="33"/>
      <c r="AO519" s="32"/>
      <c r="AP519" s="32"/>
      <c r="AQ519" s="136"/>
      <c r="AR519" s="136"/>
      <c r="AS519" s="136"/>
      <c r="AT519" s="136"/>
      <c r="AU519" s="136"/>
      <c r="AV519" s="136"/>
      <c r="AW519" s="136"/>
      <c r="AX519" s="136"/>
      <c r="AY519" s="136"/>
      <c r="AZ519" s="136"/>
      <c r="BA519" s="136"/>
      <c r="BB519" s="136"/>
      <c r="BC519" s="330"/>
      <c r="BD519" s="330"/>
      <c r="BE519" s="330"/>
      <c r="BF519" s="330"/>
      <c r="BG519" s="330"/>
      <c r="BH519" s="330"/>
      <c r="BI519" s="330"/>
      <c r="BJ519" s="330"/>
      <c r="BK519" s="330"/>
      <c r="BL519" s="330"/>
      <c r="BM519" s="330"/>
      <c r="BN519" s="330"/>
      <c r="BO519" s="330"/>
      <c r="BP519" s="330"/>
      <c r="BQ519" s="330"/>
      <c r="BR519" s="330"/>
      <c r="BS519" s="330"/>
      <c r="BT519" s="330"/>
      <c r="BU519" s="330"/>
      <c r="BV519" s="330"/>
      <c r="BW519" s="330"/>
      <c r="BX519" s="330"/>
    </row>
    <row r="520" spans="2:76" s="28" customFormat="1">
      <c r="B520" s="136"/>
      <c r="D520" s="222"/>
      <c r="E520" s="29"/>
      <c r="G520" s="293"/>
      <c r="H520" s="294"/>
      <c r="I520" s="294"/>
      <c r="J520" s="294"/>
      <c r="K520" s="294"/>
      <c r="L520" s="294"/>
      <c r="O520" s="338"/>
      <c r="AI520" s="31"/>
      <c r="AJ520" s="31"/>
      <c r="AK520" s="32"/>
      <c r="AL520" s="33"/>
      <c r="AM520" s="32"/>
      <c r="AN520" s="33"/>
      <c r="AO520" s="32"/>
      <c r="AP520" s="32"/>
      <c r="AQ520" s="136"/>
      <c r="AR520" s="136"/>
      <c r="AS520" s="136"/>
      <c r="AT520" s="136"/>
      <c r="AU520" s="136"/>
      <c r="AV520" s="136"/>
      <c r="AW520" s="136"/>
      <c r="AX520" s="136"/>
      <c r="AY520" s="136"/>
      <c r="AZ520" s="136"/>
      <c r="BA520" s="136"/>
      <c r="BB520" s="136"/>
      <c r="BC520" s="330"/>
      <c r="BD520" s="330"/>
      <c r="BE520" s="330"/>
      <c r="BF520" s="330"/>
      <c r="BG520" s="330"/>
      <c r="BH520" s="330"/>
      <c r="BI520" s="330"/>
      <c r="BJ520" s="330"/>
      <c r="BK520" s="330"/>
      <c r="BL520" s="330"/>
      <c r="BM520" s="330"/>
      <c r="BN520" s="330"/>
      <c r="BO520" s="330"/>
      <c r="BP520" s="330"/>
      <c r="BQ520" s="330"/>
      <c r="BR520" s="330"/>
      <c r="BS520" s="330"/>
      <c r="BT520" s="330"/>
      <c r="BU520" s="330"/>
      <c r="BV520" s="330"/>
      <c r="BW520" s="330"/>
      <c r="BX520" s="330"/>
    </row>
    <row r="521" spans="2:76" s="28" customFormat="1">
      <c r="B521" s="136"/>
      <c r="D521" s="222"/>
      <c r="E521" s="29"/>
      <c r="G521" s="293"/>
      <c r="H521" s="294"/>
      <c r="I521" s="294"/>
      <c r="J521" s="294"/>
      <c r="K521" s="294"/>
      <c r="L521" s="294"/>
      <c r="O521" s="339"/>
      <c r="AI521" s="31"/>
      <c r="AJ521" s="31"/>
      <c r="AK521" s="32"/>
      <c r="AL521" s="33"/>
      <c r="AM521" s="32"/>
      <c r="AN521" s="33"/>
      <c r="AO521" s="32"/>
      <c r="AP521" s="32"/>
      <c r="AQ521" s="136"/>
      <c r="AR521" s="136"/>
      <c r="AS521" s="136"/>
      <c r="AT521" s="136"/>
      <c r="AU521" s="136"/>
      <c r="AV521" s="136"/>
      <c r="AW521" s="136"/>
      <c r="AX521" s="136"/>
      <c r="AY521" s="136"/>
      <c r="AZ521" s="136"/>
      <c r="BA521" s="136"/>
      <c r="BB521" s="136"/>
      <c r="BC521" s="330"/>
      <c r="BD521" s="330"/>
      <c r="BE521" s="330"/>
      <c r="BF521" s="330"/>
      <c r="BG521" s="330"/>
      <c r="BH521" s="330"/>
      <c r="BI521" s="330"/>
      <c r="BJ521" s="330"/>
      <c r="BK521" s="330"/>
      <c r="BL521" s="330"/>
      <c r="BM521" s="330"/>
      <c r="BN521" s="330"/>
      <c r="BO521" s="330"/>
      <c r="BP521" s="330"/>
      <c r="BQ521" s="330"/>
      <c r="BR521" s="330"/>
      <c r="BS521" s="330"/>
      <c r="BT521" s="330"/>
      <c r="BU521" s="330"/>
      <c r="BV521" s="330"/>
      <c r="BW521" s="330"/>
      <c r="BX521" s="330"/>
    </row>
    <row r="522" spans="2:76" s="28" customFormat="1">
      <c r="B522" s="136"/>
      <c r="D522" s="222"/>
      <c r="E522" s="29"/>
      <c r="G522" s="293"/>
      <c r="H522" s="294"/>
      <c r="I522" s="294"/>
      <c r="J522" s="294"/>
      <c r="K522" s="294"/>
      <c r="L522" s="294"/>
      <c r="O522" s="336"/>
      <c r="AI522" s="31"/>
      <c r="AJ522" s="31"/>
      <c r="AK522" s="32"/>
      <c r="AL522" s="33"/>
      <c r="AM522" s="32"/>
      <c r="AN522" s="33"/>
      <c r="AO522" s="32"/>
      <c r="AP522" s="32"/>
      <c r="AQ522" s="136"/>
      <c r="AR522" s="136"/>
      <c r="AS522" s="136"/>
      <c r="AT522" s="136"/>
      <c r="AU522" s="136"/>
      <c r="AV522" s="136"/>
      <c r="AW522" s="136"/>
      <c r="AX522" s="136"/>
      <c r="AY522" s="136"/>
      <c r="AZ522" s="136"/>
      <c r="BA522" s="136"/>
      <c r="BB522" s="136"/>
      <c r="BC522" s="330"/>
      <c r="BD522" s="330"/>
      <c r="BE522" s="330"/>
      <c r="BF522" s="330"/>
      <c r="BG522" s="330"/>
      <c r="BH522" s="330"/>
      <c r="BI522" s="330"/>
      <c r="BJ522" s="330"/>
      <c r="BK522" s="330"/>
      <c r="BL522" s="330"/>
      <c r="BM522" s="330"/>
      <c r="BN522" s="330"/>
      <c r="BO522" s="330"/>
      <c r="BP522" s="330"/>
      <c r="BQ522" s="330"/>
      <c r="BR522" s="330"/>
      <c r="BS522" s="330"/>
      <c r="BT522" s="330"/>
      <c r="BU522" s="330"/>
      <c r="BV522" s="330"/>
      <c r="BW522" s="330"/>
      <c r="BX522" s="330"/>
    </row>
    <row r="523" spans="2:76" s="28" customFormat="1">
      <c r="B523" s="136"/>
      <c r="D523" s="222"/>
      <c r="E523" s="29"/>
      <c r="G523" s="293"/>
      <c r="H523" s="294"/>
      <c r="I523" s="294"/>
      <c r="J523" s="294"/>
      <c r="K523" s="294"/>
      <c r="L523" s="294"/>
      <c r="O523" s="335"/>
      <c r="AI523" s="31"/>
      <c r="AJ523" s="31"/>
      <c r="AK523" s="32"/>
      <c r="AL523" s="33"/>
      <c r="AM523" s="32"/>
      <c r="AN523" s="33"/>
      <c r="AO523" s="32"/>
      <c r="AP523" s="32"/>
      <c r="AQ523" s="136"/>
      <c r="AR523" s="136"/>
      <c r="AS523" s="136"/>
      <c r="AT523" s="136"/>
      <c r="AU523" s="136"/>
      <c r="AV523" s="136"/>
      <c r="AW523" s="136"/>
      <c r="AX523" s="136"/>
      <c r="AY523" s="136"/>
      <c r="AZ523" s="136"/>
      <c r="BA523" s="136"/>
      <c r="BB523" s="136"/>
      <c r="BC523" s="330"/>
      <c r="BD523" s="330"/>
      <c r="BE523" s="330"/>
      <c r="BF523" s="330"/>
      <c r="BG523" s="330"/>
      <c r="BH523" s="330"/>
      <c r="BI523" s="330"/>
      <c r="BJ523" s="330"/>
      <c r="BK523" s="330"/>
      <c r="BL523" s="330"/>
      <c r="BM523" s="330"/>
      <c r="BN523" s="330"/>
      <c r="BO523" s="330"/>
      <c r="BP523" s="330"/>
      <c r="BQ523" s="330"/>
      <c r="BR523" s="330"/>
      <c r="BS523" s="330"/>
      <c r="BT523" s="330"/>
      <c r="BU523" s="330"/>
      <c r="BV523" s="330"/>
      <c r="BW523" s="330"/>
      <c r="BX523" s="330"/>
    </row>
    <row r="524" spans="2:76" s="28" customFormat="1">
      <c r="B524" s="136"/>
      <c r="D524" s="222"/>
      <c r="E524" s="29"/>
      <c r="G524" s="293"/>
      <c r="H524" s="294"/>
      <c r="I524" s="294"/>
      <c r="J524" s="294"/>
      <c r="K524" s="294"/>
      <c r="L524" s="294"/>
      <c r="O524" s="337"/>
      <c r="AI524" s="31"/>
      <c r="AJ524" s="31"/>
      <c r="AK524" s="32"/>
      <c r="AL524" s="33"/>
      <c r="AM524" s="32"/>
      <c r="AN524" s="33"/>
      <c r="AO524" s="32"/>
      <c r="AP524" s="32"/>
      <c r="AQ524" s="136"/>
      <c r="AR524" s="136"/>
      <c r="AS524" s="136"/>
      <c r="AT524" s="136"/>
      <c r="AU524" s="136"/>
      <c r="AV524" s="136"/>
      <c r="AW524" s="136"/>
      <c r="AX524" s="136"/>
      <c r="AY524" s="136"/>
      <c r="AZ524" s="136"/>
      <c r="BA524" s="136"/>
      <c r="BB524" s="136"/>
      <c r="BC524" s="330"/>
      <c r="BD524" s="330"/>
      <c r="BE524" s="330"/>
      <c r="BF524" s="330"/>
      <c r="BG524" s="330"/>
      <c r="BH524" s="330"/>
      <c r="BI524" s="330"/>
      <c r="BJ524" s="330"/>
      <c r="BK524" s="330"/>
      <c r="BL524" s="330"/>
      <c r="BM524" s="330"/>
      <c r="BN524" s="330"/>
      <c r="BO524" s="330"/>
      <c r="BP524" s="330"/>
      <c r="BQ524" s="330"/>
      <c r="BR524" s="330"/>
      <c r="BS524" s="330"/>
      <c r="BT524" s="330"/>
      <c r="BU524" s="330"/>
      <c r="BV524" s="330"/>
      <c r="BW524" s="330"/>
      <c r="BX524" s="330"/>
    </row>
    <row r="525" spans="2:76" s="28" customFormat="1">
      <c r="B525" s="136"/>
      <c r="D525" s="222"/>
      <c r="E525" s="29"/>
      <c r="G525" s="293"/>
      <c r="H525" s="294"/>
      <c r="I525" s="294"/>
      <c r="J525" s="294"/>
      <c r="K525" s="294"/>
      <c r="L525" s="294"/>
      <c r="O525" s="338"/>
      <c r="AI525" s="31"/>
      <c r="AJ525" s="31"/>
      <c r="AK525" s="32"/>
      <c r="AL525" s="33"/>
      <c r="AM525" s="32"/>
      <c r="AN525" s="33"/>
      <c r="AO525" s="32"/>
      <c r="AP525" s="32"/>
      <c r="AQ525" s="136"/>
      <c r="AR525" s="136"/>
      <c r="AS525" s="136"/>
      <c r="AT525" s="136"/>
      <c r="AU525" s="136"/>
      <c r="AV525" s="136"/>
      <c r="AW525" s="136"/>
      <c r="AX525" s="136"/>
      <c r="AY525" s="136"/>
      <c r="AZ525" s="136"/>
      <c r="BA525" s="136"/>
      <c r="BB525" s="136"/>
      <c r="BC525" s="330"/>
      <c r="BD525" s="330"/>
      <c r="BE525" s="330"/>
      <c r="BF525" s="330"/>
      <c r="BG525" s="330"/>
      <c r="BH525" s="330"/>
      <c r="BI525" s="330"/>
      <c r="BJ525" s="330"/>
      <c r="BK525" s="330"/>
      <c r="BL525" s="330"/>
      <c r="BM525" s="330"/>
      <c r="BN525" s="330"/>
      <c r="BO525" s="330"/>
      <c r="BP525" s="330"/>
      <c r="BQ525" s="330"/>
      <c r="BR525" s="330"/>
      <c r="BS525" s="330"/>
      <c r="BT525" s="330"/>
      <c r="BU525" s="330"/>
      <c r="BV525" s="330"/>
      <c r="BW525" s="330"/>
      <c r="BX525" s="330"/>
    </row>
    <row r="526" spans="2:76" s="28" customFormat="1">
      <c r="B526" s="136"/>
      <c r="D526" s="222"/>
      <c r="E526" s="29"/>
      <c r="G526" s="293"/>
      <c r="H526" s="294"/>
      <c r="I526" s="294"/>
      <c r="J526" s="294"/>
      <c r="K526" s="294"/>
      <c r="L526" s="294"/>
      <c r="O526" s="338"/>
      <c r="AI526" s="31"/>
      <c r="AJ526" s="31"/>
      <c r="AK526" s="32"/>
      <c r="AL526" s="33"/>
      <c r="AM526" s="32"/>
      <c r="AN526" s="33"/>
      <c r="AO526" s="32"/>
      <c r="AP526" s="32"/>
      <c r="AQ526" s="136"/>
      <c r="AR526" s="136"/>
      <c r="AS526" s="136"/>
      <c r="AT526" s="136"/>
      <c r="AU526" s="136"/>
      <c r="AV526" s="136"/>
      <c r="AW526" s="136"/>
      <c r="AX526" s="136"/>
      <c r="AY526" s="136"/>
      <c r="AZ526" s="136"/>
      <c r="BA526" s="136"/>
      <c r="BB526" s="136"/>
      <c r="BC526" s="330"/>
      <c r="BD526" s="330"/>
      <c r="BE526" s="330"/>
      <c r="BF526" s="330"/>
      <c r="BG526" s="330"/>
      <c r="BH526" s="330"/>
      <c r="BI526" s="330"/>
      <c r="BJ526" s="330"/>
      <c r="BK526" s="330"/>
      <c r="BL526" s="330"/>
      <c r="BM526" s="330"/>
      <c r="BN526" s="330"/>
      <c r="BO526" s="330"/>
      <c r="BP526" s="330"/>
      <c r="BQ526" s="330"/>
      <c r="BR526" s="330"/>
      <c r="BS526" s="330"/>
      <c r="BT526" s="330"/>
      <c r="BU526" s="330"/>
      <c r="BV526" s="330"/>
      <c r="BW526" s="330"/>
      <c r="BX526" s="330"/>
    </row>
    <row r="527" spans="2:76" s="28" customFormat="1">
      <c r="B527" s="136"/>
      <c r="D527" s="222"/>
      <c r="E527" s="29"/>
      <c r="G527" s="293"/>
      <c r="H527" s="294"/>
      <c r="I527" s="294"/>
      <c r="J527" s="294"/>
      <c r="K527" s="294"/>
      <c r="L527" s="294"/>
      <c r="O527" s="338"/>
      <c r="AI527" s="31"/>
      <c r="AJ527" s="31"/>
      <c r="AK527" s="32"/>
      <c r="AL527" s="33"/>
      <c r="AM527" s="32"/>
      <c r="AN527" s="33"/>
      <c r="AO527" s="32"/>
      <c r="AP527" s="32"/>
      <c r="AQ527" s="136"/>
      <c r="AR527" s="136"/>
      <c r="AS527" s="136"/>
      <c r="AT527" s="136"/>
      <c r="AU527" s="136"/>
      <c r="AV527" s="136"/>
      <c r="AW527" s="136"/>
      <c r="AX527" s="136"/>
      <c r="AY527" s="136"/>
      <c r="AZ527" s="136"/>
      <c r="BA527" s="136"/>
      <c r="BB527" s="136"/>
      <c r="BC527" s="330"/>
      <c r="BD527" s="330"/>
      <c r="BE527" s="330"/>
      <c r="BF527" s="330"/>
      <c r="BG527" s="330"/>
      <c r="BH527" s="330"/>
      <c r="BI527" s="330"/>
      <c r="BJ527" s="330"/>
      <c r="BK527" s="330"/>
      <c r="BL527" s="330"/>
      <c r="BM527" s="330"/>
      <c r="BN527" s="330"/>
      <c r="BO527" s="330"/>
      <c r="BP527" s="330"/>
      <c r="BQ527" s="330"/>
      <c r="BR527" s="330"/>
      <c r="BS527" s="330"/>
      <c r="BT527" s="330"/>
      <c r="BU527" s="330"/>
      <c r="BV527" s="330"/>
      <c r="BW527" s="330"/>
      <c r="BX527" s="330"/>
    </row>
    <row r="528" spans="2:76" s="28" customFormat="1">
      <c r="B528" s="136"/>
      <c r="D528" s="222"/>
      <c r="E528" s="29"/>
      <c r="G528" s="293"/>
      <c r="H528" s="294"/>
      <c r="I528" s="294"/>
      <c r="J528" s="294"/>
      <c r="K528" s="294"/>
      <c r="L528" s="294"/>
      <c r="O528" s="335"/>
      <c r="AI528" s="31"/>
      <c r="AJ528" s="31"/>
      <c r="AK528" s="32"/>
      <c r="AL528" s="33"/>
      <c r="AM528" s="32"/>
      <c r="AN528" s="33"/>
      <c r="AO528" s="32"/>
      <c r="AP528" s="32"/>
      <c r="AQ528" s="136"/>
      <c r="AR528" s="136"/>
      <c r="AS528" s="136"/>
      <c r="AT528" s="136"/>
      <c r="AU528" s="136"/>
      <c r="AV528" s="136"/>
      <c r="AW528" s="136"/>
      <c r="AX528" s="136"/>
      <c r="AY528" s="136"/>
      <c r="AZ528" s="136"/>
      <c r="BA528" s="136"/>
      <c r="BB528" s="136"/>
      <c r="BC528" s="330"/>
      <c r="BD528" s="330"/>
      <c r="BE528" s="330"/>
      <c r="BF528" s="330"/>
      <c r="BG528" s="330"/>
      <c r="BH528" s="330"/>
      <c r="BI528" s="330"/>
      <c r="BJ528" s="330"/>
      <c r="BK528" s="330"/>
      <c r="BL528" s="330"/>
      <c r="BM528" s="330"/>
      <c r="BN528" s="330"/>
      <c r="BO528" s="330"/>
      <c r="BP528" s="330"/>
      <c r="BQ528" s="330"/>
      <c r="BR528" s="330"/>
      <c r="BS528" s="330"/>
      <c r="BT528" s="330"/>
      <c r="BU528" s="330"/>
      <c r="BV528" s="330"/>
      <c r="BW528" s="330"/>
      <c r="BX528" s="330"/>
    </row>
    <row r="529" spans="2:76" s="28" customFormat="1">
      <c r="B529" s="136"/>
      <c r="D529" s="222"/>
      <c r="E529" s="29"/>
      <c r="G529" s="293"/>
      <c r="H529" s="294"/>
      <c r="I529" s="294"/>
      <c r="J529" s="294"/>
      <c r="K529" s="294"/>
      <c r="L529" s="294"/>
      <c r="O529" s="342"/>
      <c r="AI529" s="31"/>
      <c r="AJ529" s="31"/>
      <c r="AK529" s="32"/>
      <c r="AL529" s="33"/>
      <c r="AM529" s="32"/>
      <c r="AN529" s="33"/>
      <c r="AO529" s="32"/>
      <c r="AP529" s="32"/>
      <c r="AQ529" s="136"/>
      <c r="AR529" s="136"/>
      <c r="AS529" s="136"/>
      <c r="AT529" s="136"/>
      <c r="AU529" s="136"/>
      <c r="AV529" s="136"/>
      <c r="AW529" s="136"/>
      <c r="AX529" s="136"/>
      <c r="AY529" s="136"/>
      <c r="AZ529" s="136"/>
      <c r="BA529" s="136"/>
      <c r="BB529" s="136"/>
      <c r="BC529" s="330"/>
      <c r="BD529" s="330"/>
      <c r="BE529" s="330"/>
      <c r="BF529" s="330"/>
      <c r="BG529" s="330"/>
      <c r="BH529" s="330"/>
      <c r="BI529" s="330"/>
      <c r="BJ529" s="330"/>
      <c r="BK529" s="330"/>
      <c r="BL529" s="330"/>
      <c r="BM529" s="330"/>
      <c r="BN529" s="330"/>
      <c r="BO529" s="330"/>
      <c r="BP529" s="330"/>
      <c r="BQ529" s="330"/>
      <c r="BR529" s="330"/>
      <c r="BS529" s="330"/>
      <c r="BT529" s="330"/>
      <c r="BU529" s="330"/>
      <c r="BV529" s="330"/>
      <c r="BW529" s="330"/>
      <c r="BX529" s="330"/>
    </row>
    <row r="530" spans="2:76" s="28" customFormat="1">
      <c r="B530" s="136"/>
      <c r="D530" s="222"/>
      <c r="E530" s="29"/>
      <c r="G530" s="293"/>
      <c r="H530" s="294"/>
      <c r="I530" s="294"/>
      <c r="J530" s="294"/>
      <c r="K530" s="294"/>
      <c r="L530" s="294"/>
      <c r="O530" s="350"/>
      <c r="AI530" s="31"/>
      <c r="AJ530" s="31"/>
      <c r="AK530" s="32"/>
      <c r="AL530" s="33"/>
      <c r="AM530" s="32"/>
      <c r="AN530" s="33"/>
      <c r="AO530" s="32"/>
      <c r="AP530" s="32"/>
      <c r="AQ530" s="136"/>
      <c r="AR530" s="136"/>
      <c r="AS530" s="136"/>
      <c r="AT530" s="136"/>
      <c r="AU530" s="136"/>
      <c r="AV530" s="136"/>
      <c r="AW530" s="136"/>
      <c r="AX530" s="136"/>
      <c r="AY530" s="136"/>
      <c r="AZ530" s="136"/>
      <c r="BA530" s="136"/>
      <c r="BB530" s="136"/>
      <c r="BC530" s="330"/>
      <c r="BD530" s="330"/>
      <c r="BE530" s="330"/>
      <c r="BF530" s="330"/>
      <c r="BG530" s="330"/>
      <c r="BH530" s="330"/>
      <c r="BI530" s="330"/>
      <c r="BJ530" s="330"/>
      <c r="BK530" s="330"/>
      <c r="BL530" s="330"/>
      <c r="BM530" s="330"/>
      <c r="BN530" s="330"/>
      <c r="BO530" s="330"/>
      <c r="BP530" s="330"/>
      <c r="BQ530" s="330"/>
      <c r="BR530" s="330"/>
      <c r="BS530" s="330"/>
      <c r="BT530" s="330"/>
      <c r="BU530" s="330"/>
      <c r="BV530" s="330"/>
      <c r="BW530" s="330"/>
      <c r="BX530" s="330"/>
    </row>
    <row r="531" spans="2:76" s="28" customFormat="1">
      <c r="B531" s="136"/>
      <c r="D531" s="222"/>
      <c r="E531" s="29"/>
      <c r="G531" s="293"/>
      <c r="H531" s="294"/>
      <c r="I531" s="294"/>
      <c r="J531" s="294"/>
      <c r="K531" s="294"/>
      <c r="L531" s="294"/>
      <c r="O531" s="342"/>
      <c r="AI531" s="31"/>
      <c r="AJ531" s="31"/>
      <c r="AK531" s="32"/>
      <c r="AL531" s="33"/>
      <c r="AM531" s="32"/>
      <c r="AN531" s="33"/>
      <c r="AO531" s="32"/>
      <c r="AP531" s="32"/>
      <c r="AQ531" s="136"/>
      <c r="AR531" s="136"/>
      <c r="AS531" s="136"/>
      <c r="AT531" s="136"/>
      <c r="AU531" s="136"/>
      <c r="AV531" s="136"/>
      <c r="AW531" s="136"/>
      <c r="AX531" s="136"/>
      <c r="AY531" s="136"/>
      <c r="AZ531" s="136"/>
      <c r="BA531" s="136"/>
      <c r="BB531" s="136"/>
      <c r="BC531" s="330"/>
      <c r="BD531" s="330"/>
      <c r="BE531" s="330"/>
      <c r="BF531" s="330"/>
      <c r="BG531" s="330"/>
      <c r="BH531" s="330"/>
      <c r="BI531" s="330"/>
      <c r="BJ531" s="330"/>
      <c r="BK531" s="330"/>
      <c r="BL531" s="330"/>
      <c r="BM531" s="330"/>
      <c r="BN531" s="330"/>
      <c r="BO531" s="330"/>
      <c r="BP531" s="330"/>
      <c r="BQ531" s="330"/>
      <c r="BR531" s="330"/>
      <c r="BS531" s="330"/>
      <c r="BT531" s="330"/>
      <c r="BU531" s="330"/>
      <c r="BV531" s="330"/>
      <c r="BW531" s="330"/>
      <c r="BX531" s="330"/>
    </row>
    <row r="532" spans="2:76" s="28" customFormat="1">
      <c r="B532" s="136"/>
      <c r="D532" s="222"/>
      <c r="E532" s="29"/>
      <c r="G532" s="293"/>
      <c r="H532" s="294"/>
      <c r="I532" s="294"/>
      <c r="J532" s="294"/>
      <c r="K532" s="294"/>
      <c r="L532" s="294"/>
      <c r="O532" s="335"/>
      <c r="AI532" s="31"/>
      <c r="AJ532" s="31"/>
      <c r="AK532" s="32"/>
      <c r="AL532" s="33"/>
      <c r="AM532" s="32"/>
      <c r="AN532" s="33"/>
      <c r="AO532" s="32"/>
      <c r="AP532" s="32"/>
      <c r="AQ532" s="136"/>
      <c r="AR532" s="136"/>
      <c r="AS532" s="136"/>
      <c r="AT532" s="136"/>
      <c r="AU532" s="136"/>
      <c r="AV532" s="136"/>
      <c r="AW532" s="136"/>
      <c r="AX532" s="136"/>
      <c r="AY532" s="136"/>
      <c r="AZ532" s="136"/>
      <c r="BA532" s="136"/>
      <c r="BB532" s="136"/>
      <c r="BC532" s="330"/>
      <c r="BD532" s="330"/>
      <c r="BE532" s="330"/>
      <c r="BF532" s="330"/>
      <c r="BG532" s="330"/>
      <c r="BH532" s="330"/>
      <c r="BI532" s="330"/>
      <c r="BJ532" s="330"/>
      <c r="BK532" s="330"/>
      <c r="BL532" s="330"/>
      <c r="BM532" s="330"/>
      <c r="BN532" s="330"/>
      <c r="BO532" s="330"/>
      <c r="BP532" s="330"/>
      <c r="BQ532" s="330"/>
      <c r="BR532" s="330"/>
      <c r="BS532" s="330"/>
      <c r="BT532" s="330"/>
      <c r="BU532" s="330"/>
      <c r="BV532" s="330"/>
      <c r="BW532" s="330"/>
      <c r="BX532" s="330"/>
    </row>
    <row r="533" spans="2:76" s="28" customFormat="1">
      <c r="B533" s="136"/>
      <c r="D533" s="222"/>
      <c r="E533" s="29"/>
      <c r="G533" s="293"/>
      <c r="H533" s="294"/>
      <c r="I533" s="294"/>
      <c r="J533" s="294"/>
      <c r="K533" s="294"/>
      <c r="L533" s="294"/>
      <c r="O533" s="335"/>
      <c r="AI533" s="31"/>
      <c r="AJ533" s="31"/>
      <c r="AK533" s="32"/>
      <c r="AL533" s="33"/>
      <c r="AM533" s="32"/>
      <c r="AN533" s="33"/>
      <c r="AO533" s="32"/>
      <c r="AP533" s="32"/>
      <c r="AQ533" s="136"/>
      <c r="AR533" s="136"/>
      <c r="AS533" s="136"/>
      <c r="AT533" s="136"/>
      <c r="AU533" s="136"/>
      <c r="AV533" s="136"/>
      <c r="AW533" s="136"/>
      <c r="AX533" s="136"/>
      <c r="AY533" s="136"/>
      <c r="AZ533" s="136"/>
      <c r="BA533" s="136"/>
      <c r="BB533" s="136"/>
      <c r="BC533" s="330"/>
      <c r="BD533" s="330"/>
      <c r="BE533" s="330"/>
      <c r="BF533" s="330"/>
      <c r="BG533" s="330"/>
      <c r="BH533" s="330"/>
      <c r="BI533" s="330"/>
      <c r="BJ533" s="330"/>
      <c r="BK533" s="330"/>
      <c r="BL533" s="330"/>
      <c r="BM533" s="330"/>
      <c r="BN533" s="330"/>
      <c r="BO533" s="330"/>
      <c r="BP533" s="330"/>
      <c r="BQ533" s="330"/>
      <c r="BR533" s="330"/>
      <c r="BS533" s="330"/>
      <c r="BT533" s="330"/>
      <c r="BU533" s="330"/>
      <c r="BV533" s="330"/>
      <c r="BW533" s="330"/>
      <c r="BX533" s="330"/>
    </row>
    <row r="534" spans="2:76" s="28" customFormat="1">
      <c r="B534" s="136"/>
      <c r="D534" s="222"/>
      <c r="E534" s="29"/>
      <c r="G534" s="293"/>
      <c r="H534" s="294"/>
      <c r="I534" s="294"/>
      <c r="J534" s="294"/>
      <c r="K534" s="294"/>
      <c r="L534" s="294"/>
      <c r="O534" s="339"/>
      <c r="AI534" s="31"/>
      <c r="AJ534" s="31"/>
      <c r="AK534" s="32"/>
      <c r="AL534" s="33"/>
      <c r="AM534" s="32"/>
      <c r="AN534" s="33"/>
      <c r="AO534" s="32"/>
      <c r="AP534" s="32"/>
      <c r="AQ534" s="136"/>
      <c r="AR534" s="136"/>
      <c r="AS534" s="136"/>
      <c r="AT534" s="136"/>
      <c r="AU534" s="136"/>
      <c r="AV534" s="136"/>
      <c r="AW534" s="136"/>
      <c r="AX534" s="136"/>
      <c r="AY534" s="136"/>
      <c r="AZ534" s="136"/>
      <c r="BA534" s="136"/>
      <c r="BB534" s="136"/>
      <c r="BC534" s="330"/>
      <c r="BD534" s="330"/>
      <c r="BE534" s="330"/>
      <c r="BF534" s="330"/>
      <c r="BG534" s="330"/>
      <c r="BH534" s="330"/>
      <c r="BI534" s="330"/>
      <c r="BJ534" s="330"/>
      <c r="BK534" s="330"/>
      <c r="BL534" s="330"/>
      <c r="BM534" s="330"/>
      <c r="BN534" s="330"/>
      <c r="BO534" s="330"/>
      <c r="BP534" s="330"/>
      <c r="BQ534" s="330"/>
      <c r="BR534" s="330"/>
      <c r="BS534" s="330"/>
      <c r="BT534" s="330"/>
      <c r="BU534" s="330"/>
      <c r="BV534" s="330"/>
      <c r="BW534" s="330"/>
      <c r="BX534" s="330"/>
    </row>
    <row r="535" spans="2:76" s="28" customFormat="1">
      <c r="B535" s="136"/>
      <c r="D535" s="222"/>
      <c r="E535" s="29"/>
      <c r="G535" s="293"/>
      <c r="H535" s="294"/>
      <c r="I535" s="294"/>
      <c r="J535" s="294"/>
      <c r="K535" s="294"/>
      <c r="L535" s="294"/>
      <c r="O535" s="346"/>
      <c r="AI535" s="31"/>
      <c r="AJ535" s="31"/>
      <c r="AK535" s="32"/>
      <c r="AL535" s="33"/>
      <c r="AM535" s="32"/>
      <c r="AN535" s="33"/>
      <c r="AO535" s="32"/>
      <c r="AP535" s="32"/>
      <c r="AQ535" s="136"/>
      <c r="AR535" s="136"/>
      <c r="AS535" s="136"/>
      <c r="AT535" s="136"/>
      <c r="AU535" s="136"/>
      <c r="AV535" s="136"/>
      <c r="AW535" s="136"/>
      <c r="AX535" s="136"/>
      <c r="AY535" s="136"/>
      <c r="AZ535" s="136"/>
      <c r="BA535" s="136"/>
      <c r="BB535" s="136"/>
      <c r="BC535" s="330"/>
      <c r="BD535" s="330"/>
      <c r="BE535" s="330"/>
      <c r="BF535" s="330"/>
      <c r="BG535" s="330"/>
      <c r="BH535" s="330"/>
      <c r="BI535" s="330"/>
      <c r="BJ535" s="330"/>
      <c r="BK535" s="330"/>
      <c r="BL535" s="330"/>
      <c r="BM535" s="330"/>
      <c r="BN535" s="330"/>
      <c r="BO535" s="330"/>
      <c r="BP535" s="330"/>
      <c r="BQ535" s="330"/>
      <c r="BR535" s="330"/>
      <c r="BS535" s="330"/>
      <c r="BT535" s="330"/>
      <c r="BU535" s="330"/>
      <c r="BV535" s="330"/>
      <c r="BW535" s="330"/>
      <c r="BX535" s="330"/>
    </row>
    <row r="536" spans="2:76" s="28" customFormat="1">
      <c r="B536" s="136"/>
      <c r="D536" s="222"/>
      <c r="E536" s="29"/>
      <c r="G536" s="293"/>
      <c r="H536" s="294"/>
      <c r="I536" s="294"/>
      <c r="J536" s="294"/>
      <c r="K536" s="294"/>
      <c r="L536" s="294"/>
      <c r="O536" s="335"/>
      <c r="AI536" s="31"/>
      <c r="AJ536" s="31"/>
      <c r="AK536" s="32"/>
      <c r="AL536" s="33"/>
      <c r="AM536" s="32"/>
      <c r="AN536" s="33"/>
      <c r="AO536" s="32"/>
      <c r="AP536" s="32"/>
      <c r="AQ536" s="136"/>
      <c r="AR536" s="136"/>
      <c r="AS536" s="136"/>
      <c r="AT536" s="136"/>
      <c r="AU536" s="136"/>
      <c r="AV536" s="136"/>
      <c r="AW536" s="136"/>
      <c r="AX536" s="136"/>
      <c r="AY536" s="136"/>
      <c r="AZ536" s="136"/>
      <c r="BA536" s="136"/>
      <c r="BB536" s="136"/>
      <c r="BC536" s="330"/>
      <c r="BD536" s="330"/>
      <c r="BE536" s="330"/>
      <c r="BF536" s="330"/>
      <c r="BG536" s="330"/>
      <c r="BH536" s="330"/>
      <c r="BI536" s="330"/>
      <c r="BJ536" s="330"/>
      <c r="BK536" s="330"/>
      <c r="BL536" s="330"/>
      <c r="BM536" s="330"/>
      <c r="BN536" s="330"/>
      <c r="BO536" s="330"/>
      <c r="BP536" s="330"/>
      <c r="BQ536" s="330"/>
      <c r="BR536" s="330"/>
      <c r="BS536" s="330"/>
      <c r="BT536" s="330"/>
      <c r="BU536" s="330"/>
      <c r="BV536" s="330"/>
      <c r="BW536" s="330"/>
      <c r="BX536" s="330"/>
    </row>
    <row r="537" spans="2:76" s="28" customFormat="1">
      <c r="B537" s="136"/>
      <c r="D537" s="222"/>
      <c r="E537" s="29"/>
      <c r="G537" s="293"/>
      <c r="H537" s="294"/>
      <c r="I537" s="294"/>
      <c r="J537" s="294"/>
      <c r="K537" s="294"/>
      <c r="L537" s="294"/>
      <c r="O537" s="334"/>
      <c r="AI537" s="31"/>
      <c r="AJ537" s="31"/>
      <c r="AK537" s="32"/>
      <c r="AL537" s="33"/>
      <c r="AM537" s="32"/>
      <c r="AN537" s="33"/>
      <c r="AO537" s="32"/>
      <c r="AP537" s="32"/>
      <c r="AQ537" s="136"/>
      <c r="AR537" s="136"/>
      <c r="AS537" s="136"/>
      <c r="AT537" s="136"/>
      <c r="AU537" s="136"/>
      <c r="AV537" s="136"/>
      <c r="AW537" s="136"/>
      <c r="AX537" s="136"/>
      <c r="AY537" s="136"/>
      <c r="AZ537" s="136"/>
      <c r="BA537" s="136"/>
      <c r="BB537" s="136"/>
      <c r="BC537" s="330"/>
      <c r="BD537" s="330"/>
      <c r="BE537" s="330"/>
      <c r="BF537" s="330"/>
      <c r="BG537" s="330"/>
      <c r="BH537" s="330"/>
      <c r="BI537" s="330"/>
      <c r="BJ537" s="330"/>
      <c r="BK537" s="330"/>
      <c r="BL537" s="330"/>
      <c r="BM537" s="330"/>
      <c r="BN537" s="330"/>
      <c r="BO537" s="330"/>
      <c r="BP537" s="330"/>
      <c r="BQ537" s="330"/>
      <c r="BR537" s="330"/>
      <c r="BS537" s="330"/>
      <c r="BT537" s="330"/>
      <c r="BU537" s="330"/>
      <c r="BV537" s="330"/>
      <c r="BW537" s="330"/>
      <c r="BX537" s="330"/>
    </row>
  </sheetData>
  <mergeCells count="38">
    <mergeCell ref="G2:G4"/>
    <mergeCell ref="B2:B4"/>
    <mergeCell ref="C2:C4"/>
    <mergeCell ref="D2:D4"/>
    <mergeCell ref="E2:E4"/>
    <mergeCell ref="F2:F4"/>
    <mergeCell ref="AI2:AI4"/>
    <mergeCell ref="AJ2:AJ4"/>
    <mergeCell ref="AE2:AE4"/>
    <mergeCell ref="AF2:AF4"/>
    <mergeCell ref="AG2:AH3"/>
    <mergeCell ref="H2:L3"/>
    <mergeCell ref="M2:Q2"/>
    <mergeCell ref="M3:M4"/>
    <mergeCell ref="N3:N4"/>
    <mergeCell ref="O3:O4"/>
    <mergeCell ref="P3:P4"/>
    <mergeCell ref="Q3:Q4"/>
    <mergeCell ref="K4:L4"/>
    <mergeCell ref="R2:T2"/>
    <mergeCell ref="R3:R4"/>
    <mergeCell ref="S3:S4"/>
    <mergeCell ref="T3:T4"/>
    <mergeCell ref="U2:U4"/>
    <mergeCell ref="AA2:AA4"/>
    <mergeCell ref="AB2:AC3"/>
    <mergeCell ref="AD2:AD4"/>
    <mergeCell ref="V2:V4"/>
    <mergeCell ref="W2:W4"/>
    <mergeCell ref="X2:X4"/>
    <mergeCell ref="Y2:Y4"/>
    <mergeCell ref="Z2:Z4"/>
    <mergeCell ref="L106:N106"/>
    <mergeCell ref="M111:N111"/>
    <mergeCell ref="M112:N112"/>
    <mergeCell ref="C106:D106"/>
    <mergeCell ref="C111:D111"/>
    <mergeCell ref="C112:D112"/>
  </mergeCells>
  <dataValidations disablePrompts="1" count="2">
    <dataValidation type="list" allowBlank="1" showInputMessage="1" showErrorMessage="1" sqref="I113:I116 I6:I93">
      <formula1>"TK/0,TK/1,TK/2,TK/3,K/0,K/1,K/2,K/3"</formula1>
    </dataValidation>
    <dataValidation type="list" allowBlank="1" showInputMessage="1" showErrorMessage="1" sqref="H113:H116 H6:H93">
      <formula1>"L,P"</formula1>
    </dataValidation>
  </dataValidations>
  <printOptions horizontalCentered="1"/>
  <pageMargins left="0" right="0" top="0" bottom="0" header="0.511811023622047" footer="0.511811023622047"/>
  <pageSetup paperSize="10000" scale="37" orientation="landscape" r:id="rId1"/>
  <headerFooter alignWithMargins="0"/>
  <colBreaks count="1" manualBreakCount="1">
    <brk id="36" max="1048575" man="1"/>
  </col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C51"/>
  <sheetViews>
    <sheetView topLeftCell="G1" zoomScale="67" zoomScaleNormal="67" workbookViewId="0">
      <selection activeCell="O46" sqref="O46"/>
    </sheetView>
  </sheetViews>
  <sheetFormatPr defaultColWidth="9.28515625" defaultRowHeight="12.75" outlineLevelCol="1"/>
  <cols>
    <col min="1" max="1" width="1.5703125" style="46" customWidth="1"/>
    <col min="2" max="2" width="5.7109375" style="27" customWidth="1"/>
    <col min="3" max="3" width="19.140625" style="28" customWidth="1"/>
    <col min="4" max="4" width="22.85546875" style="120" customWidth="1" outlineLevel="1"/>
    <col min="5" max="5" width="22.85546875" style="29" customWidth="1" outlineLevel="1"/>
    <col min="6" max="6" width="26" style="28" customWidth="1" outlineLevel="1"/>
    <col min="7" max="7" width="26" style="30" customWidth="1" outlineLevel="1"/>
    <col min="8" max="8" width="5.5703125" style="121" customWidth="1" outlineLevel="1"/>
    <col min="9" max="9" width="8.5703125" style="121" customWidth="1" outlineLevel="1"/>
    <col min="10" max="10" width="10.85546875" style="121" customWidth="1" outlineLevel="1"/>
    <col min="11" max="11" width="14.140625" style="28" customWidth="1"/>
    <col min="12" max="12" width="11.7109375" style="28" customWidth="1"/>
    <col min="13" max="15" width="12.7109375" style="28" customWidth="1"/>
    <col min="16" max="16" width="13.140625" style="28" customWidth="1"/>
    <col min="17" max="19" width="12.7109375" style="28" customWidth="1"/>
    <col min="20" max="22" width="12.7109375" style="28" hidden="1" customWidth="1"/>
    <col min="23" max="23" width="15.5703125" style="28" customWidth="1"/>
    <col min="24" max="24" width="12.7109375" style="28" hidden="1" customWidth="1"/>
    <col min="25" max="25" width="12.7109375" style="28" customWidth="1"/>
    <col min="26" max="26" width="15.28515625" style="28" customWidth="1" collapsed="1"/>
    <col min="27" max="27" width="7.7109375" style="49" customWidth="1"/>
    <col min="28" max="30" width="13.140625" style="28" customWidth="1"/>
    <col min="31" max="31" width="18.7109375" style="27" customWidth="1"/>
    <col min="32" max="33" width="16.5703125" style="27" customWidth="1"/>
    <col min="34" max="34" width="13.5703125" style="46" customWidth="1"/>
    <col min="35" max="16384" width="9.28515625" style="46"/>
  </cols>
  <sheetData>
    <row r="1" spans="2:34" ht="35.1" customHeight="1">
      <c r="B1" s="27" t="s">
        <v>68</v>
      </c>
    </row>
    <row r="2" spans="2:34" ht="35.1" customHeight="1">
      <c r="B2" s="27" t="s">
        <v>168</v>
      </c>
    </row>
    <row r="3" spans="2:34" ht="35.1" customHeight="1">
      <c r="B3" s="27" t="s">
        <v>165</v>
      </c>
    </row>
    <row r="4" spans="2:34" s="27" customFormat="1" ht="35.1" customHeight="1" thickBot="1">
      <c r="C4" s="48" t="s">
        <v>40</v>
      </c>
      <c r="D4" s="120"/>
      <c r="E4" s="29"/>
      <c r="F4" s="28"/>
      <c r="G4" s="30"/>
      <c r="H4" s="121"/>
      <c r="I4" s="121"/>
      <c r="J4" s="121"/>
      <c r="K4" s="28"/>
      <c r="L4" s="28"/>
      <c r="M4" s="28"/>
      <c r="N4" s="28" t="s">
        <v>86</v>
      </c>
      <c r="O4" s="28" t="s">
        <v>85</v>
      </c>
      <c r="P4" s="28" t="s">
        <v>84</v>
      </c>
      <c r="Q4" s="28"/>
      <c r="R4" s="28"/>
      <c r="S4" s="28"/>
      <c r="T4" s="28"/>
      <c r="U4" s="28"/>
      <c r="V4" s="28"/>
      <c r="W4" s="28"/>
      <c r="X4" s="28"/>
      <c r="Y4" s="28"/>
      <c r="Z4" s="28"/>
      <c r="AA4" s="49"/>
      <c r="AB4" s="28"/>
      <c r="AC4" s="28"/>
      <c r="AD4" s="28"/>
    </row>
    <row r="5" spans="2:34" s="27" customFormat="1" ht="59.25" customHeight="1" thickBot="1">
      <c r="B5" s="117" t="s">
        <v>63</v>
      </c>
      <c r="C5" s="117" t="s">
        <v>25</v>
      </c>
      <c r="D5" s="118" t="s">
        <v>26</v>
      </c>
      <c r="E5" s="119" t="s">
        <v>27</v>
      </c>
      <c r="F5" s="117" t="s">
        <v>28</v>
      </c>
      <c r="G5" s="116" t="s">
        <v>29</v>
      </c>
      <c r="H5" s="62" t="s">
        <v>37</v>
      </c>
      <c r="I5" s="63" t="s">
        <v>6</v>
      </c>
      <c r="J5" s="63" t="s">
        <v>15</v>
      </c>
      <c r="K5" s="61" t="s">
        <v>36</v>
      </c>
      <c r="L5" s="115" t="s">
        <v>66</v>
      </c>
      <c r="M5" s="115" t="s">
        <v>67</v>
      </c>
      <c r="N5" s="115" t="s">
        <v>71</v>
      </c>
      <c r="O5" s="115" t="s">
        <v>72</v>
      </c>
      <c r="P5" s="115" t="s">
        <v>76</v>
      </c>
      <c r="Q5" s="115" t="s">
        <v>158</v>
      </c>
      <c r="R5" s="115" t="s">
        <v>159</v>
      </c>
      <c r="S5" s="72" t="s">
        <v>77</v>
      </c>
      <c r="T5" s="72" t="s">
        <v>78</v>
      </c>
      <c r="U5" s="72" t="s">
        <v>79</v>
      </c>
      <c r="V5" s="72" t="s">
        <v>80</v>
      </c>
      <c r="W5" s="72" t="s">
        <v>73</v>
      </c>
      <c r="X5" s="72" t="s">
        <v>74</v>
      </c>
      <c r="Y5" s="72" t="s">
        <v>75</v>
      </c>
      <c r="Z5" s="72" t="s">
        <v>41</v>
      </c>
      <c r="AA5" s="76" t="s">
        <v>42</v>
      </c>
      <c r="AB5" s="72" t="s">
        <v>170</v>
      </c>
      <c r="AC5" s="123" t="s">
        <v>172</v>
      </c>
      <c r="AD5" s="127" t="s">
        <v>171</v>
      </c>
      <c r="AE5" s="108" t="s">
        <v>166</v>
      </c>
      <c r="AF5" s="108" t="s">
        <v>169</v>
      </c>
      <c r="AG5" s="108" t="s">
        <v>167</v>
      </c>
    </row>
    <row r="6" spans="2:34" s="27" customFormat="1" ht="35.1" customHeight="1">
      <c r="B6" s="98">
        <v>1</v>
      </c>
      <c r="C6" s="93" t="s">
        <v>87</v>
      </c>
      <c r="D6" s="81" t="s">
        <v>109</v>
      </c>
      <c r="E6" s="82">
        <v>972282958305000</v>
      </c>
      <c r="F6" s="83" t="s">
        <v>133</v>
      </c>
      <c r="G6" s="80" t="s">
        <v>83</v>
      </c>
      <c r="H6" s="34" t="s">
        <v>39</v>
      </c>
      <c r="I6" s="35" t="s">
        <v>17</v>
      </c>
      <c r="J6" s="99" t="str">
        <f>IF(ISBLANK(I6),"",IF(OR(I6="TK/0",I6="TK/1",I6="K/0"),"TER A",IF(I6="K/3","TER C","TER B")))</f>
        <v>TER A</v>
      </c>
      <c r="K6" s="36">
        <f>30*121333.33</f>
        <v>3639999.9</v>
      </c>
      <c r="L6" s="36">
        <f>3640000*0.84%</f>
        <v>30575.999999999996</v>
      </c>
      <c r="M6" s="106">
        <f>(3640000+61000)*4%</f>
        <v>148040</v>
      </c>
      <c r="N6" s="36">
        <v>108000</v>
      </c>
      <c r="O6" s="36"/>
      <c r="P6" s="36"/>
      <c r="Q6" s="36"/>
      <c r="R6" s="36"/>
      <c r="S6" s="36">
        <v>61000</v>
      </c>
      <c r="T6" s="75"/>
      <c r="U6" s="75"/>
      <c r="V6" s="75"/>
      <c r="W6" s="36">
        <v>0</v>
      </c>
      <c r="X6" s="36"/>
      <c r="Y6" s="36">
        <v>280000</v>
      </c>
      <c r="Z6" s="77">
        <f>ROUNDDOWN(SUM(K6:Y6),0)</f>
        <v>4267615</v>
      </c>
      <c r="AA6" s="78">
        <f t="shared" ref="AA6:AA29" si="0">IF(J6="TER A",VLOOKUP(Z6,Ter_A,4,TRUE),IF(J6="TER B",VLOOKUP(Z6,Ter_B,4,TRUE),VLOOKUP(Z6,Ter_C,4,TRUE)))</f>
        <v>0</v>
      </c>
      <c r="AB6" s="79">
        <f t="shared" ref="AB6:AB29" si="1">ROUNDDOWN(IF(E6=0,Z6*AA6*120%,Z6*AA6),0)</f>
        <v>0</v>
      </c>
      <c r="AC6" s="124">
        <v>0</v>
      </c>
      <c r="AD6" s="128">
        <f>AB6-AC6</f>
        <v>0</v>
      </c>
      <c r="AE6" s="91">
        <v>3809000</v>
      </c>
      <c r="AF6" s="71">
        <f t="shared" ref="AF6:AF29" si="2">L6+M6</f>
        <v>178616</v>
      </c>
      <c r="AG6" s="71">
        <f>AE6+AF6</f>
        <v>3987616</v>
      </c>
      <c r="AH6" s="110">
        <f t="shared" ref="AH6:AH15" si="3">Z6-AG6</f>
        <v>279999</v>
      </c>
    </row>
    <row r="7" spans="2:34" s="27" customFormat="1" ht="35.1" customHeight="1">
      <c r="B7" s="100">
        <v>2</v>
      </c>
      <c r="C7" s="94" t="s">
        <v>88</v>
      </c>
      <c r="D7" s="84" t="s">
        <v>110</v>
      </c>
      <c r="E7" s="85">
        <v>972282982305000</v>
      </c>
      <c r="F7" s="86" t="s">
        <v>134</v>
      </c>
      <c r="G7" s="80" t="s">
        <v>83</v>
      </c>
      <c r="H7" s="73" t="s">
        <v>38</v>
      </c>
      <c r="I7" s="74" t="s">
        <v>7</v>
      </c>
      <c r="J7" s="101" t="str">
        <f t="shared" ref="J7:J29" si="4">IF(ISBLANK(I7),"",IF(OR(I7="TK/0",I7="TK/1",I7="K/0"),"TER A",IF(I7="K/3","TER C","TER B")))</f>
        <v>TER A</v>
      </c>
      <c r="K7" s="40">
        <f>30*121333.33</f>
        <v>3639999.9</v>
      </c>
      <c r="L7" s="40">
        <f t="shared" ref="L7:L21" si="5">3640000*0.84%</f>
        <v>30575.999999999996</v>
      </c>
      <c r="M7" s="107">
        <f>(3640000+61000)*4%</f>
        <v>148040</v>
      </c>
      <c r="N7" s="75">
        <v>67500</v>
      </c>
      <c r="O7" s="75"/>
      <c r="P7" s="75">
        <v>1693757.03</v>
      </c>
      <c r="Q7" s="75"/>
      <c r="R7" s="75"/>
      <c r="S7" s="75">
        <v>61000</v>
      </c>
      <c r="T7" s="75"/>
      <c r="U7" s="75"/>
      <c r="V7" s="75"/>
      <c r="W7" s="75">
        <v>0</v>
      </c>
      <c r="X7" s="75"/>
      <c r="Y7" s="75">
        <v>600000</v>
      </c>
      <c r="Z7" s="51">
        <f>ROUNDDOWN(SUM(K7:Y7),0)</f>
        <v>6240872</v>
      </c>
      <c r="AA7" s="52">
        <f t="shared" si="0"/>
        <v>7.4999999999999997E-3</v>
      </c>
      <c r="AB7" s="79">
        <f t="shared" si="1"/>
        <v>46806</v>
      </c>
      <c r="AC7" s="125">
        <v>14102</v>
      </c>
      <c r="AD7" s="129">
        <f t="shared" ref="AD7:AD29" si="6">AB7-AC7</f>
        <v>32704</v>
      </c>
      <c r="AE7" s="91">
        <v>5462257.0299999993</v>
      </c>
      <c r="AF7" s="71">
        <f t="shared" si="2"/>
        <v>178616</v>
      </c>
      <c r="AG7" s="71">
        <f t="shared" ref="AG7:AG29" si="7">AE7+AF7</f>
        <v>5640873.0299999993</v>
      </c>
      <c r="AH7" s="110">
        <f t="shared" si="3"/>
        <v>599998.97000000067</v>
      </c>
    </row>
    <row r="8" spans="2:34" s="27" customFormat="1" ht="35.1" customHeight="1">
      <c r="B8" s="100">
        <v>3</v>
      </c>
      <c r="C8" s="94" t="s">
        <v>89</v>
      </c>
      <c r="D8" s="84" t="s">
        <v>111</v>
      </c>
      <c r="E8" s="85">
        <v>972283055305000</v>
      </c>
      <c r="F8" s="86" t="s">
        <v>135</v>
      </c>
      <c r="G8" s="80" t="s">
        <v>83</v>
      </c>
      <c r="H8" s="73" t="s">
        <v>39</v>
      </c>
      <c r="I8" s="74" t="s">
        <v>9</v>
      </c>
      <c r="J8" s="101" t="str">
        <f t="shared" si="4"/>
        <v>TER B</v>
      </c>
      <c r="K8" s="40">
        <f t="shared" ref="K8:K15" si="8">30*121333.33</f>
        <v>3639999.9</v>
      </c>
      <c r="L8" s="40">
        <f t="shared" si="5"/>
        <v>30575.999999999996</v>
      </c>
      <c r="M8" s="105">
        <f>(3640000+43500)*4%</f>
        <v>147340</v>
      </c>
      <c r="N8" s="75">
        <v>135000</v>
      </c>
      <c r="O8" s="75"/>
      <c r="P8" s="75">
        <v>883699.32</v>
      </c>
      <c r="Q8" s="75"/>
      <c r="R8" s="75"/>
      <c r="S8" s="75">
        <v>43500</v>
      </c>
      <c r="T8" s="75"/>
      <c r="U8" s="75"/>
      <c r="V8" s="75"/>
      <c r="W8" s="75">
        <v>0</v>
      </c>
      <c r="X8" s="75"/>
      <c r="Y8" s="75">
        <v>490000</v>
      </c>
      <c r="Z8" s="51">
        <f t="shared" ref="Z8:Z29" si="9">ROUNDDOWN(SUM(K8:Y8),0)</f>
        <v>5370115</v>
      </c>
      <c r="AA8" s="52">
        <f t="shared" si="0"/>
        <v>0</v>
      </c>
      <c r="AB8" s="79">
        <f t="shared" si="1"/>
        <v>0</v>
      </c>
      <c r="AC8" s="125">
        <v>0</v>
      </c>
      <c r="AD8" s="129">
        <f t="shared" si="6"/>
        <v>0</v>
      </c>
      <c r="AE8" s="91">
        <v>4702199.32</v>
      </c>
      <c r="AF8" s="71">
        <f t="shared" si="2"/>
        <v>177916</v>
      </c>
      <c r="AG8" s="71">
        <f t="shared" si="7"/>
        <v>4880115.32</v>
      </c>
      <c r="AH8" s="110">
        <f t="shared" si="3"/>
        <v>489999.6799999997</v>
      </c>
    </row>
    <row r="9" spans="2:34" s="27" customFormat="1" ht="35.1" customHeight="1">
      <c r="B9" s="100">
        <v>4</v>
      </c>
      <c r="C9" s="94" t="s">
        <v>90</v>
      </c>
      <c r="D9" s="84" t="s">
        <v>112</v>
      </c>
      <c r="E9" s="85">
        <v>972282974305000</v>
      </c>
      <c r="F9" s="86" t="s">
        <v>70</v>
      </c>
      <c r="G9" s="80" t="s">
        <v>83</v>
      </c>
      <c r="H9" s="73" t="s">
        <v>39</v>
      </c>
      <c r="I9" s="74" t="s">
        <v>9</v>
      </c>
      <c r="J9" s="101" t="str">
        <f t="shared" si="4"/>
        <v>TER B</v>
      </c>
      <c r="K9" s="40">
        <f t="shared" si="8"/>
        <v>3639999.9</v>
      </c>
      <c r="L9" s="40">
        <f t="shared" si="5"/>
        <v>30575.999999999996</v>
      </c>
      <c r="M9" s="105">
        <f>(3640000+43500)*4%</f>
        <v>147340</v>
      </c>
      <c r="N9" s="75">
        <v>135000</v>
      </c>
      <c r="O9" s="75"/>
      <c r="P9" s="75">
        <v>147283.21999999997</v>
      </c>
      <c r="Q9" s="75">
        <v>480000</v>
      </c>
      <c r="R9" s="75"/>
      <c r="S9" s="75">
        <v>43500</v>
      </c>
      <c r="T9" s="75"/>
      <c r="U9" s="75"/>
      <c r="V9" s="75"/>
      <c r="W9" s="75">
        <v>0</v>
      </c>
      <c r="X9" s="75"/>
      <c r="Y9" s="75">
        <v>600000</v>
      </c>
      <c r="Z9" s="51">
        <f>ROUNDDOWN(SUM(K9:Y9),0)</f>
        <v>5223699</v>
      </c>
      <c r="AA9" s="52">
        <f t="shared" si="0"/>
        <v>0</v>
      </c>
      <c r="AB9" s="79">
        <f t="shared" si="1"/>
        <v>0</v>
      </c>
      <c r="AC9" s="125">
        <v>0</v>
      </c>
      <c r="AD9" s="129">
        <f t="shared" si="6"/>
        <v>0</v>
      </c>
      <c r="AE9" s="91">
        <v>4445783.22</v>
      </c>
      <c r="AF9" s="71">
        <f t="shared" si="2"/>
        <v>177916</v>
      </c>
      <c r="AG9" s="71">
        <f t="shared" si="7"/>
        <v>4623699.22</v>
      </c>
      <c r="AH9" s="110">
        <f t="shared" si="3"/>
        <v>599999.78000000026</v>
      </c>
    </row>
    <row r="10" spans="2:34" s="27" customFormat="1" ht="35.1" customHeight="1">
      <c r="B10" s="100">
        <v>5</v>
      </c>
      <c r="C10" s="95" t="s">
        <v>91</v>
      </c>
      <c r="D10" s="84" t="s">
        <v>113</v>
      </c>
      <c r="E10" s="85">
        <v>972280226305000</v>
      </c>
      <c r="F10" s="86" t="s">
        <v>136</v>
      </c>
      <c r="G10" s="80" t="s">
        <v>81</v>
      </c>
      <c r="H10" s="73" t="s">
        <v>38</v>
      </c>
      <c r="I10" s="74" t="s">
        <v>7</v>
      </c>
      <c r="J10" s="101" t="str">
        <f t="shared" si="4"/>
        <v>TER A</v>
      </c>
      <c r="K10" s="40">
        <f t="shared" si="8"/>
        <v>3639999.9</v>
      </c>
      <c r="L10" s="40">
        <f t="shared" si="5"/>
        <v>30575.999999999996</v>
      </c>
      <c r="M10" s="105">
        <f>(3640000+43500)*4%</f>
        <v>147340</v>
      </c>
      <c r="N10" s="75">
        <v>67500</v>
      </c>
      <c r="O10" s="75">
        <v>36000</v>
      </c>
      <c r="P10" s="75">
        <v>1125664.6100000001</v>
      </c>
      <c r="Q10" s="75"/>
      <c r="R10" s="75"/>
      <c r="S10" s="75">
        <v>43500</v>
      </c>
      <c r="T10" s="75"/>
      <c r="U10" s="75"/>
      <c r="V10" s="75"/>
      <c r="W10" s="75">
        <v>0</v>
      </c>
      <c r="X10" s="75"/>
      <c r="Y10" s="75">
        <v>540000</v>
      </c>
      <c r="Z10" s="51">
        <f t="shared" si="9"/>
        <v>5630580</v>
      </c>
      <c r="AA10" s="52">
        <f t="shared" si="0"/>
        <v>2.5000000000000001E-3</v>
      </c>
      <c r="AB10" s="79">
        <f t="shared" si="1"/>
        <v>14076</v>
      </c>
      <c r="AC10" s="125">
        <v>0</v>
      </c>
      <c r="AD10" s="129">
        <f t="shared" si="6"/>
        <v>14076</v>
      </c>
      <c r="AE10" s="91">
        <v>4912664.6100000003</v>
      </c>
      <c r="AF10" s="71">
        <f t="shared" si="2"/>
        <v>177916</v>
      </c>
      <c r="AG10" s="71">
        <f t="shared" si="7"/>
        <v>5090580.6100000003</v>
      </c>
      <c r="AH10" s="110">
        <f t="shared" si="3"/>
        <v>539999.38999999966</v>
      </c>
    </row>
    <row r="11" spans="2:34" s="27" customFormat="1" ht="35.1" customHeight="1">
      <c r="B11" s="100">
        <v>6</v>
      </c>
      <c r="C11" s="94" t="s">
        <v>92</v>
      </c>
      <c r="D11" s="84" t="s">
        <v>114</v>
      </c>
      <c r="E11" s="85">
        <v>972283014305000</v>
      </c>
      <c r="F11" s="86" t="s">
        <v>137</v>
      </c>
      <c r="G11" s="80" t="s">
        <v>83</v>
      </c>
      <c r="H11" s="73" t="s">
        <v>39</v>
      </c>
      <c r="I11" s="74" t="s">
        <v>11</v>
      </c>
      <c r="J11" s="101" t="str">
        <f t="shared" si="4"/>
        <v>TER B</v>
      </c>
      <c r="K11" s="40">
        <f t="shared" si="8"/>
        <v>3639999.9</v>
      </c>
      <c r="L11" s="40">
        <f t="shared" si="5"/>
        <v>30575.999999999996</v>
      </c>
      <c r="M11" s="105">
        <f>(3640000+47000)*4%</f>
        <v>147480</v>
      </c>
      <c r="N11" s="75">
        <v>156600</v>
      </c>
      <c r="O11" s="75"/>
      <c r="P11" s="75"/>
      <c r="Q11" s="75"/>
      <c r="R11" s="75"/>
      <c r="S11" s="75">
        <v>47000</v>
      </c>
      <c r="T11" s="75"/>
      <c r="U11" s="75"/>
      <c r="V11" s="75"/>
      <c r="W11" s="75">
        <v>-121333.33</v>
      </c>
      <c r="X11" s="75"/>
      <c r="Y11" s="75">
        <v>490000</v>
      </c>
      <c r="Z11" s="51">
        <f t="shared" si="9"/>
        <v>4390322</v>
      </c>
      <c r="AA11" s="52">
        <f t="shared" si="0"/>
        <v>0</v>
      </c>
      <c r="AB11" s="79">
        <f t="shared" si="1"/>
        <v>0</v>
      </c>
      <c r="AC11" s="125">
        <v>0</v>
      </c>
      <c r="AD11" s="129">
        <f t="shared" si="6"/>
        <v>0</v>
      </c>
      <c r="AE11" s="91">
        <v>3722266.6666666665</v>
      </c>
      <c r="AF11" s="71">
        <f t="shared" si="2"/>
        <v>178056</v>
      </c>
      <c r="AG11" s="71">
        <f t="shared" si="7"/>
        <v>3900322.6666666665</v>
      </c>
      <c r="AH11" s="110">
        <f t="shared" si="3"/>
        <v>489999.33333333349</v>
      </c>
    </row>
    <row r="12" spans="2:34" s="27" customFormat="1" ht="35.1" customHeight="1">
      <c r="B12" s="100">
        <v>7</v>
      </c>
      <c r="C12" s="94" t="s">
        <v>93</v>
      </c>
      <c r="D12" s="84" t="s">
        <v>115</v>
      </c>
      <c r="E12" s="85">
        <v>972283048305000</v>
      </c>
      <c r="F12" s="86" t="s">
        <v>138</v>
      </c>
      <c r="G12" s="80" t="s">
        <v>83</v>
      </c>
      <c r="H12" s="73" t="s">
        <v>38</v>
      </c>
      <c r="I12" s="74" t="s">
        <v>7</v>
      </c>
      <c r="J12" s="101" t="str">
        <f t="shared" si="4"/>
        <v>TER A</v>
      </c>
      <c r="K12" s="40">
        <f t="shared" si="8"/>
        <v>3639999.9</v>
      </c>
      <c r="L12" s="40">
        <f t="shared" si="5"/>
        <v>30575.999999999996</v>
      </c>
      <c r="M12" s="105">
        <f>(3640000+36500)*4%</f>
        <v>147060</v>
      </c>
      <c r="N12" s="75">
        <v>67500</v>
      </c>
      <c r="O12" s="75"/>
      <c r="P12" s="75">
        <v>2693178.92</v>
      </c>
      <c r="Q12" s="75"/>
      <c r="R12" s="75"/>
      <c r="S12" s="75">
        <v>36500</v>
      </c>
      <c r="T12" s="75"/>
      <c r="U12" s="75"/>
      <c r="V12" s="75"/>
      <c r="W12" s="75">
        <v>0</v>
      </c>
      <c r="X12" s="75"/>
      <c r="Y12" s="75">
        <v>600000</v>
      </c>
      <c r="Z12" s="51">
        <f t="shared" si="9"/>
        <v>7214814</v>
      </c>
      <c r="AA12" s="52">
        <f t="shared" si="0"/>
        <v>1.2500000000000001E-2</v>
      </c>
      <c r="AB12" s="79">
        <f t="shared" si="1"/>
        <v>90185</v>
      </c>
      <c r="AC12" s="125">
        <v>66148</v>
      </c>
      <c r="AD12" s="129">
        <f t="shared" si="6"/>
        <v>24037</v>
      </c>
      <c r="AE12" s="91">
        <v>6437178.9199999999</v>
      </c>
      <c r="AF12" s="71">
        <f t="shared" si="2"/>
        <v>177636</v>
      </c>
      <c r="AG12" s="114">
        <f t="shared" si="7"/>
        <v>6614814.9199999999</v>
      </c>
      <c r="AH12" s="110">
        <f t="shared" si="3"/>
        <v>599999.08000000007</v>
      </c>
    </row>
    <row r="13" spans="2:34" s="27" customFormat="1" ht="35.1" customHeight="1">
      <c r="B13" s="100">
        <v>8</v>
      </c>
      <c r="C13" s="94" t="s">
        <v>94</v>
      </c>
      <c r="D13" s="84" t="s">
        <v>116</v>
      </c>
      <c r="E13" s="85">
        <v>972280150305000</v>
      </c>
      <c r="F13" s="86" t="s">
        <v>139</v>
      </c>
      <c r="G13" s="80" t="s">
        <v>83</v>
      </c>
      <c r="H13" s="73" t="s">
        <v>39</v>
      </c>
      <c r="I13" s="74" t="s">
        <v>11</v>
      </c>
      <c r="J13" s="101" t="str">
        <f t="shared" si="4"/>
        <v>TER B</v>
      </c>
      <c r="K13" s="40">
        <f t="shared" si="8"/>
        <v>3639999.9</v>
      </c>
      <c r="L13" s="40">
        <f t="shared" si="5"/>
        <v>30575.999999999996</v>
      </c>
      <c r="M13" s="105">
        <f>(3640000+43500)*4%</f>
        <v>147340</v>
      </c>
      <c r="N13" s="75">
        <v>162000</v>
      </c>
      <c r="O13" s="75"/>
      <c r="P13" s="75">
        <v>631213.80000000005</v>
      </c>
      <c r="Q13" s="75"/>
      <c r="R13" s="75"/>
      <c r="S13" s="75">
        <v>43500</v>
      </c>
      <c r="T13" s="75"/>
      <c r="U13" s="75"/>
      <c r="V13" s="75"/>
      <c r="W13" s="75">
        <v>0</v>
      </c>
      <c r="X13" s="75"/>
      <c r="Y13" s="75">
        <v>600000</v>
      </c>
      <c r="Z13" s="51">
        <f t="shared" si="9"/>
        <v>5254629</v>
      </c>
      <c r="AA13" s="52">
        <f t="shared" si="0"/>
        <v>0</v>
      </c>
      <c r="AB13" s="79">
        <f t="shared" si="1"/>
        <v>0</v>
      </c>
      <c r="AC13" s="125">
        <v>0</v>
      </c>
      <c r="AD13" s="129">
        <f t="shared" si="6"/>
        <v>0</v>
      </c>
      <c r="AE13" s="91">
        <v>4476713.8</v>
      </c>
      <c r="AF13" s="71">
        <f t="shared" si="2"/>
        <v>177916</v>
      </c>
      <c r="AG13" s="71">
        <f t="shared" si="7"/>
        <v>4654629.8</v>
      </c>
      <c r="AH13" s="110">
        <f t="shared" si="3"/>
        <v>599999.20000000019</v>
      </c>
    </row>
    <row r="14" spans="2:34" s="27" customFormat="1" ht="35.1" customHeight="1">
      <c r="B14" s="100">
        <v>9</v>
      </c>
      <c r="C14" s="94" t="s">
        <v>97</v>
      </c>
      <c r="D14" s="84" t="s">
        <v>119</v>
      </c>
      <c r="E14" s="85">
        <v>972285720305000</v>
      </c>
      <c r="F14" s="86" t="s">
        <v>142</v>
      </c>
      <c r="G14" s="80" t="s">
        <v>83</v>
      </c>
      <c r="H14" s="73" t="s">
        <v>39</v>
      </c>
      <c r="I14" s="74" t="s">
        <v>17</v>
      </c>
      <c r="J14" s="101" t="str">
        <f t="shared" si="4"/>
        <v>TER A</v>
      </c>
      <c r="K14" s="40">
        <f t="shared" si="8"/>
        <v>3639999.9</v>
      </c>
      <c r="L14" s="40">
        <f t="shared" si="5"/>
        <v>30575.999999999996</v>
      </c>
      <c r="M14" s="105">
        <f>(3640000+61000)*4%</f>
        <v>148040</v>
      </c>
      <c r="N14" s="75">
        <v>108000</v>
      </c>
      <c r="O14" s="75"/>
      <c r="P14" s="75"/>
      <c r="Q14" s="75"/>
      <c r="R14" s="75"/>
      <c r="S14" s="75">
        <v>61000</v>
      </c>
      <c r="T14" s="75"/>
      <c r="U14" s="75"/>
      <c r="V14" s="75"/>
      <c r="W14" s="75">
        <v>0</v>
      </c>
      <c r="X14" s="75"/>
      <c r="Y14" s="75">
        <v>490000</v>
      </c>
      <c r="Z14" s="51">
        <f t="shared" si="9"/>
        <v>4477615</v>
      </c>
      <c r="AA14" s="52">
        <f t="shared" si="0"/>
        <v>0</v>
      </c>
      <c r="AB14" s="79">
        <f t="shared" si="1"/>
        <v>0</v>
      </c>
      <c r="AC14" s="125">
        <v>0</v>
      </c>
      <c r="AD14" s="129">
        <f t="shared" si="6"/>
        <v>0</v>
      </c>
      <c r="AE14" s="91">
        <v>3809000</v>
      </c>
      <c r="AF14" s="71">
        <f t="shared" si="2"/>
        <v>178616</v>
      </c>
      <c r="AG14" s="71">
        <f t="shared" si="7"/>
        <v>3987616</v>
      </c>
      <c r="AH14" s="110">
        <f t="shared" si="3"/>
        <v>489999</v>
      </c>
    </row>
    <row r="15" spans="2:34" s="27" customFormat="1" ht="35.1" customHeight="1">
      <c r="B15" s="100">
        <v>10</v>
      </c>
      <c r="C15" s="94" t="s">
        <v>98</v>
      </c>
      <c r="D15" s="84" t="s">
        <v>120</v>
      </c>
      <c r="E15" s="85">
        <v>743653768305000</v>
      </c>
      <c r="F15" s="86" t="s">
        <v>143</v>
      </c>
      <c r="G15" s="80" t="s">
        <v>83</v>
      </c>
      <c r="H15" s="73" t="s">
        <v>39</v>
      </c>
      <c r="I15" s="74" t="s">
        <v>9</v>
      </c>
      <c r="J15" s="101" t="str">
        <f t="shared" si="4"/>
        <v>TER B</v>
      </c>
      <c r="K15" s="40">
        <f t="shared" si="8"/>
        <v>3639999.9</v>
      </c>
      <c r="L15" s="40">
        <f t="shared" si="5"/>
        <v>30575.999999999996</v>
      </c>
      <c r="M15" s="105">
        <f>(3640000+30000)*4%</f>
        <v>146800</v>
      </c>
      <c r="N15" s="75">
        <v>130500</v>
      </c>
      <c r="O15" s="75"/>
      <c r="P15" s="75"/>
      <c r="Q15" s="75"/>
      <c r="R15" s="75"/>
      <c r="S15" s="75">
        <v>30000</v>
      </c>
      <c r="T15" s="75"/>
      <c r="U15" s="75"/>
      <c r="V15" s="75"/>
      <c r="W15" s="75">
        <v>-121333.33</v>
      </c>
      <c r="X15" s="75"/>
      <c r="Y15" s="75">
        <v>490000</v>
      </c>
      <c r="Z15" s="51">
        <f t="shared" si="9"/>
        <v>4346542</v>
      </c>
      <c r="AA15" s="52">
        <f t="shared" si="0"/>
        <v>0</v>
      </c>
      <c r="AB15" s="79">
        <f t="shared" si="1"/>
        <v>0</v>
      </c>
      <c r="AC15" s="125">
        <v>0</v>
      </c>
      <c r="AD15" s="129">
        <f t="shared" si="6"/>
        <v>0</v>
      </c>
      <c r="AE15" s="91">
        <v>3679166.6666666665</v>
      </c>
      <c r="AF15" s="71">
        <f t="shared" si="2"/>
        <v>177376</v>
      </c>
      <c r="AG15" s="71">
        <f t="shared" si="7"/>
        <v>3856542.6666666665</v>
      </c>
      <c r="AH15" s="110">
        <f t="shared" si="3"/>
        <v>489999.33333333349</v>
      </c>
    </row>
    <row r="16" spans="2:34" s="27" customFormat="1" ht="35.1" customHeight="1">
      <c r="B16" s="100"/>
      <c r="C16" s="94" t="s">
        <v>99</v>
      </c>
      <c r="D16" s="84" t="s">
        <v>121</v>
      </c>
      <c r="E16" s="85">
        <v>972283287305000</v>
      </c>
      <c r="F16" s="86" t="s">
        <v>144</v>
      </c>
      <c r="G16" s="80" t="s">
        <v>83</v>
      </c>
      <c r="H16" s="73" t="s">
        <v>39</v>
      </c>
      <c r="I16" s="74" t="s">
        <v>9</v>
      </c>
      <c r="J16" s="101" t="str">
        <f t="shared" si="4"/>
        <v>TER B</v>
      </c>
      <c r="K16" s="40"/>
      <c r="L16" s="40"/>
      <c r="M16" s="105">
        <v>0</v>
      </c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51">
        <f t="shared" si="9"/>
        <v>0</v>
      </c>
      <c r="AA16" s="52">
        <f t="shared" si="0"/>
        <v>0</v>
      </c>
      <c r="AB16" s="79">
        <f t="shared" si="1"/>
        <v>0</v>
      </c>
      <c r="AC16" s="125">
        <v>0</v>
      </c>
      <c r="AD16" s="129">
        <f t="shared" si="6"/>
        <v>0</v>
      </c>
      <c r="AE16" s="91"/>
      <c r="AF16" s="71">
        <f t="shared" si="2"/>
        <v>0</v>
      </c>
      <c r="AG16" s="71">
        <f t="shared" si="7"/>
        <v>0</v>
      </c>
    </row>
    <row r="17" spans="2:34" s="27" customFormat="1" ht="35.1" customHeight="1">
      <c r="B17" s="100">
        <v>11</v>
      </c>
      <c r="C17" s="94" t="s">
        <v>100</v>
      </c>
      <c r="D17" s="84" t="s">
        <v>122</v>
      </c>
      <c r="E17" s="87">
        <v>972282966305000</v>
      </c>
      <c r="F17" s="86" t="s">
        <v>145</v>
      </c>
      <c r="G17" s="80" t="s">
        <v>83</v>
      </c>
      <c r="H17" s="73" t="s">
        <v>39</v>
      </c>
      <c r="I17" s="74" t="s">
        <v>9</v>
      </c>
      <c r="J17" s="101" t="str">
        <f t="shared" si="4"/>
        <v>TER B</v>
      </c>
      <c r="K17" s="40">
        <f>30*121333.33</f>
        <v>3639999.9</v>
      </c>
      <c r="L17" s="40">
        <f t="shared" si="5"/>
        <v>30575.999999999996</v>
      </c>
      <c r="M17" s="105">
        <f>(3640000+61000)*4%</f>
        <v>148040</v>
      </c>
      <c r="N17" s="75">
        <v>135000</v>
      </c>
      <c r="O17" s="75"/>
      <c r="P17" s="75"/>
      <c r="Q17" s="75">
        <v>140000</v>
      </c>
      <c r="R17" s="75"/>
      <c r="S17" s="75">
        <v>61000</v>
      </c>
      <c r="T17" s="75"/>
      <c r="U17" s="75"/>
      <c r="V17" s="75"/>
      <c r="W17" s="75">
        <v>0</v>
      </c>
      <c r="X17" s="75"/>
      <c r="Y17" s="75">
        <v>490000</v>
      </c>
      <c r="Z17" s="51">
        <f>ROUNDDOWN(SUM(K17:Y17),0)</f>
        <v>4644615</v>
      </c>
      <c r="AA17" s="52">
        <f t="shared" si="0"/>
        <v>0</v>
      </c>
      <c r="AB17" s="79">
        <f t="shared" si="1"/>
        <v>0</v>
      </c>
      <c r="AC17" s="125">
        <v>0</v>
      </c>
      <c r="AD17" s="129">
        <f t="shared" si="6"/>
        <v>0</v>
      </c>
      <c r="AE17" s="91">
        <v>3976000</v>
      </c>
      <c r="AF17" s="71">
        <f t="shared" si="2"/>
        <v>178616</v>
      </c>
      <c r="AG17" s="71">
        <f t="shared" si="7"/>
        <v>4154616</v>
      </c>
      <c r="AH17" s="71">
        <f t="shared" ref="AH17:AH29" si="10">Z17-AG17</f>
        <v>489999</v>
      </c>
    </row>
    <row r="18" spans="2:34" s="27" customFormat="1" ht="35.1" customHeight="1">
      <c r="B18" s="100">
        <v>12</v>
      </c>
      <c r="C18" s="94" t="s">
        <v>95</v>
      </c>
      <c r="D18" s="88" t="s">
        <v>117</v>
      </c>
      <c r="E18" s="85">
        <v>972280218305000</v>
      </c>
      <c r="F18" s="86" t="s">
        <v>140</v>
      </c>
      <c r="G18" s="80" t="s">
        <v>83</v>
      </c>
      <c r="H18" s="73" t="s">
        <v>39</v>
      </c>
      <c r="I18" s="74" t="s">
        <v>17</v>
      </c>
      <c r="J18" s="101" t="str">
        <f t="shared" si="4"/>
        <v>TER A</v>
      </c>
      <c r="K18" s="40">
        <f>30*121333.33</f>
        <v>3639999.9</v>
      </c>
      <c r="L18" s="40">
        <f t="shared" si="5"/>
        <v>30575.999999999996</v>
      </c>
      <c r="M18" s="105">
        <f>(3640000+47000)*4%</f>
        <v>147480</v>
      </c>
      <c r="N18" s="75">
        <v>108000</v>
      </c>
      <c r="O18" s="75"/>
      <c r="P18" s="75">
        <v>31560.69</v>
      </c>
      <c r="Q18" s="75"/>
      <c r="R18" s="75"/>
      <c r="S18" s="75">
        <v>47000</v>
      </c>
      <c r="T18" s="75"/>
      <c r="U18" s="75"/>
      <c r="V18" s="75"/>
      <c r="W18" s="75">
        <v>0</v>
      </c>
      <c r="X18" s="75"/>
      <c r="Y18" s="75">
        <v>490000</v>
      </c>
      <c r="Z18" s="51">
        <f t="shared" si="9"/>
        <v>4494616</v>
      </c>
      <c r="AA18" s="52">
        <f t="shared" si="0"/>
        <v>0</v>
      </c>
      <c r="AB18" s="79">
        <f t="shared" si="1"/>
        <v>0</v>
      </c>
      <c r="AC18" s="125">
        <v>0</v>
      </c>
      <c r="AD18" s="129">
        <f t="shared" si="6"/>
        <v>0</v>
      </c>
      <c r="AE18" s="91">
        <v>3826560.69</v>
      </c>
      <c r="AF18" s="71">
        <f t="shared" si="2"/>
        <v>178056</v>
      </c>
      <c r="AG18" s="71">
        <f t="shared" si="7"/>
        <v>4004616.69</v>
      </c>
      <c r="AH18" s="71">
        <f t="shared" si="10"/>
        <v>489999.31000000006</v>
      </c>
    </row>
    <row r="19" spans="2:34" s="27" customFormat="1" ht="35.1" customHeight="1">
      <c r="B19" s="100">
        <v>13</v>
      </c>
      <c r="C19" s="94" t="s">
        <v>101</v>
      </c>
      <c r="D19" s="84" t="s">
        <v>123</v>
      </c>
      <c r="E19" s="87">
        <v>972285506305000</v>
      </c>
      <c r="F19" s="86" t="s">
        <v>146</v>
      </c>
      <c r="G19" s="80" t="s">
        <v>83</v>
      </c>
      <c r="H19" s="73" t="s">
        <v>39</v>
      </c>
      <c r="I19" s="74" t="s">
        <v>9</v>
      </c>
      <c r="J19" s="101" t="str">
        <f t="shared" si="4"/>
        <v>TER B</v>
      </c>
      <c r="K19" s="40">
        <f t="shared" ref="K19:K21" si="11">30*121333.33</f>
        <v>3639999.9</v>
      </c>
      <c r="L19" s="40">
        <f t="shared" si="5"/>
        <v>30575.999999999996</v>
      </c>
      <c r="M19" s="105">
        <f>(3640000+43500)*4%</f>
        <v>147340</v>
      </c>
      <c r="N19" s="75">
        <v>130500</v>
      </c>
      <c r="O19" s="75"/>
      <c r="P19" s="75">
        <v>31560.69</v>
      </c>
      <c r="Q19" s="75"/>
      <c r="R19" s="75"/>
      <c r="S19" s="75">
        <v>43500</v>
      </c>
      <c r="T19" s="75"/>
      <c r="U19" s="75"/>
      <c r="V19" s="75"/>
      <c r="W19" s="75">
        <v>-121333.33</v>
      </c>
      <c r="X19" s="75"/>
      <c r="Y19" s="75">
        <v>280000</v>
      </c>
      <c r="Z19" s="51">
        <f t="shared" si="9"/>
        <v>4182143</v>
      </c>
      <c r="AA19" s="52">
        <f t="shared" si="0"/>
        <v>0</v>
      </c>
      <c r="AB19" s="79">
        <f t="shared" si="1"/>
        <v>0</v>
      </c>
      <c r="AC19" s="125">
        <v>0</v>
      </c>
      <c r="AD19" s="129">
        <f t="shared" si="6"/>
        <v>0</v>
      </c>
      <c r="AE19" s="91">
        <v>3724227.3566666665</v>
      </c>
      <c r="AF19" s="71">
        <f t="shared" si="2"/>
        <v>177916</v>
      </c>
      <c r="AG19" s="71">
        <f t="shared" si="7"/>
        <v>3902143.3566666665</v>
      </c>
      <c r="AH19" s="71">
        <f t="shared" si="10"/>
        <v>279999.64333333354</v>
      </c>
    </row>
    <row r="20" spans="2:34" s="27" customFormat="1" ht="35.1" customHeight="1">
      <c r="B20" s="100">
        <v>14</v>
      </c>
      <c r="C20" s="94" t="s">
        <v>103</v>
      </c>
      <c r="D20" s="84" t="s">
        <v>125</v>
      </c>
      <c r="E20" s="87">
        <v>972374425305000</v>
      </c>
      <c r="F20" s="86" t="s">
        <v>148</v>
      </c>
      <c r="G20" s="80" t="s">
        <v>156</v>
      </c>
      <c r="H20" s="73" t="s">
        <v>39</v>
      </c>
      <c r="I20" s="74" t="s">
        <v>11</v>
      </c>
      <c r="J20" s="101" t="str">
        <f t="shared" si="4"/>
        <v>TER B</v>
      </c>
      <c r="K20" s="40">
        <f t="shared" si="11"/>
        <v>3639999.9</v>
      </c>
      <c r="L20" s="40">
        <f t="shared" si="5"/>
        <v>30575.999999999996</v>
      </c>
      <c r="M20" s="105">
        <f>(3640000+50500)*4%</f>
        <v>147620</v>
      </c>
      <c r="N20" s="75">
        <v>162000</v>
      </c>
      <c r="O20" s="75"/>
      <c r="P20" s="75">
        <v>2430173.13</v>
      </c>
      <c r="Q20" s="75"/>
      <c r="R20" s="75"/>
      <c r="S20" s="75">
        <v>50500</v>
      </c>
      <c r="T20" s="75"/>
      <c r="U20" s="75"/>
      <c r="V20" s="75"/>
      <c r="W20" s="75">
        <v>0</v>
      </c>
      <c r="X20" s="75"/>
      <c r="Y20" s="75">
        <v>600000</v>
      </c>
      <c r="Z20" s="51">
        <f t="shared" si="9"/>
        <v>7060869</v>
      </c>
      <c r="AA20" s="52">
        <f t="shared" si="0"/>
        <v>7.4999999999999997E-3</v>
      </c>
      <c r="AB20" s="79">
        <f t="shared" si="1"/>
        <v>52956</v>
      </c>
      <c r="AC20" s="125">
        <v>16152</v>
      </c>
      <c r="AD20" s="129">
        <f t="shared" si="6"/>
        <v>36804</v>
      </c>
      <c r="AE20" s="91">
        <v>6282673.1299999999</v>
      </c>
      <c r="AF20" s="71">
        <f t="shared" si="2"/>
        <v>178196</v>
      </c>
      <c r="AG20" s="71">
        <f t="shared" si="7"/>
        <v>6460869.1299999999</v>
      </c>
      <c r="AH20" s="71">
        <f t="shared" si="10"/>
        <v>599999.87000000011</v>
      </c>
    </row>
    <row r="21" spans="2:34" s="27" customFormat="1" ht="35.1" customHeight="1">
      <c r="B21" s="100">
        <v>15</v>
      </c>
      <c r="C21" s="94" t="s">
        <v>106</v>
      </c>
      <c r="D21" s="84" t="s">
        <v>128</v>
      </c>
      <c r="E21" s="87">
        <v>972285704305000</v>
      </c>
      <c r="F21" s="86" t="s">
        <v>150</v>
      </c>
      <c r="G21" s="80" t="s">
        <v>83</v>
      </c>
      <c r="H21" s="38" t="s">
        <v>39</v>
      </c>
      <c r="I21" s="39" t="s">
        <v>9</v>
      </c>
      <c r="J21" s="101" t="str">
        <f t="shared" si="4"/>
        <v>TER B</v>
      </c>
      <c r="K21" s="40">
        <f t="shared" si="11"/>
        <v>3639999.9</v>
      </c>
      <c r="L21" s="40">
        <f t="shared" si="5"/>
        <v>30575.999999999996</v>
      </c>
      <c r="M21" s="105">
        <f>(3640000+61000)*4%</f>
        <v>148040</v>
      </c>
      <c r="N21" s="75">
        <v>130500</v>
      </c>
      <c r="O21" s="75"/>
      <c r="P21" s="75">
        <v>189364.14</v>
      </c>
      <c r="Q21" s="75"/>
      <c r="R21" s="75"/>
      <c r="S21" s="75">
        <v>61000</v>
      </c>
      <c r="T21" s="75"/>
      <c r="U21" s="75"/>
      <c r="V21" s="75"/>
      <c r="W21" s="75">
        <v>-121333.33</v>
      </c>
      <c r="X21" s="75"/>
      <c r="Y21" s="75">
        <v>280000</v>
      </c>
      <c r="Z21" s="51">
        <f t="shared" si="9"/>
        <v>4358146</v>
      </c>
      <c r="AA21" s="52">
        <f t="shared" si="0"/>
        <v>0</v>
      </c>
      <c r="AB21" s="79">
        <f t="shared" si="1"/>
        <v>0</v>
      </c>
      <c r="AC21" s="125">
        <v>0</v>
      </c>
      <c r="AD21" s="129">
        <f t="shared" si="6"/>
        <v>0</v>
      </c>
      <c r="AE21" s="91">
        <v>3899530.8066666671</v>
      </c>
      <c r="AF21" s="71">
        <f t="shared" si="2"/>
        <v>178616</v>
      </c>
      <c r="AG21" s="71">
        <f t="shared" si="7"/>
        <v>4078146.8066666671</v>
      </c>
      <c r="AH21" s="71">
        <f t="shared" si="10"/>
        <v>279999.19333333289</v>
      </c>
    </row>
    <row r="22" spans="2:34" s="27" customFormat="1" ht="35.1" customHeight="1">
      <c r="B22" s="100">
        <v>16</v>
      </c>
      <c r="C22" s="95" t="s">
        <v>157</v>
      </c>
      <c r="D22" s="84" t="s">
        <v>129</v>
      </c>
      <c r="E22" s="92" t="s">
        <v>69</v>
      </c>
      <c r="F22" s="86" t="s">
        <v>151</v>
      </c>
      <c r="G22" s="80" t="s">
        <v>155</v>
      </c>
      <c r="H22" s="38" t="s">
        <v>39</v>
      </c>
      <c r="I22" s="39" t="s">
        <v>7</v>
      </c>
      <c r="J22" s="101" t="str">
        <f t="shared" si="4"/>
        <v>TER A</v>
      </c>
      <c r="K22" s="102">
        <f>29*123833.33</f>
        <v>3591166.57</v>
      </c>
      <c r="L22" s="103">
        <f>3715000*0.84%</f>
        <v>31205.999999999996</v>
      </c>
      <c r="M22" s="107">
        <f>(3715000+5000)*4%</f>
        <v>148800</v>
      </c>
      <c r="N22" s="75">
        <v>47250</v>
      </c>
      <c r="O22" s="75"/>
      <c r="P22" s="75">
        <v>955593.36</v>
      </c>
      <c r="Q22" s="75"/>
      <c r="R22" s="75"/>
      <c r="S22" s="113">
        <v>5000</v>
      </c>
      <c r="T22" s="75"/>
      <c r="U22" s="75"/>
      <c r="V22" s="75"/>
      <c r="W22" s="75">
        <v>-990666.64</v>
      </c>
      <c r="X22" s="75"/>
      <c r="Y22" s="75">
        <v>600000</v>
      </c>
      <c r="Z22" s="51">
        <f t="shared" si="9"/>
        <v>4388349</v>
      </c>
      <c r="AA22" s="52">
        <f t="shared" si="0"/>
        <v>0</v>
      </c>
      <c r="AB22" s="79">
        <f t="shared" si="1"/>
        <v>0</v>
      </c>
      <c r="AC22" s="125">
        <v>0</v>
      </c>
      <c r="AD22" s="129">
        <f t="shared" si="6"/>
        <v>0</v>
      </c>
      <c r="AE22" s="91">
        <v>3608343.3599999994</v>
      </c>
      <c r="AF22" s="71">
        <f t="shared" si="2"/>
        <v>180006</v>
      </c>
      <c r="AG22" s="114">
        <f t="shared" si="7"/>
        <v>3788349.3599999994</v>
      </c>
      <c r="AH22" s="71">
        <f t="shared" si="10"/>
        <v>599999.6400000006</v>
      </c>
    </row>
    <row r="23" spans="2:34" s="27" customFormat="1" ht="35.1" customHeight="1">
      <c r="B23" s="100">
        <v>17</v>
      </c>
      <c r="C23" s="96" t="s">
        <v>108</v>
      </c>
      <c r="D23" s="89" t="s">
        <v>132</v>
      </c>
      <c r="E23" s="90">
        <v>972285225305000</v>
      </c>
      <c r="F23" s="86" t="s">
        <v>154</v>
      </c>
      <c r="G23" s="80" t="s">
        <v>83</v>
      </c>
      <c r="H23" s="38" t="s">
        <v>39</v>
      </c>
      <c r="I23" s="39" t="s">
        <v>17</v>
      </c>
      <c r="J23" s="101" t="str">
        <f t="shared" si="4"/>
        <v>TER A</v>
      </c>
      <c r="K23" s="50">
        <f>30*121333.33</f>
        <v>3639999.9</v>
      </c>
      <c r="L23" s="40">
        <f>3640000*0.84%</f>
        <v>30575.999999999996</v>
      </c>
      <c r="M23" s="105">
        <f>(3640000+43500)*4%</f>
        <v>147340</v>
      </c>
      <c r="N23" s="40">
        <v>108000</v>
      </c>
      <c r="O23" s="40"/>
      <c r="P23" s="40">
        <v>336647.36</v>
      </c>
      <c r="Q23" s="40">
        <v>100000</v>
      </c>
      <c r="R23" s="40"/>
      <c r="S23" s="40">
        <v>43500</v>
      </c>
      <c r="T23" s="40"/>
      <c r="U23" s="40"/>
      <c r="V23" s="40"/>
      <c r="W23" s="40">
        <v>0</v>
      </c>
      <c r="X23" s="40"/>
      <c r="Y23" s="40">
        <v>600000</v>
      </c>
      <c r="Z23" s="51">
        <f t="shared" si="9"/>
        <v>5006063</v>
      </c>
      <c r="AA23" s="52">
        <f t="shared" si="0"/>
        <v>0</v>
      </c>
      <c r="AB23" s="79">
        <f t="shared" si="1"/>
        <v>0</v>
      </c>
      <c r="AC23" s="125">
        <v>0</v>
      </c>
      <c r="AD23" s="129">
        <f t="shared" si="6"/>
        <v>0</v>
      </c>
      <c r="AE23" s="91">
        <v>4228147.3599999994</v>
      </c>
      <c r="AF23" s="71">
        <f t="shared" si="2"/>
        <v>177916</v>
      </c>
      <c r="AG23" s="71">
        <f t="shared" si="7"/>
        <v>4406063.3599999994</v>
      </c>
      <c r="AH23" s="71">
        <f t="shared" si="10"/>
        <v>599999.6400000006</v>
      </c>
    </row>
    <row r="24" spans="2:34" s="27" customFormat="1" ht="35.1" customHeight="1">
      <c r="B24" s="100">
        <v>18</v>
      </c>
      <c r="C24" s="94" t="s">
        <v>96</v>
      </c>
      <c r="D24" s="88" t="s">
        <v>118</v>
      </c>
      <c r="E24" s="85">
        <v>972280259305000</v>
      </c>
      <c r="F24" s="86" t="s">
        <v>141</v>
      </c>
      <c r="G24" s="80" t="s">
        <v>82</v>
      </c>
      <c r="H24" s="73" t="s">
        <v>39</v>
      </c>
      <c r="I24" s="74" t="s">
        <v>11</v>
      </c>
      <c r="J24" s="101" t="str">
        <f t="shared" si="4"/>
        <v>TER B</v>
      </c>
      <c r="K24" s="50">
        <f>30*121333.33</f>
        <v>3639999.9</v>
      </c>
      <c r="L24" s="40">
        <f t="shared" ref="L24:L29" si="12">3640000*0.84%</f>
        <v>30575.999999999996</v>
      </c>
      <c r="M24" s="105">
        <f>(3640000+47000)*4%</f>
        <v>147480</v>
      </c>
      <c r="N24" s="40">
        <v>162000</v>
      </c>
      <c r="O24" s="40">
        <v>60000</v>
      </c>
      <c r="P24" s="40">
        <v>3282311.76</v>
      </c>
      <c r="Q24" s="40"/>
      <c r="R24" s="40"/>
      <c r="S24" s="40">
        <v>47000</v>
      </c>
      <c r="T24" s="40"/>
      <c r="U24" s="40"/>
      <c r="V24" s="40"/>
      <c r="W24" s="40">
        <v>0</v>
      </c>
      <c r="X24" s="40"/>
      <c r="Y24" s="40">
        <v>650000</v>
      </c>
      <c r="Z24" s="51">
        <f t="shared" si="9"/>
        <v>8019367</v>
      </c>
      <c r="AA24" s="52">
        <f t="shared" si="0"/>
        <v>0.01</v>
      </c>
      <c r="AB24" s="79">
        <f t="shared" si="1"/>
        <v>80193</v>
      </c>
      <c r="AC24" s="125">
        <v>73693</v>
      </c>
      <c r="AD24" s="129">
        <f t="shared" si="6"/>
        <v>6500</v>
      </c>
      <c r="AE24" s="91">
        <v>7191311.7599999998</v>
      </c>
      <c r="AF24" s="71">
        <f t="shared" si="2"/>
        <v>178056</v>
      </c>
      <c r="AG24" s="71">
        <f t="shared" si="7"/>
        <v>7369367.7599999998</v>
      </c>
      <c r="AH24" s="71">
        <f t="shared" si="10"/>
        <v>649999.24000000022</v>
      </c>
    </row>
    <row r="25" spans="2:34" s="27" customFormat="1" ht="35.1" customHeight="1">
      <c r="B25" s="100">
        <v>19</v>
      </c>
      <c r="C25" s="94" t="s">
        <v>102</v>
      </c>
      <c r="D25" s="84" t="s">
        <v>124</v>
      </c>
      <c r="E25" s="87">
        <v>972286066305000</v>
      </c>
      <c r="F25" s="86" t="s">
        <v>147</v>
      </c>
      <c r="G25" s="80" t="s">
        <v>82</v>
      </c>
      <c r="H25" s="73" t="s">
        <v>39</v>
      </c>
      <c r="I25" s="74" t="s">
        <v>11</v>
      </c>
      <c r="J25" s="101" t="str">
        <f t="shared" si="4"/>
        <v>TER B</v>
      </c>
      <c r="K25" s="50">
        <f t="shared" ref="K25:K29" si="13">30*121333.33</f>
        <v>3639999.9</v>
      </c>
      <c r="L25" s="40">
        <f t="shared" si="12"/>
        <v>30575.999999999996</v>
      </c>
      <c r="M25" s="105">
        <f>(3640000+61000)*4%</f>
        <v>148040</v>
      </c>
      <c r="N25" s="40">
        <v>162000</v>
      </c>
      <c r="O25" s="40">
        <v>40000</v>
      </c>
      <c r="P25" s="40">
        <v>3282311.76</v>
      </c>
      <c r="Q25" s="40"/>
      <c r="R25" s="40"/>
      <c r="S25" s="40">
        <v>61000</v>
      </c>
      <c r="T25" s="40"/>
      <c r="U25" s="40"/>
      <c r="V25" s="40"/>
      <c r="W25" s="40">
        <v>0</v>
      </c>
      <c r="X25" s="40"/>
      <c r="Y25" s="40">
        <v>540000</v>
      </c>
      <c r="Z25" s="51">
        <f t="shared" si="9"/>
        <v>7903927</v>
      </c>
      <c r="AA25" s="52">
        <f t="shared" si="0"/>
        <v>0.01</v>
      </c>
      <c r="AB25" s="79">
        <f t="shared" si="1"/>
        <v>79039</v>
      </c>
      <c r="AC25" s="125">
        <v>73639</v>
      </c>
      <c r="AD25" s="129">
        <f t="shared" si="6"/>
        <v>5400</v>
      </c>
      <c r="AE25" s="91">
        <v>7185311.7599999998</v>
      </c>
      <c r="AF25" s="71">
        <f t="shared" si="2"/>
        <v>178616</v>
      </c>
      <c r="AG25" s="71">
        <f t="shared" si="7"/>
        <v>7363927.7599999998</v>
      </c>
      <c r="AH25" s="71">
        <f t="shared" si="10"/>
        <v>539999.24000000022</v>
      </c>
    </row>
    <row r="26" spans="2:34" s="27" customFormat="1" ht="35.1" customHeight="1">
      <c r="B26" s="100">
        <v>20</v>
      </c>
      <c r="C26" s="94" t="s">
        <v>104</v>
      </c>
      <c r="D26" s="84" t="s">
        <v>126</v>
      </c>
      <c r="E26" s="87">
        <v>743653420305000</v>
      </c>
      <c r="F26" s="86" t="s">
        <v>149</v>
      </c>
      <c r="G26" s="80" t="s">
        <v>82</v>
      </c>
      <c r="H26" s="38" t="s">
        <v>39</v>
      </c>
      <c r="I26" s="39" t="s">
        <v>17</v>
      </c>
      <c r="J26" s="101" t="str">
        <f t="shared" si="4"/>
        <v>TER A</v>
      </c>
      <c r="K26" s="50">
        <f t="shared" si="13"/>
        <v>3639999.9</v>
      </c>
      <c r="L26" s="40">
        <f t="shared" si="12"/>
        <v>30575.999999999996</v>
      </c>
      <c r="M26" s="105">
        <f>(3640000+24000)*4%</f>
        <v>146560</v>
      </c>
      <c r="N26" s="40">
        <v>108000</v>
      </c>
      <c r="O26" s="40">
        <v>57000</v>
      </c>
      <c r="P26" s="40">
        <v>2030404.3900000001</v>
      </c>
      <c r="Q26" s="40"/>
      <c r="R26" s="40">
        <v>461066.73</v>
      </c>
      <c r="S26" s="40">
        <v>24000</v>
      </c>
      <c r="T26" s="40"/>
      <c r="U26" s="40"/>
      <c r="V26" s="40"/>
      <c r="W26" s="40">
        <v>0</v>
      </c>
      <c r="X26" s="40"/>
      <c r="Y26" s="40">
        <v>540000</v>
      </c>
      <c r="Z26" s="51">
        <f t="shared" si="9"/>
        <v>7037607</v>
      </c>
      <c r="AA26" s="52">
        <f t="shared" si="0"/>
        <v>1.2500000000000001E-2</v>
      </c>
      <c r="AB26" s="79">
        <f t="shared" si="1"/>
        <v>87970</v>
      </c>
      <c r="AC26" s="125">
        <v>64976</v>
      </c>
      <c r="AD26" s="129">
        <f t="shared" si="6"/>
        <v>22994</v>
      </c>
      <c r="AE26" s="91">
        <v>6320471.120000001</v>
      </c>
      <c r="AF26" s="71">
        <f t="shared" si="2"/>
        <v>177136</v>
      </c>
      <c r="AG26" s="71">
        <f t="shared" si="7"/>
        <v>6497607.120000001</v>
      </c>
      <c r="AH26" s="71">
        <f t="shared" si="10"/>
        <v>539999.87999999896</v>
      </c>
    </row>
    <row r="27" spans="2:34" s="27" customFormat="1" ht="35.1" customHeight="1">
      <c r="B27" s="100">
        <v>21</v>
      </c>
      <c r="C27" s="97" t="s">
        <v>105</v>
      </c>
      <c r="D27" s="84" t="s">
        <v>127</v>
      </c>
      <c r="E27" s="87">
        <v>972285597305000</v>
      </c>
      <c r="F27" s="86" t="s">
        <v>142</v>
      </c>
      <c r="G27" s="80" t="s">
        <v>82</v>
      </c>
      <c r="H27" s="38" t="s">
        <v>39</v>
      </c>
      <c r="I27" s="39" t="s">
        <v>9</v>
      </c>
      <c r="J27" s="101" t="str">
        <f t="shared" si="4"/>
        <v>TER B</v>
      </c>
      <c r="K27" s="50">
        <f t="shared" si="13"/>
        <v>3639999.9</v>
      </c>
      <c r="L27" s="40">
        <f t="shared" si="12"/>
        <v>30575.999999999996</v>
      </c>
      <c r="M27" s="105">
        <f>(3640000+43500)*4%</f>
        <v>147340</v>
      </c>
      <c r="N27" s="40">
        <v>135000</v>
      </c>
      <c r="O27" s="40">
        <v>60000</v>
      </c>
      <c r="P27" s="40">
        <v>73641.61</v>
      </c>
      <c r="Q27" s="40"/>
      <c r="R27" s="40"/>
      <c r="S27" s="40">
        <v>43500</v>
      </c>
      <c r="T27" s="40"/>
      <c r="U27" s="40"/>
      <c r="V27" s="40"/>
      <c r="W27" s="40">
        <v>0</v>
      </c>
      <c r="X27" s="40"/>
      <c r="Y27" s="40">
        <v>540000</v>
      </c>
      <c r="Z27" s="51">
        <f t="shared" si="9"/>
        <v>4670057</v>
      </c>
      <c r="AA27" s="52">
        <f t="shared" si="0"/>
        <v>0</v>
      </c>
      <c r="AB27" s="79">
        <f t="shared" si="1"/>
        <v>0</v>
      </c>
      <c r="AC27" s="125">
        <v>0</v>
      </c>
      <c r="AD27" s="129">
        <f t="shared" si="6"/>
        <v>0</v>
      </c>
      <c r="AE27" s="91">
        <v>3952141.61</v>
      </c>
      <c r="AF27" s="71">
        <f t="shared" si="2"/>
        <v>177916</v>
      </c>
      <c r="AG27" s="71">
        <f t="shared" si="7"/>
        <v>4130057.61</v>
      </c>
      <c r="AH27" s="71">
        <f t="shared" si="10"/>
        <v>539999.39000000013</v>
      </c>
    </row>
    <row r="28" spans="2:34" s="27" customFormat="1" ht="35.1" customHeight="1">
      <c r="B28" s="100">
        <v>22</v>
      </c>
      <c r="C28" s="97" t="s">
        <v>107</v>
      </c>
      <c r="D28" s="84" t="s">
        <v>130</v>
      </c>
      <c r="E28" s="85">
        <v>972280192305000</v>
      </c>
      <c r="F28" s="86" t="s">
        <v>152</v>
      </c>
      <c r="G28" s="80" t="s">
        <v>82</v>
      </c>
      <c r="H28" s="38" t="s">
        <v>39</v>
      </c>
      <c r="I28" s="39" t="s">
        <v>9</v>
      </c>
      <c r="J28" s="101" t="str">
        <f t="shared" si="4"/>
        <v>TER B</v>
      </c>
      <c r="K28" s="50">
        <f t="shared" si="13"/>
        <v>3639999.9</v>
      </c>
      <c r="L28" s="40">
        <f t="shared" si="12"/>
        <v>30575.999999999996</v>
      </c>
      <c r="M28" s="105">
        <f>(3640000+43500)*4%</f>
        <v>147340</v>
      </c>
      <c r="N28" s="40">
        <v>130500</v>
      </c>
      <c r="O28" s="40">
        <v>57000</v>
      </c>
      <c r="P28" s="40">
        <v>3082427.39</v>
      </c>
      <c r="Q28" s="40"/>
      <c r="R28" s="40">
        <v>461066.73</v>
      </c>
      <c r="S28" s="40">
        <v>43500</v>
      </c>
      <c r="T28" s="40"/>
      <c r="U28" s="40"/>
      <c r="V28" s="40"/>
      <c r="W28" s="40">
        <v>-121333.33</v>
      </c>
      <c r="X28" s="40"/>
      <c r="Y28" s="40">
        <v>540000</v>
      </c>
      <c r="Z28" s="51">
        <f t="shared" si="9"/>
        <v>8011076</v>
      </c>
      <c r="AA28" s="52">
        <f t="shared" si="0"/>
        <v>0.01</v>
      </c>
      <c r="AB28" s="79">
        <f t="shared" si="1"/>
        <v>80110</v>
      </c>
      <c r="AC28" s="125">
        <v>74710</v>
      </c>
      <c r="AD28" s="129">
        <f t="shared" si="6"/>
        <v>5400</v>
      </c>
      <c r="AE28" s="91">
        <v>7293160.7866666671</v>
      </c>
      <c r="AF28" s="71">
        <f t="shared" si="2"/>
        <v>177916</v>
      </c>
      <c r="AG28" s="71">
        <f t="shared" si="7"/>
        <v>7471076.7866666671</v>
      </c>
      <c r="AH28" s="71">
        <f t="shared" si="10"/>
        <v>539999.21333333291</v>
      </c>
    </row>
    <row r="29" spans="2:34" s="27" customFormat="1" ht="35.1" customHeight="1" thickBot="1">
      <c r="B29" s="100">
        <v>23</v>
      </c>
      <c r="C29" s="97" t="s">
        <v>101</v>
      </c>
      <c r="D29" s="84" t="s">
        <v>131</v>
      </c>
      <c r="E29" s="87">
        <v>972283733305000</v>
      </c>
      <c r="F29" s="86" t="s">
        <v>153</v>
      </c>
      <c r="G29" s="80" t="s">
        <v>82</v>
      </c>
      <c r="H29" s="38" t="s">
        <v>39</v>
      </c>
      <c r="I29" s="39" t="s">
        <v>9</v>
      </c>
      <c r="J29" s="101" t="str">
        <f t="shared" si="4"/>
        <v>TER B</v>
      </c>
      <c r="K29" s="50">
        <f t="shared" si="13"/>
        <v>3639999.9</v>
      </c>
      <c r="L29" s="40">
        <f t="shared" si="12"/>
        <v>30575.999999999996</v>
      </c>
      <c r="M29" s="107">
        <f>(3640000+47000)*4%</f>
        <v>147480</v>
      </c>
      <c r="N29" s="40">
        <v>130500</v>
      </c>
      <c r="O29" s="40">
        <v>60000</v>
      </c>
      <c r="P29" s="40">
        <v>2745780.03</v>
      </c>
      <c r="Q29" s="40"/>
      <c r="R29" s="40">
        <v>461066.73</v>
      </c>
      <c r="S29" s="112">
        <v>47000</v>
      </c>
      <c r="T29" s="40"/>
      <c r="U29" s="40"/>
      <c r="V29" s="40"/>
      <c r="W29" s="40">
        <v>-121333.33</v>
      </c>
      <c r="X29" s="40"/>
      <c r="Y29" s="40">
        <v>540000</v>
      </c>
      <c r="Z29" s="51">
        <f t="shared" si="9"/>
        <v>7681069</v>
      </c>
      <c r="AA29" s="52">
        <f t="shared" si="0"/>
        <v>0.01</v>
      </c>
      <c r="AB29" s="79">
        <f t="shared" si="1"/>
        <v>76810</v>
      </c>
      <c r="AC29" s="126">
        <v>53558</v>
      </c>
      <c r="AD29" s="130">
        <f t="shared" si="6"/>
        <v>23252</v>
      </c>
      <c r="AE29" s="91">
        <v>6963013.4266666658</v>
      </c>
      <c r="AF29" s="71">
        <f t="shared" si="2"/>
        <v>178056</v>
      </c>
      <c r="AG29" s="71">
        <f t="shared" si="7"/>
        <v>7141069.4266666658</v>
      </c>
      <c r="AH29" s="71">
        <f t="shared" si="10"/>
        <v>539999.57333333418</v>
      </c>
    </row>
    <row r="30" spans="2:34" s="45" customFormat="1" ht="35.1" customHeight="1" thickBot="1">
      <c r="B30" s="64"/>
      <c r="C30" s="65"/>
      <c r="D30" s="65"/>
      <c r="E30" s="65"/>
      <c r="F30" s="65"/>
      <c r="G30" s="65"/>
      <c r="H30" s="65"/>
      <c r="I30" s="65"/>
      <c r="J30" s="65"/>
      <c r="K30" s="66">
        <f t="shared" ref="K30:S30" si="14">SUM(K6:K29)</f>
        <v>83671164.370000005</v>
      </c>
      <c r="L30" s="66">
        <f t="shared" si="14"/>
        <v>703877.99999999988</v>
      </c>
      <c r="M30" s="66">
        <f t="shared" si="14"/>
        <v>3393720</v>
      </c>
      <c r="N30" s="66">
        <f t="shared" si="14"/>
        <v>2786850</v>
      </c>
      <c r="O30" s="66">
        <f t="shared" si="14"/>
        <v>370000</v>
      </c>
      <c r="P30" s="66">
        <f>SUM(P6:P29)</f>
        <v>25646573.210000001</v>
      </c>
      <c r="Q30" s="66">
        <f t="shared" si="14"/>
        <v>720000</v>
      </c>
      <c r="R30" s="66">
        <f t="shared" si="14"/>
        <v>1383200.19</v>
      </c>
      <c r="S30" s="66">
        <f t="shared" si="14"/>
        <v>1048000</v>
      </c>
      <c r="T30" s="66"/>
      <c r="U30" s="66"/>
      <c r="V30" s="66"/>
      <c r="W30" s="66">
        <f>SUM(W6:W29)</f>
        <v>-1718666.62</v>
      </c>
      <c r="X30" s="66"/>
      <c r="Y30" s="66">
        <f>SUM(Y6:Y29)</f>
        <v>11870000</v>
      </c>
      <c r="Z30" s="66">
        <f t="shared" ref="Z30:AG30" si="15">SUM(Z6:Z29)</f>
        <v>129874707</v>
      </c>
      <c r="AA30" s="66">
        <f t="shared" si="15"/>
        <v>8.249999999999999E-2</v>
      </c>
      <c r="AB30" s="66">
        <f>SUM(AB6:AB29)</f>
        <v>608145</v>
      </c>
      <c r="AC30" s="66">
        <f>SUM(AC6:AC29)</f>
        <v>436978</v>
      </c>
      <c r="AD30" s="66">
        <f>SUM(AD6:AD29)</f>
        <v>171167</v>
      </c>
      <c r="AE30" s="111">
        <f>SUM(AE6:AE29)</f>
        <v>113907123.40000001</v>
      </c>
      <c r="AF30" s="109">
        <f>SUM(AF6:AF29)</f>
        <v>4097598</v>
      </c>
      <c r="AG30" s="109">
        <f t="shared" si="15"/>
        <v>118004721.40000001</v>
      </c>
      <c r="AH30" s="122">
        <f>SUM(AH6:AH29)</f>
        <v>11869985.600000003</v>
      </c>
    </row>
    <row r="31" spans="2:34" ht="15" customHeight="1"/>
    <row r="32" spans="2:34" ht="15" hidden="1" customHeight="1">
      <c r="B32" s="44" t="s">
        <v>47</v>
      </c>
      <c r="M32" s="47"/>
      <c r="N32" s="47"/>
      <c r="O32" s="47"/>
      <c r="P32" s="47"/>
      <c r="Q32" s="47"/>
    </row>
    <row r="33" spans="2:55" ht="15" hidden="1" customHeight="1">
      <c r="B33" s="27" t="s">
        <v>48</v>
      </c>
      <c r="M33" s="47"/>
      <c r="N33" s="47"/>
      <c r="O33" s="47"/>
      <c r="P33" s="47"/>
      <c r="Q33" s="47"/>
    </row>
    <row r="34" spans="2:55" ht="15" hidden="1" customHeight="1">
      <c r="B34" s="27" t="s">
        <v>56</v>
      </c>
      <c r="M34" s="47"/>
      <c r="N34" s="47"/>
      <c r="O34" s="47"/>
      <c r="P34" s="47"/>
      <c r="Q34" s="47"/>
    </row>
    <row r="35" spans="2:55" ht="15" hidden="1" customHeight="1">
      <c r="B35" s="27" t="s">
        <v>49</v>
      </c>
      <c r="M35" s="47"/>
      <c r="N35" s="47"/>
      <c r="O35" s="47"/>
      <c r="P35" s="47"/>
      <c r="Q35" s="47"/>
    </row>
    <row r="36" spans="2:55" s="31" customFormat="1" ht="15" hidden="1" customHeight="1">
      <c r="B36" s="27" t="s">
        <v>57</v>
      </c>
      <c r="C36" s="28"/>
      <c r="D36" s="120"/>
      <c r="E36" s="29"/>
      <c r="F36" s="28"/>
      <c r="G36" s="30"/>
      <c r="H36" s="121"/>
      <c r="I36" s="121"/>
      <c r="J36" s="121"/>
      <c r="K36" s="28"/>
      <c r="L36" s="28"/>
      <c r="M36" s="47"/>
      <c r="N36" s="47"/>
      <c r="O36" s="47"/>
      <c r="P36" s="47"/>
      <c r="Q36" s="47"/>
      <c r="R36" s="28"/>
      <c r="S36" s="28"/>
      <c r="T36" s="28"/>
      <c r="U36" s="28"/>
      <c r="V36" s="28"/>
      <c r="W36" s="28"/>
      <c r="X36" s="28"/>
      <c r="Y36" s="28"/>
      <c r="Z36" s="28"/>
      <c r="AA36" s="49"/>
      <c r="AB36" s="28"/>
      <c r="AC36" s="28"/>
      <c r="AD36" s="28"/>
      <c r="AE36" s="27"/>
      <c r="AF36" s="27"/>
      <c r="AG36" s="27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</row>
    <row r="37" spans="2:55" s="31" customFormat="1" ht="15" hidden="1" customHeight="1">
      <c r="B37" s="27" t="s">
        <v>50</v>
      </c>
      <c r="C37" s="28"/>
      <c r="D37" s="120"/>
      <c r="E37" s="29"/>
      <c r="F37" s="28"/>
      <c r="G37" s="30"/>
      <c r="H37" s="121"/>
      <c r="I37" s="121"/>
      <c r="J37" s="121"/>
      <c r="K37" s="28"/>
      <c r="L37" s="28"/>
      <c r="M37" s="47"/>
      <c r="N37" s="47"/>
      <c r="O37" s="47"/>
      <c r="P37" s="47"/>
      <c r="Q37" s="47"/>
      <c r="R37" s="28"/>
      <c r="S37" s="28"/>
      <c r="T37" s="28"/>
      <c r="U37" s="28"/>
      <c r="V37" s="28"/>
      <c r="W37" s="28"/>
      <c r="X37" s="28"/>
      <c r="Y37" s="28"/>
      <c r="Z37" s="28"/>
      <c r="AA37" s="49"/>
      <c r="AB37" s="28"/>
      <c r="AC37" s="28"/>
      <c r="AD37" s="28"/>
      <c r="AE37" s="27"/>
      <c r="AF37" s="27"/>
      <c r="AG37" s="27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</row>
    <row r="38" spans="2:55" s="31" customFormat="1" ht="15" hidden="1" customHeight="1">
      <c r="B38" s="27" t="s">
        <v>51</v>
      </c>
      <c r="C38" s="28"/>
      <c r="D38" s="120"/>
      <c r="E38" s="29"/>
      <c r="F38" s="28"/>
      <c r="G38" s="30"/>
      <c r="H38" s="121"/>
      <c r="I38" s="121"/>
      <c r="J38" s="121"/>
      <c r="K38" s="28"/>
      <c r="L38" s="28"/>
      <c r="M38" s="47"/>
      <c r="N38" s="47"/>
      <c r="O38" s="47"/>
      <c r="P38" s="47"/>
      <c r="Q38" s="47"/>
      <c r="R38" s="28"/>
      <c r="S38" s="28"/>
      <c r="T38" s="28"/>
      <c r="U38" s="28"/>
      <c r="V38" s="28"/>
      <c r="W38" s="28"/>
      <c r="X38" s="28"/>
      <c r="Y38" s="28"/>
      <c r="Z38" s="28"/>
      <c r="AA38" s="49"/>
      <c r="AB38" s="28"/>
      <c r="AC38" s="28"/>
      <c r="AD38" s="28"/>
      <c r="AE38" s="27"/>
      <c r="AF38" s="27"/>
      <c r="AG38" s="27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</row>
    <row r="39" spans="2:55" s="31" customFormat="1" ht="15" hidden="1" customHeight="1">
      <c r="B39" s="27" t="s">
        <v>52</v>
      </c>
      <c r="C39" s="28"/>
      <c r="D39" s="120"/>
      <c r="E39" s="29"/>
      <c r="F39" s="28"/>
      <c r="G39" s="30"/>
      <c r="H39" s="121"/>
      <c r="I39" s="121"/>
      <c r="J39" s="121"/>
      <c r="K39" s="28"/>
      <c r="L39" s="28"/>
      <c r="M39" s="47"/>
      <c r="N39" s="47"/>
      <c r="O39" s="47"/>
      <c r="P39" s="47"/>
      <c r="Q39" s="47"/>
      <c r="R39" s="28"/>
      <c r="S39" s="28"/>
      <c r="T39" s="28"/>
      <c r="U39" s="28"/>
      <c r="V39" s="28"/>
      <c r="W39" s="28"/>
      <c r="X39" s="28"/>
      <c r="Y39" s="28"/>
      <c r="Z39" s="28"/>
      <c r="AA39" s="49"/>
      <c r="AB39" s="28"/>
      <c r="AC39" s="28"/>
      <c r="AD39" s="28"/>
      <c r="AE39" s="27"/>
      <c r="AF39" s="27"/>
      <c r="AG39" s="27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</row>
    <row r="40" spans="2:55" s="31" customFormat="1" ht="15" hidden="1" customHeight="1">
      <c r="B40" s="27" t="s">
        <v>58</v>
      </c>
      <c r="C40" s="28"/>
      <c r="D40" s="120"/>
      <c r="E40" s="29"/>
      <c r="F40" s="28"/>
      <c r="G40" s="30"/>
      <c r="H40" s="121"/>
      <c r="I40" s="121"/>
      <c r="J40" s="121"/>
      <c r="K40" s="28"/>
      <c r="L40" s="28"/>
      <c r="M40" s="47"/>
      <c r="N40" s="47"/>
      <c r="O40" s="47"/>
      <c r="P40" s="47"/>
      <c r="Q40" s="47"/>
      <c r="R40" s="28"/>
      <c r="S40" s="28"/>
      <c r="T40" s="28"/>
      <c r="U40" s="28"/>
      <c r="V40" s="28"/>
      <c r="W40" s="28"/>
      <c r="X40" s="28"/>
      <c r="Y40" s="28"/>
      <c r="Z40" s="28"/>
      <c r="AA40" s="49"/>
      <c r="AB40" s="28"/>
      <c r="AC40" s="28"/>
      <c r="AD40" s="28"/>
      <c r="AE40" s="27"/>
      <c r="AF40" s="27"/>
      <c r="AG40" s="27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</row>
    <row r="41" spans="2:55" s="31" customFormat="1" ht="15" hidden="1" customHeight="1">
      <c r="B41" s="27" t="s">
        <v>59</v>
      </c>
      <c r="C41" s="28"/>
      <c r="D41" s="120"/>
      <c r="E41" s="29"/>
      <c r="F41" s="28"/>
      <c r="G41" s="30"/>
      <c r="H41" s="121"/>
      <c r="I41" s="121"/>
      <c r="J41" s="121"/>
      <c r="K41" s="28"/>
      <c r="L41" s="28"/>
      <c r="M41" s="47"/>
      <c r="N41" s="47"/>
      <c r="O41" s="47"/>
      <c r="P41" s="47"/>
      <c r="Q41" s="47"/>
      <c r="R41" s="28"/>
      <c r="S41" s="28"/>
      <c r="T41" s="28"/>
      <c r="U41" s="28"/>
      <c r="V41" s="28"/>
      <c r="W41" s="28"/>
      <c r="X41" s="28"/>
      <c r="Y41" s="28"/>
      <c r="Z41" s="28"/>
      <c r="AA41" s="49"/>
      <c r="AB41" s="28"/>
      <c r="AC41" s="28"/>
      <c r="AD41" s="28"/>
      <c r="AE41" s="27"/>
      <c r="AF41" s="27"/>
      <c r="AG41" s="27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</row>
    <row r="42" spans="2:55" s="31" customFormat="1" ht="15" hidden="1" customHeight="1">
      <c r="B42" s="27" t="s">
        <v>64</v>
      </c>
      <c r="C42" s="28"/>
      <c r="D42" s="120"/>
      <c r="E42" s="29"/>
      <c r="F42" s="28"/>
      <c r="G42" s="30"/>
      <c r="H42" s="121"/>
      <c r="I42" s="121"/>
      <c r="J42" s="121"/>
      <c r="K42" s="28"/>
      <c r="L42" s="28"/>
      <c r="M42" s="47"/>
      <c r="N42" s="47"/>
      <c r="O42" s="47"/>
      <c r="P42" s="47"/>
      <c r="Q42" s="47"/>
      <c r="R42" s="28"/>
      <c r="S42" s="28"/>
      <c r="T42" s="28"/>
      <c r="U42" s="28"/>
      <c r="V42" s="28"/>
      <c r="W42" s="28"/>
      <c r="X42" s="28"/>
      <c r="Y42" s="28"/>
      <c r="Z42" s="28"/>
      <c r="AA42" s="49"/>
      <c r="AB42" s="28"/>
      <c r="AC42" s="28"/>
      <c r="AD42" s="28"/>
      <c r="AE42" s="27"/>
      <c r="AF42" s="27"/>
      <c r="AG42" s="27"/>
      <c r="AH42" s="46"/>
      <c r="AI42" s="46"/>
      <c r="AJ42" s="46"/>
      <c r="AK42" s="46"/>
      <c r="AL42" s="46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</row>
    <row r="43" spans="2:55" s="31" customFormat="1" ht="15" hidden="1" customHeight="1">
      <c r="B43" s="27"/>
      <c r="C43" s="28"/>
      <c r="D43" s="120"/>
      <c r="E43" s="29"/>
      <c r="F43" s="28"/>
      <c r="G43" s="30"/>
      <c r="H43" s="121"/>
      <c r="I43" s="121"/>
      <c r="J43" s="121"/>
      <c r="K43" s="28"/>
      <c r="L43" s="28"/>
      <c r="M43" s="47"/>
      <c r="N43" s="47"/>
      <c r="O43" s="47"/>
      <c r="P43" s="47"/>
      <c r="Q43" s="47"/>
      <c r="R43" s="28"/>
      <c r="S43" s="28"/>
      <c r="T43" s="28"/>
      <c r="U43" s="28"/>
      <c r="V43" s="28"/>
      <c r="W43" s="28"/>
      <c r="X43" s="28"/>
      <c r="Y43" s="28"/>
      <c r="Z43" s="28"/>
      <c r="AA43" s="49"/>
      <c r="AB43" s="28"/>
      <c r="AC43" s="28"/>
      <c r="AD43" s="28"/>
      <c r="AE43" s="27"/>
      <c r="AF43" s="27"/>
      <c r="AG43" s="27"/>
      <c r="AH43" s="46"/>
      <c r="AI43" s="46"/>
      <c r="AJ43" s="46"/>
      <c r="AK43" s="46"/>
      <c r="AL43" s="46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</row>
    <row r="44" spans="2:55" s="31" customFormat="1" ht="15" hidden="1" customHeight="1">
      <c r="B44" s="27"/>
      <c r="C44" s="28"/>
      <c r="D44" s="120"/>
      <c r="E44" s="29"/>
      <c r="F44" s="28"/>
      <c r="G44" s="30"/>
      <c r="H44" s="121"/>
      <c r="I44" s="121"/>
      <c r="J44" s="121"/>
      <c r="K44" s="28"/>
      <c r="L44" s="28"/>
      <c r="M44" s="47"/>
      <c r="N44" s="47"/>
      <c r="O44" s="47"/>
      <c r="P44" s="47"/>
      <c r="Q44" s="47"/>
      <c r="R44" s="28"/>
      <c r="S44" s="28"/>
      <c r="T44" s="28"/>
      <c r="U44" s="28"/>
      <c r="V44" s="28"/>
      <c r="W44" s="28"/>
      <c r="X44" s="28"/>
      <c r="Y44" s="28"/>
      <c r="Z44" s="28"/>
      <c r="AA44" s="49"/>
      <c r="AB44" s="28"/>
      <c r="AC44" s="28"/>
      <c r="AD44" s="28"/>
      <c r="AE44" s="27"/>
      <c r="AF44" s="27"/>
      <c r="AG44" s="27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</row>
    <row r="45" spans="2:55" s="31" customFormat="1" ht="24.95" customHeight="1">
      <c r="B45" s="27"/>
      <c r="C45" s="28"/>
      <c r="D45" s="120"/>
      <c r="E45" s="29"/>
      <c r="F45" s="28"/>
      <c r="G45" s="30"/>
      <c r="H45" s="121"/>
      <c r="I45" s="121"/>
      <c r="J45" s="121"/>
      <c r="K45" s="28"/>
      <c r="L45" s="28"/>
      <c r="M45" s="47"/>
      <c r="N45" s="47"/>
      <c r="O45" s="47"/>
      <c r="P45" s="47"/>
      <c r="Q45" s="47"/>
      <c r="R45" s="28"/>
      <c r="S45" s="28"/>
      <c r="T45" s="28"/>
      <c r="U45" s="28"/>
      <c r="V45" s="28"/>
      <c r="W45" s="28"/>
      <c r="X45" s="28"/>
      <c r="Y45" s="28"/>
      <c r="Z45" s="28"/>
      <c r="AA45" s="49"/>
      <c r="AB45" s="28"/>
      <c r="AC45" s="28"/>
      <c r="AD45" s="28"/>
      <c r="AE45" s="27"/>
      <c r="AF45" s="27"/>
      <c r="AG45" s="104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</row>
    <row r="46" spans="2:55" ht="35.1" customHeight="1">
      <c r="D46" s="461" t="s">
        <v>160</v>
      </c>
      <c r="E46" s="461"/>
      <c r="K46" s="461" t="s">
        <v>162</v>
      </c>
      <c r="L46" s="461"/>
      <c r="M46" s="461"/>
      <c r="N46" s="461"/>
      <c r="O46" s="47"/>
      <c r="P46" s="47"/>
      <c r="Q46" s="47"/>
    </row>
    <row r="47" spans="2:55" ht="35.1" customHeight="1"/>
    <row r="48" spans="2:55" ht="35.1" customHeight="1"/>
    <row r="49" spans="4:14" ht="35.1" customHeight="1">
      <c r="D49" s="461" t="s">
        <v>91</v>
      </c>
      <c r="E49" s="461"/>
      <c r="K49" s="461" t="s">
        <v>163</v>
      </c>
      <c r="L49" s="461"/>
      <c r="M49" s="461"/>
      <c r="N49" s="461"/>
    </row>
    <row r="50" spans="4:14" ht="35.1" customHeight="1">
      <c r="D50" s="461" t="s">
        <v>161</v>
      </c>
      <c r="E50" s="461"/>
      <c r="K50" s="461" t="s">
        <v>164</v>
      </c>
      <c r="L50" s="461"/>
      <c r="M50" s="461"/>
      <c r="N50" s="461"/>
    </row>
    <row r="51" spans="4:14" ht="24.95" customHeight="1"/>
  </sheetData>
  <mergeCells count="6">
    <mergeCell ref="D46:E46"/>
    <mergeCell ref="K46:N46"/>
    <mergeCell ref="D49:E49"/>
    <mergeCell ref="K49:N49"/>
    <mergeCell ref="D50:E50"/>
    <mergeCell ref="K50:N50"/>
  </mergeCells>
  <dataValidations count="2">
    <dataValidation type="list" allowBlank="1" showInputMessage="1" showErrorMessage="1" sqref="I6:I29">
      <formula1>"TK/0,TK/1,TK/2,TK/3,K/0,K/1,K/2,K/3"</formula1>
    </dataValidation>
    <dataValidation type="list" allowBlank="1" showInputMessage="1" showErrorMessage="1" sqref="H6:H29">
      <formula1>"L,P"</formula1>
    </dataValidation>
  </dataValidations>
  <pageMargins left="0.19685039370078741" right="0" top="0.35433070866141736" bottom="0.35433070866141736" header="0.31496062992125984" footer="0.31496062992125984"/>
  <pageSetup paperSize="9" scale="41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118"/>
  <sheetViews>
    <sheetView workbookViewId="0">
      <pane xSplit="5" topLeftCell="J1" activePane="topRight" state="frozen"/>
      <selection activeCell="N18" sqref="N18"/>
      <selection pane="topRight" activeCell="N18" sqref="N18"/>
    </sheetView>
  </sheetViews>
  <sheetFormatPr defaultRowHeight="15"/>
  <cols>
    <col min="1" max="1" width="4.85546875" customWidth="1"/>
    <col min="2" max="2" width="23.140625" bestFit="1" customWidth="1"/>
    <col min="3" max="3" width="4.28515625" customWidth="1"/>
    <col min="4" max="4" width="5" customWidth="1"/>
    <col min="5" max="5" width="8.5703125" style="147" customWidth="1"/>
    <col min="6" max="6" width="14.7109375" style="185" customWidth="1"/>
    <col min="7" max="7" width="14.85546875" style="185" customWidth="1"/>
    <col min="8" max="8" width="15.85546875" style="185" customWidth="1"/>
    <col min="9" max="9" width="15" style="185" customWidth="1"/>
    <col min="10" max="10" width="14.85546875" style="185" customWidth="1"/>
    <col min="11" max="12" width="15.28515625" style="185" customWidth="1"/>
    <col min="13" max="14" width="15" style="185" customWidth="1"/>
    <col min="15" max="15" width="14.7109375" style="185" customWidth="1"/>
    <col min="16" max="16" width="14.85546875" style="186" customWidth="1"/>
    <col min="17" max="17" width="14.85546875" style="185" customWidth="1"/>
    <col min="18" max="18" width="18.5703125" style="186" customWidth="1"/>
    <col min="19" max="19" width="14.85546875" style="185" customWidth="1"/>
    <col min="20" max="21" width="13.85546875" style="185" customWidth="1"/>
    <col min="22" max="22" width="13.5703125" style="185" customWidth="1"/>
    <col min="23" max="23" width="16.7109375" style="185" customWidth="1"/>
    <col min="24" max="24" width="18.5703125" style="185" customWidth="1"/>
    <col min="25" max="25" width="16.42578125" style="185" customWidth="1"/>
    <col min="26" max="26" width="18.42578125" style="147" customWidth="1"/>
    <col min="27" max="27" width="16" style="147" customWidth="1"/>
    <col min="28" max="28" width="18.42578125" style="147" customWidth="1"/>
  </cols>
  <sheetData>
    <row r="1" spans="1:30">
      <c r="A1" s="144" t="s">
        <v>323</v>
      </c>
      <c r="B1" s="144"/>
      <c r="C1" s="144"/>
      <c r="D1" s="144"/>
      <c r="E1" s="144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6"/>
      <c r="Q1" s="145"/>
      <c r="R1" s="146"/>
      <c r="S1" s="145"/>
      <c r="T1" s="145"/>
      <c r="U1" s="145"/>
      <c r="V1" s="145"/>
      <c r="W1" s="145"/>
      <c r="X1" s="145"/>
      <c r="Y1" s="145"/>
      <c r="Z1" s="144"/>
    </row>
    <row r="2" spans="1:30">
      <c r="A2" s="144" t="s">
        <v>459</v>
      </c>
      <c r="B2" s="144"/>
      <c r="C2" s="144"/>
      <c r="D2" s="144"/>
      <c r="E2" s="144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6"/>
      <c r="Q2" s="145"/>
      <c r="R2" s="146"/>
      <c r="S2" s="145"/>
      <c r="T2" s="145"/>
      <c r="U2" s="145"/>
      <c r="V2" s="145"/>
      <c r="W2" s="145"/>
      <c r="X2" s="145"/>
      <c r="Y2" s="145"/>
      <c r="Z2" s="144"/>
    </row>
    <row r="3" spans="1:30">
      <c r="A3" s="144"/>
      <c r="B3" s="144"/>
      <c r="C3" s="144"/>
      <c r="D3" s="144"/>
      <c r="E3" s="144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6"/>
      <c r="Q3" s="145"/>
      <c r="R3" s="146"/>
      <c r="S3" s="145"/>
      <c r="T3" s="145"/>
      <c r="U3" s="148"/>
      <c r="V3" s="145"/>
      <c r="W3" s="145"/>
      <c r="X3" s="145"/>
      <c r="Y3" s="145"/>
      <c r="Z3" s="144"/>
    </row>
    <row r="4" spans="1:30">
      <c r="A4" s="478" t="s">
        <v>0</v>
      </c>
      <c r="B4" s="478" t="s">
        <v>324</v>
      </c>
      <c r="C4" s="478" t="s">
        <v>37</v>
      </c>
      <c r="D4" s="478" t="s">
        <v>325</v>
      </c>
      <c r="E4" s="478" t="s">
        <v>326</v>
      </c>
      <c r="F4" s="481" t="s">
        <v>327</v>
      </c>
      <c r="G4" s="482"/>
      <c r="H4" s="482"/>
      <c r="I4" s="482"/>
      <c r="J4" s="482"/>
      <c r="K4" s="482"/>
      <c r="L4" s="482"/>
      <c r="M4" s="482"/>
      <c r="N4" s="482"/>
      <c r="O4" s="482"/>
      <c r="P4" s="482"/>
      <c r="Q4" s="482"/>
      <c r="R4" s="482"/>
      <c r="S4" s="482"/>
      <c r="T4" s="482"/>
      <c r="U4" s="482"/>
      <c r="V4" s="482"/>
      <c r="W4" s="483"/>
      <c r="X4" s="149"/>
      <c r="Y4" s="150"/>
      <c r="Z4" s="151"/>
      <c r="AA4" s="151"/>
      <c r="AB4" s="151"/>
    </row>
    <row r="5" spans="1:30">
      <c r="A5" s="479"/>
      <c r="B5" s="479"/>
      <c r="C5" s="479"/>
      <c r="D5" s="479"/>
      <c r="E5" s="479"/>
      <c r="F5" s="462" t="s">
        <v>328</v>
      </c>
      <c r="G5" s="462" t="s">
        <v>329</v>
      </c>
      <c r="H5" s="462" t="s">
        <v>330</v>
      </c>
      <c r="I5" s="462" t="s">
        <v>331</v>
      </c>
      <c r="J5" s="462" t="s">
        <v>332</v>
      </c>
      <c r="K5" s="462" t="s">
        <v>333</v>
      </c>
      <c r="L5" s="462" t="s">
        <v>334</v>
      </c>
      <c r="M5" s="462" t="s">
        <v>335</v>
      </c>
      <c r="N5" s="462" t="s">
        <v>336</v>
      </c>
      <c r="O5" s="462" t="s">
        <v>337</v>
      </c>
      <c r="P5" s="470" t="s">
        <v>338</v>
      </c>
      <c r="Q5" s="462" t="s">
        <v>339</v>
      </c>
      <c r="R5" s="472" t="s">
        <v>340</v>
      </c>
      <c r="S5" s="474" t="s">
        <v>174</v>
      </c>
      <c r="T5" s="476" t="s">
        <v>341</v>
      </c>
      <c r="U5" s="464" t="s">
        <v>342</v>
      </c>
      <c r="V5" s="466" t="s">
        <v>343</v>
      </c>
      <c r="W5" s="152" t="s">
        <v>344</v>
      </c>
      <c r="X5" s="152" t="s">
        <v>6</v>
      </c>
      <c r="Y5" s="152" t="s">
        <v>345</v>
      </c>
      <c r="Z5" s="153"/>
      <c r="AA5" s="153"/>
      <c r="AB5" s="153"/>
      <c r="AC5" s="154"/>
      <c r="AD5" s="154"/>
    </row>
    <row r="6" spans="1:30">
      <c r="A6" s="480"/>
      <c r="B6" s="480"/>
      <c r="C6" s="480"/>
      <c r="D6" s="480"/>
      <c r="E6" s="480"/>
      <c r="F6" s="463"/>
      <c r="G6" s="463"/>
      <c r="H6" s="463"/>
      <c r="I6" s="463"/>
      <c r="J6" s="463"/>
      <c r="K6" s="463"/>
      <c r="L6" s="463"/>
      <c r="M6" s="463"/>
      <c r="N6" s="463"/>
      <c r="O6" s="463"/>
      <c r="P6" s="471"/>
      <c r="Q6" s="463"/>
      <c r="R6" s="473"/>
      <c r="S6" s="475"/>
      <c r="T6" s="477"/>
      <c r="U6" s="465"/>
      <c r="V6" s="467"/>
      <c r="W6" s="152" t="s">
        <v>346</v>
      </c>
      <c r="X6" s="152"/>
      <c r="Y6" s="152" t="s">
        <v>347</v>
      </c>
      <c r="Z6" s="144"/>
    </row>
    <row r="7" spans="1:30">
      <c r="A7" s="144" t="s">
        <v>348</v>
      </c>
      <c r="B7" s="144"/>
      <c r="C7" s="144"/>
      <c r="D7" s="144"/>
      <c r="E7" s="155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7"/>
      <c r="Q7" s="156"/>
      <c r="R7" s="157"/>
      <c r="S7" s="156"/>
      <c r="T7" s="156"/>
      <c r="U7" s="156"/>
      <c r="V7" s="156"/>
      <c r="W7" s="158"/>
      <c r="X7" s="159"/>
      <c r="Y7" s="159"/>
      <c r="Z7" s="144"/>
    </row>
    <row r="8" spans="1:30">
      <c r="A8" s="223">
        <v>1</v>
      </c>
      <c r="B8" s="224" t="s">
        <v>461</v>
      </c>
      <c r="C8" s="223" t="s">
        <v>39</v>
      </c>
      <c r="D8" s="223" t="s">
        <v>11</v>
      </c>
      <c r="E8" s="225">
        <f>COUNT(F8:Q8)-COUNT(#REF!)</f>
        <v>11</v>
      </c>
      <c r="F8" s="160">
        <v>7370924.5599999996</v>
      </c>
      <c r="G8" s="160">
        <v>7484451.5599999996</v>
      </c>
      <c r="H8" s="161">
        <v>6870258.5599999996</v>
      </c>
      <c r="I8" s="162">
        <v>7165673.5599999996</v>
      </c>
      <c r="J8" s="162">
        <v>6905119.5599999996</v>
      </c>
      <c r="K8" s="163">
        <v>6480398.5599999996</v>
      </c>
      <c r="L8" s="162">
        <v>7196481.96</v>
      </c>
      <c r="M8" s="164">
        <v>7157091.96</v>
      </c>
      <c r="N8" s="165">
        <v>6429943.96</v>
      </c>
      <c r="O8" s="165">
        <v>6216733.96</v>
      </c>
      <c r="P8" s="166">
        <v>6570742.96</v>
      </c>
      <c r="Q8" s="167"/>
      <c r="R8" s="226">
        <f t="shared" ref="R8:R36" si="0">SUM(F8:P8)</f>
        <v>75847821.159999996</v>
      </c>
      <c r="S8" s="168">
        <v>4093600</v>
      </c>
      <c r="T8" s="165">
        <v>200000</v>
      </c>
      <c r="U8" s="169"/>
      <c r="V8" s="169"/>
      <c r="W8" s="169">
        <f>SUM(R8:V8)</f>
        <v>80141421.159999996</v>
      </c>
      <c r="X8" s="167" t="b">
        <f t="shared" ref="X8:X67" si="1">IF(D8="TK",54000000,IF(D8="K0",58500000,IF(D8="K1",63000000,IF(D8="K2",67500000,IF(D8="K3",72000000)))))</f>
        <v>0</v>
      </c>
      <c r="Y8" s="227">
        <f>IF(W8&lt;=X8,0,IF(W8&gt;X8,W8-X8))</f>
        <v>0</v>
      </c>
      <c r="Z8" s="144"/>
    </row>
    <row r="9" spans="1:30">
      <c r="A9" s="223">
        <v>2</v>
      </c>
      <c r="B9" s="228" t="s">
        <v>462</v>
      </c>
      <c r="C9" s="223" t="s">
        <v>39</v>
      </c>
      <c r="D9" s="223" t="s">
        <v>7</v>
      </c>
      <c r="E9" s="225">
        <f>COUNT(F9:Q9)-COUNT(#REF!)</f>
        <v>11</v>
      </c>
      <c r="F9" s="160">
        <v>7521733.5599999996</v>
      </c>
      <c r="G9" s="160">
        <v>6392894.5599999996</v>
      </c>
      <c r="H9" s="161">
        <v>6953516.5599999996</v>
      </c>
      <c r="I9" s="162">
        <v>7024563.5599999996</v>
      </c>
      <c r="J9" s="162">
        <v>6809751.5599999996</v>
      </c>
      <c r="K9" s="163">
        <v>6337898.5599999996</v>
      </c>
      <c r="L9" s="162">
        <v>7179649.5599999996</v>
      </c>
      <c r="M9" s="164">
        <v>7007791.3600000003</v>
      </c>
      <c r="N9" s="165">
        <v>6556400.3600000003</v>
      </c>
      <c r="O9" s="165">
        <v>7313422.3600000003</v>
      </c>
      <c r="P9" s="166">
        <v>6881640.3600000003</v>
      </c>
      <c r="Q9" s="167"/>
      <c r="R9" s="226">
        <f t="shared" si="0"/>
        <v>75979262.359999999</v>
      </c>
      <c r="S9" s="168">
        <v>3974100</v>
      </c>
      <c r="T9" s="165">
        <v>900000</v>
      </c>
      <c r="U9" s="169"/>
      <c r="V9" s="169"/>
      <c r="W9" s="169">
        <f t="shared" ref="W9:W68" si="2">SUM(R9:V9)</f>
        <v>80853362.359999999</v>
      </c>
      <c r="X9" s="167" t="b">
        <f t="shared" si="1"/>
        <v>0</v>
      </c>
      <c r="Y9" s="227">
        <f t="shared" ref="Y9:Y68" si="3">IF(W9&lt;=X9,0,IF(W9&gt;X9,W9-X9))</f>
        <v>0</v>
      </c>
      <c r="AB9"/>
    </row>
    <row r="10" spans="1:30">
      <c r="A10" s="223">
        <v>3</v>
      </c>
      <c r="B10" s="224" t="s">
        <v>463</v>
      </c>
      <c r="C10" s="223" t="s">
        <v>39</v>
      </c>
      <c r="D10" s="223" t="s">
        <v>9</v>
      </c>
      <c r="E10" s="225">
        <f>COUNT(F10:Q10)-COUNT(#REF!)</f>
        <v>11</v>
      </c>
      <c r="F10" s="160">
        <v>7078070.5599999996</v>
      </c>
      <c r="G10" s="160">
        <v>4246649.5599999996</v>
      </c>
      <c r="H10" s="161">
        <v>4575078.5599999996</v>
      </c>
      <c r="I10" s="162">
        <v>4306900.5599999996</v>
      </c>
      <c r="J10" s="162">
        <v>4350129.5599999996</v>
      </c>
      <c r="K10" s="163">
        <v>5215159.5599999996</v>
      </c>
      <c r="L10" s="162">
        <v>4822342.3600000003</v>
      </c>
      <c r="M10" s="164">
        <v>5055589.3600000003</v>
      </c>
      <c r="N10" s="165">
        <v>4793489.3600000003</v>
      </c>
      <c r="O10" s="165">
        <v>4182698.3600000003</v>
      </c>
      <c r="P10" s="166">
        <v>3731490.36</v>
      </c>
      <c r="Q10" s="167"/>
      <c r="R10" s="226">
        <f t="shared" si="0"/>
        <v>52357598.159999996</v>
      </c>
      <c r="S10" s="168">
        <v>4063100</v>
      </c>
      <c r="T10" s="165">
        <v>200000</v>
      </c>
      <c r="U10" s="169"/>
      <c r="V10" s="169"/>
      <c r="W10" s="169">
        <f t="shared" si="2"/>
        <v>56620698.159999996</v>
      </c>
      <c r="X10" s="167" t="b">
        <f t="shared" si="1"/>
        <v>0</v>
      </c>
      <c r="Y10" s="227">
        <f t="shared" si="3"/>
        <v>0</v>
      </c>
      <c r="Z10"/>
      <c r="AA10"/>
      <c r="AB10"/>
    </row>
    <row r="11" spans="1:30">
      <c r="A11" s="223">
        <v>4</v>
      </c>
      <c r="B11" s="229" t="s">
        <v>465</v>
      </c>
      <c r="C11" s="223" t="s">
        <v>39</v>
      </c>
      <c r="D11" s="223" t="s">
        <v>11</v>
      </c>
      <c r="E11" s="225">
        <f>COUNT(F11:Q11)-COUNT(#REF!)</f>
        <v>11</v>
      </c>
      <c r="F11" s="160">
        <v>7482811.5599999996</v>
      </c>
      <c r="G11" s="160">
        <v>6272494.5599999996</v>
      </c>
      <c r="H11" s="161">
        <v>6465841.5599999996</v>
      </c>
      <c r="I11" s="162">
        <v>7108309.5599999996</v>
      </c>
      <c r="J11" s="162">
        <v>6080998.5599999996</v>
      </c>
      <c r="K11" s="163">
        <v>5945994.5599999996</v>
      </c>
      <c r="L11" s="162">
        <v>6775589.3600000003</v>
      </c>
      <c r="M11" s="164">
        <v>5697729.3600000003</v>
      </c>
      <c r="N11" s="165">
        <v>6125863.3600000003</v>
      </c>
      <c r="O11" s="165">
        <v>7078208.3600000003</v>
      </c>
      <c r="P11" s="166">
        <v>7216908.3600000003</v>
      </c>
      <c r="Q11" s="167"/>
      <c r="R11" s="226">
        <f t="shared" si="0"/>
        <v>72250749.159999996</v>
      </c>
      <c r="S11" s="168">
        <v>4128600</v>
      </c>
      <c r="T11" s="165">
        <v>900000</v>
      </c>
      <c r="U11" s="169"/>
      <c r="V11" s="169"/>
      <c r="W11" s="169">
        <f t="shared" si="2"/>
        <v>77279349.159999996</v>
      </c>
      <c r="X11" s="167" t="b">
        <f t="shared" si="1"/>
        <v>0</v>
      </c>
      <c r="Y11" s="227">
        <f t="shared" si="3"/>
        <v>0</v>
      </c>
      <c r="Z11"/>
      <c r="AA11"/>
      <c r="AB11"/>
    </row>
    <row r="12" spans="1:30">
      <c r="A12" s="223">
        <v>5</v>
      </c>
      <c r="B12" s="224" t="s">
        <v>466</v>
      </c>
      <c r="C12" s="223" t="s">
        <v>39</v>
      </c>
      <c r="D12" s="223" t="s">
        <v>11</v>
      </c>
      <c r="E12" s="225">
        <f>COUNT(F12:Q12)-COUNT(#REF!)</f>
        <v>11</v>
      </c>
      <c r="F12" s="160">
        <v>7430091.5599999996</v>
      </c>
      <c r="G12" s="160">
        <v>6193033.5599999996</v>
      </c>
      <c r="H12" s="161">
        <v>6293453.5599999996</v>
      </c>
      <c r="I12" s="162">
        <v>6889328.5599999996</v>
      </c>
      <c r="J12" s="162">
        <v>6011385.5599999996</v>
      </c>
      <c r="K12" s="163">
        <v>5784806.5599999996</v>
      </c>
      <c r="L12" s="162">
        <v>6596000.7599999998</v>
      </c>
      <c r="M12" s="164">
        <v>5544688.7599999998</v>
      </c>
      <c r="N12" s="165">
        <v>6165791.7599999998</v>
      </c>
      <c r="O12" s="165">
        <v>7245113.3600000003</v>
      </c>
      <c r="P12" s="166">
        <v>7057091.3600000003</v>
      </c>
      <c r="Q12" s="167"/>
      <c r="R12" s="226">
        <f t="shared" si="0"/>
        <v>71210785.359999999</v>
      </c>
      <c r="S12" s="168">
        <v>4090100</v>
      </c>
      <c r="T12" s="165">
        <v>600000</v>
      </c>
      <c r="U12" s="169"/>
      <c r="V12" s="169"/>
      <c r="W12" s="169">
        <f t="shared" si="2"/>
        <v>75900885.359999999</v>
      </c>
      <c r="X12" s="167" t="b">
        <f t="shared" si="1"/>
        <v>0</v>
      </c>
      <c r="Y12" s="227">
        <f t="shared" si="3"/>
        <v>0</v>
      </c>
      <c r="Z12"/>
      <c r="AA12"/>
      <c r="AB12"/>
    </row>
    <row r="13" spans="1:30">
      <c r="A13" s="223">
        <v>6</v>
      </c>
      <c r="B13" s="224" t="s">
        <v>467</v>
      </c>
      <c r="C13" s="223" t="s">
        <v>39</v>
      </c>
      <c r="D13" s="223" t="s">
        <v>11</v>
      </c>
      <c r="E13" s="225">
        <f>COUNT(F13:Q13)-COUNT(#REF!)</f>
        <v>11</v>
      </c>
      <c r="F13" s="160">
        <v>4512284.5599999996</v>
      </c>
      <c r="G13" s="160">
        <v>3998561.56</v>
      </c>
      <c r="H13" s="161">
        <v>4228369.5599999996</v>
      </c>
      <c r="I13" s="162">
        <v>4172028.5599999996</v>
      </c>
      <c r="J13" s="162">
        <v>4228369.5599999996</v>
      </c>
      <c r="K13" s="163">
        <v>4399609.5599999996</v>
      </c>
      <c r="L13" s="162">
        <v>4668827.96</v>
      </c>
      <c r="M13" s="164">
        <v>4310297.96</v>
      </c>
      <c r="N13" s="165">
        <v>4097099.96</v>
      </c>
      <c r="O13" s="165">
        <v>4595462.96</v>
      </c>
      <c r="P13" s="166">
        <v>4461652.96</v>
      </c>
      <c r="Q13" s="167"/>
      <c r="R13" s="226">
        <f t="shared" si="0"/>
        <v>47672565.159999996</v>
      </c>
      <c r="S13" s="168">
        <v>4093600</v>
      </c>
      <c r="T13" s="165">
        <v>600000</v>
      </c>
      <c r="U13" s="169"/>
      <c r="V13" s="169"/>
      <c r="W13" s="169">
        <f t="shared" si="2"/>
        <v>52366165.159999996</v>
      </c>
      <c r="X13" s="167" t="b">
        <f t="shared" si="1"/>
        <v>0</v>
      </c>
      <c r="Y13" s="227">
        <f t="shared" si="3"/>
        <v>0</v>
      </c>
      <c r="Z13"/>
      <c r="AA13"/>
      <c r="AB13"/>
    </row>
    <row r="14" spans="1:30">
      <c r="A14" s="223">
        <v>7</v>
      </c>
      <c r="B14" s="224" t="s">
        <v>468</v>
      </c>
      <c r="C14" s="223" t="s">
        <v>39</v>
      </c>
      <c r="D14" s="223" t="s">
        <v>9</v>
      </c>
      <c r="E14" s="225">
        <f>COUNT(F14:Q14)-COUNT(#REF!)</f>
        <v>11</v>
      </c>
      <c r="F14" s="160">
        <v>7330635.5599999996</v>
      </c>
      <c r="G14" s="160">
        <v>7082125.5599999996</v>
      </c>
      <c r="H14" s="161">
        <v>7492439.5599999996</v>
      </c>
      <c r="I14" s="162">
        <v>7031151.5599999996</v>
      </c>
      <c r="J14" s="162">
        <v>7730224.5599999996</v>
      </c>
      <c r="K14" s="163">
        <v>7586149.5599999996</v>
      </c>
      <c r="L14" s="162">
        <v>8335038.3599999994</v>
      </c>
      <c r="M14" s="164">
        <v>8520507.3599999994</v>
      </c>
      <c r="N14" s="165">
        <v>8240984.3599999994</v>
      </c>
      <c r="O14" s="165">
        <v>7102593.3600000003</v>
      </c>
      <c r="P14" s="165">
        <v>7398181.3600000003</v>
      </c>
      <c r="Q14" s="167"/>
      <c r="R14" s="226">
        <f>SUM(F14:Q14)</f>
        <v>83850031.159999996</v>
      </c>
      <c r="S14" s="168">
        <v>4063100</v>
      </c>
      <c r="T14" s="165">
        <v>900000</v>
      </c>
      <c r="U14" s="169"/>
      <c r="V14" s="169"/>
      <c r="W14" s="169">
        <f t="shared" si="2"/>
        <v>88813131.159999996</v>
      </c>
      <c r="X14" s="167" t="b">
        <f t="shared" si="1"/>
        <v>0</v>
      </c>
      <c r="Y14" s="227">
        <f t="shared" si="3"/>
        <v>0</v>
      </c>
      <c r="Z14"/>
      <c r="AA14"/>
      <c r="AB14"/>
    </row>
    <row r="15" spans="1:30">
      <c r="A15" s="223">
        <v>8</v>
      </c>
      <c r="B15" s="224" t="s">
        <v>469</v>
      </c>
      <c r="C15" s="223" t="s">
        <v>38</v>
      </c>
      <c r="D15" s="223" t="s">
        <v>7</v>
      </c>
      <c r="E15" s="225">
        <f>COUNT(F15:Q15)-COUNT(#REF!)</f>
        <v>11</v>
      </c>
      <c r="F15" s="160">
        <v>4122569.5599999996</v>
      </c>
      <c r="G15" s="160">
        <v>3728159.56</v>
      </c>
      <c r="H15" s="161">
        <v>4122569.5599999996</v>
      </c>
      <c r="I15" s="162">
        <v>3991099.56</v>
      </c>
      <c r="J15" s="162">
        <v>4126069.5599999996</v>
      </c>
      <c r="K15" s="163">
        <v>3994599.56</v>
      </c>
      <c r="L15" s="162">
        <v>4126070.3600000003</v>
      </c>
      <c r="M15" s="164">
        <v>4126070.3600000003</v>
      </c>
      <c r="N15" s="165">
        <v>3994600.36</v>
      </c>
      <c r="O15" s="165">
        <v>4126070.3600000003</v>
      </c>
      <c r="P15" s="166">
        <v>3994600.36</v>
      </c>
      <c r="Q15" s="167"/>
      <c r="R15" s="226">
        <f t="shared" si="0"/>
        <v>44452479.159999996</v>
      </c>
      <c r="S15" s="168">
        <v>3991100</v>
      </c>
      <c r="T15" s="165">
        <v>900000</v>
      </c>
      <c r="U15" s="169"/>
      <c r="V15" s="169"/>
      <c r="W15" s="169">
        <f t="shared" si="2"/>
        <v>49343579.159999996</v>
      </c>
      <c r="X15" s="167" t="b">
        <f t="shared" si="1"/>
        <v>0</v>
      </c>
      <c r="Y15" s="227">
        <f t="shared" si="3"/>
        <v>0</v>
      </c>
      <c r="Z15"/>
      <c r="AA15"/>
      <c r="AB15"/>
    </row>
    <row r="16" spans="1:30">
      <c r="A16" s="223">
        <v>9</v>
      </c>
      <c r="B16" s="224" t="s">
        <v>470</v>
      </c>
      <c r="C16" s="223" t="s">
        <v>38</v>
      </c>
      <c r="D16" s="223" t="s">
        <v>7</v>
      </c>
      <c r="E16" s="225">
        <f>COUNT(F16:Q16)-COUNT(#REF!)</f>
        <v>11</v>
      </c>
      <c r="F16" s="160">
        <v>4126069.5599999996</v>
      </c>
      <c r="G16" s="160">
        <v>3731659.56</v>
      </c>
      <c r="H16" s="161">
        <v>4126069.5599999996</v>
      </c>
      <c r="I16" s="162">
        <v>3994599.56</v>
      </c>
      <c r="J16" s="162">
        <v>4126069.5599999996</v>
      </c>
      <c r="K16" s="163">
        <v>3994599.56</v>
      </c>
      <c r="L16" s="162">
        <v>4126070.3600000003</v>
      </c>
      <c r="M16" s="164">
        <v>4126070.3600000003</v>
      </c>
      <c r="N16" s="165">
        <v>3994600.36</v>
      </c>
      <c r="O16" s="165">
        <v>4126070.3600000003</v>
      </c>
      <c r="P16" s="166">
        <v>3998099.96</v>
      </c>
      <c r="Q16" s="167"/>
      <c r="R16" s="226">
        <f t="shared" si="0"/>
        <v>44469978.759999998</v>
      </c>
      <c r="S16" s="168">
        <v>3994600</v>
      </c>
      <c r="T16" s="165">
        <v>900000</v>
      </c>
      <c r="U16" s="169"/>
      <c r="V16" s="169"/>
      <c r="W16" s="169">
        <f t="shared" si="2"/>
        <v>49364578.759999998</v>
      </c>
      <c r="X16" s="167" t="b">
        <f t="shared" si="1"/>
        <v>0</v>
      </c>
      <c r="Y16" s="227">
        <f t="shared" si="3"/>
        <v>0</v>
      </c>
      <c r="Z16"/>
      <c r="AA16"/>
      <c r="AB16"/>
    </row>
    <row r="17" spans="1:28">
      <c r="A17" s="223">
        <v>10</v>
      </c>
      <c r="B17" s="230" t="s">
        <v>471</v>
      </c>
      <c r="C17" s="223" t="s">
        <v>38</v>
      </c>
      <c r="D17" s="223" t="s">
        <v>7</v>
      </c>
      <c r="E17" s="225">
        <f>COUNT(F17:Q17)-COUNT(#REF!)</f>
        <v>11</v>
      </c>
      <c r="F17" s="160">
        <v>4126069.5599999996</v>
      </c>
      <c r="G17" s="160">
        <v>3731659.56</v>
      </c>
      <c r="H17" s="161">
        <v>4126069.5599999996</v>
      </c>
      <c r="I17" s="162">
        <v>3994599.56</v>
      </c>
      <c r="J17" s="162">
        <v>4126069.5599999996</v>
      </c>
      <c r="K17" s="163">
        <v>3994599.56</v>
      </c>
      <c r="L17" s="162">
        <v>4126070.3600000003</v>
      </c>
      <c r="M17" s="164">
        <v>4126070.3600000003</v>
      </c>
      <c r="N17" s="165">
        <v>3994600.36</v>
      </c>
      <c r="O17" s="165">
        <v>4126070.3600000003</v>
      </c>
      <c r="P17" s="166">
        <v>3998099.96</v>
      </c>
      <c r="Q17" s="167"/>
      <c r="R17" s="226">
        <f t="shared" si="0"/>
        <v>44469978.759999998</v>
      </c>
      <c r="S17" s="168">
        <v>3994600</v>
      </c>
      <c r="T17" s="165">
        <v>900000</v>
      </c>
      <c r="U17" s="169"/>
      <c r="V17" s="169"/>
      <c r="W17" s="169">
        <f t="shared" si="2"/>
        <v>49364578.759999998</v>
      </c>
      <c r="X17" s="167" t="b">
        <f t="shared" si="1"/>
        <v>0</v>
      </c>
      <c r="Y17" s="227">
        <f t="shared" si="3"/>
        <v>0</v>
      </c>
      <c r="Z17"/>
      <c r="AA17"/>
      <c r="AB17"/>
    </row>
    <row r="18" spans="1:28">
      <c r="A18" s="223">
        <v>11</v>
      </c>
      <c r="B18" s="230" t="s">
        <v>472</v>
      </c>
      <c r="C18" s="223" t="s">
        <v>38</v>
      </c>
      <c r="D18" s="223" t="s">
        <v>7</v>
      </c>
      <c r="E18" s="225">
        <f>COUNT(F18:Q18)-COUNT(#REF!)</f>
        <v>11</v>
      </c>
      <c r="F18" s="160">
        <v>4126069.5599999996</v>
      </c>
      <c r="G18" s="160">
        <v>3731659.56</v>
      </c>
      <c r="H18" s="161">
        <v>4126069.5599999996</v>
      </c>
      <c r="I18" s="162">
        <v>3994599.56</v>
      </c>
      <c r="J18" s="162">
        <v>3994599.56</v>
      </c>
      <c r="K18" s="163">
        <v>3994599.56</v>
      </c>
      <c r="L18" s="162">
        <v>4129569.96</v>
      </c>
      <c r="M18" s="164">
        <v>4129569.96</v>
      </c>
      <c r="N18" s="165">
        <v>3998099.96</v>
      </c>
      <c r="O18" s="165">
        <v>4129569.96</v>
      </c>
      <c r="P18" s="166">
        <v>3998099.96</v>
      </c>
      <c r="Q18" s="167"/>
      <c r="R18" s="226">
        <f t="shared" si="0"/>
        <v>44352507.160000004</v>
      </c>
      <c r="S18" s="168">
        <v>3994600</v>
      </c>
      <c r="T18" s="165">
        <v>900000</v>
      </c>
      <c r="U18" s="169"/>
      <c r="V18" s="169"/>
      <c r="W18" s="169">
        <f t="shared" si="2"/>
        <v>49247107.160000004</v>
      </c>
      <c r="X18" s="167" t="b">
        <f t="shared" si="1"/>
        <v>0</v>
      </c>
      <c r="Y18" s="227">
        <f t="shared" si="3"/>
        <v>0</v>
      </c>
      <c r="Z18"/>
      <c r="AA18"/>
      <c r="AB18"/>
    </row>
    <row r="19" spans="1:28">
      <c r="A19" s="223">
        <v>12</v>
      </c>
      <c r="B19" s="230" t="s">
        <v>473</v>
      </c>
      <c r="C19" s="223" t="s">
        <v>38</v>
      </c>
      <c r="D19" s="223" t="s">
        <v>7</v>
      </c>
      <c r="E19" s="225">
        <f>COUNT(F19:Q19)-COUNT(#REF!)</f>
        <v>11</v>
      </c>
      <c r="F19" s="160">
        <v>4136569.5599999996</v>
      </c>
      <c r="G19" s="160">
        <v>3766659.56</v>
      </c>
      <c r="H19" s="161">
        <v>4029599.56</v>
      </c>
      <c r="I19" s="162">
        <v>4029599.56</v>
      </c>
      <c r="J19" s="162">
        <v>4029599.56</v>
      </c>
      <c r="K19" s="163">
        <v>4029599.56</v>
      </c>
      <c r="L19" s="162">
        <v>4161070.3600000003</v>
      </c>
      <c r="M19" s="164">
        <v>4161070.3600000003</v>
      </c>
      <c r="N19" s="165">
        <v>4029600.36</v>
      </c>
      <c r="O19" s="165">
        <v>4029600.36</v>
      </c>
      <c r="P19" s="166">
        <v>4029600.36</v>
      </c>
      <c r="Q19" s="167"/>
      <c r="R19" s="226">
        <f t="shared" si="0"/>
        <v>44432569.159999996</v>
      </c>
      <c r="S19" s="168">
        <v>4029600</v>
      </c>
      <c r="T19" s="165">
        <v>200000</v>
      </c>
      <c r="U19" s="169"/>
      <c r="V19" s="169"/>
      <c r="W19" s="169">
        <f t="shared" si="2"/>
        <v>48662169.159999996</v>
      </c>
      <c r="X19" s="167" t="b">
        <f t="shared" si="1"/>
        <v>0</v>
      </c>
      <c r="Y19" s="227">
        <f t="shared" si="3"/>
        <v>0</v>
      </c>
      <c r="Z19"/>
      <c r="AA19"/>
      <c r="AB19"/>
    </row>
    <row r="20" spans="1:28">
      <c r="A20" s="223">
        <v>13</v>
      </c>
      <c r="B20" s="230" t="s">
        <v>474</v>
      </c>
      <c r="C20" s="223" t="s">
        <v>38</v>
      </c>
      <c r="D20" s="223" t="s">
        <v>7</v>
      </c>
      <c r="E20" s="225">
        <f>COUNT(F20:Q20)-COUNT(#REF!)</f>
        <v>11</v>
      </c>
      <c r="F20" s="160">
        <v>4122569.5599999996</v>
      </c>
      <c r="G20" s="160">
        <v>3728159.56</v>
      </c>
      <c r="H20" s="161">
        <v>4122569.5599999996</v>
      </c>
      <c r="I20" s="162">
        <v>3991099.56</v>
      </c>
      <c r="J20" s="162">
        <v>4122569.5599999996</v>
      </c>
      <c r="K20" s="163">
        <v>3994599.56</v>
      </c>
      <c r="L20" s="162">
        <v>4126070.3600000003</v>
      </c>
      <c r="M20" s="164">
        <v>4126070.3600000003</v>
      </c>
      <c r="N20" s="165">
        <v>3994600.36</v>
      </c>
      <c r="O20" s="165">
        <v>4126070.3600000003</v>
      </c>
      <c r="P20" s="166">
        <v>3994600.36</v>
      </c>
      <c r="Q20" s="167"/>
      <c r="R20" s="226">
        <f t="shared" si="0"/>
        <v>44448979.159999996</v>
      </c>
      <c r="S20" s="168">
        <v>3991100</v>
      </c>
      <c r="T20" s="165">
        <v>600000</v>
      </c>
      <c r="U20" s="169"/>
      <c r="V20" s="169"/>
      <c r="W20" s="169">
        <f t="shared" si="2"/>
        <v>49040079.159999996</v>
      </c>
      <c r="X20" s="167" t="b">
        <f t="shared" si="1"/>
        <v>0</v>
      </c>
      <c r="Y20" s="227">
        <f t="shared" si="3"/>
        <v>0</v>
      </c>
      <c r="Z20"/>
      <c r="AA20"/>
      <c r="AB20"/>
    </row>
    <row r="21" spans="1:28">
      <c r="A21" s="223">
        <v>14</v>
      </c>
      <c r="B21" s="230" t="s">
        <v>475</v>
      </c>
      <c r="C21" s="223" t="s">
        <v>38</v>
      </c>
      <c r="D21" s="223" t="s">
        <v>7</v>
      </c>
      <c r="E21" s="225">
        <f>COUNT(F21:Q21)-COUNT(#REF!)</f>
        <v>11</v>
      </c>
      <c r="F21" s="160">
        <v>4122569.5599999996</v>
      </c>
      <c r="G21" s="160">
        <v>3728159.56</v>
      </c>
      <c r="H21" s="161">
        <v>4122569.5599999996</v>
      </c>
      <c r="I21" s="162">
        <v>3991099.56</v>
      </c>
      <c r="J21" s="162">
        <v>4122569.5599999996</v>
      </c>
      <c r="K21" s="163">
        <v>3991099.56</v>
      </c>
      <c r="L21" s="162">
        <v>4122569.76</v>
      </c>
      <c r="M21" s="164">
        <v>4122569.76</v>
      </c>
      <c r="N21" s="165">
        <v>3994600.36</v>
      </c>
      <c r="O21" s="165">
        <v>4126070.3600000003</v>
      </c>
      <c r="P21" s="166">
        <v>3994600.36</v>
      </c>
      <c r="Q21" s="167"/>
      <c r="R21" s="226">
        <f t="shared" si="0"/>
        <v>44438477.959999993</v>
      </c>
      <c r="S21" s="168">
        <v>3991100</v>
      </c>
      <c r="T21" s="165">
        <v>600000</v>
      </c>
      <c r="U21" s="169"/>
      <c r="V21" s="169"/>
      <c r="W21" s="169">
        <f t="shared" si="2"/>
        <v>49029577.959999993</v>
      </c>
      <c r="X21" s="167" t="b">
        <f t="shared" si="1"/>
        <v>0</v>
      </c>
      <c r="Y21" s="227">
        <f t="shared" si="3"/>
        <v>0</v>
      </c>
      <c r="Z21"/>
      <c r="AA21"/>
      <c r="AB21"/>
    </row>
    <row r="22" spans="1:28">
      <c r="A22" s="223">
        <v>15</v>
      </c>
      <c r="B22" s="230" t="s">
        <v>476</v>
      </c>
      <c r="C22" s="223" t="s">
        <v>38</v>
      </c>
      <c r="D22" s="223" t="s">
        <v>7</v>
      </c>
      <c r="E22" s="225">
        <f>COUNT(F22:Q22)-COUNT(#REF!)</f>
        <v>11</v>
      </c>
      <c r="F22" s="160">
        <v>4122569.5599999996</v>
      </c>
      <c r="G22" s="160">
        <v>3728159.56</v>
      </c>
      <c r="H22" s="161">
        <v>4122569.5599999996</v>
      </c>
      <c r="I22" s="162">
        <v>3991099.56</v>
      </c>
      <c r="J22" s="162">
        <v>3991099.56</v>
      </c>
      <c r="K22" s="163">
        <v>3994599.56</v>
      </c>
      <c r="L22" s="162">
        <v>4126070.3600000003</v>
      </c>
      <c r="M22" s="164">
        <v>4126070.3600000003</v>
      </c>
      <c r="N22" s="165">
        <v>3994600.36</v>
      </c>
      <c r="O22" s="165">
        <v>4126070.3600000003</v>
      </c>
      <c r="P22" s="166">
        <v>3994600.36</v>
      </c>
      <c r="Q22" s="167"/>
      <c r="R22" s="226">
        <f t="shared" si="0"/>
        <v>44317509.159999996</v>
      </c>
      <c r="S22" s="168">
        <v>3991100</v>
      </c>
      <c r="T22" s="165">
        <v>900000</v>
      </c>
      <c r="U22" s="169"/>
      <c r="V22" s="169"/>
      <c r="W22" s="169">
        <f t="shared" si="2"/>
        <v>49208609.159999996</v>
      </c>
      <c r="X22" s="167" t="b">
        <f t="shared" si="1"/>
        <v>0</v>
      </c>
      <c r="Y22" s="227">
        <f t="shared" si="3"/>
        <v>0</v>
      </c>
      <c r="Z22"/>
      <c r="AA22"/>
      <c r="AB22"/>
    </row>
    <row r="23" spans="1:28">
      <c r="A23" s="223">
        <v>16</v>
      </c>
      <c r="B23" s="230" t="s">
        <v>477</v>
      </c>
      <c r="C23" s="223" t="s">
        <v>38</v>
      </c>
      <c r="D23" s="223" t="s">
        <v>7</v>
      </c>
      <c r="E23" s="225">
        <f>COUNT(F23:Q23)-COUNT(#REF!)</f>
        <v>11</v>
      </c>
      <c r="F23" s="160">
        <v>4126069.5599999996</v>
      </c>
      <c r="G23" s="160">
        <v>3731659.56</v>
      </c>
      <c r="H23" s="161">
        <v>4126069.5599999996</v>
      </c>
      <c r="I23" s="162">
        <v>3998099.56</v>
      </c>
      <c r="J23" s="162">
        <v>4129569.5599999996</v>
      </c>
      <c r="K23" s="163">
        <v>3998099.56</v>
      </c>
      <c r="L23" s="162">
        <v>4129569.96</v>
      </c>
      <c r="M23" s="164">
        <v>4129569.96</v>
      </c>
      <c r="N23" s="165">
        <v>3998099.96</v>
      </c>
      <c r="O23" s="165">
        <v>4129569.96</v>
      </c>
      <c r="P23" s="166">
        <v>3998099.96</v>
      </c>
      <c r="Q23" s="167"/>
      <c r="R23" s="226">
        <f t="shared" si="0"/>
        <v>44494477.160000004</v>
      </c>
      <c r="S23" s="168">
        <v>3994600</v>
      </c>
      <c r="T23" s="165">
        <v>600000</v>
      </c>
      <c r="U23" s="169"/>
      <c r="V23" s="169"/>
      <c r="W23" s="169">
        <f t="shared" si="2"/>
        <v>49089077.160000004</v>
      </c>
      <c r="X23" s="167" t="b">
        <f t="shared" si="1"/>
        <v>0</v>
      </c>
      <c r="Y23" s="227">
        <f t="shared" si="3"/>
        <v>0</v>
      </c>
      <c r="Z23"/>
      <c r="AA23"/>
      <c r="AB23"/>
    </row>
    <row r="24" spans="1:28">
      <c r="A24" s="223">
        <v>17</v>
      </c>
      <c r="B24" s="230" t="s">
        <v>478</v>
      </c>
      <c r="C24" s="223" t="s">
        <v>38</v>
      </c>
      <c r="D24" s="223" t="s">
        <v>7</v>
      </c>
      <c r="E24" s="225">
        <f>COUNT(F24:Q24)-COUNT(#REF!)</f>
        <v>11</v>
      </c>
      <c r="F24" s="160">
        <v>4126069.5599999996</v>
      </c>
      <c r="G24" s="160">
        <v>3731659.56</v>
      </c>
      <c r="H24" s="161">
        <v>4126069.5599999996</v>
      </c>
      <c r="I24" s="162">
        <v>3994599.56</v>
      </c>
      <c r="J24" s="162">
        <v>4126069.5599999996</v>
      </c>
      <c r="K24" s="163">
        <v>3994599.56</v>
      </c>
      <c r="L24" s="162">
        <v>4126070.3600000003</v>
      </c>
      <c r="M24" s="164">
        <v>4129569.96</v>
      </c>
      <c r="N24" s="165">
        <v>3998099.96</v>
      </c>
      <c r="O24" s="165">
        <v>4129569.96</v>
      </c>
      <c r="P24" s="166">
        <v>3998099.96</v>
      </c>
      <c r="Q24" s="167"/>
      <c r="R24" s="226">
        <f t="shared" si="0"/>
        <v>44480477.560000002</v>
      </c>
      <c r="S24" s="168">
        <v>3994600</v>
      </c>
      <c r="T24" s="165">
        <v>600000</v>
      </c>
      <c r="U24" s="169"/>
      <c r="V24" s="169"/>
      <c r="W24" s="169">
        <f t="shared" si="2"/>
        <v>49075077.560000002</v>
      </c>
      <c r="X24" s="167" t="b">
        <f t="shared" si="1"/>
        <v>0</v>
      </c>
      <c r="Y24" s="227">
        <f t="shared" si="3"/>
        <v>0</v>
      </c>
      <c r="Z24"/>
      <c r="AA24"/>
      <c r="AB24"/>
    </row>
    <row r="25" spans="1:28">
      <c r="A25" s="223">
        <v>18</v>
      </c>
      <c r="B25" s="230" t="s">
        <v>101</v>
      </c>
      <c r="C25" s="223" t="s">
        <v>39</v>
      </c>
      <c r="D25" s="223" t="s">
        <v>17</v>
      </c>
      <c r="E25" s="225">
        <f>COUNT(F25:Q25)-COUNT(#REF!)</f>
        <v>11</v>
      </c>
      <c r="F25" s="160">
        <v>4171419.5599999996</v>
      </c>
      <c r="G25" s="160">
        <v>3775759.56</v>
      </c>
      <c r="H25" s="161">
        <v>4174519.5599999996</v>
      </c>
      <c r="I25" s="162">
        <v>4041599.5599999996</v>
      </c>
      <c r="J25" s="162">
        <v>4174519.5599999996</v>
      </c>
      <c r="K25" s="163">
        <v>4041599.5599999996</v>
      </c>
      <c r="L25" s="162">
        <v>4174519.96</v>
      </c>
      <c r="M25" s="164">
        <v>4041599.96</v>
      </c>
      <c r="N25" s="165">
        <v>4045099.5599999996</v>
      </c>
      <c r="O25" s="165">
        <v>4045099.5599999996</v>
      </c>
      <c r="P25" s="166">
        <v>3912179.56</v>
      </c>
      <c r="Q25" s="167"/>
      <c r="R25" s="226">
        <f t="shared" si="0"/>
        <v>44597915.960000001</v>
      </c>
      <c r="S25" s="168">
        <v>4041600</v>
      </c>
      <c r="T25" s="165">
        <v>200000</v>
      </c>
      <c r="U25" s="169"/>
      <c r="V25" s="169"/>
      <c r="W25" s="169">
        <f t="shared" si="2"/>
        <v>48839515.960000001</v>
      </c>
      <c r="X25" s="167" t="b">
        <f t="shared" si="1"/>
        <v>0</v>
      </c>
      <c r="Y25" s="227">
        <f t="shared" si="3"/>
        <v>0</v>
      </c>
      <c r="Z25"/>
      <c r="AA25"/>
      <c r="AB25"/>
    </row>
    <row r="26" spans="1:28">
      <c r="A26" s="223">
        <v>19</v>
      </c>
      <c r="B26" s="230" t="s">
        <v>479</v>
      </c>
      <c r="C26" s="223" t="s">
        <v>38</v>
      </c>
      <c r="D26" s="223" t="s">
        <v>7</v>
      </c>
      <c r="E26" s="225">
        <f>COUNT(F26:Q26)-COUNT(#REF!)</f>
        <v>11</v>
      </c>
      <c r="F26" s="160">
        <v>4105569.5599999996</v>
      </c>
      <c r="G26" s="160">
        <v>3711159.56</v>
      </c>
      <c r="H26" s="161">
        <v>4105569.5599999996</v>
      </c>
      <c r="I26" s="162">
        <v>3974099.56</v>
      </c>
      <c r="J26" s="162">
        <v>4105569.5599999996</v>
      </c>
      <c r="K26" s="163">
        <v>3974099.56</v>
      </c>
      <c r="L26" s="162">
        <v>4108570.3600000003</v>
      </c>
      <c r="M26" s="164">
        <v>4108570.3600000003</v>
      </c>
      <c r="N26" s="165">
        <v>3977100.36</v>
      </c>
      <c r="O26" s="165">
        <v>4108570.3600000003</v>
      </c>
      <c r="P26" s="166">
        <v>3977100.36</v>
      </c>
      <c r="Q26" s="167"/>
      <c r="R26" s="226">
        <f t="shared" si="0"/>
        <v>44255979.159999996</v>
      </c>
      <c r="S26" s="168">
        <v>3974100</v>
      </c>
      <c r="T26" s="165">
        <v>200000</v>
      </c>
      <c r="U26" s="169"/>
      <c r="V26" s="169"/>
      <c r="W26" s="169">
        <f t="shared" si="2"/>
        <v>48430079.159999996</v>
      </c>
      <c r="X26" s="167" t="b">
        <f t="shared" si="1"/>
        <v>0</v>
      </c>
      <c r="Y26" s="227">
        <f t="shared" si="3"/>
        <v>0</v>
      </c>
      <c r="Z26"/>
      <c r="AA26"/>
      <c r="AB26"/>
    </row>
    <row r="27" spans="1:28">
      <c r="A27" s="223">
        <v>20</v>
      </c>
      <c r="B27" s="230" t="s">
        <v>480</v>
      </c>
      <c r="C27" s="223" t="s">
        <v>38</v>
      </c>
      <c r="D27" s="223" t="s">
        <v>8</v>
      </c>
      <c r="E27" s="225">
        <f>COUNT(F27:Q27)-COUNT(#REF!)</f>
        <v>11</v>
      </c>
      <c r="F27" s="160">
        <v>4161369.5599999996</v>
      </c>
      <c r="G27" s="160">
        <v>3765759.56</v>
      </c>
      <c r="H27" s="161">
        <v>4166019.5599999996</v>
      </c>
      <c r="I27" s="162">
        <v>4032599.56</v>
      </c>
      <c r="J27" s="162">
        <v>4166019.5599999996</v>
      </c>
      <c r="K27" s="163">
        <v>4032599.56</v>
      </c>
      <c r="L27" s="162">
        <v>4169020.3600000003</v>
      </c>
      <c r="M27" s="164">
        <v>4169020.3600000003</v>
      </c>
      <c r="N27" s="165">
        <v>4035600.36</v>
      </c>
      <c r="O27" s="165">
        <v>4169020.3600000003</v>
      </c>
      <c r="P27" s="166">
        <v>4035600.36</v>
      </c>
      <c r="Q27" s="167"/>
      <c r="R27" s="226">
        <f t="shared" si="0"/>
        <v>44902629.159999996</v>
      </c>
      <c r="S27" s="168">
        <v>4032600</v>
      </c>
      <c r="T27" s="165">
        <v>200000</v>
      </c>
      <c r="U27" s="169"/>
      <c r="V27" s="169"/>
      <c r="W27" s="169">
        <f t="shared" si="2"/>
        <v>49135229.159999996</v>
      </c>
      <c r="X27" s="167" t="b">
        <f t="shared" si="1"/>
        <v>0</v>
      </c>
      <c r="Y27" s="227">
        <f t="shared" si="3"/>
        <v>0</v>
      </c>
      <c r="Z27"/>
      <c r="AA27"/>
      <c r="AB27"/>
    </row>
    <row r="28" spans="1:28">
      <c r="A28" s="223">
        <v>21</v>
      </c>
      <c r="B28" s="230" t="s">
        <v>481</v>
      </c>
      <c r="C28" s="223" t="s">
        <v>38</v>
      </c>
      <c r="D28" s="223" t="s">
        <v>7</v>
      </c>
      <c r="E28" s="225">
        <f>COUNT(F28:Q28)-COUNT(#REF!)</f>
        <v>11</v>
      </c>
      <c r="F28" s="160">
        <v>4136569.5599999996</v>
      </c>
      <c r="G28" s="160">
        <v>3770159.56</v>
      </c>
      <c r="H28" s="161">
        <v>4164569.5599999996</v>
      </c>
      <c r="I28" s="162">
        <v>4033099.56</v>
      </c>
      <c r="J28" s="162">
        <v>4164569.5599999996</v>
      </c>
      <c r="K28" s="163">
        <v>4033099.56</v>
      </c>
      <c r="L28" s="162">
        <v>4164569.96</v>
      </c>
      <c r="M28" s="164">
        <v>3770159.96</v>
      </c>
      <c r="N28" s="165">
        <v>4033099.96</v>
      </c>
      <c r="O28" s="165">
        <v>4164569.96</v>
      </c>
      <c r="P28" s="166">
        <v>4033099.96</v>
      </c>
      <c r="Q28" s="167"/>
      <c r="R28" s="226">
        <f t="shared" si="0"/>
        <v>44467567.160000004</v>
      </c>
      <c r="S28" s="168">
        <v>4033100</v>
      </c>
      <c r="T28" s="165">
        <v>600000</v>
      </c>
      <c r="U28" s="169"/>
      <c r="V28" s="169"/>
      <c r="W28" s="169">
        <f t="shared" si="2"/>
        <v>49100667.160000004</v>
      </c>
      <c r="X28" s="167" t="b">
        <f t="shared" si="1"/>
        <v>0</v>
      </c>
      <c r="Y28" s="227">
        <f t="shared" si="3"/>
        <v>0</v>
      </c>
      <c r="Z28"/>
      <c r="AA28"/>
      <c r="AB28"/>
    </row>
    <row r="29" spans="1:28">
      <c r="A29" s="223">
        <v>22</v>
      </c>
      <c r="B29" s="231" t="s">
        <v>482</v>
      </c>
      <c r="C29" s="223" t="s">
        <v>39</v>
      </c>
      <c r="D29" s="223" t="s">
        <v>17</v>
      </c>
      <c r="E29" s="225">
        <f>COUNT(F29:Q29)-COUNT(#REF!)</f>
        <v>11</v>
      </c>
      <c r="F29" s="160">
        <v>4171419.5599999996</v>
      </c>
      <c r="G29" s="160">
        <v>3772959.56</v>
      </c>
      <c r="H29" s="161">
        <v>4174519.5599999996</v>
      </c>
      <c r="I29" s="162">
        <v>4041599.5599999996</v>
      </c>
      <c r="J29" s="162">
        <v>4174519.5599999996</v>
      </c>
      <c r="K29" s="163">
        <v>4041599.5599999996</v>
      </c>
      <c r="L29" s="162">
        <v>4174519.96</v>
      </c>
      <c r="M29" s="164">
        <v>4174519.96</v>
      </c>
      <c r="N29" s="165">
        <v>4041599.96</v>
      </c>
      <c r="O29" s="165">
        <v>4178019.5599999996</v>
      </c>
      <c r="P29" s="166">
        <v>4045099.5599999996</v>
      </c>
      <c r="Q29" s="167"/>
      <c r="R29" s="226">
        <f t="shared" si="0"/>
        <v>44990376.359999999</v>
      </c>
      <c r="S29" s="168">
        <v>4038600</v>
      </c>
      <c r="T29" s="165">
        <v>900000</v>
      </c>
      <c r="U29" s="169"/>
      <c r="V29" s="169"/>
      <c r="W29" s="169">
        <f t="shared" si="2"/>
        <v>49928976.359999999</v>
      </c>
      <c r="X29" s="167" t="b">
        <f t="shared" si="1"/>
        <v>0</v>
      </c>
      <c r="Y29" s="227">
        <f t="shared" si="3"/>
        <v>0</v>
      </c>
      <c r="Z29"/>
      <c r="AA29"/>
      <c r="AB29"/>
    </row>
    <row r="30" spans="1:28">
      <c r="A30" s="223">
        <v>23</v>
      </c>
      <c r="B30" s="231" t="s">
        <v>483</v>
      </c>
      <c r="C30" s="223" t="s">
        <v>39</v>
      </c>
      <c r="D30" s="223" t="s">
        <v>9</v>
      </c>
      <c r="E30" s="225">
        <f>COUNT(F30:Q30)-COUNT(#REF!)</f>
        <v>11</v>
      </c>
      <c r="F30" s="160">
        <v>4809566</v>
      </c>
      <c r="G30" s="160">
        <v>4522163</v>
      </c>
      <c r="H30" s="161">
        <v>4741317</v>
      </c>
      <c r="I30" s="162">
        <v>4590000</v>
      </c>
      <c r="J30" s="162">
        <v>4741317</v>
      </c>
      <c r="K30" s="163">
        <v>4590000</v>
      </c>
      <c r="L30" s="162">
        <v>4942989.8</v>
      </c>
      <c r="M30" s="164">
        <v>4741316.8</v>
      </c>
      <c r="N30" s="165">
        <v>4589999.8</v>
      </c>
      <c r="O30" s="165">
        <v>4885290.8</v>
      </c>
      <c r="P30" s="166">
        <v>4772639.8</v>
      </c>
      <c r="Q30" s="167"/>
      <c r="R30" s="226">
        <f t="shared" si="0"/>
        <v>51926599.999999993</v>
      </c>
      <c r="S30" s="168">
        <v>4590000</v>
      </c>
      <c r="T30" s="165">
        <v>600000</v>
      </c>
      <c r="U30" s="169"/>
      <c r="V30" s="169"/>
      <c r="W30" s="169">
        <f t="shared" si="2"/>
        <v>57116599.999999993</v>
      </c>
      <c r="X30" s="167" t="b">
        <f t="shared" si="1"/>
        <v>0</v>
      </c>
      <c r="Y30" s="227">
        <f t="shared" si="3"/>
        <v>0</v>
      </c>
      <c r="Z30"/>
      <c r="AA30"/>
      <c r="AB30"/>
    </row>
    <row r="31" spans="1:28">
      <c r="A31" s="223">
        <v>24</v>
      </c>
      <c r="B31" s="231" t="s">
        <v>484</v>
      </c>
      <c r="C31" s="223" t="s">
        <v>38</v>
      </c>
      <c r="D31" s="223" t="s">
        <v>7</v>
      </c>
      <c r="E31" s="225">
        <f>COUNT(F31:Q31)-COUNT(#REF!)</f>
        <v>11</v>
      </c>
      <c r="F31" s="160">
        <v>4122569.5599999996</v>
      </c>
      <c r="G31" s="160">
        <v>3596689.56</v>
      </c>
      <c r="H31" s="161">
        <v>3991099.56</v>
      </c>
      <c r="I31" s="162">
        <v>3991099.56</v>
      </c>
      <c r="J31" s="162">
        <v>4122569.5599999996</v>
      </c>
      <c r="K31" s="163">
        <v>3859629.56</v>
      </c>
      <c r="L31" s="162">
        <v>4126070.3600000003</v>
      </c>
      <c r="M31" s="164">
        <v>4126070.3600000003</v>
      </c>
      <c r="N31" s="165">
        <v>3994600.36</v>
      </c>
      <c r="O31" s="165">
        <v>3994600.36</v>
      </c>
      <c r="P31" s="166">
        <v>3994600.36</v>
      </c>
      <c r="Q31" s="167"/>
      <c r="R31" s="226">
        <f t="shared" si="0"/>
        <v>43919599.159999996</v>
      </c>
      <c r="S31" s="168">
        <v>3991100</v>
      </c>
      <c r="T31" s="165">
        <v>200000</v>
      </c>
      <c r="U31" s="169"/>
      <c r="V31" s="169"/>
      <c r="W31" s="169">
        <f t="shared" si="2"/>
        <v>48110699.159999996</v>
      </c>
      <c r="X31" s="167" t="b">
        <f t="shared" si="1"/>
        <v>0</v>
      </c>
      <c r="Y31" s="227">
        <f t="shared" si="3"/>
        <v>0</v>
      </c>
      <c r="Z31"/>
      <c r="AA31"/>
      <c r="AB31"/>
    </row>
    <row r="32" spans="1:28">
      <c r="A32" s="223">
        <v>25</v>
      </c>
      <c r="B32" s="230" t="s">
        <v>485</v>
      </c>
      <c r="C32" s="223" t="s">
        <v>39</v>
      </c>
      <c r="D32" s="223" t="s">
        <v>9</v>
      </c>
      <c r="E32" s="225">
        <f>COUNT(F32:Q32)-COUNT(#REF!)</f>
        <v>11</v>
      </c>
      <c r="F32" s="160">
        <v>4568334.5599999996</v>
      </c>
      <c r="G32" s="160">
        <v>3872953.56</v>
      </c>
      <c r="H32" s="161">
        <v>4167969.5599999996</v>
      </c>
      <c r="I32" s="162">
        <v>4034099.56</v>
      </c>
      <c r="J32" s="162">
        <v>4167969.5599999996</v>
      </c>
      <c r="K32" s="163">
        <v>4037099.56</v>
      </c>
      <c r="L32" s="162">
        <v>4170970.16</v>
      </c>
      <c r="M32" s="164">
        <v>4170970.16</v>
      </c>
      <c r="N32" s="165">
        <v>4115528.16</v>
      </c>
      <c r="O32" s="165">
        <v>4690641.16</v>
      </c>
      <c r="P32" s="166">
        <v>4478621.16</v>
      </c>
      <c r="Q32" s="167"/>
      <c r="R32" s="226">
        <f t="shared" si="0"/>
        <v>46475157.159999996</v>
      </c>
      <c r="S32" s="168">
        <v>4034100</v>
      </c>
      <c r="T32" s="165">
        <v>200000</v>
      </c>
      <c r="U32" s="169"/>
      <c r="V32" s="169"/>
      <c r="W32" s="169">
        <f t="shared" si="2"/>
        <v>50709257.159999996</v>
      </c>
      <c r="X32" s="167" t="b">
        <f t="shared" si="1"/>
        <v>0</v>
      </c>
      <c r="Y32" s="227">
        <f t="shared" si="3"/>
        <v>0</v>
      </c>
      <c r="Z32"/>
      <c r="AA32"/>
      <c r="AB32"/>
    </row>
    <row r="33" spans="1:28">
      <c r="A33" s="223">
        <v>26</v>
      </c>
      <c r="B33" s="232" t="s">
        <v>486</v>
      </c>
      <c r="C33" s="223" t="s">
        <v>39</v>
      </c>
      <c r="D33" s="223" t="s">
        <v>17</v>
      </c>
      <c r="E33" s="225">
        <f>COUNT(F33:Q33)-COUNT(#REF!)</f>
        <v>11</v>
      </c>
      <c r="F33" s="160">
        <v>4424704.5599999996</v>
      </c>
      <c r="G33" s="160">
        <v>4082361.5599999996</v>
      </c>
      <c r="H33" s="161">
        <v>4336172.5599999996</v>
      </c>
      <c r="I33" s="162">
        <v>4277476.5599999996</v>
      </c>
      <c r="J33" s="162">
        <v>4511233.5599999996</v>
      </c>
      <c r="K33" s="163">
        <v>4399721.5599999996</v>
      </c>
      <c r="L33" s="162">
        <v>4367376.5599999996</v>
      </c>
      <c r="M33" s="164">
        <v>4621569.5599999996</v>
      </c>
      <c r="N33" s="165">
        <v>4166324.5599999996</v>
      </c>
      <c r="O33" s="165">
        <v>4594295.5599999996</v>
      </c>
      <c r="P33" s="166">
        <v>4095599.5599999996</v>
      </c>
      <c r="Q33" s="167"/>
      <c r="R33" s="226">
        <f t="shared" si="0"/>
        <v>47876836.160000004</v>
      </c>
      <c r="S33" s="168">
        <v>2990700</v>
      </c>
      <c r="T33" s="165">
        <v>450000</v>
      </c>
      <c r="U33" s="169"/>
      <c r="V33" s="169"/>
      <c r="W33" s="169">
        <f t="shared" si="2"/>
        <v>51317536.160000004</v>
      </c>
      <c r="X33" s="167" t="b">
        <f t="shared" si="1"/>
        <v>0</v>
      </c>
      <c r="Y33" s="227">
        <f t="shared" si="3"/>
        <v>0</v>
      </c>
      <c r="Z33"/>
      <c r="AA33"/>
      <c r="AB33"/>
    </row>
    <row r="34" spans="1:28">
      <c r="A34" s="223">
        <v>27</v>
      </c>
      <c r="B34" s="224" t="s">
        <v>487</v>
      </c>
      <c r="C34" s="223" t="s">
        <v>39</v>
      </c>
      <c r="D34" s="223" t="s">
        <v>7</v>
      </c>
      <c r="E34" s="225">
        <f>COUNT(F34:Q34)-COUNT(#REF!)</f>
        <v>11</v>
      </c>
      <c r="F34" s="160">
        <v>5192367.5599999996</v>
      </c>
      <c r="G34" s="160">
        <v>4773367.5599999996</v>
      </c>
      <c r="H34" s="161">
        <v>4971830.5599999996</v>
      </c>
      <c r="I34" s="162">
        <v>5148329.5599999996</v>
      </c>
      <c r="J34" s="162">
        <v>4986738.5599999996</v>
      </c>
      <c r="K34" s="163">
        <v>5799689.5599999996</v>
      </c>
      <c r="L34" s="162">
        <v>5094296.5599999996</v>
      </c>
      <c r="M34" s="164">
        <v>5018014.5599999996</v>
      </c>
      <c r="N34" s="165">
        <v>5112659.5599999996</v>
      </c>
      <c r="O34" s="165">
        <v>5552791.5599999996</v>
      </c>
      <c r="P34" s="166">
        <v>5390629.5599999996</v>
      </c>
      <c r="Q34" s="167"/>
      <c r="R34" s="226">
        <f t="shared" si="0"/>
        <v>57040715.160000004</v>
      </c>
      <c r="S34" s="168">
        <v>3946600</v>
      </c>
      <c r="T34" s="165">
        <v>200000</v>
      </c>
      <c r="U34" s="169"/>
      <c r="V34" s="169"/>
      <c r="W34" s="169">
        <f t="shared" si="2"/>
        <v>61187315.160000004</v>
      </c>
      <c r="X34" s="167" t="b">
        <f t="shared" si="1"/>
        <v>0</v>
      </c>
      <c r="Y34" s="227">
        <f t="shared" si="3"/>
        <v>0</v>
      </c>
      <c r="Z34"/>
      <c r="AA34"/>
      <c r="AB34"/>
    </row>
    <row r="35" spans="1:28">
      <c r="A35" s="223">
        <v>28</v>
      </c>
      <c r="B35" s="224" t="s">
        <v>488</v>
      </c>
      <c r="C35" s="223" t="s">
        <v>39</v>
      </c>
      <c r="D35" s="223" t="s">
        <v>11</v>
      </c>
      <c r="E35" s="225">
        <f>COUNT(F35:Q35)-COUNT(#REF!)</f>
        <v>11</v>
      </c>
      <c r="F35" s="160">
        <v>6246335.5599999996</v>
      </c>
      <c r="G35" s="160">
        <v>5257361.5599999996</v>
      </c>
      <c r="H35" s="161">
        <v>5832028.5599999996</v>
      </c>
      <c r="I35" s="162">
        <v>5829166.5599999996</v>
      </c>
      <c r="J35" s="162">
        <v>6000088.5599999996</v>
      </c>
      <c r="K35" s="163">
        <v>6497599.5599999996</v>
      </c>
      <c r="L35" s="162">
        <v>5162107.96</v>
      </c>
      <c r="M35" s="164">
        <v>5300292.96</v>
      </c>
      <c r="N35" s="165">
        <v>6065099.7599999998</v>
      </c>
      <c r="O35" s="165">
        <v>6051610.7599999998</v>
      </c>
      <c r="P35" s="166">
        <v>5890329.7599999998</v>
      </c>
      <c r="Q35" s="167"/>
      <c r="R35" s="226">
        <f t="shared" si="0"/>
        <v>64132021.559999995</v>
      </c>
      <c r="S35" s="168">
        <v>4067100</v>
      </c>
      <c r="T35" s="165">
        <v>200000</v>
      </c>
      <c r="U35" s="169"/>
      <c r="V35" s="169"/>
      <c r="W35" s="169">
        <f t="shared" si="2"/>
        <v>68399121.560000002</v>
      </c>
      <c r="X35" s="167" t="b">
        <f t="shared" si="1"/>
        <v>0</v>
      </c>
      <c r="Y35" s="227">
        <f t="shared" si="3"/>
        <v>0</v>
      </c>
      <c r="Z35"/>
      <c r="AA35"/>
      <c r="AB35"/>
    </row>
    <row r="36" spans="1:28">
      <c r="A36" s="223">
        <v>29</v>
      </c>
      <c r="B36" s="232" t="s">
        <v>489</v>
      </c>
      <c r="C36" s="223" t="s">
        <v>39</v>
      </c>
      <c r="D36" s="223" t="s">
        <v>11</v>
      </c>
      <c r="E36" s="225">
        <f>COUNT(F36:Q36)-COUNT(#REF!)</f>
        <v>11</v>
      </c>
      <c r="F36" s="160">
        <v>4927936.5599999996</v>
      </c>
      <c r="G36" s="160">
        <v>4151059.5599999996</v>
      </c>
      <c r="H36" s="161">
        <v>5814124.5599999996</v>
      </c>
      <c r="I36" s="162">
        <v>4729203.5599999996</v>
      </c>
      <c r="J36" s="162">
        <v>4603867.5599999996</v>
      </c>
      <c r="K36" s="163">
        <v>5828204.5599999996</v>
      </c>
      <c r="L36" s="162">
        <v>4593869.96</v>
      </c>
      <c r="M36" s="164">
        <v>4791549.96</v>
      </c>
      <c r="N36" s="165">
        <v>5856179.96</v>
      </c>
      <c r="O36" s="165">
        <v>5128653.96</v>
      </c>
      <c r="P36" s="166">
        <v>4774859.76</v>
      </c>
      <c r="Q36" s="167"/>
      <c r="R36" s="226">
        <f t="shared" si="0"/>
        <v>55199509.959999993</v>
      </c>
      <c r="S36" s="168">
        <v>4067100</v>
      </c>
      <c r="T36" s="165">
        <v>900000</v>
      </c>
      <c r="U36" s="169"/>
      <c r="V36" s="169"/>
      <c r="W36" s="169">
        <f t="shared" si="2"/>
        <v>60166609.959999993</v>
      </c>
      <c r="X36" s="167" t="b">
        <f t="shared" si="1"/>
        <v>0</v>
      </c>
      <c r="Y36" s="227">
        <f t="shared" si="3"/>
        <v>0</v>
      </c>
      <c r="Z36"/>
      <c r="AA36"/>
      <c r="AB36"/>
    </row>
    <row r="37" spans="1:28">
      <c r="A37" s="223">
        <v>30</v>
      </c>
      <c r="B37" s="224" t="s">
        <v>490</v>
      </c>
      <c r="C37" s="223" t="s">
        <v>39</v>
      </c>
      <c r="D37" s="223" t="s">
        <v>11</v>
      </c>
      <c r="E37" s="225">
        <f>COUNT(F37:Q37)-COUNT(#REF!)</f>
        <v>11</v>
      </c>
      <c r="F37" s="160">
        <v>5000536.5599999996</v>
      </c>
      <c r="G37" s="160">
        <v>4219309.5599999996</v>
      </c>
      <c r="H37" s="161">
        <v>5935620.5599999996</v>
      </c>
      <c r="I37" s="160">
        <v>5108165.5599999996</v>
      </c>
      <c r="J37" s="160">
        <v>4767138.5599999996</v>
      </c>
      <c r="K37" s="160">
        <v>5880292.5599999996</v>
      </c>
      <c r="L37" s="160">
        <v>4637619.96</v>
      </c>
      <c r="M37" s="170">
        <v>4938562.96</v>
      </c>
      <c r="N37" s="160">
        <v>6034020.96</v>
      </c>
      <c r="O37" s="160">
        <v>5196998.96</v>
      </c>
      <c r="P37" s="160">
        <v>5120002.96</v>
      </c>
      <c r="Q37" s="160"/>
      <c r="R37" s="226">
        <f t="shared" ref="R37:R97" si="4">SUM(F37:Q37)</f>
        <v>56838269.159999996</v>
      </c>
      <c r="S37" s="168">
        <v>4067100</v>
      </c>
      <c r="T37" s="165">
        <v>600000</v>
      </c>
      <c r="U37" s="169"/>
      <c r="V37" s="169"/>
      <c r="W37" s="169">
        <f t="shared" si="2"/>
        <v>61505369.159999996</v>
      </c>
      <c r="X37" s="167" t="b">
        <f t="shared" si="1"/>
        <v>0</v>
      </c>
      <c r="Y37" s="227">
        <f t="shared" si="3"/>
        <v>0</v>
      </c>
      <c r="Z37"/>
      <c r="AA37"/>
      <c r="AB37"/>
    </row>
    <row r="38" spans="1:28">
      <c r="A38" s="223">
        <v>31</v>
      </c>
      <c r="B38" s="224" t="s">
        <v>491</v>
      </c>
      <c r="C38" s="223" t="s">
        <v>39</v>
      </c>
      <c r="D38" s="223" t="s">
        <v>11</v>
      </c>
      <c r="E38" s="225">
        <f>COUNT(F38:Q38)-COUNT(#REF!)</f>
        <v>11</v>
      </c>
      <c r="F38" s="160">
        <v>4764888.5599999996</v>
      </c>
      <c r="G38" s="160">
        <v>4166809.5599999996</v>
      </c>
      <c r="H38" s="160">
        <v>5748870.5599999996</v>
      </c>
      <c r="I38" s="160">
        <v>4647432.5599999996</v>
      </c>
      <c r="J38" s="160">
        <v>4560981.5599999996</v>
      </c>
      <c r="K38" s="160">
        <v>6001680.5599999996</v>
      </c>
      <c r="L38" s="160">
        <v>4444179.76</v>
      </c>
      <c r="M38" s="170">
        <v>4751056.76</v>
      </c>
      <c r="N38" s="160">
        <v>5606408.7599999998</v>
      </c>
      <c r="O38" s="160">
        <v>4988920.76</v>
      </c>
      <c r="P38" s="160">
        <v>4614335.76</v>
      </c>
      <c r="Q38" s="160"/>
      <c r="R38" s="226">
        <f t="shared" si="4"/>
        <v>54295565.159999989</v>
      </c>
      <c r="S38" s="168">
        <v>4067100</v>
      </c>
      <c r="T38" s="165">
        <v>200000</v>
      </c>
      <c r="U38" s="169"/>
      <c r="V38" s="169"/>
      <c r="W38" s="169">
        <f t="shared" si="2"/>
        <v>58562665.159999989</v>
      </c>
      <c r="X38" s="167" t="b">
        <f t="shared" si="1"/>
        <v>0</v>
      </c>
      <c r="Y38" s="227">
        <f t="shared" si="3"/>
        <v>0</v>
      </c>
      <c r="Z38"/>
      <c r="AA38"/>
      <c r="AB38"/>
    </row>
    <row r="39" spans="1:28">
      <c r="A39" s="223">
        <v>32</v>
      </c>
      <c r="B39" s="233" t="s">
        <v>492</v>
      </c>
      <c r="C39" s="223" t="s">
        <v>39</v>
      </c>
      <c r="D39" s="223" t="s">
        <v>11</v>
      </c>
      <c r="E39" s="225">
        <f>COUNT(F39:Q39)-COUNT(#REF!)</f>
        <v>11</v>
      </c>
      <c r="F39" s="160">
        <v>4955730.5599999996</v>
      </c>
      <c r="G39" s="160">
        <v>4177309.5599999996</v>
      </c>
      <c r="H39" s="161">
        <v>5814353.5599999996</v>
      </c>
      <c r="I39" s="162">
        <v>4744942.5599999996</v>
      </c>
      <c r="J39" s="162">
        <v>4747092.5599999996</v>
      </c>
      <c r="K39" s="162">
        <v>5856180.5599999996</v>
      </c>
      <c r="L39" s="162">
        <v>4645869.76</v>
      </c>
      <c r="M39" s="164">
        <v>4884801.76</v>
      </c>
      <c r="N39" s="162">
        <v>5703098.7599999998</v>
      </c>
      <c r="O39" s="162">
        <v>5088210.76</v>
      </c>
      <c r="P39" s="162">
        <v>4976302.76</v>
      </c>
      <c r="Q39" s="162"/>
      <c r="R39" s="226">
        <f t="shared" si="4"/>
        <v>55593893.159999989</v>
      </c>
      <c r="S39" s="168">
        <v>4067100</v>
      </c>
      <c r="T39" s="165">
        <v>900000</v>
      </c>
      <c r="U39" s="169"/>
      <c r="V39" s="169"/>
      <c r="W39" s="169">
        <f t="shared" si="2"/>
        <v>60560993.159999989</v>
      </c>
      <c r="X39" s="167" t="b">
        <f t="shared" si="1"/>
        <v>0</v>
      </c>
      <c r="Y39" s="227">
        <f t="shared" si="3"/>
        <v>0</v>
      </c>
      <c r="Z39"/>
      <c r="AA39"/>
      <c r="AB39"/>
    </row>
    <row r="40" spans="1:28">
      <c r="A40" s="223">
        <v>33</v>
      </c>
      <c r="B40" s="234" t="s">
        <v>493</v>
      </c>
      <c r="C40" s="223" t="s">
        <v>39</v>
      </c>
      <c r="D40" s="223" t="s">
        <v>17</v>
      </c>
      <c r="E40" s="225">
        <f>COUNT(F40:Q40)-COUNT(#REF!)</f>
        <v>11</v>
      </c>
      <c r="F40" s="160">
        <v>4197918.5599999996</v>
      </c>
      <c r="G40" s="160">
        <v>3873589.56</v>
      </c>
      <c r="H40" s="161">
        <v>5429201.5599999996</v>
      </c>
      <c r="I40" s="162">
        <v>4282977.5599999996</v>
      </c>
      <c r="J40" s="162">
        <v>4207409.5599999996</v>
      </c>
      <c r="K40" s="163">
        <v>5407267.5599999996</v>
      </c>
      <c r="L40" s="162">
        <v>4205479.96</v>
      </c>
      <c r="M40" s="164">
        <v>4574069.96</v>
      </c>
      <c r="N40" s="165">
        <v>5193572.76</v>
      </c>
      <c r="O40" s="165">
        <v>4612943.76</v>
      </c>
      <c r="P40" s="166">
        <v>4266240.76</v>
      </c>
      <c r="Q40" s="171"/>
      <c r="R40" s="226">
        <f t="shared" si="4"/>
        <v>50250671.559999987</v>
      </c>
      <c r="S40" s="168">
        <v>4011600</v>
      </c>
      <c r="T40" s="165">
        <v>200000</v>
      </c>
      <c r="U40" s="169"/>
      <c r="V40" s="169"/>
      <c r="W40" s="169">
        <f t="shared" si="2"/>
        <v>54462271.559999987</v>
      </c>
      <c r="X40" s="167" t="b">
        <f t="shared" si="1"/>
        <v>0</v>
      </c>
      <c r="Y40" s="227">
        <f t="shared" si="3"/>
        <v>0</v>
      </c>
      <c r="Z40"/>
      <c r="AA40"/>
      <c r="AB40"/>
    </row>
    <row r="41" spans="1:28">
      <c r="A41" s="223">
        <v>34</v>
      </c>
      <c r="B41" s="224" t="s">
        <v>494</v>
      </c>
      <c r="C41" s="223" t="s">
        <v>39</v>
      </c>
      <c r="D41" s="223" t="s">
        <v>11</v>
      </c>
      <c r="E41" s="225">
        <f>COUNT(F41:Q41)-COUNT(#REF!)</f>
        <v>11</v>
      </c>
      <c r="F41" s="160">
        <v>4427735.5599999996</v>
      </c>
      <c r="G41" s="160">
        <v>4107809.5599999996</v>
      </c>
      <c r="H41" s="161">
        <v>5755042.5599999996</v>
      </c>
      <c r="I41" s="162">
        <v>4450186.5599999996</v>
      </c>
      <c r="J41" s="162">
        <v>4583708.5599999996</v>
      </c>
      <c r="K41" s="163">
        <v>5762734.5599999996</v>
      </c>
      <c r="L41" s="162">
        <v>4421100.16</v>
      </c>
      <c r="M41" s="164">
        <v>4600617.16</v>
      </c>
      <c r="N41" s="165">
        <v>5522798.1600000001</v>
      </c>
      <c r="O41" s="165">
        <v>5064385.96</v>
      </c>
      <c r="P41" s="166">
        <v>4443322.96</v>
      </c>
      <c r="Q41" s="172"/>
      <c r="R41" s="226">
        <f t="shared" si="4"/>
        <v>53139441.75999999</v>
      </c>
      <c r="S41" s="168">
        <v>4064100</v>
      </c>
      <c r="T41" s="165">
        <v>200000</v>
      </c>
      <c r="U41" s="169"/>
      <c r="V41" s="169"/>
      <c r="W41" s="169">
        <f t="shared" si="2"/>
        <v>57403541.75999999</v>
      </c>
      <c r="X41" s="167" t="b">
        <f t="shared" si="1"/>
        <v>0</v>
      </c>
      <c r="Y41" s="227">
        <f t="shared" si="3"/>
        <v>0</v>
      </c>
      <c r="Z41"/>
      <c r="AA41"/>
      <c r="AB41"/>
    </row>
    <row r="42" spans="1:28">
      <c r="A42" s="223">
        <v>35</v>
      </c>
      <c r="B42" s="235" t="s">
        <v>495</v>
      </c>
      <c r="C42" s="223" t="s">
        <v>39</v>
      </c>
      <c r="D42" s="223" t="s">
        <v>11</v>
      </c>
      <c r="E42" s="225">
        <f>COUNT(F42:Q42)-COUNT(#REF!)</f>
        <v>11</v>
      </c>
      <c r="F42" s="160">
        <v>4485415.5599999996</v>
      </c>
      <c r="G42" s="160">
        <v>4113559.5599999996</v>
      </c>
      <c r="H42" s="161">
        <v>5391534.5599999996</v>
      </c>
      <c r="I42" s="162">
        <v>4507197.5599999996</v>
      </c>
      <c r="J42" s="162">
        <v>4417438.5599999996</v>
      </c>
      <c r="K42" s="163">
        <v>5680046.5599999996</v>
      </c>
      <c r="L42" s="162">
        <v>3798020.16</v>
      </c>
      <c r="M42" s="164">
        <v>4462128.16</v>
      </c>
      <c r="N42" s="165">
        <v>4719223.16</v>
      </c>
      <c r="O42" s="165">
        <v>4193879.16</v>
      </c>
      <c r="P42" s="166">
        <v>4082652.16</v>
      </c>
      <c r="Q42" s="171"/>
      <c r="R42" s="226">
        <f t="shared" si="4"/>
        <v>49851095.159999982</v>
      </c>
      <c r="S42" s="168">
        <v>4061100</v>
      </c>
      <c r="T42" s="165">
        <v>200000</v>
      </c>
      <c r="U42" s="169"/>
      <c r="V42" s="169"/>
      <c r="W42" s="169">
        <f t="shared" si="2"/>
        <v>54112195.159999982</v>
      </c>
      <c r="X42" s="167" t="b">
        <f t="shared" si="1"/>
        <v>0</v>
      </c>
      <c r="Y42" s="227">
        <f t="shared" si="3"/>
        <v>0</v>
      </c>
      <c r="Z42"/>
      <c r="AA42"/>
      <c r="AB42"/>
    </row>
    <row r="43" spans="1:28">
      <c r="A43" s="223">
        <v>36</v>
      </c>
      <c r="B43" s="236" t="s">
        <v>496</v>
      </c>
      <c r="C43" s="237" t="s">
        <v>39</v>
      </c>
      <c r="D43" s="223" t="s">
        <v>11</v>
      </c>
      <c r="E43" s="225">
        <f>COUNT(F43:Q43)-COUNT(#REF!)</f>
        <v>11</v>
      </c>
      <c r="F43" s="160">
        <v>4345631.5599999996</v>
      </c>
      <c r="G43" s="160">
        <v>4075509.5599999996</v>
      </c>
      <c r="H43" s="161">
        <v>5720003.5599999996</v>
      </c>
      <c r="I43" s="162">
        <v>4548082.5599999996</v>
      </c>
      <c r="J43" s="162">
        <v>4531608.5599999996</v>
      </c>
      <c r="K43" s="163">
        <v>5680677.5599999996</v>
      </c>
      <c r="L43" s="162">
        <v>4400099.5599999996</v>
      </c>
      <c r="M43" s="164">
        <v>4684181.5599999996</v>
      </c>
      <c r="N43" s="165">
        <v>5599335.3600000003</v>
      </c>
      <c r="O43" s="165">
        <v>4481856.3600000003</v>
      </c>
      <c r="P43" s="166">
        <v>4561644.3600000003</v>
      </c>
      <c r="Q43" s="172"/>
      <c r="R43" s="226">
        <f t="shared" si="4"/>
        <v>52628630.559999995</v>
      </c>
      <c r="S43" s="168">
        <v>4032600</v>
      </c>
      <c r="T43" s="165">
        <v>600000</v>
      </c>
      <c r="U43" s="169"/>
      <c r="V43" s="169"/>
      <c r="W43" s="169">
        <f t="shared" si="2"/>
        <v>57261230.559999995</v>
      </c>
      <c r="X43" s="167" t="b">
        <f t="shared" si="1"/>
        <v>0</v>
      </c>
      <c r="Y43" s="227">
        <f t="shared" si="3"/>
        <v>0</v>
      </c>
      <c r="Z43"/>
      <c r="AA43"/>
      <c r="AB43"/>
    </row>
    <row r="44" spans="1:28">
      <c r="A44" s="223">
        <v>37</v>
      </c>
      <c r="B44" s="238" t="s">
        <v>497</v>
      </c>
      <c r="C44" s="237" t="s">
        <v>39</v>
      </c>
      <c r="D44" s="223" t="s">
        <v>11</v>
      </c>
      <c r="E44" s="225">
        <f>COUNT(F44:Q44)-COUNT(#REF!)</f>
        <v>11</v>
      </c>
      <c r="F44" s="160">
        <v>4719613.5599999996</v>
      </c>
      <c r="G44" s="160">
        <v>4141059.5599999996</v>
      </c>
      <c r="H44" s="161">
        <v>5923365.5599999996</v>
      </c>
      <c r="I44" s="162">
        <v>4655139.5599999996</v>
      </c>
      <c r="J44" s="162">
        <v>4646549.5599999996</v>
      </c>
      <c r="K44" s="163">
        <v>5726494.5599999996</v>
      </c>
      <c r="L44" s="162">
        <v>4547869.76</v>
      </c>
      <c r="M44" s="164">
        <v>4820231.76</v>
      </c>
      <c r="N44" s="165">
        <v>5537891.7599999998</v>
      </c>
      <c r="O44" s="165">
        <v>4752539.76</v>
      </c>
      <c r="P44" s="166">
        <v>4487093.76</v>
      </c>
      <c r="Q44" s="172"/>
      <c r="R44" s="226">
        <f t="shared" si="4"/>
        <v>53957849.159999989</v>
      </c>
      <c r="S44" s="168">
        <v>4067100</v>
      </c>
      <c r="T44" s="165">
        <v>200000</v>
      </c>
      <c r="U44" s="169"/>
      <c r="V44" s="169"/>
      <c r="W44" s="169">
        <f t="shared" si="2"/>
        <v>58224949.159999989</v>
      </c>
      <c r="X44" s="167" t="b">
        <f t="shared" si="1"/>
        <v>0</v>
      </c>
      <c r="Y44" s="227">
        <f t="shared" si="3"/>
        <v>0</v>
      </c>
      <c r="Z44"/>
      <c r="AA44"/>
      <c r="AB44"/>
    </row>
    <row r="45" spans="1:28">
      <c r="A45" s="223">
        <v>38</v>
      </c>
      <c r="B45" s="229" t="s">
        <v>498</v>
      </c>
      <c r="C45" s="223" t="s">
        <v>39</v>
      </c>
      <c r="D45" s="223" t="s">
        <v>17</v>
      </c>
      <c r="E45" s="225">
        <f>COUNT(F45:Q45)-COUNT(#REF!)</f>
        <v>11</v>
      </c>
      <c r="F45" s="160">
        <v>4408020.5599999996</v>
      </c>
      <c r="G45" s="160">
        <v>4056481.5599999996</v>
      </c>
      <c r="H45" s="161">
        <v>5715901.5599999996</v>
      </c>
      <c r="I45" s="162">
        <v>5038712.5599999996</v>
      </c>
      <c r="J45" s="162">
        <v>4545726.5599999996</v>
      </c>
      <c r="K45" s="163">
        <v>5654897.5599999996</v>
      </c>
      <c r="L45" s="162">
        <v>4522069.76</v>
      </c>
      <c r="M45" s="164">
        <v>4607857.76</v>
      </c>
      <c r="N45" s="165">
        <v>5347799.76</v>
      </c>
      <c r="O45" s="165">
        <v>4977685.76</v>
      </c>
      <c r="P45" s="166">
        <v>4388031.76</v>
      </c>
      <c r="Q45" s="172"/>
      <c r="R45" s="226">
        <f t="shared" si="4"/>
        <v>53263185.159999989</v>
      </c>
      <c r="S45" s="168">
        <v>3998100</v>
      </c>
      <c r="T45" s="165">
        <v>600000</v>
      </c>
      <c r="U45" s="169"/>
      <c r="V45" s="169"/>
      <c r="W45" s="169">
        <f t="shared" si="2"/>
        <v>57861285.159999989</v>
      </c>
      <c r="X45" s="167" t="b">
        <f t="shared" si="1"/>
        <v>0</v>
      </c>
      <c r="Y45" s="227">
        <f t="shared" si="3"/>
        <v>0</v>
      </c>
      <c r="Z45"/>
      <c r="AA45"/>
      <c r="AB45"/>
    </row>
    <row r="46" spans="1:28">
      <c r="A46" s="223">
        <v>39</v>
      </c>
      <c r="B46" s="224" t="s">
        <v>499</v>
      </c>
      <c r="C46" s="223" t="s">
        <v>39</v>
      </c>
      <c r="D46" s="223" t="s">
        <v>17</v>
      </c>
      <c r="E46" s="225">
        <f>COUNT(F46:Q46)-COUNT(#REF!)</f>
        <v>11</v>
      </c>
      <c r="F46" s="160">
        <v>4902105.5599999996</v>
      </c>
      <c r="G46" s="160">
        <v>4174168.5599999996</v>
      </c>
      <c r="H46" s="161">
        <v>5860625.5599999996</v>
      </c>
      <c r="I46" s="162">
        <v>4809415.5599999996</v>
      </c>
      <c r="J46" s="162">
        <v>4639698.5599999996</v>
      </c>
      <c r="K46" s="163">
        <v>5822521.5599999996</v>
      </c>
      <c r="L46" s="162">
        <v>4576769.96</v>
      </c>
      <c r="M46" s="164">
        <v>4776060.96</v>
      </c>
      <c r="N46" s="165">
        <v>5689884.96</v>
      </c>
      <c r="O46" s="165">
        <v>5097417.96</v>
      </c>
      <c r="P46" s="166">
        <v>4582802.96</v>
      </c>
      <c r="Q46" s="172"/>
      <c r="R46" s="226">
        <f t="shared" si="4"/>
        <v>54931472.159999996</v>
      </c>
      <c r="S46" s="168">
        <v>4011600</v>
      </c>
      <c r="T46" s="165">
        <v>600000</v>
      </c>
      <c r="U46" s="169"/>
      <c r="V46" s="169"/>
      <c r="W46" s="169">
        <f t="shared" si="2"/>
        <v>59543072.159999996</v>
      </c>
      <c r="X46" s="167" t="b">
        <f t="shared" si="1"/>
        <v>0</v>
      </c>
      <c r="Y46" s="227">
        <f t="shared" si="3"/>
        <v>0</v>
      </c>
      <c r="Z46"/>
      <c r="AA46"/>
      <c r="AB46"/>
    </row>
    <row r="47" spans="1:28">
      <c r="A47" s="223">
        <v>40</v>
      </c>
      <c r="B47" s="239" t="s">
        <v>500</v>
      </c>
      <c r="C47" s="223" t="s">
        <v>39</v>
      </c>
      <c r="D47" s="223" t="s">
        <v>9</v>
      </c>
      <c r="E47" s="225">
        <f>COUNT(F47:Q47)-COUNT(#REF!)</f>
        <v>11</v>
      </c>
      <c r="F47" s="160">
        <v>4675737.5599999996</v>
      </c>
      <c r="G47" s="160">
        <v>4161859.5599999996</v>
      </c>
      <c r="H47" s="161">
        <v>6072647.5599999996</v>
      </c>
      <c r="I47" s="162">
        <v>4896220.5599999996</v>
      </c>
      <c r="J47" s="162">
        <v>4594808.5599999996</v>
      </c>
      <c r="K47" s="163">
        <v>6636876.5599999996</v>
      </c>
      <c r="L47" s="162">
        <v>4631220.16</v>
      </c>
      <c r="M47" s="164">
        <v>4754580.16</v>
      </c>
      <c r="N47" s="165">
        <v>5920228.1600000001</v>
      </c>
      <c r="O47" s="165">
        <v>4999720.16</v>
      </c>
      <c r="P47" s="166">
        <v>4693587.16</v>
      </c>
      <c r="Q47" s="176"/>
      <c r="R47" s="226">
        <f t="shared" si="4"/>
        <v>56037486.159999982</v>
      </c>
      <c r="S47" s="168">
        <v>4034100</v>
      </c>
      <c r="T47" s="165">
        <v>200000</v>
      </c>
      <c r="U47" s="169"/>
      <c r="V47" s="169"/>
      <c r="W47" s="169">
        <f t="shared" si="2"/>
        <v>60271586.159999982</v>
      </c>
      <c r="X47" s="167" t="b">
        <f t="shared" si="1"/>
        <v>0</v>
      </c>
      <c r="Y47" s="227">
        <f t="shared" si="3"/>
        <v>0</v>
      </c>
      <c r="Z47"/>
      <c r="AA47"/>
      <c r="AB47"/>
    </row>
    <row r="48" spans="1:28">
      <c r="A48" s="223">
        <v>41</v>
      </c>
      <c r="B48" s="224" t="s">
        <v>501</v>
      </c>
      <c r="C48" s="223" t="s">
        <v>39</v>
      </c>
      <c r="D48" s="223" t="s">
        <v>17</v>
      </c>
      <c r="E48" s="225">
        <f>COUNT(F48:Q48)-COUNT(#REF!)</f>
        <v>11</v>
      </c>
      <c r="F48" s="160">
        <v>4687758.5599999996</v>
      </c>
      <c r="G48" s="160">
        <v>3993397.56</v>
      </c>
      <c r="H48" s="161">
        <v>5443211.5599999996</v>
      </c>
      <c r="I48" s="162">
        <v>4757723.5599999996</v>
      </c>
      <c r="J48" s="162">
        <v>4561675.5599999996</v>
      </c>
      <c r="K48" s="163">
        <v>5956807.5599999996</v>
      </c>
      <c r="L48" s="162">
        <v>4370280.76</v>
      </c>
      <c r="M48" s="164">
        <v>4576473.76</v>
      </c>
      <c r="N48" s="162">
        <v>5201446.76</v>
      </c>
      <c r="O48" s="162">
        <v>4712090.76</v>
      </c>
      <c r="P48" s="162">
        <v>4537767.76</v>
      </c>
      <c r="Q48" s="162"/>
      <c r="R48" s="226">
        <f t="shared" si="4"/>
        <v>52798634.159999989</v>
      </c>
      <c r="S48" s="168">
        <v>4011600</v>
      </c>
      <c r="T48" s="165">
        <v>200000</v>
      </c>
      <c r="U48" s="169"/>
      <c r="V48" s="169"/>
      <c r="W48" s="169">
        <f t="shared" si="2"/>
        <v>57010234.159999989</v>
      </c>
      <c r="X48" s="167" t="b">
        <f t="shared" si="1"/>
        <v>0</v>
      </c>
      <c r="Y48" s="227">
        <f t="shared" si="3"/>
        <v>0</v>
      </c>
      <c r="Z48"/>
      <c r="AA48"/>
      <c r="AB48"/>
    </row>
    <row r="49" spans="1:51">
      <c r="A49" s="223">
        <v>42</v>
      </c>
      <c r="B49" s="229" t="s">
        <v>502</v>
      </c>
      <c r="C49" s="223" t="s">
        <v>39</v>
      </c>
      <c r="D49" s="223" t="s">
        <v>11</v>
      </c>
      <c r="E49" s="225">
        <f>COUNT(F49:Q49)-COUNT(#REF!)</f>
        <v>11</v>
      </c>
      <c r="F49" s="160">
        <v>4801680.5599999996</v>
      </c>
      <c r="G49" s="160">
        <v>4098559.5599999996</v>
      </c>
      <c r="H49" s="161">
        <v>5623919.5599999996</v>
      </c>
      <c r="I49" s="162">
        <v>4596171.5599999996</v>
      </c>
      <c r="J49" s="162">
        <v>4566617.5599999996</v>
      </c>
      <c r="K49" s="163">
        <v>6014612.5599999996</v>
      </c>
      <c r="L49" s="162">
        <v>4575869.76</v>
      </c>
      <c r="M49" s="164">
        <v>4650432.76</v>
      </c>
      <c r="N49" s="165">
        <v>5525308.7599999998</v>
      </c>
      <c r="O49" s="165">
        <v>4872636.76</v>
      </c>
      <c r="P49" s="166">
        <v>4614918.76</v>
      </c>
      <c r="Q49" s="167"/>
      <c r="R49" s="226">
        <f t="shared" si="4"/>
        <v>53940728.159999989</v>
      </c>
      <c r="S49" s="168">
        <v>4067100</v>
      </c>
      <c r="T49" s="165">
        <v>200000</v>
      </c>
      <c r="U49" s="169"/>
      <c r="V49" s="169"/>
      <c r="W49" s="169">
        <f t="shared" si="2"/>
        <v>58207828.159999989</v>
      </c>
      <c r="X49" s="167" t="b">
        <f t="shared" si="1"/>
        <v>0</v>
      </c>
      <c r="Y49" s="227">
        <f t="shared" si="3"/>
        <v>0</v>
      </c>
      <c r="Z49"/>
      <c r="AA49"/>
      <c r="AB49"/>
    </row>
    <row r="50" spans="1:51">
      <c r="A50" s="223">
        <v>43</v>
      </c>
      <c r="B50" s="224" t="s">
        <v>503</v>
      </c>
      <c r="C50" s="223" t="s">
        <v>39</v>
      </c>
      <c r="D50" s="223" t="s">
        <v>7</v>
      </c>
      <c r="E50" s="225">
        <f>COUNT(F50:Q50)-COUNT(#REF!)</f>
        <v>11</v>
      </c>
      <c r="F50" s="160">
        <v>4328583.5599999996</v>
      </c>
      <c r="G50" s="160">
        <v>3850936.56</v>
      </c>
      <c r="H50" s="161">
        <v>5509563.5599999996</v>
      </c>
      <c r="I50" s="162">
        <v>4585352.5599999996</v>
      </c>
      <c r="J50" s="162">
        <v>4339469.5599999996</v>
      </c>
      <c r="K50" s="163">
        <v>5696096.5599999996</v>
      </c>
      <c r="L50" s="162">
        <v>4531909.5599999996</v>
      </c>
      <c r="M50" s="164">
        <v>4596069.5599999996</v>
      </c>
      <c r="N50" s="165">
        <v>5378841.5599999996</v>
      </c>
      <c r="O50" s="165">
        <v>4782947.5599999996</v>
      </c>
      <c r="P50" s="166">
        <v>4492871.5599999996</v>
      </c>
      <c r="Q50" s="167"/>
      <c r="R50" s="226">
        <f t="shared" si="4"/>
        <v>52092642.160000004</v>
      </c>
      <c r="S50" s="168">
        <v>3954100</v>
      </c>
      <c r="T50" s="165">
        <v>200000</v>
      </c>
      <c r="U50" s="169"/>
      <c r="V50" s="169"/>
      <c r="W50" s="169">
        <f t="shared" si="2"/>
        <v>56246742.160000004</v>
      </c>
      <c r="X50" s="167" t="b">
        <f t="shared" si="1"/>
        <v>0</v>
      </c>
      <c r="Y50" s="227">
        <f t="shared" si="3"/>
        <v>0</v>
      </c>
      <c r="Z50"/>
      <c r="AA50"/>
      <c r="AB50"/>
    </row>
    <row r="51" spans="1:51">
      <c r="A51" s="223">
        <v>44</v>
      </c>
      <c r="B51" s="224" t="s">
        <v>504</v>
      </c>
      <c r="C51" s="223" t="s">
        <v>39</v>
      </c>
      <c r="D51" s="223" t="s">
        <v>9</v>
      </c>
      <c r="E51" s="225">
        <f>COUNT(F51:Q51)-COUNT(#REF!)</f>
        <v>11</v>
      </c>
      <c r="F51" s="160">
        <v>5547993.5599999996</v>
      </c>
      <c r="G51" s="160">
        <v>4372522.5599999996</v>
      </c>
      <c r="H51" s="161">
        <v>6112956.5599999996</v>
      </c>
      <c r="I51" s="162">
        <v>5223051.5599999996</v>
      </c>
      <c r="J51" s="162">
        <v>5325385.5599999996</v>
      </c>
      <c r="K51" s="163">
        <v>6097856.5599999996</v>
      </c>
      <c r="L51" s="162">
        <v>4509444.5599999996</v>
      </c>
      <c r="M51" s="164">
        <v>4116466.5599999996</v>
      </c>
      <c r="N51" s="165">
        <v>5655580.5599999996</v>
      </c>
      <c r="O51" s="165">
        <v>4893313.5599999996</v>
      </c>
      <c r="P51" s="166">
        <v>4593030.5599999996</v>
      </c>
      <c r="Q51" s="167"/>
      <c r="R51" s="226">
        <f t="shared" si="4"/>
        <v>56447602.160000004</v>
      </c>
      <c r="S51" s="168">
        <v>4021100</v>
      </c>
      <c r="T51" s="165">
        <v>200000</v>
      </c>
      <c r="U51" s="169"/>
      <c r="V51" s="169"/>
      <c r="W51" s="169">
        <f t="shared" si="2"/>
        <v>60668702.160000004</v>
      </c>
      <c r="X51" s="167" t="b">
        <f t="shared" si="1"/>
        <v>0</v>
      </c>
      <c r="Y51" s="227">
        <f t="shared" si="3"/>
        <v>0</v>
      </c>
      <c r="Z51"/>
      <c r="AA51"/>
      <c r="AB51"/>
    </row>
    <row r="52" spans="1:51">
      <c r="A52" s="223">
        <v>45</v>
      </c>
      <c r="B52" s="239" t="s">
        <v>505</v>
      </c>
      <c r="C52" s="223" t="s">
        <v>39</v>
      </c>
      <c r="D52" s="223" t="s">
        <v>17</v>
      </c>
      <c r="E52" s="225">
        <f>COUNT(F52:Q52)-COUNT(#REF!)</f>
        <v>11</v>
      </c>
      <c r="F52" s="160">
        <v>4700856.5599999996</v>
      </c>
      <c r="G52" s="160">
        <v>4070009.5599999996</v>
      </c>
      <c r="H52" s="161">
        <v>5380725.5599999996</v>
      </c>
      <c r="I52" s="162">
        <v>4657186.5599999996</v>
      </c>
      <c r="J52" s="162">
        <v>4625608.5599999996</v>
      </c>
      <c r="K52" s="163">
        <v>5691627.5599999996</v>
      </c>
      <c r="L52" s="162">
        <v>4534769.96</v>
      </c>
      <c r="M52" s="164">
        <v>4718921.96</v>
      </c>
      <c r="N52" s="165">
        <v>5162031.76</v>
      </c>
      <c r="O52" s="165">
        <v>4840729.76</v>
      </c>
      <c r="P52" s="166">
        <v>4277913.76</v>
      </c>
      <c r="Q52" s="167"/>
      <c r="R52" s="226">
        <f t="shared" si="4"/>
        <v>52660381.559999987</v>
      </c>
      <c r="S52" s="168">
        <v>4011600</v>
      </c>
      <c r="T52" s="165">
        <v>200000</v>
      </c>
      <c r="U52" s="169"/>
      <c r="V52" s="169"/>
      <c r="W52" s="169">
        <f t="shared" si="2"/>
        <v>56871981.559999987</v>
      </c>
      <c r="X52" s="167" t="b">
        <f t="shared" si="1"/>
        <v>0</v>
      </c>
      <c r="Y52" s="227">
        <f t="shared" si="3"/>
        <v>0</v>
      </c>
      <c r="Z52"/>
      <c r="AA52"/>
      <c r="AB52"/>
    </row>
    <row r="53" spans="1:51">
      <c r="A53" s="223">
        <v>46</v>
      </c>
      <c r="B53" s="239" t="s">
        <v>506</v>
      </c>
      <c r="C53" s="223" t="s">
        <v>39</v>
      </c>
      <c r="D53" s="223" t="s">
        <v>7</v>
      </c>
      <c r="E53" s="225">
        <f>COUNT(F53:Q53)-COUNT(#REF!)</f>
        <v>11</v>
      </c>
      <c r="F53" s="160">
        <v>4935316.5599999996</v>
      </c>
      <c r="G53" s="160">
        <v>4101159.5599999996</v>
      </c>
      <c r="H53" s="161">
        <v>5662370.5599999996</v>
      </c>
      <c r="I53" s="162">
        <v>4609634.5599999996</v>
      </c>
      <c r="J53" s="162">
        <v>4603451.5599999996</v>
      </c>
      <c r="K53" s="163">
        <v>5678789.5599999996</v>
      </c>
      <c r="L53" s="162">
        <v>4499070.16</v>
      </c>
      <c r="M53" s="164">
        <v>4683980.16</v>
      </c>
      <c r="N53" s="165">
        <v>5591135.1600000001</v>
      </c>
      <c r="O53" s="165">
        <v>5198517.16</v>
      </c>
      <c r="P53" s="166">
        <v>4655519.16</v>
      </c>
      <c r="Q53" s="167"/>
      <c r="R53" s="226">
        <f t="shared" si="4"/>
        <v>54218944.159999982</v>
      </c>
      <c r="S53" s="168">
        <v>3965100</v>
      </c>
      <c r="T53" s="165">
        <v>600000</v>
      </c>
      <c r="U53" s="169"/>
      <c r="V53" s="169"/>
      <c r="W53" s="169">
        <f t="shared" si="2"/>
        <v>58784044.159999982</v>
      </c>
      <c r="X53" s="167" t="b">
        <f t="shared" si="1"/>
        <v>0</v>
      </c>
      <c r="Y53" s="227">
        <f t="shared" si="3"/>
        <v>0</v>
      </c>
      <c r="Z53"/>
      <c r="AA53"/>
      <c r="AB53"/>
    </row>
    <row r="54" spans="1:51">
      <c r="A54" s="223">
        <v>47</v>
      </c>
      <c r="B54" s="224" t="s">
        <v>507</v>
      </c>
      <c r="C54" s="223" t="s">
        <v>39</v>
      </c>
      <c r="D54" s="223" t="s">
        <v>9</v>
      </c>
      <c r="E54" s="225">
        <f>COUNT(F54:Q54)-COUNT(#REF!)</f>
        <v>11</v>
      </c>
      <c r="F54" s="160">
        <v>4435273.5599999996</v>
      </c>
      <c r="G54" s="160">
        <v>4091859.5599999996</v>
      </c>
      <c r="H54" s="161">
        <v>5535270.5599999996</v>
      </c>
      <c r="I54" s="162">
        <v>4553659.5599999996</v>
      </c>
      <c r="J54" s="162">
        <v>4477358.5599999996</v>
      </c>
      <c r="K54" s="163">
        <v>5691645.5599999996</v>
      </c>
      <c r="L54" s="162">
        <v>4073510.16</v>
      </c>
      <c r="M54" s="164">
        <v>4214136.16</v>
      </c>
      <c r="N54" s="165">
        <v>5026481.16</v>
      </c>
      <c r="O54" s="165">
        <v>4649222.16</v>
      </c>
      <c r="P54" s="166">
        <v>4226623.16</v>
      </c>
      <c r="Q54" s="167"/>
      <c r="R54" s="226">
        <f t="shared" si="4"/>
        <v>50975040.159999982</v>
      </c>
      <c r="S54" s="168">
        <v>4037100</v>
      </c>
      <c r="T54" s="165">
        <v>200000</v>
      </c>
      <c r="U54" s="169"/>
      <c r="V54" s="169"/>
      <c r="W54" s="169">
        <f t="shared" si="2"/>
        <v>55212140.159999982</v>
      </c>
      <c r="X54" s="167" t="b">
        <f t="shared" si="1"/>
        <v>0</v>
      </c>
      <c r="Y54" s="227">
        <f t="shared" si="3"/>
        <v>0</v>
      </c>
      <c r="Z54"/>
      <c r="AA54"/>
      <c r="AB54"/>
    </row>
    <row r="55" spans="1:51">
      <c r="A55" s="223">
        <v>48</v>
      </c>
      <c r="B55" s="224" t="s">
        <v>508</v>
      </c>
      <c r="C55" s="223" t="s">
        <v>39</v>
      </c>
      <c r="D55" s="223" t="s">
        <v>11</v>
      </c>
      <c r="E55" s="225">
        <f>COUNT(F55:Q55)-COUNT(#REF!)</f>
        <v>11</v>
      </c>
      <c r="F55" s="160">
        <v>4610902.5599999996</v>
      </c>
      <c r="G55" s="160">
        <v>4123059.5599999996</v>
      </c>
      <c r="H55" s="161">
        <v>5732352.5599999996</v>
      </c>
      <c r="I55" s="162">
        <v>4503930.5599999996</v>
      </c>
      <c r="J55" s="162">
        <v>4573776.5599999996</v>
      </c>
      <c r="K55" s="163">
        <v>5970452.5599999996</v>
      </c>
      <c r="L55" s="162">
        <v>4567619.96</v>
      </c>
      <c r="M55" s="164">
        <v>4741395.76</v>
      </c>
      <c r="N55" s="162">
        <v>5467377.7599999998</v>
      </c>
      <c r="O55" s="162">
        <v>4922889.76</v>
      </c>
      <c r="P55" s="162">
        <v>4509203.76</v>
      </c>
      <c r="Q55" s="162"/>
      <c r="R55" s="226">
        <f t="shared" si="4"/>
        <v>53722961.359999985</v>
      </c>
      <c r="S55" s="168">
        <v>4067100</v>
      </c>
      <c r="T55" s="165">
        <v>200000</v>
      </c>
      <c r="U55" s="169"/>
      <c r="V55" s="169"/>
      <c r="W55" s="169">
        <f t="shared" si="2"/>
        <v>57990061.359999985</v>
      </c>
      <c r="X55" s="167" t="b">
        <f t="shared" si="1"/>
        <v>0</v>
      </c>
      <c r="Y55" s="227">
        <f t="shared" si="3"/>
        <v>0</v>
      </c>
      <c r="Z55"/>
      <c r="AA55"/>
      <c r="AB55"/>
    </row>
    <row r="56" spans="1:51">
      <c r="A56" s="223">
        <v>49</v>
      </c>
      <c r="B56" s="224" t="s">
        <v>510</v>
      </c>
      <c r="C56" s="223" t="s">
        <v>39</v>
      </c>
      <c r="D56" s="223" t="s">
        <v>11</v>
      </c>
      <c r="E56" s="225">
        <f>COUNT(F56:Q56)-COUNT(#REF!)</f>
        <v>11</v>
      </c>
      <c r="F56" s="160">
        <v>4739255.5599999996</v>
      </c>
      <c r="G56" s="160">
        <v>4124309.5599999996</v>
      </c>
      <c r="H56" s="161">
        <v>6029102.5599999996</v>
      </c>
      <c r="I56" s="162">
        <v>4592617.5599999996</v>
      </c>
      <c r="J56" s="162">
        <v>4669185.5599999996</v>
      </c>
      <c r="K56" s="163">
        <v>6206162.5599999996</v>
      </c>
      <c r="L56" s="162">
        <v>4566119.5599999996</v>
      </c>
      <c r="M56" s="164">
        <v>4699588.5599999996</v>
      </c>
      <c r="N56" s="165">
        <v>6620702.5599999996</v>
      </c>
      <c r="O56" s="165">
        <v>5513349.5599999996</v>
      </c>
      <c r="P56" s="166">
        <v>4703383.5599999996</v>
      </c>
      <c r="Q56" s="167"/>
      <c r="R56" s="226">
        <f t="shared" si="4"/>
        <v>56463777.160000004</v>
      </c>
      <c r="S56" s="168">
        <v>4045600</v>
      </c>
      <c r="T56" s="165">
        <v>200000</v>
      </c>
      <c r="U56" s="169"/>
      <c r="V56" s="169"/>
      <c r="W56" s="169">
        <f t="shared" si="2"/>
        <v>60709377.160000004</v>
      </c>
      <c r="X56" s="167" t="b">
        <f t="shared" si="1"/>
        <v>0</v>
      </c>
      <c r="Y56" s="227">
        <f t="shared" si="3"/>
        <v>0</v>
      </c>
      <c r="Z56"/>
      <c r="AA56"/>
      <c r="AB56"/>
    </row>
    <row r="57" spans="1:51">
      <c r="A57" s="223">
        <v>50</v>
      </c>
      <c r="B57" s="236" t="s">
        <v>512</v>
      </c>
      <c r="C57" s="237" t="s">
        <v>39</v>
      </c>
      <c r="D57" s="223" t="s">
        <v>9</v>
      </c>
      <c r="E57" s="225">
        <f>COUNT(F57:Q57)-COUNT(#REF!)</f>
        <v>11</v>
      </c>
      <c r="F57" s="160">
        <v>4634835.5599999996</v>
      </c>
      <c r="G57" s="160">
        <v>4106759.5599999996</v>
      </c>
      <c r="H57" s="161">
        <v>5607136.5599999996</v>
      </c>
      <c r="I57" s="162">
        <v>4562378.5599999996</v>
      </c>
      <c r="J57" s="162">
        <v>4509196.5599999996</v>
      </c>
      <c r="K57" s="163">
        <v>5766531.5599999996</v>
      </c>
      <c r="L57" s="162">
        <v>4405602.5599999996</v>
      </c>
      <c r="M57" s="164">
        <v>4642388.5599999996</v>
      </c>
      <c r="N57" s="165">
        <v>5275249.5599999996</v>
      </c>
      <c r="O57" s="165">
        <v>4681627.5599999996</v>
      </c>
      <c r="P57" s="166">
        <v>4598301.5599999996</v>
      </c>
      <c r="Q57" s="167"/>
      <c r="R57" s="226">
        <f t="shared" si="4"/>
        <v>52790008.160000004</v>
      </c>
      <c r="S57" s="168">
        <v>2668400</v>
      </c>
      <c r="T57" s="165">
        <v>250000</v>
      </c>
      <c r="U57" s="169"/>
      <c r="V57" s="169"/>
      <c r="W57" s="169">
        <f t="shared" si="2"/>
        <v>55708408.160000004</v>
      </c>
      <c r="X57" s="167" t="b">
        <f t="shared" si="1"/>
        <v>0</v>
      </c>
      <c r="Y57" s="227">
        <f t="shared" si="3"/>
        <v>0</v>
      </c>
      <c r="Z57"/>
      <c r="AA57"/>
      <c r="AB57"/>
      <c r="AE57" s="173"/>
      <c r="AF57" s="173"/>
      <c r="AG57" s="173"/>
      <c r="AH57" s="173"/>
      <c r="AI57" s="173"/>
      <c r="AJ57" s="173"/>
      <c r="AK57" s="173"/>
      <c r="AL57" s="173"/>
      <c r="AM57" s="173"/>
      <c r="AN57" s="173"/>
      <c r="AO57" s="173"/>
      <c r="AP57" s="173"/>
      <c r="AQ57" s="173"/>
      <c r="AR57" s="173"/>
      <c r="AS57" s="173"/>
      <c r="AT57" s="173"/>
      <c r="AU57" s="173"/>
      <c r="AV57" s="173"/>
      <c r="AW57" s="173"/>
      <c r="AX57" s="173"/>
      <c r="AY57" s="173"/>
    </row>
    <row r="58" spans="1:51" s="173" customFormat="1">
      <c r="A58" s="223">
        <v>51</v>
      </c>
      <c r="B58" s="358" t="s">
        <v>513</v>
      </c>
      <c r="C58" s="223" t="s">
        <v>39</v>
      </c>
      <c r="D58" s="223" t="s">
        <v>17</v>
      </c>
      <c r="E58" s="225">
        <f>COUNT(F58:Q58)-COUNT(#REF!)</f>
        <v>11</v>
      </c>
      <c r="F58" s="160">
        <v>5634423.5599999996</v>
      </c>
      <c r="G58" s="160">
        <v>4704488.5599999996</v>
      </c>
      <c r="H58" s="161">
        <v>6353519.5599999996</v>
      </c>
      <c r="I58" s="162">
        <v>6178037.5599999996</v>
      </c>
      <c r="J58" s="162">
        <v>5788733.5599999996</v>
      </c>
      <c r="K58" s="163">
        <v>6509910.5599999996</v>
      </c>
      <c r="L58" s="162">
        <v>5005726.5599999996</v>
      </c>
      <c r="M58" s="174">
        <v>5919414.5599999996</v>
      </c>
      <c r="N58" s="165">
        <v>6771452.5599999996</v>
      </c>
      <c r="O58" s="165">
        <v>7152896.5599999996</v>
      </c>
      <c r="P58" s="166">
        <v>6581078.5599999996</v>
      </c>
      <c r="Q58" s="175"/>
      <c r="R58" s="226">
        <f t="shared" si="4"/>
        <v>66599682.160000011</v>
      </c>
      <c r="S58" s="168">
        <v>1993800</v>
      </c>
      <c r="T58" s="165">
        <v>50000</v>
      </c>
      <c r="U58" s="169"/>
      <c r="V58" s="169"/>
      <c r="W58" s="169">
        <f t="shared" si="2"/>
        <v>68643482.160000011</v>
      </c>
      <c r="X58" s="167" t="b">
        <f t="shared" si="1"/>
        <v>0</v>
      </c>
      <c r="Y58" s="227">
        <f t="shared" si="3"/>
        <v>0</v>
      </c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</row>
    <row r="59" spans="1:51" s="173" customFormat="1">
      <c r="A59" s="223">
        <v>52</v>
      </c>
      <c r="B59" s="358" t="s">
        <v>514</v>
      </c>
      <c r="C59" s="223" t="s">
        <v>39</v>
      </c>
      <c r="D59" s="223" t="s">
        <v>11</v>
      </c>
      <c r="E59" s="225">
        <f>COUNT(F59:Q59)-COUNT(#REF!)</f>
        <v>11</v>
      </c>
      <c r="F59" s="160">
        <v>4511852.5599999996</v>
      </c>
      <c r="G59" s="160">
        <v>4239340.5599999996</v>
      </c>
      <c r="H59" s="161">
        <v>5838267.5599999996</v>
      </c>
      <c r="I59" s="162">
        <v>5719423.5599999996</v>
      </c>
      <c r="J59" s="162">
        <v>4757479.5599999996</v>
      </c>
      <c r="K59" s="163">
        <v>6109176.5599999996</v>
      </c>
      <c r="L59" s="162">
        <v>4709869.5599999996</v>
      </c>
      <c r="M59" s="164">
        <v>4835778.5599999996</v>
      </c>
      <c r="N59" s="165">
        <v>5735658.5599999996</v>
      </c>
      <c r="O59" s="165">
        <v>4783002.5599999996</v>
      </c>
      <c r="P59" s="166">
        <v>4675318.5599999996</v>
      </c>
      <c r="Q59" s="166"/>
      <c r="R59" s="226">
        <f t="shared" si="4"/>
        <v>55915168.160000004</v>
      </c>
      <c r="S59" s="168">
        <v>1010775</v>
      </c>
      <c r="T59" s="165"/>
      <c r="U59" s="169"/>
      <c r="V59" s="169"/>
      <c r="W59" s="169">
        <f t="shared" si="2"/>
        <v>56925943.160000004</v>
      </c>
      <c r="X59" s="167" t="b">
        <f t="shared" si="1"/>
        <v>0</v>
      </c>
      <c r="Y59" s="227">
        <f t="shared" si="3"/>
        <v>0</v>
      </c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</row>
    <row r="60" spans="1:51">
      <c r="A60" s="223">
        <v>53</v>
      </c>
      <c r="B60" s="358" t="s">
        <v>515</v>
      </c>
      <c r="C60" s="223" t="s">
        <v>39</v>
      </c>
      <c r="D60" s="223" t="s">
        <v>7</v>
      </c>
      <c r="E60" s="225">
        <f>COUNT(F60:Q60)-COUNT(#REF!)</f>
        <v>7</v>
      </c>
      <c r="F60" s="160">
        <v>4584064.5599999996</v>
      </c>
      <c r="G60" s="160">
        <v>4039909.5599999996</v>
      </c>
      <c r="H60" s="161">
        <v>5426262.5599999996</v>
      </c>
      <c r="I60" s="162">
        <v>4586996.5599999996</v>
      </c>
      <c r="J60" s="162">
        <v>4379386.5599999996</v>
      </c>
      <c r="K60" s="163">
        <v>4615368.5599999996</v>
      </c>
      <c r="L60" s="162">
        <v>1597941.56</v>
      </c>
      <c r="M60" s="367"/>
      <c r="N60" s="368"/>
      <c r="O60" s="368"/>
      <c r="P60" s="369"/>
      <c r="Q60" s="370"/>
      <c r="R60" s="226">
        <f t="shared" si="4"/>
        <v>29229929.919999994</v>
      </c>
      <c r="S60" s="168">
        <v>996900</v>
      </c>
      <c r="T60" s="165"/>
      <c r="U60" s="169"/>
      <c r="V60" s="169"/>
      <c r="W60" s="169">
        <f t="shared" si="2"/>
        <v>30226829.919999994</v>
      </c>
      <c r="X60" s="167" t="b">
        <f t="shared" si="1"/>
        <v>0</v>
      </c>
      <c r="Y60" s="227">
        <f t="shared" si="3"/>
        <v>0</v>
      </c>
      <c r="Z60"/>
      <c r="AA60"/>
      <c r="AB60"/>
    </row>
    <row r="61" spans="1:51">
      <c r="A61" s="223">
        <v>54</v>
      </c>
      <c r="B61" s="239" t="s">
        <v>516</v>
      </c>
      <c r="C61" s="223" t="s">
        <v>39</v>
      </c>
      <c r="D61" s="223" t="s">
        <v>11</v>
      </c>
      <c r="E61" s="225">
        <f>COUNT(F61:Q61)-COUNT(#REF!)</f>
        <v>11</v>
      </c>
      <c r="F61" s="160">
        <v>4295719.5599999996</v>
      </c>
      <c r="G61" s="160">
        <v>3908059.56</v>
      </c>
      <c r="H61" s="161">
        <v>4308869.5599999996</v>
      </c>
      <c r="I61" s="162">
        <v>4167099.5599999996</v>
      </c>
      <c r="J61" s="162">
        <v>4301869.5599999996</v>
      </c>
      <c r="K61" s="163">
        <v>4170599.5599999996</v>
      </c>
      <c r="L61" s="162">
        <v>4326869.76</v>
      </c>
      <c r="M61" s="202">
        <v>4319869.76</v>
      </c>
      <c r="N61" s="165">
        <v>4185099.76</v>
      </c>
      <c r="O61" s="165">
        <v>4326869.76</v>
      </c>
      <c r="P61" s="166">
        <v>4178099.76</v>
      </c>
      <c r="Q61" s="176"/>
      <c r="R61" s="226">
        <f t="shared" si="4"/>
        <v>46489026.159999989</v>
      </c>
      <c r="S61" s="168">
        <v>4090100</v>
      </c>
      <c r="T61" s="165">
        <v>600000</v>
      </c>
      <c r="U61" s="169"/>
      <c r="V61" s="169"/>
      <c r="W61" s="169">
        <f t="shared" si="2"/>
        <v>51179126.159999989</v>
      </c>
      <c r="X61" s="167" t="b">
        <f t="shared" si="1"/>
        <v>0</v>
      </c>
      <c r="Y61" s="227">
        <f t="shared" si="3"/>
        <v>0</v>
      </c>
      <c r="Z61"/>
      <c r="AA61"/>
      <c r="AB61"/>
    </row>
    <row r="62" spans="1:51">
      <c r="A62" s="223">
        <v>55</v>
      </c>
      <c r="B62" s="233" t="s">
        <v>517</v>
      </c>
      <c r="C62" s="223" t="s">
        <v>39</v>
      </c>
      <c r="D62" s="223" t="s">
        <v>11</v>
      </c>
      <c r="E62" s="225">
        <f>COUNT(F62:Q62)-COUNT(#REF!)</f>
        <v>11</v>
      </c>
      <c r="F62" s="160">
        <v>4351569.5599999996</v>
      </c>
      <c r="G62" s="160">
        <v>4093309.5599999996</v>
      </c>
      <c r="H62" s="161">
        <v>5461419.5599999996</v>
      </c>
      <c r="I62" s="162">
        <v>4260849.5599999996</v>
      </c>
      <c r="J62" s="163">
        <v>4406119.5599999996</v>
      </c>
      <c r="K62" s="163">
        <v>5539999.5599999996</v>
      </c>
      <c r="L62" s="163">
        <v>4360619.76</v>
      </c>
      <c r="M62" s="163">
        <v>4332619.76</v>
      </c>
      <c r="N62" s="163">
        <v>5453999.7599999998</v>
      </c>
      <c r="O62" s="163">
        <v>4365869.76</v>
      </c>
      <c r="P62" s="163">
        <v>4215349.76</v>
      </c>
      <c r="Q62" s="163"/>
      <c r="R62" s="226">
        <f t="shared" si="4"/>
        <v>50841726.159999989</v>
      </c>
      <c r="S62" s="168">
        <v>4067100</v>
      </c>
      <c r="T62" s="165">
        <v>200000</v>
      </c>
      <c r="U62" s="169"/>
      <c r="V62" s="169"/>
      <c r="W62" s="169">
        <f t="shared" si="2"/>
        <v>55108826.159999989</v>
      </c>
      <c r="X62" s="167" t="b">
        <f t="shared" si="1"/>
        <v>0</v>
      </c>
      <c r="Y62" s="227">
        <f t="shared" si="3"/>
        <v>0</v>
      </c>
      <c r="Z62"/>
      <c r="AA62"/>
      <c r="AB62"/>
    </row>
    <row r="63" spans="1:51">
      <c r="A63" s="223">
        <v>56</v>
      </c>
      <c r="B63" s="224" t="s">
        <v>518</v>
      </c>
      <c r="C63" s="223" t="s">
        <v>39</v>
      </c>
      <c r="D63" s="223" t="s">
        <v>7</v>
      </c>
      <c r="E63" s="225">
        <f>COUNT(F63:Q63)-COUNT(#REF!)</f>
        <v>11</v>
      </c>
      <c r="F63" s="160">
        <v>4231869.5599999996</v>
      </c>
      <c r="G63" s="160">
        <v>3955409.56</v>
      </c>
      <c r="H63" s="161">
        <v>5380169.5599999996</v>
      </c>
      <c r="I63" s="162">
        <v>4149599.5599999996</v>
      </c>
      <c r="J63" s="162">
        <v>4288069.5599999996</v>
      </c>
      <c r="K63" s="163">
        <v>5380099.5599999996</v>
      </c>
      <c r="L63" s="162">
        <v>4221569.76</v>
      </c>
      <c r="M63" s="164">
        <v>4232069.76</v>
      </c>
      <c r="N63" s="165">
        <v>5258849.76</v>
      </c>
      <c r="O63" s="165">
        <v>4256569.76</v>
      </c>
      <c r="P63" s="166">
        <v>3834159.76</v>
      </c>
      <c r="Q63" s="167"/>
      <c r="R63" s="226">
        <f t="shared" si="4"/>
        <v>49188436.159999989</v>
      </c>
      <c r="S63" s="168">
        <v>3968100</v>
      </c>
      <c r="T63" s="165">
        <v>600000</v>
      </c>
      <c r="U63" s="169"/>
      <c r="V63" s="169"/>
      <c r="W63" s="169">
        <f t="shared" si="2"/>
        <v>53756536.159999989</v>
      </c>
      <c r="X63" s="167" t="b">
        <f t="shared" si="1"/>
        <v>0</v>
      </c>
      <c r="Y63" s="227">
        <f t="shared" si="3"/>
        <v>0</v>
      </c>
      <c r="Z63"/>
      <c r="AA63"/>
      <c r="AB63"/>
    </row>
    <row r="64" spans="1:51">
      <c r="A64" s="223">
        <v>57</v>
      </c>
      <c r="B64" s="224" t="s">
        <v>519</v>
      </c>
      <c r="C64" s="223" t="s">
        <v>39</v>
      </c>
      <c r="D64" s="223" t="s">
        <v>17</v>
      </c>
      <c r="E64" s="225">
        <f>COUNT(F64:Q64)-COUNT(#REF!)</f>
        <v>11</v>
      </c>
      <c r="F64" s="160">
        <v>4281069.5599999996</v>
      </c>
      <c r="G64" s="160">
        <v>4038009.56</v>
      </c>
      <c r="H64" s="163">
        <v>5494619.5599999996</v>
      </c>
      <c r="I64" s="163">
        <v>4149599.5599999996</v>
      </c>
      <c r="J64" s="163">
        <v>4274069.5599999996</v>
      </c>
      <c r="K64" s="163">
        <v>5438849.5599999996</v>
      </c>
      <c r="L64" s="163">
        <v>4239069.76</v>
      </c>
      <c r="M64" s="163">
        <v>4237319.76</v>
      </c>
      <c r="N64" s="163">
        <v>5344099.76</v>
      </c>
      <c r="O64" s="163">
        <v>4258319.76</v>
      </c>
      <c r="P64" s="163">
        <v>4107599.76</v>
      </c>
      <c r="Q64" s="163"/>
      <c r="R64" s="226">
        <f t="shared" si="4"/>
        <v>49862626.159999989</v>
      </c>
      <c r="S64" s="168">
        <v>4011600</v>
      </c>
      <c r="T64" s="165">
        <v>600000</v>
      </c>
      <c r="U64" s="169"/>
      <c r="V64" s="169"/>
      <c r="W64" s="169">
        <f t="shared" si="2"/>
        <v>54474226.159999989</v>
      </c>
      <c r="X64" s="167" t="b">
        <f t="shared" si="1"/>
        <v>0</v>
      </c>
      <c r="Y64" s="227">
        <f t="shared" si="3"/>
        <v>0</v>
      </c>
      <c r="Z64"/>
      <c r="AA64"/>
      <c r="AB64"/>
    </row>
    <row r="65" spans="1:28">
      <c r="A65" s="223">
        <v>58</v>
      </c>
      <c r="B65" s="224" t="s">
        <v>520</v>
      </c>
      <c r="C65" s="223" t="s">
        <v>39</v>
      </c>
      <c r="D65" s="223" t="s">
        <v>11</v>
      </c>
      <c r="E65" s="225">
        <f>COUNT(F65:Q65)-COUNT(#REF!)</f>
        <v>11</v>
      </c>
      <c r="F65" s="160">
        <v>4349469.5599999996</v>
      </c>
      <c r="G65" s="160">
        <v>4079309.5599999996</v>
      </c>
      <c r="H65" s="163">
        <v>5536319.5599999996</v>
      </c>
      <c r="I65" s="163">
        <v>4262599.5599999996</v>
      </c>
      <c r="J65" s="163">
        <v>4392119.5599999996</v>
      </c>
      <c r="K65" s="163">
        <v>5574049.5599999996</v>
      </c>
      <c r="L65" s="163">
        <v>4355369.76</v>
      </c>
      <c r="M65" s="163">
        <v>4332619.76</v>
      </c>
      <c r="N65" s="163">
        <v>5469049.7599999998</v>
      </c>
      <c r="O65" s="163">
        <v>4343119.76</v>
      </c>
      <c r="P65" s="163">
        <v>4201349.76</v>
      </c>
      <c r="Q65" s="163"/>
      <c r="R65" s="226">
        <f t="shared" si="4"/>
        <v>50895376.159999989</v>
      </c>
      <c r="S65" s="168">
        <v>4067100</v>
      </c>
      <c r="T65" s="165">
        <v>200000</v>
      </c>
      <c r="U65" s="169"/>
      <c r="V65" s="169"/>
      <c r="W65" s="169">
        <f t="shared" si="2"/>
        <v>55162476.159999989</v>
      </c>
      <c r="X65" s="167" t="b">
        <f t="shared" si="1"/>
        <v>0</v>
      </c>
      <c r="Y65" s="227">
        <f t="shared" si="3"/>
        <v>0</v>
      </c>
      <c r="Z65"/>
      <c r="AA65"/>
      <c r="AB65"/>
    </row>
    <row r="66" spans="1:28">
      <c r="A66" s="223">
        <v>59</v>
      </c>
      <c r="B66" s="224" t="s">
        <v>521</v>
      </c>
      <c r="C66" s="223" t="s">
        <v>39</v>
      </c>
      <c r="D66" s="223" t="s">
        <v>11</v>
      </c>
      <c r="E66" s="225">
        <f>COUNT(F66:Q66)-COUNT(#REF!)</f>
        <v>11</v>
      </c>
      <c r="F66" s="160">
        <v>4344219.5599999996</v>
      </c>
      <c r="G66" s="160">
        <v>4086309.5599999996</v>
      </c>
      <c r="H66" s="161">
        <v>5400169.5599999996</v>
      </c>
      <c r="I66" s="162">
        <v>4274849.5599999996</v>
      </c>
      <c r="J66" s="163">
        <v>4399119.5599999996</v>
      </c>
      <c r="K66" s="163">
        <v>5409599.5599999996</v>
      </c>
      <c r="L66" s="163">
        <v>4367619.76</v>
      </c>
      <c r="M66" s="163">
        <v>4337869.76</v>
      </c>
      <c r="N66" s="163">
        <v>5145079.76</v>
      </c>
      <c r="O66" s="163">
        <v>4357119.76</v>
      </c>
      <c r="P66" s="163">
        <v>4215349.76</v>
      </c>
      <c r="Q66" s="163"/>
      <c r="R66" s="226">
        <f t="shared" si="4"/>
        <v>50337306.159999989</v>
      </c>
      <c r="S66" s="168">
        <v>4067100</v>
      </c>
      <c r="T66" s="165">
        <v>600000</v>
      </c>
      <c r="U66" s="169"/>
      <c r="V66" s="169"/>
      <c r="W66" s="169">
        <f t="shared" si="2"/>
        <v>55004406.159999989</v>
      </c>
      <c r="X66" s="167" t="b">
        <f t="shared" si="1"/>
        <v>0</v>
      </c>
      <c r="Y66" s="227">
        <f t="shared" si="3"/>
        <v>0</v>
      </c>
      <c r="Z66"/>
      <c r="AA66"/>
      <c r="AB66"/>
    </row>
    <row r="67" spans="1:28">
      <c r="A67" s="223">
        <v>60</v>
      </c>
      <c r="B67" s="224" t="s">
        <v>522</v>
      </c>
      <c r="C67" s="223" t="s">
        <v>38</v>
      </c>
      <c r="D67" s="223" t="s">
        <v>7</v>
      </c>
      <c r="E67" s="225">
        <f>COUNT(F67:Q67)-COUNT(#REF!)</f>
        <v>11</v>
      </c>
      <c r="F67" s="160">
        <v>4486507.5599999996</v>
      </c>
      <c r="G67" s="160">
        <v>4511086.5599999996</v>
      </c>
      <c r="H67" s="161">
        <v>4911241.5599999996</v>
      </c>
      <c r="I67" s="162">
        <v>4920423.5599999996</v>
      </c>
      <c r="J67" s="162">
        <v>5312086.5599999996</v>
      </c>
      <c r="K67" s="163">
        <v>6374099.5599999996</v>
      </c>
      <c r="L67" s="162">
        <v>4991543.3600000003</v>
      </c>
      <c r="M67" s="164">
        <v>5731874.3600000003</v>
      </c>
      <c r="N67" s="165">
        <v>4846741.3600000003</v>
      </c>
      <c r="O67" s="165">
        <v>4949232.3600000003</v>
      </c>
      <c r="P67" s="166">
        <v>5152679.3600000003</v>
      </c>
      <c r="Q67" s="167"/>
      <c r="R67" s="226">
        <f t="shared" si="4"/>
        <v>56187516.159999996</v>
      </c>
      <c r="S67" s="168">
        <v>3974100</v>
      </c>
      <c r="T67" s="165">
        <v>200000</v>
      </c>
      <c r="U67" s="169"/>
      <c r="V67" s="169"/>
      <c r="W67" s="169">
        <f t="shared" si="2"/>
        <v>60361616.159999996</v>
      </c>
      <c r="X67" s="167" t="b">
        <f t="shared" si="1"/>
        <v>0</v>
      </c>
      <c r="Y67" s="227">
        <f t="shared" si="3"/>
        <v>0</v>
      </c>
      <c r="Z67"/>
      <c r="AA67"/>
      <c r="AB67"/>
    </row>
    <row r="68" spans="1:28">
      <c r="A68" s="223">
        <v>61</v>
      </c>
      <c r="B68" s="224" t="s">
        <v>523</v>
      </c>
      <c r="C68" s="223" t="s">
        <v>39</v>
      </c>
      <c r="D68" s="223" t="s">
        <v>9</v>
      </c>
      <c r="E68" s="225">
        <f>COUNT(F68:Q68)-COUNT(#REF!)</f>
        <v>11</v>
      </c>
      <c r="F68" s="160">
        <v>4194519.5599999996</v>
      </c>
      <c r="G68" s="160">
        <v>3772359.56</v>
      </c>
      <c r="H68" s="161">
        <v>4173969.5599999996</v>
      </c>
      <c r="I68" s="162">
        <v>4040099.5599999996</v>
      </c>
      <c r="J68" s="162">
        <v>4173969.5599999996</v>
      </c>
      <c r="K68" s="163">
        <v>4342609.5599999996</v>
      </c>
      <c r="L68" s="162">
        <v>4176969.76</v>
      </c>
      <c r="M68" s="164">
        <v>4176969.76</v>
      </c>
      <c r="N68" s="165">
        <v>4043099.76</v>
      </c>
      <c r="O68" s="165">
        <v>4176969.76</v>
      </c>
      <c r="P68" s="166">
        <v>4043099.76</v>
      </c>
      <c r="Q68" s="167"/>
      <c r="R68" s="226">
        <f t="shared" si="4"/>
        <v>45314636.159999989</v>
      </c>
      <c r="S68" s="168">
        <v>4040100</v>
      </c>
      <c r="T68" s="165">
        <v>900000</v>
      </c>
      <c r="U68" s="169"/>
      <c r="V68" s="169"/>
      <c r="W68" s="169">
        <f t="shared" si="2"/>
        <v>50254736.159999989</v>
      </c>
      <c r="X68" s="167" t="b">
        <f t="shared" ref="X68:X109" si="5">IF(D68="TK",54000000,IF(D68="K0",58500000,IF(D68="K1",63000000,IF(D68="K2",67500000,IF(D68="K3",72000000)))))</f>
        <v>0</v>
      </c>
      <c r="Y68" s="227">
        <f t="shared" si="3"/>
        <v>0</v>
      </c>
      <c r="Z68"/>
      <c r="AA68"/>
      <c r="AB68"/>
    </row>
    <row r="69" spans="1:28">
      <c r="A69" s="223">
        <v>62</v>
      </c>
      <c r="B69" s="224"/>
      <c r="C69" s="223"/>
      <c r="D69" s="223"/>
      <c r="E69" s="225">
        <f>COUNT(F69:Q69)-COUNT(#REF!)</f>
        <v>0</v>
      </c>
      <c r="F69" s="160"/>
      <c r="G69" s="160"/>
      <c r="H69" s="161"/>
      <c r="I69" s="162"/>
      <c r="J69" s="162"/>
      <c r="K69" s="163"/>
      <c r="L69" s="162"/>
      <c r="M69" s="164"/>
      <c r="N69" s="165"/>
      <c r="O69" s="165"/>
      <c r="P69" s="166"/>
      <c r="Q69" s="167"/>
      <c r="R69" s="226">
        <f t="shared" si="4"/>
        <v>0</v>
      </c>
      <c r="S69" s="168"/>
      <c r="T69" s="165"/>
      <c r="U69" s="169"/>
      <c r="V69" s="169"/>
      <c r="W69" s="169">
        <f t="shared" ref="W69:W109" si="6">SUM(R69:V69)</f>
        <v>0</v>
      </c>
      <c r="X69" s="167" t="b">
        <f t="shared" si="5"/>
        <v>0</v>
      </c>
      <c r="Y69" s="227">
        <f t="shared" ref="Y69:Y109" si="7">IF(W69&lt;=X69,0,IF(W69&gt;X69,W69-X69))</f>
        <v>0</v>
      </c>
      <c r="Z69"/>
      <c r="AA69"/>
      <c r="AB69"/>
    </row>
    <row r="70" spans="1:28">
      <c r="A70" s="223">
        <v>63</v>
      </c>
      <c r="B70" s="224"/>
      <c r="C70" s="223"/>
      <c r="D70" s="223"/>
      <c r="E70" s="225">
        <f>COUNT(F70:Q70)-COUNT(#REF!)</f>
        <v>0</v>
      </c>
      <c r="F70" s="160"/>
      <c r="G70" s="160"/>
      <c r="H70" s="161"/>
      <c r="I70" s="162"/>
      <c r="J70" s="162"/>
      <c r="K70" s="163"/>
      <c r="L70" s="162"/>
      <c r="M70" s="164"/>
      <c r="N70" s="165"/>
      <c r="O70" s="165"/>
      <c r="P70" s="166"/>
      <c r="Q70" s="167"/>
      <c r="R70" s="226">
        <f t="shared" si="4"/>
        <v>0</v>
      </c>
      <c r="S70" s="168"/>
      <c r="T70" s="165"/>
      <c r="U70" s="169"/>
      <c r="V70" s="169"/>
      <c r="W70" s="169">
        <f t="shared" si="6"/>
        <v>0</v>
      </c>
      <c r="X70" s="167" t="b">
        <f t="shared" si="5"/>
        <v>0</v>
      </c>
      <c r="Y70" s="227">
        <f t="shared" si="7"/>
        <v>0</v>
      </c>
      <c r="Z70"/>
      <c r="AA70"/>
      <c r="AB70"/>
    </row>
    <row r="71" spans="1:28">
      <c r="A71" s="223">
        <v>64</v>
      </c>
      <c r="B71" s="224"/>
      <c r="C71" s="223"/>
      <c r="D71" s="223"/>
      <c r="E71" s="225">
        <f>COUNT(F71:Q71)-COUNT(#REF!)</f>
        <v>0</v>
      </c>
      <c r="F71" s="160"/>
      <c r="G71" s="160"/>
      <c r="H71" s="161"/>
      <c r="I71" s="162"/>
      <c r="J71" s="162"/>
      <c r="K71" s="163"/>
      <c r="L71" s="162"/>
      <c r="M71" s="164"/>
      <c r="N71" s="165"/>
      <c r="O71" s="165"/>
      <c r="P71" s="166"/>
      <c r="Q71" s="167"/>
      <c r="R71" s="226">
        <f t="shared" si="4"/>
        <v>0</v>
      </c>
      <c r="S71" s="168"/>
      <c r="T71" s="165"/>
      <c r="U71" s="169"/>
      <c r="V71" s="169"/>
      <c r="W71" s="169">
        <f t="shared" si="6"/>
        <v>0</v>
      </c>
      <c r="X71" s="167" t="b">
        <f t="shared" si="5"/>
        <v>0</v>
      </c>
      <c r="Y71" s="227">
        <f t="shared" si="7"/>
        <v>0</v>
      </c>
      <c r="Z71"/>
      <c r="AA71"/>
      <c r="AB71"/>
    </row>
    <row r="72" spans="1:28">
      <c r="A72" s="223">
        <v>65</v>
      </c>
      <c r="B72" s="224"/>
      <c r="C72" s="223"/>
      <c r="D72" s="223"/>
      <c r="E72" s="225">
        <f>COUNT(F72:Q72)-COUNT(#REF!)</f>
        <v>0</v>
      </c>
      <c r="F72" s="160"/>
      <c r="G72" s="160"/>
      <c r="H72" s="161"/>
      <c r="I72" s="162"/>
      <c r="J72" s="162"/>
      <c r="K72" s="163"/>
      <c r="L72" s="162"/>
      <c r="M72" s="164"/>
      <c r="N72" s="165"/>
      <c r="O72" s="165"/>
      <c r="P72" s="165"/>
      <c r="Q72" s="167"/>
      <c r="R72" s="226">
        <f t="shared" si="4"/>
        <v>0</v>
      </c>
      <c r="S72" s="168"/>
      <c r="T72" s="165"/>
      <c r="U72" s="169"/>
      <c r="V72" s="169"/>
      <c r="W72" s="169">
        <f t="shared" si="6"/>
        <v>0</v>
      </c>
      <c r="X72" s="167" t="b">
        <f t="shared" si="5"/>
        <v>0</v>
      </c>
      <c r="Y72" s="227">
        <f t="shared" si="7"/>
        <v>0</v>
      </c>
      <c r="Z72"/>
      <c r="AA72"/>
      <c r="AB72"/>
    </row>
    <row r="73" spans="1:28">
      <c r="A73" s="223">
        <v>66</v>
      </c>
      <c r="B73" s="224"/>
      <c r="C73" s="223"/>
      <c r="D73" s="223"/>
      <c r="E73" s="225">
        <f>COUNT(F73:Q73)-COUNT(#REF!)</f>
        <v>0</v>
      </c>
      <c r="F73" s="160"/>
      <c r="G73" s="160"/>
      <c r="H73" s="161"/>
      <c r="I73" s="162"/>
      <c r="J73" s="162"/>
      <c r="K73" s="163"/>
      <c r="L73" s="162"/>
      <c r="M73" s="164"/>
      <c r="N73" s="162"/>
      <c r="O73" s="164"/>
      <c r="P73" s="164"/>
      <c r="Q73" s="164"/>
      <c r="R73" s="226">
        <f t="shared" si="4"/>
        <v>0</v>
      </c>
      <c r="S73" s="168"/>
      <c r="T73" s="165"/>
      <c r="U73" s="169"/>
      <c r="V73" s="169"/>
      <c r="W73" s="169">
        <f t="shared" si="6"/>
        <v>0</v>
      </c>
      <c r="X73" s="167" t="b">
        <f t="shared" si="5"/>
        <v>0</v>
      </c>
      <c r="Y73" s="227">
        <f t="shared" si="7"/>
        <v>0</v>
      </c>
      <c r="Z73"/>
      <c r="AA73"/>
      <c r="AB73"/>
    </row>
    <row r="74" spans="1:28">
      <c r="A74" s="223">
        <v>67</v>
      </c>
      <c r="B74" s="224"/>
      <c r="C74" s="223"/>
      <c r="D74" s="223"/>
      <c r="E74" s="225">
        <f>COUNT(F74:Q74)-COUNT(#REF!)</f>
        <v>0</v>
      </c>
      <c r="F74" s="160"/>
      <c r="G74" s="160"/>
      <c r="H74" s="161"/>
      <c r="I74" s="162"/>
      <c r="J74" s="162"/>
      <c r="K74" s="163"/>
      <c r="L74" s="162"/>
      <c r="M74" s="164"/>
      <c r="N74" s="165"/>
      <c r="O74" s="165"/>
      <c r="P74" s="166"/>
      <c r="Q74" s="167"/>
      <c r="R74" s="226">
        <f t="shared" si="4"/>
        <v>0</v>
      </c>
      <c r="S74" s="168"/>
      <c r="T74" s="165"/>
      <c r="U74" s="169"/>
      <c r="V74" s="169"/>
      <c r="W74" s="169">
        <f t="shared" si="6"/>
        <v>0</v>
      </c>
      <c r="X74" s="167" t="b">
        <f t="shared" si="5"/>
        <v>0</v>
      </c>
      <c r="Y74" s="227">
        <f t="shared" si="7"/>
        <v>0</v>
      </c>
      <c r="Z74"/>
      <c r="AA74"/>
      <c r="AB74"/>
    </row>
    <row r="75" spans="1:28">
      <c r="A75" s="223">
        <v>68</v>
      </c>
      <c r="B75" s="224"/>
      <c r="C75" s="223"/>
      <c r="D75" s="223"/>
      <c r="E75" s="225">
        <f>COUNT(F75:Q75)-COUNT(#REF!)</f>
        <v>0</v>
      </c>
      <c r="F75" s="160"/>
      <c r="G75" s="160"/>
      <c r="H75" s="161"/>
      <c r="I75" s="162"/>
      <c r="J75" s="162"/>
      <c r="K75" s="163"/>
      <c r="L75" s="162"/>
      <c r="M75" s="164"/>
      <c r="N75" s="165"/>
      <c r="O75" s="165"/>
      <c r="P75" s="166"/>
      <c r="Q75" s="167"/>
      <c r="R75" s="226">
        <f t="shared" si="4"/>
        <v>0</v>
      </c>
      <c r="S75" s="168"/>
      <c r="T75" s="165"/>
      <c r="U75" s="169"/>
      <c r="V75" s="169"/>
      <c r="W75" s="169">
        <f t="shared" si="6"/>
        <v>0</v>
      </c>
      <c r="X75" s="167" t="b">
        <f t="shared" si="5"/>
        <v>0</v>
      </c>
      <c r="Y75" s="227">
        <f t="shared" si="7"/>
        <v>0</v>
      </c>
      <c r="Z75"/>
      <c r="AA75"/>
      <c r="AB75"/>
    </row>
    <row r="76" spans="1:28">
      <c r="A76" s="223">
        <v>69</v>
      </c>
      <c r="B76" s="233"/>
      <c r="C76" s="223"/>
      <c r="D76" s="223"/>
      <c r="E76" s="225">
        <f>COUNT(F76:Q76)-COUNT(#REF!)</f>
        <v>0</v>
      </c>
      <c r="F76" s="160"/>
      <c r="G76" s="160"/>
      <c r="H76" s="161"/>
      <c r="I76" s="162"/>
      <c r="J76" s="162"/>
      <c r="K76" s="163"/>
      <c r="L76" s="162"/>
      <c r="M76" s="164"/>
      <c r="N76" s="165"/>
      <c r="O76" s="165"/>
      <c r="P76" s="166"/>
      <c r="Q76" s="167"/>
      <c r="R76" s="226">
        <f t="shared" si="4"/>
        <v>0</v>
      </c>
      <c r="S76" s="168"/>
      <c r="T76" s="165"/>
      <c r="U76" s="169"/>
      <c r="V76" s="169"/>
      <c r="W76" s="169">
        <f t="shared" si="6"/>
        <v>0</v>
      </c>
      <c r="X76" s="167" t="b">
        <f t="shared" si="5"/>
        <v>0</v>
      </c>
      <c r="Y76" s="227">
        <f t="shared" si="7"/>
        <v>0</v>
      </c>
      <c r="Z76"/>
      <c r="AA76"/>
      <c r="AB76"/>
    </row>
    <row r="77" spans="1:28">
      <c r="A77" s="223">
        <v>70</v>
      </c>
      <c r="B77" s="233"/>
      <c r="C77" s="223"/>
      <c r="D77" s="223"/>
      <c r="E77" s="225">
        <f>COUNT(F77:Q77)-COUNT(#REF!)</f>
        <v>0</v>
      </c>
      <c r="F77" s="160"/>
      <c r="G77" s="160"/>
      <c r="H77" s="161"/>
      <c r="I77" s="162"/>
      <c r="J77" s="162"/>
      <c r="K77" s="163"/>
      <c r="L77" s="162"/>
      <c r="M77" s="164"/>
      <c r="N77" s="165"/>
      <c r="O77" s="165"/>
      <c r="P77" s="166"/>
      <c r="Q77" s="167"/>
      <c r="R77" s="226">
        <f t="shared" si="4"/>
        <v>0</v>
      </c>
      <c r="S77" s="168"/>
      <c r="T77" s="165"/>
      <c r="U77" s="169"/>
      <c r="V77" s="169"/>
      <c r="W77" s="169">
        <f t="shared" si="6"/>
        <v>0</v>
      </c>
      <c r="X77" s="167" t="b">
        <f t="shared" si="5"/>
        <v>0</v>
      </c>
      <c r="Y77" s="227">
        <f t="shared" si="7"/>
        <v>0</v>
      </c>
      <c r="Z77"/>
      <c r="AA77"/>
      <c r="AB77"/>
    </row>
    <row r="78" spans="1:28">
      <c r="A78" s="223">
        <v>71</v>
      </c>
      <c r="B78" s="233"/>
      <c r="C78" s="223"/>
      <c r="D78" s="223"/>
      <c r="E78" s="225">
        <f>COUNT(F78:Q78)-COUNT(#REF!)</f>
        <v>0</v>
      </c>
      <c r="F78" s="160"/>
      <c r="G78" s="160"/>
      <c r="H78" s="161"/>
      <c r="I78" s="162"/>
      <c r="J78" s="162"/>
      <c r="K78" s="163"/>
      <c r="L78" s="162"/>
      <c r="M78" s="164"/>
      <c r="N78" s="165"/>
      <c r="O78" s="165"/>
      <c r="P78" s="166"/>
      <c r="Q78" s="167"/>
      <c r="R78" s="226">
        <f t="shared" si="4"/>
        <v>0</v>
      </c>
      <c r="S78" s="168"/>
      <c r="T78" s="165"/>
      <c r="U78" s="169"/>
      <c r="V78" s="169"/>
      <c r="W78" s="169">
        <f t="shared" si="6"/>
        <v>0</v>
      </c>
      <c r="X78" s="167" t="b">
        <f t="shared" si="5"/>
        <v>0</v>
      </c>
      <c r="Y78" s="227">
        <f t="shared" si="7"/>
        <v>0</v>
      </c>
      <c r="Z78"/>
      <c r="AA78"/>
      <c r="AB78"/>
    </row>
    <row r="79" spans="1:28">
      <c r="A79" s="223">
        <v>72</v>
      </c>
      <c r="B79" s="233"/>
      <c r="C79" s="223"/>
      <c r="D79" s="223"/>
      <c r="E79" s="225">
        <f>COUNT(F79:Q79)-COUNT(#REF!)</f>
        <v>0</v>
      </c>
      <c r="F79" s="160"/>
      <c r="G79" s="160"/>
      <c r="H79" s="161"/>
      <c r="I79" s="162"/>
      <c r="J79" s="162"/>
      <c r="K79" s="163"/>
      <c r="L79" s="162"/>
      <c r="M79" s="164"/>
      <c r="N79" s="165"/>
      <c r="O79" s="165"/>
      <c r="P79" s="166"/>
      <c r="Q79" s="167"/>
      <c r="R79" s="226">
        <f t="shared" si="4"/>
        <v>0</v>
      </c>
      <c r="S79" s="168"/>
      <c r="T79" s="165"/>
      <c r="U79" s="169"/>
      <c r="V79" s="169"/>
      <c r="W79" s="169">
        <f t="shared" si="6"/>
        <v>0</v>
      </c>
      <c r="X79" s="167" t="b">
        <f t="shared" si="5"/>
        <v>0</v>
      </c>
      <c r="Y79" s="227">
        <f t="shared" si="7"/>
        <v>0</v>
      </c>
      <c r="Z79"/>
      <c r="AA79"/>
      <c r="AB79"/>
    </row>
    <row r="80" spans="1:28">
      <c r="A80" s="223">
        <v>73</v>
      </c>
      <c r="B80" s="233"/>
      <c r="C80" s="223"/>
      <c r="D80" s="223"/>
      <c r="E80" s="225">
        <f>COUNT(F80:Q80)-COUNT(#REF!)</f>
        <v>0</v>
      </c>
      <c r="F80" s="160"/>
      <c r="G80" s="160"/>
      <c r="H80" s="161"/>
      <c r="I80" s="162"/>
      <c r="J80" s="162"/>
      <c r="K80" s="163"/>
      <c r="L80" s="162"/>
      <c r="M80" s="164"/>
      <c r="N80" s="165"/>
      <c r="O80" s="165"/>
      <c r="P80" s="166"/>
      <c r="Q80" s="167"/>
      <c r="R80" s="226">
        <f t="shared" si="4"/>
        <v>0</v>
      </c>
      <c r="S80" s="168"/>
      <c r="T80" s="165"/>
      <c r="U80" s="169"/>
      <c r="V80" s="169"/>
      <c r="W80" s="169">
        <f t="shared" si="6"/>
        <v>0</v>
      </c>
      <c r="X80" s="167" t="b">
        <f t="shared" si="5"/>
        <v>0</v>
      </c>
      <c r="Y80" s="227">
        <f t="shared" si="7"/>
        <v>0</v>
      </c>
      <c r="Z80"/>
      <c r="AA80"/>
      <c r="AB80"/>
    </row>
    <row r="81" spans="1:28">
      <c r="A81" s="223">
        <v>74</v>
      </c>
      <c r="B81" s="233"/>
      <c r="C81" s="223"/>
      <c r="D81" s="223"/>
      <c r="E81" s="225">
        <f>COUNT(F81:Q81)-COUNT(#REF!)</f>
        <v>0</v>
      </c>
      <c r="F81" s="160"/>
      <c r="G81" s="160"/>
      <c r="H81" s="161"/>
      <c r="I81" s="162"/>
      <c r="J81" s="162"/>
      <c r="K81" s="163"/>
      <c r="L81" s="162"/>
      <c r="M81" s="164"/>
      <c r="N81" s="165"/>
      <c r="O81" s="165"/>
      <c r="P81" s="166"/>
      <c r="Q81" s="167"/>
      <c r="R81" s="226">
        <f t="shared" si="4"/>
        <v>0</v>
      </c>
      <c r="S81" s="168"/>
      <c r="T81" s="165"/>
      <c r="U81" s="169"/>
      <c r="V81" s="169"/>
      <c r="W81" s="169">
        <f t="shared" si="6"/>
        <v>0</v>
      </c>
      <c r="X81" s="167" t="b">
        <f t="shared" si="5"/>
        <v>0</v>
      </c>
      <c r="Y81" s="227">
        <f t="shared" si="7"/>
        <v>0</v>
      </c>
      <c r="Z81"/>
      <c r="AA81"/>
      <c r="AB81"/>
    </row>
    <row r="82" spans="1:28">
      <c r="A82" s="223">
        <v>75</v>
      </c>
      <c r="B82" s="239"/>
      <c r="C82" s="223"/>
      <c r="D82" s="223"/>
      <c r="E82" s="225">
        <f>COUNT(F82:Q82)-COUNT(#REF!)</f>
        <v>0</v>
      </c>
      <c r="F82" s="160"/>
      <c r="G82" s="160"/>
      <c r="H82" s="161"/>
      <c r="I82" s="162"/>
      <c r="J82" s="162"/>
      <c r="K82" s="163"/>
      <c r="L82" s="162"/>
      <c r="M82" s="164"/>
      <c r="N82" s="165"/>
      <c r="O82" s="165"/>
      <c r="P82" s="166"/>
      <c r="Q82" s="172"/>
      <c r="R82" s="226">
        <f t="shared" si="4"/>
        <v>0</v>
      </c>
      <c r="S82" s="168"/>
      <c r="T82" s="165"/>
      <c r="U82" s="169"/>
      <c r="V82" s="169"/>
      <c r="W82" s="169">
        <f t="shared" si="6"/>
        <v>0</v>
      </c>
      <c r="X82" s="167" t="b">
        <f t="shared" si="5"/>
        <v>0</v>
      </c>
      <c r="Y82" s="227">
        <f t="shared" si="7"/>
        <v>0</v>
      </c>
      <c r="Z82"/>
      <c r="AA82"/>
      <c r="AB82"/>
    </row>
    <row r="83" spans="1:28">
      <c r="A83" s="223">
        <v>76</v>
      </c>
      <c r="B83" s="239"/>
      <c r="C83" s="223"/>
      <c r="D83" s="223"/>
      <c r="E83" s="225">
        <f>COUNT(F83:Q83)-COUNT(#REF!)</f>
        <v>0</v>
      </c>
      <c r="F83" s="160"/>
      <c r="G83" s="160"/>
      <c r="H83" s="161"/>
      <c r="I83" s="162"/>
      <c r="J83" s="162"/>
      <c r="K83" s="163"/>
      <c r="L83" s="162"/>
      <c r="M83" s="164"/>
      <c r="N83" s="165"/>
      <c r="O83" s="165"/>
      <c r="P83" s="166"/>
      <c r="Q83" s="172"/>
      <c r="R83" s="226">
        <f t="shared" si="4"/>
        <v>0</v>
      </c>
      <c r="S83" s="168"/>
      <c r="T83" s="165"/>
      <c r="U83" s="169"/>
      <c r="V83" s="169"/>
      <c r="W83" s="169">
        <f t="shared" si="6"/>
        <v>0</v>
      </c>
      <c r="X83" s="167" t="b">
        <f t="shared" si="5"/>
        <v>0</v>
      </c>
      <c r="Y83" s="227">
        <f t="shared" si="7"/>
        <v>0</v>
      </c>
      <c r="Z83"/>
      <c r="AA83"/>
      <c r="AB83"/>
    </row>
    <row r="84" spans="1:28">
      <c r="A84" s="223">
        <v>77</v>
      </c>
      <c r="B84" s="239"/>
      <c r="C84" s="223"/>
      <c r="D84" s="223"/>
      <c r="E84" s="225">
        <f>COUNT(F84:Q84)-COUNT(#REF!)</f>
        <v>0</v>
      </c>
      <c r="F84" s="160"/>
      <c r="G84" s="160"/>
      <c r="H84" s="161"/>
      <c r="I84" s="162"/>
      <c r="J84" s="162"/>
      <c r="K84" s="163"/>
      <c r="L84" s="162"/>
      <c r="M84" s="164"/>
      <c r="N84" s="165"/>
      <c r="O84" s="165"/>
      <c r="P84" s="166"/>
      <c r="Q84" s="176"/>
      <c r="R84" s="226">
        <f t="shared" si="4"/>
        <v>0</v>
      </c>
      <c r="S84" s="168"/>
      <c r="T84" s="165"/>
      <c r="U84" s="169"/>
      <c r="V84" s="169"/>
      <c r="W84" s="169">
        <f t="shared" si="6"/>
        <v>0</v>
      </c>
      <c r="X84" s="167" t="b">
        <f t="shared" si="5"/>
        <v>0</v>
      </c>
      <c r="Y84" s="227">
        <f t="shared" si="7"/>
        <v>0</v>
      </c>
      <c r="Z84"/>
      <c r="AA84"/>
      <c r="AB84"/>
    </row>
    <row r="85" spans="1:28">
      <c r="A85" s="223">
        <v>78</v>
      </c>
      <c r="B85" s="239"/>
      <c r="C85" s="223"/>
      <c r="D85" s="223"/>
      <c r="E85" s="225">
        <f>COUNT(F85:Q85)-COUNT(#REF!)</f>
        <v>0</v>
      </c>
      <c r="F85" s="160"/>
      <c r="G85" s="160"/>
      <c r="H85" s="160"/>
      <c r="I85" s="160"/>
      <c r="J85" s="160"/>
      <c r="K85" s="160"/>
      <c r="L85" s="160"/>
      <c r="M85" s="170"/>
      <c r="N85" s="160"/>
      <c r="O85" s="160"/>
      <c r="P85" s="160"/>
      <c r="Q85" s="160"/>
      <c r="R85" s="226">
        <f t="shared" si="4"/>
        <v>0</v>
      </c>
      <c r="S85" s="168"/>
      <c r="T85" s="165"/>
      <c r="U85" s="169"/>
      <c r="V85" s="169"/>
      <c r="W85" s="169">
        <f t="shared" si="6"/>
        <v>0</v>
      </c>
      <c r="X85" s="167" t="b">
        <f t="shared" si="5"/>
        <v>0</v>
      </c>
      <c r="Y85" s="227">
        <f t="shared" si="7"/>
        <v>0</v>
      </c>
      <c r="Z85"/>
      <c r="AA85"/>
      <c r="AB85"/>
    </row>
    <row r="86" spans="1:28">
      <c r="A86" s="223">
        <v>79</v>
      </c>
      <c r="B86" s="239"/>
      <c r="C86" s="223"/>
      <c r="D86" s="223"/>
      <c r="E86" s="225">
        <f>COUNT(F86:Q86)-COUNT(#REF!)</f>
        <v>0</v>
      </c>
      <c r="F86" s="160"/>
      <c r="G86" s="160"/>
      <c r="H86" s="161"/>
      <c r="I86" s="162"/>
      <c r="J86" s="162"/>
      <c r="K86" s="163"/>
      <c r="L86" s="162"/>
      <c r="M86" s="164"/>
      <c r="N86" s="165"/>
      <c r="O86" s="165"/>
      <c r="P86" s="166"/>
      <c r="Q86" s="172"/>
      <c r="R86" s="226">
        <f t="shared" si="4"/>
        <v>0</v>
      </c>
      <c r="S86" s="168"/>
      <c r="T86" s="165"/>
      <c r="U86" s="169"/>
      <c r="V86" s="169"/>
      <c r="W86" s="169">
        <f t="shared" si="6"/>
        <v>0</v>
      </c>
      <c r="X86" s="167" t="b">
        <f t="shared" si="5"/>
        <v>0</v>
      </c>
      <c r="Y86" s="227">
        <f t="shared" si="7"/>
        <v>0</v>
      </c>
      <c r="Z86"/>
      <c r="AA86"/>
      <c r="AB86"/>
    </row>
    <row r="87" spans="1:28">
      <c r="A87" s="223">
        <v>80</v>
      </c>
      <c r="B87" s="240"/>
      <c r="C87" s="223"/>
      <c r="D87" s="223"/>
      <c r="E87" s="225">
        <f>COUNT(F87:Q87)-COUNT(#REF!)</f>
        <v>0</v>
      </c>
      <c r="F87" s="160"/>
      <c r="G87" s="160"/>
      <c r="H87" s="161"/>
      <c r="I87" s="162"/>
      <c r="J87" s="162"/>
      <c r="K87" s="163"/>
      <c r="L87" s="162"/>
      <c r="M87" s="164"/>
      <c r="N87" s="165"/>
      <c r="O87" s="165"/>
      <c r="P87" s="166"/>
      <c r="Q87" s="167"/>
      <c r="R87" s="226">
        <f t="shared" si="4"/>
        <v>0</v>
      </c>
      <c r="S87" s="168"/>
      <c r="T87" s="165"/>
      <c r="U87" s="169"/>
      <c r="V87" s="169"/>
      <c r="W87" s="169">
        <f t="shared" si="6"/>
        <v>0</v>
      </c>
      <c r="X87" s="167" t="b">
        <f t="shared" si="5"/>
        <v>0</v>
      </c>
      <c r="Y87" s="227">
        <f t="shared" si="7"/>
        <v>0</v>
      </c>
      <c r="Z87"/>
      <c r="AA87"/>
      <c r="AB87"/>
    </row>
    <row r="88" spans="1:28">
      <c r="A88" s="223">
        <v>81</v>
      </c>
      <c r="B88" s="241"/>
      <c r="C88" s="223"/>
      <c r="D88" s="223"/>
      <c r="E88" s="225">
        <f>COUNT(F88:Q88)-COUNT(#REF!)</f>
        <v>0</v>
      </c>
      <c r="F88" s="160"/>
      <c r="G88" s="160"/>
      <c r="H88" s="161"/>
      <c r="I88" s="162"/>
      <c r="J88" s="162"/>
      <c r="K88" s="162"/>
      <c r="L88" s="162"/>
      <c r="M88" s="162"/>
      <c r="N88" s="162"/>
      <c r="O88" s="162"/>
      <c r="P88" s="162"/>
      <c r="Q88" s="162"/>
      <c r="R88" s="226">
        <f t="shared" si="4"/>
        <v>0</v>
      </c>
      <c r="S88" s="168"/>
      <c r="T88" s="165"/>
      <c r="U88" s="169"/>
      <c r="V88" s="169"/>
      <c r="W88" s="169">
        <f t="shared" si="6"/>
        <v>0</v>
      </c>
      <c r="X88" s="167" t="b">
        <f t="shared" si="5"/>
        <v>0</v>
      </c>
      <c r="Y88" s="227">
        <f t="shared" si="7"/>
        <v>0</v>
      </c>
      <c r="Z88"/>
      <c r="AA88"/>
      <c r="AB88"/>
    </row>
    <row r="89" spans="1:28">
      <c r="A89" s="223">
        <v>82</v>
      </c>
      <c r="B89" s="242"/>
      <c r="C89" s="223"/>
      <c r="D89" s="223"/>
      <c r="E89" s="225">
        <f>COUNT(F89:Q89)-COUNT(#REF!)</f>
        <v>0</v>
      </c>
      <c r="F89" s="160"/>
      <c r="G89" s="160"/>
      <c r="H89" s="161"/>
      <c r="I89" s="162"/>
      <c r="J89" s="162"/>
      <c r="K89" s="163"/>
      <c r="L89" s="162"/>
      <c r="M89" s="164"/>
      <c r="N89" s="165"/>
      <c r="O89" s="165"/>
      <c r="P89" s="166"/>
      <c r="Q89" s="176"/>
      <c r="R89" s="226">
        <f t="shared" si="4"/>
        <v>0</v>
      </c>
      <c r="S89" s="168"/>
      <c r="T89" s="165"/>
      <c r="U89" s="169"/>
      <c r="V89" s="169"/>
      <c r="W89" s="169">
        <f t="shared" si="6"/>
        <v>0</v>
      </c>
      <c r="X89" s="167" t="b">
        <f t="shared" si="5"/>
        <v>0</v>
      </c>
      <c r="Y89" s="227">
        <f t="shared" si="7"/>
        <v>0</v>
      </c>
      <c r="Z89"/>
      <c r="AA89"/>
      <c r="AB89"/>
    </row>
    <row r="90" spans="1:28">
      <c r="A90" s="223">
        <v>83</v>
      </c>
      <c r="B90" s="224"/>
      <c r="C90" s="223"/>
      <c r="D90" s="223"/>
      <c r="E90" s="225">
        <f>COUNT(F90:Q90)-COUNT(#REF!)</f>
        <v>0</v>
      </c>
      <c r="F90" s="160"/>
      <c r="G90" s="160"/>
      <c r="H90" s="161"/>
      <c r="I90" s="162"/>
      <c r="J90" s="162"/>
      <c r="K90" s="163"/>
      <c r="L90" s="162"/>
      <c r="M90" s="164"/>
      <c r="N90" s="165"/>
      <c r="O90" s="165"/>
      <c r="P90" s="166"/>
      <c r="Q90" s="172"/>
      <c r="R90" s="226">
        <f t="shared" si="4"/>
        <v>0</v>
      </c>
      <c r="S90" s="168"/>
      <c r="T90" s="165"/>
      <c r="U90" s="169"/>
      <c r="V90" s="169"/>
      <c r="W90" s="169">
        <f t="shared" si="6"/>
        <v>0</v>
      </c>
      <c r="X90" s="167" t="b">
        <f t="shared" si="5"/>
        <v>0</v>
      </c>
      <c r="Y90" s="227">
        <f t="shared" si="7"/>
        <v>0</v>
      </c>
      <c r="Z90"/>
      <c r="AA90"/>
      <c r="AB90"/>
    </row>
    <row r="91" spans="1:28">
      <c r="A91" s="223">
        <v>84</v>
      </c>
      <c r="B91" s="243"/>
      <c r="C91" s="223"/>
      <c r="D91" s="223"/>
      <c r="E91" s="225">
        <f>COUNT(F91:Q91)-COUNT(#REF!)</f>
        <v>0</v>
      </c>
      <c r="F91" s="160"/>
      <c r="G91" s="160"/>
      <c r="H91" s="160"/>
      <c r="I91" s="160"/>
      <c r="J91" s="160"/>
      <c r="K91" s="160"/>
      <c r="L91" s="160"/>
      <c r="M91" s="170"/>
      <c r="N91" s="160"/>
      <c r="O91" s="160"/>
      <c r="P91" s="160"/>
      <c r="Q91" s="160"/>
      <c r="R91" s="226">
        <f t="shared" si="4"/>
        <v>0</v>
      </c>
      <c r="S91" s="168"/>
      <c r="T91" s="165"/>
      <c r="U91" s="169"/>
      <c r="V91" s="169"/>
      <c r="W91" s="169">
        <f t="shared" si="6"/>
        <v>0</v>
      </c>
      <c r="X91" s="167" t="b">
        <f t="shared" si="5"/>
        <v>0</v>
      </c>
      <c r="Y91" s="227">
        <f t="shared" si="7"/>
        <v>0</v>
      </c>
      <c r="Z91"/>
      <c r="AA91"/>
      <c r="AB91"/>
    </row>
    <row r="92" spans="1:28">
      <c r="A92" s="223">
        <v>85</v>
      </c>
      <c r="B92" s="224"/>
      <c r="C92" s="223"/>
      <c r="D92" s="223"/>
      <c r="E92" s="225">
        <f>COUNT(F92:Q92)-COUNT(#REF!)</f>
        <v>0</v>
      </c>
      <c r="F92" s="160"/>
      <c r="G92" s="160"/>
      <c r="H92" s="161"/>
      <c r="I92" s="162"/>
      <c r="J92" s="162"/>
      <c r="K92" s="163"/>
      <c r="L92" s="162"/>
      <c r="M92" s="164"/>
      <c r="N92" s="165"/>
      <c r="O92" s="165"/>
      <c r="P92" s="166"/>
      <c r="Q92" s="172"/>
      <c r="R92" s="226">
        <f t="shared" si="4"/>
        <v>0</v>
      </c>
      <c r="S92" s="168"/>
      <c r="T92" s="165"/>
      <c r="U92" s="169"/>
      <c r="V92" s="169"/>
      <c r="W92" s="169">
        <f t="shared" si="6"/>
        <v>0</v>
      </c>
      <c r="X92" s="167" t="b">
        <f t="shared" si="5"/>
        <v>0</v>
      </c>
      <c r="Y92" s="227">
        <f t="shared" si="7"/>
        <v>0</v>
      </c>
      <c r="Z92"/>
      <c r="AA92"/>
      <c r="AB92"/>
    </row>
    <row r="93" spans="1:28">
      <c r="A93" s="223">
        <v>86</v>
      </c>
      <c r="B93" s="224"/>
      <c r="C93" s="223"/>
      <c r="D93" s="223"/>
      <c r="E93" s="225">
        <f>COUNT(F93:Q93)-COUNT(#REF!)</f>
        <v>0</v>
      </c>
      <c r="F93" s="160"/>
      <c r="G93" s="160"/>
      <c r="H93" s="161"/>
      <c r="I93" s="162"/>
      <c r="J93" s="162"/>
      <c r="K93" s="163"/>
      <c r="L93" s="162"/>
      <c r="M93" s="164"/>
      <c r="N93" s="165"/>
      <c r="O93" s="165"/>
      <c r="P93" s="166"/>
      <c r="Q93" s="172"/>
      <c r="R93" s="226">
        <f t="shared" si="4"/>
        <v>0</v>
      </c>
      <c r="S93" s="168"/>
      <c r="T93" s="165"/>
      <c r="U93" s="169"/>
      <c r="V93" s="169"/>
      <c r="W93" s="169">
        <f t="shared" si="6"/>
        <v>0</v>
      </c>
      <c r="X93" s="167" t="b">
        <f t="shared" si="5"/>
        <v>0</v>
      </c>
      <c r="Y93" s="227">
        <f t="shared" si="7"/>
        <v>0</v>
      </c>
      <c r="Z93"/>
      <c r="AA93"/>
      <c r="AB93"/>
    </row>
    <row r="94" spans="1:28">
      <c r="A94" s="223">
        <v>87</v>
      </c>
      <c r="B94" s="234"/>
      <c r="C94" s="223"/>
      <c r="D94" s="223"/>
      <c r="E94" s="225">
        <f>COUNT(F94:Q94)-COUNT(#REF!)</f>
        <v>0</v>
      </c>
      <c r="F94" s="160"/>
      <c r="G94" s="160"/>
      <c r="H94" s="161"/>
      <c r="I94" s="162"/>
      <c r="J94" s="162"/>
      <c r="K94" s="163"/>
      <c r="L94" s="162"/>
      <c r="M94" s="164"/>
      <c r="N94" s="165"/>
      <c r="O94" s="165"/>
      <c r="P94" s="166"/>
      <c r="Q94" s="167"/>
      <c r="R94" s="226">
        <f t="shared" si="4"/>
        <v>0</v>
      </c>
      <c r="S94" s="168"/>
      <c r="T94" s="177"/>
      <c r="U94" s="169"/>
      <c r="V94" s="169"/>
      <c r="W94" s="169">
        <f t="shared" si="6"/>
        <v>0</v>
      </c>
      <c r="X94" s="167" t="b">
        <f t="shared" si="5"/>
        <v>0</v>
      </c>
      <c r="Y94" s="227">
        <f t="shared" si="7"/>
        <v>0</v>
      </c>
      <c r="Z94"/>
      <c r="AA94"/>
      <c r="AB94"/>
    </row>
    <row r="95" spans="1:28">
      <c r="A95" s="223">
        <v>88</v>
      </c>
      <c r="B95" s="234"/>
      <c r="C95" s="223"/>
      <c r="D95" s="223"/>
      <c r="E95" s="225">
        <f>COUNT(F95:Q95)-COUNT(#REF!)</f>
        <v>0</v>
      </c>
      <c r="F95" s="162"/>
      <c r="G95" s="160"/>
      <c r="H95" s="160"/>
      <c r="I95" s="162"/>
      <c r="J95" s="162"/>
      <c r="K95" s="163"/>
      <c r="L95" s="162"/>
      <c r="M95" s="164"/>
      <c r="N95" s="165"/>
      <c r="O95" s="165"/>
      <c r="P95" s="166"/>
      <c r="Q95" s="167"/>
      <c r="R95" s="226">
        <f t="shared" si="4"/>
        <v>0</v>
      </c>
      <c r="S95" s="168"/>
      <c r="T95" s="177"/>
      <c r="U95" s="169"/>
      <c r="V95" s="169"/>
      <c r="W95" s="169">
        <f t="shared" si="6"/>
        <v>0</v>
      </c>
      <c r="X95" s="167" t="b">
        <f t="shared" si="5"/>
        <v>0</v>
      </c>
      <c r="Y95" s="227">
        <f t="shared" si="7"/>
        <v>0</v>
      </c>
      <c r="Z95"/>
      <c r="AA95"/>
      <c r="AB95"/>
    </row>
    <row r="96" spans="1:28">
      <c r="A96" s="223">
        <v>89</v>
      </c>
      <c r="B96" s="244"/>
      <c r="C96" s="223"/>
      <c r="D96" s="223"/>
      <c r="E96" s="225">
        <f>COUNT(F96:Q96)-COUNT(#REF!)</f>
        <v>0</v>
      </c>
      <c r="F96" s="160"/>
      <c r="G96" s="160"/>
      <c r="H96" s="160"/>
      <c r="I96" s="162"/>
      <c r="J96" s="162"/>
      <c r="K96" s="163"/>
      <c r="L96" s="162"/>
      <c r="M96" s="164"/>
      <c r="N96" s="165"/>
      <c r="O96" s="165"/>
      <c r="P96" s="166"/>
      <c r="Q96" s="175"/>
      <c r="R96" s="226">
        <f t="shared" si="4"/>
        <v>0</v>
      </c>
      <c r="S96" s="168"/>
      <c r="T96" s="177"/>
      <c r="U96" s="169"/>
      <c r="V96" s="169"/>
      <c r="W96" s="169">
        <f t="shared" si="6"/>
        <v>0</v>
      </c>
      <c r="X96" s="167" t="b">
        <f t="shared" si="5"/>
        <v>0</v>
      </c>
      <c r="Y96" s="227">
        <f t="shared" si="7"/>
        <v>0</v>
      </c>
      <c r="Z96"/>
      <c r="AA96"/>
      <c r="AB96"/>
    </row>
    <row r="97" spans="1:51">
      <c r="A97" s="223">
        <v>90</v>
      </c>
      <c r="B97" s="224"/>
      <c r="C97" s="223"/>
      <c r="D97" s="223"/>
      <c r="E97" s="225">
        <f>COUNT(F97:Q97)-COUNT(#REF!)</f>
        <v>0</v>
      </c>
      <c r="F97" s="160"/>
      <c r="G97" s="160"/>
      <c r="H97" s="161"/>
      <c r="I97" s="162"/>
      <c r="J97" s="162"/>
      <c r="K97" s="162"/>
      <c r="L97" s="162"/>
      <c r="M97" s="164"/>
      <c r="N97" s="162"/>
      <c r="O97" s="162"/>
      <c r="P97" s="162"/>
      <c r="Q97" s="162"/>
      <c r="R97" s="226">
        <f t="shared" si="4"/>
        <v>0</v>
      </c>
      <c r="S97" s="168"/>
      <c r="T97" s="165"/>
      <c r="U97" s="169"/>
      <c r="V97" s="169"/>
      <c r="W97" s="169">
        <f t="shared" si="6"/>
        <v>0</v>
      </c>
      <c r="X97" s="167" t="b">
        <f t="shared" si="5"/>
        <v>0</v>
      </c>
      <c r="Y97" s="227">
        <f t="shared" si="7"/>
        <v>0</v>
      </c>
      <c r="Z97"/>
      <c r="AA97"/>
      <c r="AB97"/>
    </row>
    <row r="98" spans="1:51">
      <c r="A98" s="223">
        <v>91</v>
      </c>
      <c r="B98" s="224"/>
      <c r="C98" s="237"/>
      <c r="D98" s="237"/>
      <c r="E98" s="225">
        <f>COUNT(F98:Q98)-COUNT(#REF!)</f>
        <v>0</v>
      </c>
      <c r="F98" s="160"/>
      <c r="G98" s="160"/>
      <c r="H98" s="161"/>
      <c r="I98" s="162"/>
      <c r="J98" s="162"/>
      <c r="K98" s="160"/>
      <c r="L98" s="160"/>
      <c r="M98" s="160"/>
      <c r="N98" s="160"/>
      <c r="O98" s="160"/>
      <c r="P98" s="160"/>
      <c r="Q98" s="160"/>
      <c r="R98" s="226">
        <f t="shared" ref="R98:R109" si="8">SUM(F98:Q98)</f>
        <v>0</v>
      </c>
      <c r="S98" s="168"/>
      <c r="T98" s="165"/>
      <c r="U98" s="169"/>
      <c r="V98" s="169"/>
      <c r="W98" s="169">
        <f t="shared" si="6"/>
        <v>0</v>
      </c>
      <c r="X98" s="167" t="b">
        <f t="shared" si="5"/>
        <v>0</v>
      </c>
      <c r="Y98" s="227">
        <f t="shared" si="7"/>
        <v>0</v>
      </c>
      <c r="Z98"/>
      <c r="AA98"/>
      <c r="AB98"/>
    </row>
    <row r="99" spans="1:51">
      <c r="A99" s="223">
        <v>92</v>
      </c>
      <c r="B99" s="224"/>
      <c r="C99" s="237"/>
      <c r="D99" s="237"/>
      <c r="E99" s="225">
        <f>COUNT(F99:Q99)-COUNT(#REF!)</f>
        <v>0</v>
      </c>
      <c r="F99" s="160"/>
      <c r="G99" s="160"/>
      <c r="H99" s="161"/>
      <c r="I99" s="162"/>
      <c r="J99" s="160"/>
      <c r="K99" s="160"/>
      <c r="L99" s="160"/>
      <c r="M99" s="160"/>
      <c r="N99" s="160"/>
      <c r="O99" s="160"/>
      <c r="P99" s="160"/>
      <c r="Q99" s="160"/>
      <c r="R99" s="226">
        <f t="shared" si="8"/>
        <v>0</v>
      </c>
      <c r="S99" s="168"/>
      <c r="T99" s="165"/>
      <c r="U99" s="169"/>
      <c r="V99" s="169"/>
      <c r="W99" s="169">
        <f t="shared" si="6"/>
        <v>0</v>
      </c>
      <c r="X99" s="167" t="b">
        <f t="shared" si="5"/>
        <v>0</v>
      </c>
      <c r="Y99" s="227">
        <f t="shared" si="7"/>
        <v>0</v>
      </c>
      <c r="Z99"/>
      <c r="AA99"/>
      <c r="AB99"/>
    </row>
    <row r="100" spans="1:51">
      <c r="A100" s="223">
        <v>93</v>
      </c>
      <c r="B100" s="224"/>
      <c r="C100" s="237"/>
      <c r="D100" s="237"/>
      <c r="E100" s="225">
        <f>COUNT(F100:Q100)-COUNT(#REF!)</f>
        <v>0</v>
      </c>
      <c r="F100" s="160"/>
      <c r="G100" s="160"/>
      <c r="H100" s="161"/>
      <c r="I100" s="162"/>
      <c r="J100" s="160"/>
      <c r="K100" s="160"/>
      <c r="L100" s="160"/>
      <c r="M100" s="160"/>
      <c r="N100" s="160"/>
      <c r="O100" s="160"/>
      <c r="P100" s="160"/>
      <c r="Q100" s="160"/>
      <c r="R100" s="226">
        <f t="shared" si="8"/>
        <v>0</v>
      </c>
      <c r="S100" s="168"/>
      <c r="T100" s="165"/>
      <c r="U100" s="169"/>
      <c r="V100" s="169"/>
      <c r="W100" s="169">
        <f t="shared" si="6"/>
        <v>0</v>
      </c>
      <c r="X100" s="167" t="b">
        <f t="shared" si="5"/>
        <v>0</v>
      </c>
      <c r="Y100" s="227">
        <f t="shared" si="7"/>
        <v>0</v>
      </c>
      <c r="Z100"/>
      <c r="AA100"/>
      <c r="AB100"/>
    </row>
    <row r="101" spans="1:51">
      <c r="A101" s="223">
        <v>94</v>
      </c>
      <c r="B101" s="224"/>
      <c r="C101" s="237"/>
      <c r="D101" s="237"/>
      <c r="E101" s="225">
        <f>COUNT(F101:Q101)-COUNT(#REF!)</f>
        <v>0</v>
      </c>
      <c r="F101" s="160"/>
      <c r="G101" s="160"/>
      <c r="H101" s="161"/>
      <c r="I101" s="162"/>
      <c r="J101" s="162"/>
      <c r="K101" s="163"/>
      <c r="L101" s="162"/>
      <c r="M101" s="164"/>
      <c r="N101" s="162"/>
      <c r="O101" s="162"/>
      <c r="P101" s="162"/>
      <c r="Q101" s="162"/>
      <c r="R101" s="226">
        <f t="shared" si="8"/>
        <v>0</v>
      </c>
      <c r="S101" s="168"/>
      <c r="T101" s="165"/>
      <c r="U101" s="169"/>
      <c r="V101" s="169"/>
      <c r="W101" s="169">
        <f t="shared" si="6"/>
        <v>0</v>
      </c>
      <c r="X101" s="167" t="b">
        <f t="shared" si="5"/>
        <v>0</v>
      </c>
      <c r="Y101" s="227">
        <f t="shared" si="7"/>
        <v>0</v>
      </c>
      <c r="Z101"/>
      <c r="AA101"/>
      <c r="AB101"/>
    </row>
    <row r="102" spans="1:51">
      <c r="A102" s="223">
        <v>95</v>
      </c>
      <c r="B102" s="238"/>
      <c r="C102" s="237"/>
      <c r="D102" s="237"/>
      <c r="E102" s="225">
        <f>COUNT(F102:Q102)-COUNT(#REF!)</f>
        <v>0</v>
      </c>
      <c r="F102" s="160"/>
      <c r="G102" s="160"/>
      <c r="H102" s="161"/>
      <c r="I102" s="162"/>
      <c r="J102" s="162"/>
      <c r="K102" s="163"/>
      <c r="L102" s="162"/>
      <c r="M102" s="164"/>
      <c r="N102" s="165"/>
      <c r="O102" s="165"/>
      <c r="P102" s="166"/>
      <c r="Q102" s="167"/>
      <c r="R102" s="226">
        <f t="shared" si="8"/>
        <v>0</v>
      </c>
      <c r="S102" s="168"/>
      <c r="T102" s="165"/>
      <c r="U102" s="169"/>
      <c r="V102" s="169"/>
      <c r="W102" s="169">
        <f t="shared" si="6"/>
        <v>0</v>
      </c>
      <c r="X102" s="167" t="b">
        <f t="shared" si="5"/>
        <v>0</v>
      </c>
      <c r="Y102" s="227">
        <f t="shared" si="7"/>
        <v>0</v>
      </c>
      <c r="Z102"/>
      <c r="AA102"/>
      <c r="AB102"/>
    </row>
    <row r="103" spans="1:51">
      <c r="A103" s="223">
        <v>96</v>
      </c>
      <c r="B103" s="224"/>
      <c r="C103" s="223"/>
      <c r="D103" s="223"/>
      <c r="E103" s="225">
        <f>COUNT(F103:Q103)-COUNT(#REF!)</f>
        <v>0</v>
      </c>
      <c r="F103" s="160"/>
      <c r="G103" s="160"/>
      <c r="H103" s="161"/>
      <c r="I103" s="162"/>
      <c r="J103" s="162"/>
      <c r="K103" s="163"/>
      <c r="L103" s="162"/>
      <c r="M103" s="164"/>
      <c r="N103" s="165"/>
      <c r="O103" s="165"/>
      <c r="P103" s="166"/>
      <c r="Q103" s="167"/>
      <c r="R103" s="226">
        <f t="shared" si="8"/>
        <v>0</v>
      </c>
      <c r="S103" s="168"/>
      <c r="T103" s="165"/>
      <c r="U103" s="169"/>
      <c r="V103" s="169"/>
      <c r="W103" s="169">
        <f t="shared" si="6"/>
        <v>0</v>
      </c>
      <c r="X103" s="167" t="b">
        <f t="shared" si="5"/>
        <v>0</v>
      </c>
      <c r="Y103" s="227">
        <f t="shared" si="7"/>
        <v>0</v>
      </c>
      <c r="Z103"/>
      <c r="AA103"/>
      <c r="AB103"/>
    </row>
    <row r="104" spans="1:51">
      <c r="A104" s="223">
        <v>97</v>
      </c>
      <c r="B104" s="224"/>
      <c r="C104" s="223"/>
      <c r="D104" s="223"/>
      <c r="E104" s="225">
        <f>COUNT(F104:Q104)-COUNT(#REF!)</f>
        <v>0</v>
      </c>
      <c r="F104" s="160"/>
      <c r="G104" s="160"/>
      <c r="H104" s="161"/>
      <c r="I104" s="162"/>
      <c r="J104" s="162"/>
      <c r="K104" s="163"/>
      <c r="L104" s="162"/>
      <c r="M104" s="164"/>
      <c r="N104" s="165"/>
      <c r="O104" s="165"/>
      <c r="P104" s="166"/>
      <c r="Q104" s="167"/>
      <c r="R104" s="226">
        <f t="shared" si="8"/>
        <v>0</v>
      </c>
      <c r="S104" s="168"/>
      <c r="T104" s="165"/>
      <c r="U104" s="169"/>
      <c r="V104" s="169"/>
      <c r="W104" s="169">
        <f t="shared" si="6"/>
        <v>0</v>
      </c>
      <c r="X104" s="167" t="b">
        <f t="shared" si="5"/>
        <v>0</v>
      </c>
      <c r="Y104" s="227">
        <f t="shared" si="7"/>
        <v>0</v>
      </c>
      <c r="Z104"/>
      <c r="AA104"/>
      <c r="AB104"/>
    </row>
    <row r="105" spans="1:51">
      <c r="A105" s="223">
        <v>98</v>
      </c>
      <c r="B105" s="224"/>
      <c r="C105" s="223"/>
      <c r="D105" s="223"/>
      <c r="E105" s="225">
        <f>COUNT(F105:Q105)-COUNT(#REF!)</f>
        <v>0</v>
      </c>
      <c r="F105" s="160"/>
      <c r="G105" s="160"/>
      <c r="H105" s="161"/>
      <c r="I105" s="162"/>
      <c r="J105" s="162"/>
      <c r="K105" s="160"/>
      <c r="L105" s="160"/>
      <c r="M105" s="170"/>
      <c r="N105" s="160"/>
      <c r="O105" s="160"/>
      <c r="P105" s="160"/>
      <c r="Q105" s="160"/>
      <c r="R105" s="226">
        <f t="shared" si="8"/>
        <v>0</v>
      </c>
      <c r="S105" s="168"/>
      <c r="T105" s="165"/>
      <c r="U105" s="169"/>
      <c r="V105" s="169"/>
      <c r="W105" s="169">
        <f t="shared" si="6"/>
        <v>0</v>
      </c>
      <c r="X105" s="167" t="b">
        <f t="shared" si="5"/>
        <v>0</v>
      </c>
      <c r="Y105" s="227">
        <f t="shared" si="7"/>
        <v>0</v>
      </c>
      <c r="Z105"/>
      <c r="AA105"/>
      <c r="AB105"/>
    </row>
    <row r="106" spans="1:51">
      <c r="A106" s="223">
        <v>99</v>
      </c>
      <c r="B106" s="224"/>
      <c r="C106" s="223"/>
      <c r="D106" s="223"/>
      <c r="E106" s="225">
        <f>COUNT(F106:Q106)-COUNT(#REF!)</f>
        <v>0</v>
      </c>
      <c r="F106" s="160"/>
      <c r="G106" s="160"/>
      <c r="H106" s="161"/>
      <c r="I106" s="162"/>
      <c r="J106" s="162"/>
      <c r="K106" s="163"/>
      <c r="L106" s="162"/>
      <c r="M106" s="164"/>
      <c r="N106" s="165"/>
      <c r="O106" s="165"/>
      <c r="P106" s="166"/>
      <c r="Q106" s="167"/>
      <c r="R106" s="226">
        <f t="shared" si="8"/>
        <v>0</v>
      </c>
      <c r="S106" s="168"/>
      <c r="T106" s="165"/>
      <c r="U106" s="169"/>
      <c r="V106" s="169"/>
      <c r="W106" s="169">
        <f t="shared" si="6"/>
        <v>0</v>
      </c>
      <c r="X106" s="167" t="b">
        <f t="shared" si="5"/>
        <v>0</v>
      </c>
      <c r="Y106" s="227">
        <f t="shared" si="7"/>
        <v>0</v>
      </c>
      <c r="Z106"/>
      <c r="AA106"/>
      <c r="AB106"/>
    </row>
    <row r="107" spans="1:51">
      <c r="A107" s="223">
        <v>100</v>
      </c>
      <c r="B107" s="224"/>
      <c r="C107" s="223"/>
      <c r="D107" s="223"/>
      <c r="E107" s="225">
        <f>COUNT(F107:Q107)-COUNT(#REF!)</f>
        <v>0</v>
      </c>
      <c r="F107" s="160"/>
      <c r="G107" s="160"/>
      <c r="H107" s="161"/>
      <c r="I107" s="162"/>
      <c r="J107" s="162"/>
      <c r="K107" s="163"/>
      <c r="L107" s="162"/>
      <c r="M107" s="164"/>
      <c r="N107" s="165"/>
      <c r="O107" s="165"/>
      <c r="P107" s="166"/>
      <c r="Q107" s="167"/>
      <c r="R107" s="226">
        <f t="shared" si="8"/>
        <v>0</v>
      </c>
      <c r="S107" s="168"/>
      <c r="T107" s="165"/>
      <c r="U107" s="169"/>
      <c r="V107" s="169"/>
      <c r="W107" s="169">
        <f t="shared" si="6"/>
        <v>0</v>
      </c>
      <c r="X107" s="167" t="b">
        <f t="shared" si="5"/>
        <v>0</v>
      </c>
      <c r="Y107" s="227">
        <f t="shared" si="7"/>
        <v>0</v>
      </c>
      <c r="Z107"/>
      <c r="AA107"/>
      <c r="AB107"/>
    </row>
    <row r="108" spans="1:51">
      <c r="A108" s="223">
        <v>101</v>
      </c>
      <c r="B108" s="224"/>
      <c r="C108" s="223"/>
      <c r="D108" s="223"/>
      <c r="E108" s="225">
        <f>COUNT(F108:Q108)-COUNT(#REF!)</f>
        <v>0</v>
      </c>
      <c r="F108" s="160"/>
      <c r="G108" s="160"/>
      <c r="H108" s="161"/>
      <c r="I108" s="162"/>
      <c r="J108" s="162"/>
      <c r="K108" s="163"/>
      <c r="L108" s="162"/>
      <c r="M108" s="164"/>
      <c r="N108" s="165"/>
      <c r="O108" s="165"/>
      <c r="P108" s="166"/>
      <c r="Q108" s="167"/>
      <c r="R108" s="226">
        <f t="shared" si="8"/>
        <v>0</v>
      </c>
      <c r="S108" s="168"/>
      <c r="T108" s="165"/>
      <c r="U108" s="169"/>
      <c r="V108" s="169"/>
      <c r="W108" s="169">
        <f t="shared" si="6"/>
        <v>0</v>
      </c>
      <c r="X108" s="167" t="b">
        <f t="shared" si="5"/>
        <v>0</v>
      </c>
      <c r="Y108" s="227">
        <f t="shared" si="7"/>
        <v>0</v>
      </c>
      <c r="Z108"/>
      <c r="AA108"/>
      <c r="AB108"/>
    </row>
    <row r="109" spans="1:51" ht="15.75" thickBot="1">
      <c r="A109" s="223">
        <v>102</v>
      </c>
      <c r="B109" s="224"/>
      <c r="C109" s="223"/>
      <c r="D109" s="223"/>
      <c r="E109" s="225">
        <f>COUNT(F109:Q109)-COUNT(#REF!)</f>
        <v>0</v>
      </c>
      <c r="F109" s="160"/>
      <c r="G109" s="160"/>
      <c r="H109" s="160"/>
      <c r="I109" s="160"/>
      <c r="J109" s="160"/>
      <c r="K109" s="160"/>
      <c r="L109" s="160"/>
      <c r="M109" s="170"/>
      <c r="N109" s="160"/>
      <c r="O109" s="160"/>
      <c r="P109" s="160"/>
      <c r="Q109" s="160"/>
      <c r="R109" s="226">
        <f t="shared" si="8"/>
        <v>0</v>
      </c>
      <c r="S109" s="168"/>
      <c r="T109" s="165"/>
      <c r="U109" s="169"/>
      <c r="V109" s="169"/>
      <c r="W109" s="169">
        <f t="shared" si="6"/>
        <v>0</v>
      </c>
      <c r="X109" s="167" t="b">
        <f t="shared" si="5"/>
        <v>0</v>
      </c>
      <c r="Y109" s="227">
        <f t="shared" si="7"/>
        <v>0</v>
      </c>
      <c r="Z109"/>
      <c r="AA109"/>
      <c r="AB109"/>
    </row>
    <row r="110" spans="1:51" ht="15.75" thickBot="1">
      <c r="A110" s="468" t="s">
        <v>349</v>
      </c>
      <c r="B110" s="469"/>
      <c r="C110" s="178"/>
      <c r="D110" s="178"/>
      <c r="E110" s="179">
        <f t="shared" ref="E110:Y110" si="9">SUM(E8:E109)</f>
        <v>667</v>
      </c>
      <c r="F110" s="179">
        <f t="shared" si="9"/>
        <v>292592985.60000008</v>
      </c>
      <c r="G110" s="179">
        <f t="shared" si="9"/>
        <v>259687192.60000011</v>
      </c>
      <c r="H110" s="179">
        <f t="shared" si="9"/>
        <v>316957528.60000008</v>
      </c>
      <c r="I110" s="179">
        <f t="shared" si="9"/>
        <v>285430582.60000008</v>
      </c>
      <c r="J110" s="179">
        <f t="shared" si="9"/>
        <v>283896156.60000008</v>
      </c>
      <c r="K110" s="179">
        <f t="shared" si="9"/>
        <v>319210569.60000008</v>
      </c>
      <c r="L110" s="179">
        <f t="shared" si="9"/>
        <v>279939679.79999995</v>
      </c>
      <c r="M110" s="179">
        <f t="shared" si="9"/>
        <v>281580461.43999988</v>
      </c>
      <c r="N110" s="179">
        <f t="shared" si="9"/>
        <v>304465516.83999985</v>
      </c>
      <c r="O110" s="179">
        <f t="shared" si="9"/>
        <v>289963982.83999991</v>
      </c>
      <c r="P110" s="179">
        <f t="shared" si="9"/>
        <v>277346204.83999985</v>
      </c>
      <c r="Q110" s="179">
        <f t="shared" si="9"/>
        <v>0</v>
      </c>
      <c r="R110" s="179">
        <f t="shared" si="9"/>
        <v>3191070861.3599982</v>
      </c>
      <c r="S110" s="179">
        <f t="shared" si="9"/>
        <v>235897075</v>
      </c>
      <c r="T110" s="179">
        <f t="shared" si="9"/>
        <v>27150000</v>
      </c>
      <c r="U110" s="179">
        <f t="shared" si="9"/>
        <v>0</v>
      </c>
      <c r="V110" s="179">
        <f t="shared" si="9"/>
        <v>0</v>
      </c>
      <c r="W110" s="179">
        <f t="shared" si="9"/>
        <v>3454117936.3599977</v>
      </c>
      <c r="X110" s="179">
        <f t="shared" si="9"/>
        <v>0</v>
      </c>
      <c r="Y110" s="179">
        <f t="shared" si="9"/>
        <v>0</v>
      </c>
      <c r="Z110"/>
      <c r="AA110"/>
      <c r="AB110"/>
      <c r="AE110" s="154"/>
      <c r="AF110" s="154"/>
      <c r="AG110" s="154"/>
      <c r="AH110" s="154"/>
      <c r="AI110" s="154"/>
      <c r="AJ110" s="154"/>
      <c r="AK110" s="154"/>
      <c r="AL110" s="154"/>
      <c r="AM110" s="154"/>
      <c r="AN110" s="154"/>
      <c r="AO110" s="154"/>
      <c r="AP110" s="154"/>
      <c r="AQ110" s="154"/>
      <c r="AR110" s="154"/>
      <c r="AS110" s="154"/>
      <c r="AT110" s="154"/>
      <c r="AU110" s="154"/>
      <c r="AV110" s="154"/>
      <c r="AW110" s="154"/>
      <c r="AX110" s="154"/>
      <c r="AY110" s="154"/>
    </row>
    <row r="111" spans="1:51">
      <c r="A111" s="180"/>
      <c r="B111" s="180"/>
      <c r="C111" s="181"/>
      <c r="D111" s="181"/>
      <c r="E111" s="181"/>
      <c r="F111" s="182"/>
      <c r="G111" s="182"/>
      <c r="H111" s="182"/>
      <c r="I111" s="182"/>
      <c r="J111" s="182"/>
      <c r="K111" s="182"/>
      <c r="L111" s="182"/>
      <c r="M111" s="182"/>
      <c r="N111" s="182"/>
      <c r="O111" s="182"/>
      <c r="P111" s="182"/>
      <c r="Q111" s="182"/>
      <c r="R111" s="182"/>
      <c r="S111" s="182"/>
      <c r="T111" s="182"/>
      <c r="U111" s="182"/>
      <c r="V111" s="182"/>
      <c r="W111" s="182"/>
      <c r="X111" s="182"/>
      <c r="Y111" s="182"/>
      <c r="Z111"/>
      <c r="AA111"/>
      <c r="AB111"/>
    </row>
    <row r="112" spans="1:51">
      <c r="A112" s="144"/>
      <c r="B112" s="144"/>
      <c r="C112" s="183"/>
      <c r="D112" s="183"/>
      <c r="E112" s="183"/>
      <c r="F112" s="145"/>
      <c r="G112" s="145"/>
      <c r="H112" s="145"/>
      <c r="I112" s="145"/>
      <c r="J112" s="145"/>
      <c r="K112" s="145"/>
      <c r="L112" s="145"/>
      <c r="M112" s="145"/>
      <c r="N112" s="145"/>
      <c r="O112" s="146"/>
      <c r="P112" s="146"/>
      <c r="Q112" s="145"/>
      <c r="R112" s="146"/>
      <c r="S112" s="146"/>
      <c r="T112" s="145"/>
      <c r="U112" s="184"/>
      <c r="V112" s="145"/>
      <c r="W112" s="145"/>
      <c r="X112" s="145"/>
      <c r="Y112" s="145"/>
      <c r="Z112"/>
      <c r="AA112"/>
      <c r="AB112"/>
    </row>
    <row r="113" spans="1:51">
      <c r="A113" s="180"/>
      <c r="B113" s="180"/>
      <c r="C113" s="181"/>
      <c r="D113" s="181"/>
      <c r="E113" s="181"/>
      <c r="F113" s="187"/>
      <c r="G113" s="187"/>
      <c r="H113" s="187"/>
      <c r="I113" s="187"/>
      <c r="J113" s="187"/>
      <c r="K113" s="187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7"/>
      <c r="W113" s="187"/>
      <c r="X113" s="187"/>
      <c r="Y113" s="187"/>
      <c r="Z113"/>
      <c r="AA113"/>
      <c r="AB113"/>
    </row>
    <row r="114" spans="1:51">
      <c r="A114" s="180"/>
      <c r="B114" s="180"/>
      <c r="C114" s="181"/>
      <c r="D114" s="181"/>
      <c r="E114" s="181"/>
      <c r="F114" s="187"/>
      <c r="G114" s="187"/>
      <c r="H114" s="187"/>
      <c r="I114" s="187"/>
      <c r="J114" s="187"/>
      <c r="K114" s="187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7"/>
      <c r="W114" s="187"/>
      <c r="X114" s="187"/>
      <c r="Y114" s="187"/>
      <c r="Z114"/>
      <c r="AA114"/>
      <c r="AB114"/>
    </row>
    <row r="115" spans="1:51">
      <c r="A115" s="180"/>
      <c r="B115" s="180"/>
      <c r="C115" s="181"/>
      <c r="D115" s="181"/>
      <c r="E115" s="181"/>
      <c r="F115" s="187"/>
      <c r="G115" s="187"/>
      <c r="H115" s="187"/>
      <c r="I115" s="187"/>
      <c r="J115" s="187"/>
      <c r="K115" s="187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7"/>
      <c r="W115" s="187"/>
      <c r="X115" s="187"/>
      <c r="Y115" s="187"/>
      <c r="Z115"/>
      <c r="AA115"/>
      <c r="AB115"/>
    </row>
    <row r="116" spans="1:51">
      <c r="A116" s="223">
        <v>4</v>
      </c>
      <c r="B116" s="229" t="s">
        <v>464</v>
      </c>
      <c r="C116" s="223" t="s">
        <v>39</v>
      </c>
      <c r="D116" s="223" t="s">
        <v>9</v>
      </c>
      <c r="E116" s="225">
        <f>COUNT(F116:Q116)-COUNT(#REF!)</f>
        <v>6</v>
      </c>
      <c r="F116" s="160">
        <v>6328025.5599999996</v>
      </c>
      <c r="G116" s="160">
        <v>4793363.5599999996</v>
      </c>
      <c r="H116" s="161">
        <v>4655582.5599999996</v>
      </c>
      <c r="I116" s="162">
        <v>5304488.5599999996</v>
      </c>
      <c r="J116" s="162">
        <v>4951518.5599999996</v>
      </c>
      <c r="K116" s="163">
        <v>6320755.5599999996</v>
      </c>
      <c r="L116" s="162"/>
      <c r="M116" s="164"/>
      <c r="N116" s="165"/>
      <c r="O116" s="165"/>
      <c r="P116" s="166"/>
      <c r="Q116" s="167"/>
      <c r="R116" s="226">
        <f>SUM(F116:P116)</f>
        <v>32353734.359999996</v>
      </c>
      <c r="S116" s="168">
        <v>4063100</v>
      </c>
      <c r="T116" s="165">
        <v>200000</v>
      </c>
      <c r="U116" s="169"/>
      <c r="V116" s="169"/>
      <c r="W116" s="169">
        <f>SUM(R116:V116)</f>
        <v>36616834.359999999</v>
      </c>
      <c r="X116" s="167" t="b">
        <f>IF(D116="TK",54000000,IF(D116="K0",58500000,IF(D116="K1",63000000,IF(D116="K2",67500000,IF(D116="K3",72000000)))))</f>
        <v>0</v>
      </c>
      <c r="Y116" s="227">
        <f>IF(W116&lt;=X116,0,IF(W116&gt;X116,W116-X116))</f>
        <v>0</v>
      </c>
      <c r="Z116"/>
      <c r="AA116"/>
      <c r="AB116"/>
    </row>
    <row r="117" spans="1:51">
      <c r="A117" s="223">
        <v>49</v>
      </c>
      <c r="B117" s="233" t="s">
        <v>509</v>
      </c>
      <c r="C117" s="223" t="s">
        <v>39</v>
      </c>
      <c r="D117" s="223" t="s">
        <v>9</v>
      </c>
      <c r="E117" s="225">
        <f>COUNT(F117:Q117)-COUNT(#REF!)</f>
        <v>8</v>
      </c>
      <c r="F117" s="160">
        <v>4598926.5599999996</v>
      </c>
      <c r="G117" s="160">
        <v>4092609.5599999996</v>
      </c>
      <c r="H117" s="161">
        <v>5583411.5599999996</v>
      </c>
      <c r="I117" s="162">
        <v>4594279.5599999996</v>
      </c>
      <c r="J117" s="162">
        <v>4544808.5599999996</v>
      </c>
      <c r="K117" s="163">
        <v>5740171.5599999996</v>
      </c>
      <c r="L117" s="162">
        <v>4519969.76</v>
      </c>
      <c r="M117" s="164">
        <v>4756173.76</v>
      </c>
      <c r="N117" s="162"/>
      <c r="O117" s="162"/>
      <c r="P117" s="164"/>
      <c r="Q117" s="164"/>
      <c r="R117" s="226">
        <f>SUM(F117:Q117)</f>
        <v>38430350.879999995</v>
      </c>
      <c r="S117" s="168">
        <v>4040100</v>
      </c>
      <c r="T117" s="165">
        <v>200000</v>
      </c>
      <c r="U117" s="169"/>
      <c r="V117" s="169"/>
      <c r="W117" s="169">
        <f>SUM(R117:V117)</f>
        <v>42670450.879999995</v>
      </c>
      <c r="X117" s="167" t="b">
        <f>IF(D117="TK",54000000,IF(D117="K0",58500000,IF(D117="K1",63000000,IF(D117="K2",67500000,IF(D117="K3",72000000)))))</f>
        <v>0</v>
      </c>
      <c r="Y117" s="227">
        <f>IF(W117&lt;=X117,0,IF(W117&gt;X117,W117-X117))</f>
        <v>0</v>
      </c>
      <c r="Z117"/>
      <c r="AA117"/>
      <c r="AB117"/>
    </row>
    <row r="118" spans="1:51">
      <c r="A118" s="223">
        <v>51</v>
      </c>
      <c r="B118" s="229" t="s">
        <v>511</v>
      </c>
      <c r="C118" s="223" t="s">
        <v>39</v>
      </c>
      <c r="D118" s="223" t="s">
        <v>11</v>
      </c>
      <c r="E118" s="225">
        <f>COUNT(F118:Q118)-COUNT(#REF!)</f>
        <v>8</v>
      </c>
      <c r="F118" s="160">
        <v>4699414.5599999996</v>
      </c>
      <c r="G118" s="160">
        <v>4152152.5599999996</v>
      </c>
      <c r="H118" s="161">
        <v>5074339.5599999996</v>
      </c>
      <c r="I118" s="162">
        <v>4655139.5599999996</v>
      </c>
      <c r="J118" s="162">
        <v>4630456.5599999996</v>
      </c>
      <c r="K118" s="163">
        <v>5534796.5599999996</v>
      </c>
      <c r="L118" s="162">
        <v>4273061.5599999996</v>
      </c>
      <c r="M118" s="164">
        <v>4106319.5599999996</v>
      </c>
      <c r="N118" s="165"/>
      <c r="O118" s="165"/>
      <c r="P118" s="166"/>
      <c r="Q118" s="167"/>
      <c r="R118" s="226">
        <f>SUM(F118:Q118)</f>
        <v>37125680.479999997</v>
      </c>
      <c r="S118" s="168">
        <v>3369250</v>
      </c>
      <c r="T118" s="165">
        <v>116667</v>
      </c>
      <c r="U118" s="169"/>
      <c r="V118" s="169"/>
      <c r="W118" s="169">
        <f>SUM(R118:V118)</f>
        <v>40611597.479999997</v>
      </c>
      <c r="X118" s="167" t="b">
        <f>IF(D118="TK",54000000,IF(D118="K0",58500000,IF(D118="K1",63000000,IF(D118="K2",67500000,IF(D118="K3",72000000)))))</f>
        <v>0</v>
      </c>
      <c r="Y118" s="227">
        <f>IF(W118&lt;=X118,0,IF(W118&gt;X118,W118-X118))</f>
        <v>0</v>
      </c>
      <c r="Z118"/>
      <c r="AA118"/>
      <c r="AB118"/>
      <c r="AE118" s="173"/>
      <c r="AF118" s="173"/>
      <c r="AG118" s="173"/>
      <c r="AH118" s="173"/>
      <c r="AI118" s="173"/>
      <c r="AJ118" s="173"/>
      <c r="AK118" s="173"/>
      <c r="AL118" s="173"/>
      <c r="AM118" s="173"/>
      <c r="AN118" s="173"/>
      <c r="AO118" s="173"/>
      <c r="AP118" s="173"/>
      <c r="AQ118" s="173"/>
      <c r="AR118" s="173"/>
      <c r="AS118" s="173"/>
      <c r="AT118" s="173"/>
      <c r="AU118" s="173"/>
      <c r="AV118" s="173"/>
      <c r="AW118" s="173"/>
      <c r="AX118" s="173"/>
      <c r="AY118" s="173"/>
    </row>
  </sheetData>
  <mergeCells count="24">
    <mergeCell ref="V5:V6"/>
    <mergeCell ref="A110:B110"/>
    <mergeCell ref="P5:P6"/>
    <mergeCell ref="Q5:Q6"/>
    <mergeCell ref="R5:R6"/>
    <mergeCell ref="S5:S6"/>
    <mergeCell ref="T5:T6"/>
    <mergeCell ref="A4:A6"/>
    <mergeCell ref="B4:B6"/>
    <mergeCell ref="C4:C6"/>
    <mergeCell ref="D4:D6"/>
    <mergeCell ref="E4:E6"/>
    <mergeCell ref="F4:W4"/>
    <mergeCell ref="F5:F6"/>
    <mergeCell ref="G5:G6"/>
    <mergeCell ref="H5:H6"/>
    <mergeCell ref="I5:I6"/>
    <mergeCell ref="U5:U6"/>
    <mergeCell ref="J5:J6"/>
    <mergeCell ref="K5:K6"/>
    <mergeCell ref="L5:L6"/>
    <mergeCell ref="M5:M6"/>
    <mergeCell ref="N5:N6"/>
    <mergeCell ref="O5:O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0"/>
  <sheetViews>
    <sheetView topLeftCell="A84" workbookViewId="0">
      <selection activeCell="N18" sqref="N18"/>
    </sheetView>
  </sheetViews>
  <sheetFormatPr defaultRowHeight="15"/>
  <cols>
    <col min="1" max="1" width="8.85546875" style="154" customWidth="1"/>
    <col min="2" max="2" width="23.140625" style="263" bestFit="1" customWidth="1"/>
    <col min="3" max="3" width="4.28515625" style="154" customWidth="1"/>
    <col min="4" max="4" width="5" style="154" customWidth="1"/>
    <col min="5" max="5" width="8.42578125" style="154" customWidth="1"/>
    <col min="6" max="6" width="19.85546875" style="154" customWidth="1"/>
    <col min="7" max="7" width="15.140625" style="154" customWidth="1"/>
    <col min="8" max="8" width="18.42578125" style="263" customWidth="1"/>
    <col min="9" max="9" width="15.85546875" style="154" customWidth="1"/>
    <col min="10" max="10" width="14.42578125" style="154" customWidth="1"/>
    <col min="11" max="11" width="17.28515625" style="154" bestFit="1" customWidth="1"/>
    <col min="12" max="12" width="19.28515625" style="154" bestFit="1" customWidth="1"/>
    <col min="13" max="13" width="22.140625" style="154" customWidth="1"/>
    <col min="14" max="14" width="17.5703125" style="154" bestFit="1" customWidth="1"/>
    <col min="15" max="15" width="17.140625" style="154" customWidth="1"/>
    <col min="16" max="16" width="14.140625" style="154" bestFit="1" customWidth="1"/>
    <col min="17" max="17" width="17.140625" style="154" customWidth="1"/>
    <col min="18" max="18" width="19.140625" style="154" bestFit="1" customWidth="1"/>
    <col min="19" max="19" width="17.85546875" style="154" customWidth="1"/>
    <col min="20" max="20" width="17.28515625" style="154" customWidth="1"/>
    <col min="21" max="21" width="18.42578125" style="154" customWidth="1"/>
    <col min="22" max="22" width="15.140625" style="154" bestFit="1" customWidth="1"/>
    <col min="23" max="16384" width="9.140625" style="154"/>
  </cols>
  <sheetData>
    <row r="1" spans="1:22">
      <c r="A1" s="245" t="s">
        <v>323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/>
      <c r="T1" s="245"/>
    </row>
    <row r="2" spans="1:22">
      <c r="A2" s="245" t="s">
        <v>459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</row>
    <row r="3" spans="1:22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6"/>
      <c r="O3" s="245"/>
      <c r="P3" s="245"/>
      <c r="Q3" s="245"/>
      <c r="R3" s="245"/>
      <c r="S3" s="245"/>
      <c r="T3" s="245"/>
    </row>
    <row r="4" spans="1:22">
      <c r="A4" s="484" t="s">
        <v>0</v>
      </c>
      <c r="B4" s="484" t="s">
        <v>324</v>
      </c>
      <c r="C4" s="484" t="s">
        <v>37</v>
      </c>
      <c r="D4" s="484" t="s">
        <v>325</v>
      </c>
      <c r="E4" s="487" t="s">
        <v>326</v>
      </c>
      <c r="F4" s="499" t="s">
        <v>352</v>
      </c>
      <c r="G4" s="499"/>
      <c r="H4" s="499"/>
      <c r="I4" s="499"/>
      <c r="J4" s="499"/>
      <c r="K4" s="499"/>
      <c r="L4" s="499"/>
      <c r="M4" s="247"/>
      <c r="N4" s="247" t="s">
        <v>353</v>
      </c>
      <c r="O4" s="490" t="s">
        <v>354</v>
      </c>
      <c r="P4" s="491"/>
      <c r="Q4" s="491"/>
      <c r="R4" s="492"/>
      <c r="S4" s="247"/>
      <c r="T4" s="247"/>
    </row>
    <row r="5" spans="1:22" ht="15" customHeight="1">
      <c r="A5" s="485"/>
      <c r="B5" s="485"/>
      <c r="C5" s="485"/>
      <c r="D5" s="485"/>
      <c r="E5" s="488"/>
      <c r="F5" s="493" t="s">
        <v>340</v>
      </c>
      <c r="G5" s="495" t="s">
        <v>174</v>
      </c>
      <c r="H5" s="248" t="s">
        <v>355</v>
      </c>
      <c r="I5" s="493" t="s">
        <v>356</v>
      </c>
      <c r="J5" s="493" t="s">
        <v>357</v>
      </c>
      <c r="K5" s="493" t="s">
        <v>342</v>
      </c>
      <c r="L5" s="497" t="s">
        <v>358</v>
      </c>
      <c r="M5" s="249" t="s">
        <v>344</v>
      </c>
      <c r="N5" s="249" t="s">
        <v>359</v>
      </c>
      <c r="O5" s="249" t="s">
        <v>360</v>
      </c>
      <c r="P5" s="249" t="s">
        <v>361</v>
      </c>
      <c r="Q5" s="250" t="s">
        <v>362</v>
      </c>
      <c r="R5" s="249" t="s">
        <v>344</v>
      </c>
      <c r="S5" s="249" t="s">
        <v>6</v>
      </c>
      <c r="T5" s="249" t="s">
        <v>345</v>
      </c>
    </row>
    <row r="6" spans="1:22">
      <c r="A6" s="486"/>
      <c r="B6" s="486"/>
      <c r="C6" s="486"/>
      <c r="D6" s="486"/>
      <c r="E6" s="489"/>
      <c r="F6" s="494"/>
      <c r="G6" s="496"/>
      <c r="H6" s="251">
        <v>8.3999999999999995E-3</v>
      </c>
      <c r="I6" s="494"/>
      <c r="J6" s="494"/>
      <c r="K6" s="494"/>
      <c r="L6" s="498"/>
      <c r="M6" s="252" t="s">
        <v>363</v>
      </c>
      <c r="N6" s="253" t="s">
        <v>364</v>
      </c>
      <c r="O6" s="253">
        <v>0.01</v>
      </c>
      <c r="P6" s="252" t="s">
        <v>365</v>
      </c>
      <c r="Q6" s="254" t="s">
        <v>366</v>
      </c>
      <c r="R6" s="249" t="s">
        <v>346</v>
      </c>
      <c r="S6" s="249"/>
      <c r="T6" s="249" t="s">
        <v>347</v>
      </c>
    </row>
    <row r="7" spans="1:22" ht="15" customHeight="1">
      <c r="A7" s="245" t="s">
        <v>351</v>
      </c>
      <c r="B7" s="245"/>
      <c r="C7" s="245"/>
      <c r="D7" s="245"/>
      <c r="E7" s="255"/>
      <c r="F7" s="255"/>
      <c r="G7" s="255"/>
      <c r="H7" s="255"/>
      <c r="I7" s="255"/>
      <c r="J7" s="255"/>
      <c r="K7" s="255"/>
      <c r="L7" s="255"/>
      <c r="M7" s="255"/>
      <c r="N7" s="255"/>
      <c r="O7" s="255"/>
      <c r="P7" s="255"/>
      <c r="Q7" s="255"/>
      <c r="R7" s="256"/>
      <c r="S7" s="257"/>
      <c r="T7" s="257"/>
    </row>
    <row r="8" spans="1:22">
      <c r="A8" s="188">
        <v>1</v>
      </c>
      <c r="B8" s="190" t="str">
        <f>+PERBULAN!B8</f>
        <v>SUDARMONO</v>
      </c>
      <c r="C8" s="190" t="str">
        <f>+PERBULAN!C8</f>
        <v>L</v>
      </c>
      <c r="D8" s="190" t="str">
        <f>+PERBULAN!D8</f>
        <v>K/2</v>
      </c>
      <c r="E8" s="258">
        <f>+PERBULAN!E8</f>
        <v>11</v>
      </c>
      <c r="F8" s="169">
        <f>+PERBULAN!R8</f>
        <v>75847821.159999996</v>
      </c>
      <c r="G8" s="189">
        <f>+PERBULAN!S8</f>
        <v>4093600</v>
      </c>
      <c r="H8" s="189">
        <f>+BPJS!O129</f>
        <v>360465.83999999997</v>
      </c>
      <c r="I8" s="169">
        <f>+BPJS!O8</f>
        <v>1728624</v>
      </c>
      <c r="J8" s="169">
        <f>+PERBULAN!T8</f>
        <v>200000</v>
      </c>
      <c r="K8" s="189"/>
      <c r="L8" s="189" t="e">
        <f>'[4]BULANAN PTKP BARU'!V8</f>
        <v>#REF!</v>
      </c>
      <c r="M8" s="169">
        <f>F8+G8+I8+J8+K8+H8</f>
        <v>82230511</v>
      </c>
      <c r="N8" s="169">
        <f>+'ASTEK-DIISI SMPAI DES'!O8</f>
        <v>936864</v>
      </c>
      <c r="O8" s="169">
        <f>+'ASTEK-DIISI SMPAI DES'!O123</f>
        <v>468432</v>
      </c>
      <c r="P8" s="169">
        <f>M8*5%</f>
        <v>4111525.5500000003</v>
      </c>
      <c r="Q8" s="169">
        <f>N8+P8+O8</f>
        <v>5516821.5500000007</v>
      </c>
      <c r="R8" s="169">
        <f>M8-Q8</f>
        <v>76713689.450000003</v>
      </c>
      <c r="S8" s="167">
        <f>IF(D8="TK/0",54000000,IF(D8="K/0",58500000,IF(D8="K/1",63000000,IF(D8="K/2",67500000,IF(D8="K/3",72000000)))))</f>
        <v>67500000</v>
      </c>
      <c r="T8" s="191">
        <f>IF(R8&lt;=S8,0,IF(R8&gt;S8,R8-S8))</f>
        <v>9213689.450000003</v>
      </c>
      <c r="U8" s="259">
        <f>F8-H8-I8</f>
        <v>73758731.319999993</v>
      </c>
      <c r="V8" s="260">
        <f>H8+I8</f>
        <v>2089089.8399999999</v>
      </c>
    </row>
    <row r="9" spans="1:22">
      <c r="A9" s="188">
        <v>2</v>
      </c>
      <c r="B9" s="190" t="str">
        <f>+PERBULAN!B9</f>
        <v>ARDIYANSA</v>
      </c>
      <c r="C9" s="190" t="str">
        <f>+PERBULAN!C9</f>
        <v>L</v>
      </c>
      <c r="D9" s="190" t="str">
        <f>+PERBULAN!D9</f>
        <v>TK/0</v>
      </c>
      <c r="E9" s="258">
        <f>+PERBULAN!E9</f>
        <v>11</v>
      </c>
      <c r="F9" s="169">
        <f>+PERBULAN!R9</f>
        <v>75979262.359999999</v>
      </c>
      <c r="G9" s="189">
        <f>+PERBULAN!S9</f>
        <v>3974100</v>
      </c>
      <c r="H9" s="189">
        <f>+BPJS!O130</f>
        <v>359558.64</v>
      </c>
      <c r="I9" s="169">
        <f>+BPJS!O9</f>
        <v>1719384</v>
      </c>
      <c r="J9" s="169">
        <f>+PERBULAN!T9</f>
        <v>900000</v>
      </c>
      <c r="K9" s="189"/>
      <c r="L9" s="189" t="e">
        <f>'[4]BULANAN PTKP BARU'!V9</f>
        <v>#REF!</v>
      </c>
      <c r="M9" s="169">
        <f t="shared" ref="M9:M68" si="0">F9+G9+I9+J9+K9+H9</f>
        <v>82932305</v>
      </c>
      <c r="N9" s="169">
        <f>+'ASTEK-DIISI SMPAI DES'!O9</f>
        <v>934284</v>
      </c>
      <c r="O9" s="169">
        <f>+'ASTEK-DIISI SMPAI DES'!O124</f>
        <v>467142</v>
      </c>
      <c r="P9" s="169">
        <f t="shared" ref="P9:P42" si="1">M9*5%</f>
        <v>4146615.25</v>
      </c>
      <c r="Q9" s="169">
        <f t="shared" ref="Q9:Q68" si="2">N9+P9+O9</f>
        <v>5548041.25</v>
      </c>
      <c r="R9" s="169">
        <f t="shared" ref="R9:R68" si="3">M9-Q9</f>
        <v>77384263.75</v>
      </c>
      <c r="S9" s="167">
        <f t="shared" ref="S9:S30" si="4">IF(D9="TK/0",54000000,IF(D9="K/0",58500000,IF(D9="K/1",63000000,IF(D9="K/2",67500000,IF(D9="K/3",72000000)))))</f>
        <v>54000000</v>
      </c>
      <c r="T9" s="191">
        <f t="shared" ref="T9:T68" si="5">IF(R9&lt;=S9,0,IF(R9&gt;S9,R9-S9))</f>
        <v>23384263.75</v>
      </c>
      <c r="U9" s="259">
        <f t="shared" ref="U9:U68" si="6">F9-H9-I9</f>
        <v>73900319.719999999</v>
      </c>
      <c r="V9" s="260">
        <f t="shared" ref="V9:V70" si="7">H9+I9</f>
        <v>2078942.6400000001</v>
      </c>
    </row>
    <row r="10" spans="1:22">
      <c r="A10" s="188">
        <v>3</v>
      </c>
      <c r="B10" s="190" t="str">
        <f>+PERBULAN!B10</f>
        <v>INDRA JAYA</v>
      </c>
      <c r="C10" s="190" t="str">
        <f>+PERBULAN!C10</f>
        <v>L</v>
      </c>
      <c r="D10" s="190" t="str">
        <f>+PERBULAN!D10</f>
        <v>K/1</v>
      </c>
      <c r="E10" s="258">
        <f>+PERBULAN!E10</f>
        <v>11</v>
      </c>
      <c r="F10" s="169">
        <f>+PERBULAN!R10</f>
        <v>52357598.159999996</v>
      </c>
      <c r="G10" s="189">
        <f>+PERBULAN!S10</f>
        <v>4063100</v>
      </c>
      <c r="H10" s="189">
        <f>+BPJS!O131</f>
        <v>360318.84</v>
      </c>
      <c r="I10" s="169">
        <f>+BPJS!O10</f>
        <v>1727224</v>
      </c>
      <c r="J10" s="169">
        <f>+PERBULAN!T10</f>
        <v>200000</v>
      </c>
      <c r="K10" s="189"/>
      <c r="L10" s="189" t="e">
        <f>'[4]BULANAN PTKP BARU'!V10</f>
        <v>#REF!</v>
      </c>
      <c r="M10" s="169">
        <f t="shared" si="0"/>
        <v>58708241</v>
      </c>
      <c r="N10" s="169">
        <f>+'ASTEK-DIISI SMPAI DES'!O10</f>
        <v>936444</v>
      </c>
      <c r="O10" s="169">
        <f>+'ASTEK-DIISI SMPAI DES'!O125</f>
        <v>468222</v>
      </c>
      <c r="P10" s="169">
        <f t="shared" si="1"/>
        <v>2935412.0500000003</v>
      </c>
      <c r="Q10" s="169">
        <f t="shared" si="2"/>
        <v>4340078.0500000007</v>
      </c>
      <c r="R10" s="169">
        <f t="shared" si="3"/>
        <v>54368162.950000003</v>
      </c>
      <c r="S10" s="167">
        <f t="shared" si="4"/>
        <v>63000000</v>
      </c>
      <c r="T10" s="191">
        <f t="shared" si="5"/>
        <v>0</v>
      </c>
      <c r="U10" s="259">
        <f t="shared" si="6"/>
        <v>50270055.319999993</v>
      </c>
      <c r="V10" s="260">
        <f t="shared" si="7"/>
        <v>2087542.84</v>
      </c>
    </row>
    <row r="11" spans="1:22">
      <c r="A11" s="188">
        <v>4</v>
      </c>
      <c r="B11" s="190" t="str">
        <f>+PERBULAN!B11</f>
        <v>USPANDI</v>
      </c>
      <c r="C11" s="190" t="str">
        <f>+PERBULAN!C11</f>
        <v>L</v>
      </c>
      <c r="D11" s="190" t="str">
        <f>+PERBULAN!D11</f>
        <v>K/2</v>
      </c>
      <c r="E11" s="258">
        <f>+PERBULAN!E11</f>
        <v>11</v>
      </c>
      <c r="F11" s="169">
        <f>+PERBULAN!R11</f>
        <v>72250749.159999996</v>
      </c>
      <c r="G11" s="189">
        <f>+PERBULAN!S11</f>
        <v>4128600</v>
      </c>
      <c r="H11" s="189">
        <f>+BPJS!O132</f>
        <v>361788.84</v>
      </c>
      <c r="I11" s="169">
        <f>+BPJS!O11</f>
        <v>1742344</v>
      </c>
      <c r="J11" s="169">
        <f>+PERBULAN!T11</f>
        <v>900000</v>
      </c>
      <c r="K11" s="189"/>
      <c r="L11" s="189" t="e">
        <f>'[4]BULANAN PTKP BARU'!V12</f>
        <v>#REF!</v>
      </c>
      <c r="M11" s="169">
        <f t="shared" si="0"/>
        <v>79383482</v>
      </c>
      <c r="N11" s="169">
        <f>+'ASTEK-DIISI SMPAI DES'!O11</f>
        <v>940644</v>
      </c>
      <c r="O11" s="169">
        <f>+'ASTEK-DIISI SMPAI DES'!O126</f>
        <v>470322</v>
      </c>
      <c r="P11" s="169">
        <f t="shared" si="1"/>
        <v>3969174.1</v>
      </c>
      <c r="Q11" s="169">
        <f t="shared" si="2"/>
        <v>5380140.0999999996</v>
      </c>
      <c r="R11" s="169">
        <f t="shared" si="3"/>
        <v>74003341.900000006</v>
      </c>
      <c r="S11" s="167">
        <f t="shared" si="4"/>
        <v>67500000</v>
      </c>
      <c r="T11" s="191">
        <f t="shared" si="5"/>
        <v>6503341.900000006</v>
      </c>
      <c r="U11" s="259">
        <f t="shared" si="6"/>
        <v>70146616.319999993</v>
      </c>
      <c r="V11" s="260">
        <f t="shared" si="7"/>
        <v>2104132.84</v>
      </c>
    </row>
    <row r="12" spans="1:22">
      <c r="A12" s="188">
        <v>5</v>
      </c>
      <c r="B12" s="190" t="str">
        <f>+PERBULAN!B12</f>
        <v>NOVI SUHAIDI</v>
      </c>
      <c r="C12" s="190" t="str">
        <f>+PERBULAN!C12</f>
        <v>L</v>
      </c>
      <c r="D12" s="190" t="str">
        <f>+PERBULAN!D12</f>
        <v>K/2</v>
      </c>
      <c r="E12" s="258">
        <f>+PERBULAN!E12</f>
        <v>11</v>
      </c>
      <c r="F12" s="169">
        <f>+PERBULAN!R12</f>
        <v>71210785.359999999</v>
      </c>
      <c r="G12" s="189">
        <f>+PERBULAN!S12</f>
        <v>4090100</v>
      </c>
      <c r="H12" s="189">
        <f>+BPJS!O133</f>
        <v>360230.64</v>
      </c>
      <c r="I12" s="169">
        <f>+BPJS!O12</f>
        <v>1726384</v>
      </c>
      <c r="J12" s="169">
        <f>+PERBULAN!T12</f>
        <v>600000</v>
      </c>
      <c r="K12" s="189"/>
      <c r="L12" s="189" t="e">
        <f>'[4]BULANAN PTKP BARU'!V13</f>
        <v>#REF!</v>
      </c>
      <c r="M12" s="169">
        <f t="shared" si="0"/>
        <v>77987500</v>
      </c>
      <c r="N12" s="169">
        <f>+'ASTEK-DIISI SMPAI DES'!O12</f>
        <v>936234</v>
      </c>
      <c r="O12" s="169">
        <f>+'ASTEK-DIISI SMPAI DES'!O127</f>
        <v>468117</v>
      </c>
      <c r="P12" s="169">
        <f t="shared" si="1"/>
        <v>3899375</v>
      </c>
      <c r="Q12" s="169">
        <f t="shared" si="2"/>
        <v>5303726</v>
      </c>
      <c r="R12" s="169">
        <f t="shared" si="3"/>
        <v>72683774</v>
      </c>
      <c r="S12" s="167">
        <f t="shared" si="4"/>
        <v>67500000</v>
      </c>
      <c r="T12" s="191">
        <f t="shared" si="5"/>
        <v>5183774</v>
      </c>
      <c r="U12" s="259">
        <f t="shared" si="6"/>
        <v>69124170.719999999</v>
      </c>
      <c r="V12" s="260">
        <f t="shared" si="7"/>
        <v>2086614.6400000001</v>
      </c>
    </row>
    <row r="13" spans="1:22">
      <c r="A13" s="188">
        <v>6</v>
      </c>
      <c r="B13" s="190" t="str">
        <f>+PERBULAN!B13</f>
        <v>ROSLI</v>
      </c>
      <c r="C13" s="190" t="str">
        <f>+PERBULAN!C13</f>
        <v>L</v>
      </c>
      <c r="D13" s="190" t="str">
        <f>+PERBULAN!D13</f>
        <v>K/2</v>
      </c>
      <c r="E13" s="258">
        <f>+PERBULAN!E13</f>
        <v>11</v>
      </c>
      <c r="F13" s="169">
        <f>+PERBULAN!R13</f>
        <v>47672565.159999996</v>
      </c>
      <c r="G13" s="189">
        <f>+PERBULAN!S13</f>
        <v>4093600</v>
      </c>
      <c r="H13" s="189">
        <f>+BPJS!O134</f>
        <v>360465.83999999997</v>
      </c>
      <c r="I13" s="169">
        <f>+BPJS!O13</f>
        <v>1728764</v>
      </c>
      <c r="J13" s="169">
        <f>+PERBULAN!T13</f>
        <v>600000</v>
      </c>
      <c r="K13" s="189"/>
      <c r="L13" s="189" t="e">
        <f>'[4]BULANAN PTKP BARU'!V14</f>
        <v>#REF!</v>
      </c>
      <c r="M13" s="169">
        <f t="shared" si="0"/>
        <v>54455395</v>
      </c>
      <c r="N13" s="169">
        <f>+'ASTEK-DIISI SMPAI DES'!O13</f>
        <v>936864</v>
      </c>
      <c r="O13" s="169">
        <f>+'ASTEK-DIISI SMPAI DES'!O128</f>
        <v>468432</v>
      </c>
      <c r="P13" s="169">
        <f t="shared" si="1"/>
        <v>2722769.75</v>
      </c>
      <c r="Q13" s="169">
        <f t="shared" si="2"/>
        <v>4128065.75</v>
      </c>
      <c r="R13" s="169">
        <f t="shared" si="3"/>
        <v>50327329.25</v>
      </c>
      <c r="S13" s="167">
        <f t="shared" si="4"/>
        <v>67500000</v>
      </c>
      <c r="T13" s="191">
        <f t="shared" si="5"/>
        <v>0</v>
      </c>
      <c r="U13" s="259">
        <f t="shared" si="6"/>
        <v>45583335.319999993</v>
      </c>
      <c r="V13" s="260">
        <f t="shared" si="7"/>
        <v>2089229.8399999999</v>
      </c>
    </row>
    <row r="14" spans="1:22">
      <c r="A14" s="188">
        <v>7</v>
      </c>
      <c r="B14" s="190" t="str">
        <f>+PERBULAN!B14</f>
        <v>AMRIL</v>
      </c>
      <c r="C14" s="190" t="str">
        <f>+PERBULAN!C14</f>
        <v>L</v>
      </c>
      <c r="D14" s="190" t="str">
        <f>+PERBULAN!D14</f>
        <v>K/1</v>
      </c>
      <c r="E14" s="258">
        <f>+PERBULAN!E14</f>
        <v>11</v>
      </c>
      <c r="F14" s="169">
        <f>+PERBULAN!R14</f>
        <v>83850031.159999996</v>
      </c>
      <c r="G14" s="189">
        <f>+PERBULAN!S14</f>
        <v>4063100</v>
      </c>
      <c r="H14" s="189">
        <f>+BPJS!O135</f>
        <v>360318.84</v>
      </c>
      <c r="I14" s="169">
        <f>+BPJS!O14</f>
        <v>1727224</v>
      </c>
      <c r="J14" s="169">
        <f>+PERBULAN!T14</f>
        <v>900000</v>
      </c>
      <c r="K14" s="189"/>
      <c r="L14" s="189" t="e">
        <f>'[4]BULANAN PTKP BARU'!V15</f>
        <v>#REF!</v>
      </c>
      <c r="M14" s="169">
        <f t="shared" si="0"/>
        <v>90900674</v>
      </c>
      <c r="N14" s="169">
        <f>+'ASTEK-DIISI SMPAI DES'!O14</f>
        <v>936444</v>
      </c>
      <c r="O14" s="169">
        <f>+'ASTEK-DIISI SMPAI DES'!O129</f>
        <v>468222</v>
      </c>
      <c r="P14" s="169">
        <f t="shared" si="1"/>
        <v>4545033.7</v>
      </c>
      <c r="Q14" s="169">
        <f t="shared" si="2"/>
        <v>5949699.7000000002</v>
      </c>
      <c r="R14" s="169">
        <f t="shared" si="3"/>
        <v>84950974.299999997</v>
      </c>
      <c r="S14" s="167">
        <f t="shared" si="4"/>
        <v>63000000</v>
      </c>
      <c r="T14" s="191">
        <f t="shared" si="5"/>
        <v>21950974.299999997</v>
      </c>
      <c r="U14" s="259">
        <f t="shared" si="6"/>
        <v>81762488.319999993</v>
      </c>
      <c r="V14" s="260">
        <f t="shared" si="7"/>
        <v>2087542.84</v>
      </c>
    </row>
    <row r="15" spans="1:22">
      <c r="A15" s="188">
        <v>8</v>
      </c>
      <c r="B15" s="190" t="str">
        <f>+PERBULAN!B15</f>
        <v>KARMILA</v>
      </c>
      <c r="C15" s="190" t="str">
        <f>+PERBULAN!C15</f>
        <v>P</v>
      </c>
      <c r="D15" s="190" t="str">
        <f>+PERBULAN!D15</f>
        <v>TK/0</v>
      </c>
      <c r="E15" s="258">
        <f>+PERBULAN!E15</f>
        <v>11</v>
      </c>
      <c r="F15" s="169">
        <f>+PERBULAN!R15</f>
        <v>44452479.159999996</v>
      </c>
      <c r="G15" s="189">
        <f>+PERBULAN!S15</f>
        <v>3991100</v>
      </c>
      <c r="H15" s="189">
        <f>+BPJS!O136</f>
        <v>360318.84</v>
      </c>
      <c r="I15" s="169">
        <f>+BPJS!O15</f>
        <v>1727364</v>
      </c>
      <c r="J15" s="169">
        <f>+PERBULAN!T15</f>
        <v>900000</v>
      </c>
      <c r="K15" s="189"/>
      <c r="L15" s="189" t="e">
        <f>'[4]BULANAN PTKP BARU'!V16</f>
        <v>#REF!</v>
      </c>
      <c r="M15" s="169">
        <f t="shared" si="0"/>
        <v>51431262</v>
      </c>
      <c r="N15" s="169">
        <f>+'ASTEK-DIISI SMPAI DES'!O15</f>
        <v>936444</v>
      </c>
      <c r="O15" s="169">
        <f>+'ASTEK-DIISI SMPAI DES'!O130</f>
        <v>468222</v>
      </c>
      <c r="P15" s="169">
        <f t="shared" si="1"/>
        <v>2571563.1</v>
      </c>
      <c r="Q15" s="169">
        <f t="shared" si="2"/>
        <v>3976229.1</v>
      </c>
      <c r="R15" s="169">
        <f t="shared" si="3"/>
        <v>47455032.899999999</v>
      </c>
      <c r="S15" s="167">
        <f t="shared" si="4"/>
        <v>54000000</v>
      </c>
      <c r="T15" s="191">
        <f t="shared" si="5"/>
        <v>0</v>
      </c>
      <c r="U15" s="259">
        <f t="shared" si="6"/>
        <v>42364796.319999993</v>
      </c>
      <c r="V15" s="260">
        <f t="shared" si="7"/>
        <v>2087682.84</v>
      </c>
    </row>
    <row r="16" spans="1:22">
      <c r="A16" s="188">
        <v>9</v>
      </c>
      <c r="B16" s="190" t="str">
        <f>+PERBULAN!B16</f>
        <v>MARTUTI</v>
      </c>
      <c r="C16" s="190" t="str">
        <f>+PERBULAN!C16</f>
        <v>P</v>
      </c>
      <c r="D16" s="190" t="str">
        <f>+PERBULAN!D16</f>
        <v>TK/0</v>
      </c>
      <c r="E16" s="258">
        <f>+PERBULAN!E16</f>
        <v>11</v>
      </c>
      <c r="F16" s="169">
        <f>+PERBULAN!R16</f>
        <v>44469978.759999998</v>
      </c>
      <c r="G16" s="189">
        <f>+PERBULAN!S16</f>
        <v>3994600</v>
      </c>
      <c r="H16" s="189">
        <f>+BPJS!O137</f>
        <v>360348.24</v>
      </c>
      <c r="I16" s="169">
        <f>+BPJS!O16</f>
        <v>1728064</v>
      </c>
      <c r="J16" s="169">
        <f>+PERBULAN!T16</f>
        <v>900000</v>
      </c>
      <c r="K16" s="189"/>
      <c r="L16" s="189" t="e">
        <f>'[4]BULANAN PTKP BARU'!V17</f>
        <v>#REF!</v>
      </c>
      <c r="M16" s="169">
        <f t="shared" si="0"/>
        <v>51452991</v>
      </c>
      <c r="N16" s="169">
        <f>+'ASTEK-DIISI SMPAI DES'!O16</f>
        <v>936584</v>
      </c>
      <c r="O16" s="169">
        <f>+'ASTEK-DIISI SMPAI DES'!O131</f>
        <v>468292</v>
      </c>
      <c r="P16" s="169">
        <f t="shared" si="1"/>
        <v>2572649.5500000003</v>
      </c>
      <c r="Q16" s="169">
        <f t="shared" si="2"/>
        <v>3977525.5500000003</v>
      </c>
      <c r="R16" s="169">
        <f t="shared" si="3"/>
        <v>47475465.450000003</v>
      </c>
      <c r="S16" s="167">
        <f t="shared" si="4"/>
        <v>54000000</v>
      </c>
      <c r="T16" s="191">
        <f t="shared" si="5"/>
        <v>0</v>
      </c>
      <c r="U16" s="259">
        <f t="shared" si="6"/>
        <v>42381566.519999996</v>
      </c>
      <c r="V16" s="260">
        <f t="shared" si="7"/>
        <v>2088412.24</v>
      </c>
    </row>
    <row r="17" spans="1:22">
      <c r="A17" s="188">
        <v>10</v>
      </c>
      <c r="B17" s="190" t="str">
        <f>+PERBULAN!B17</f>
        <v>HARNIAWATI</v>
      </c>
      <c r="C17" s="190" t="str">
        <f>+PERBULAN!C17</f>
        <v>P</v>
      </c>
      <c r="D17" s="190" t="str">
        <f>+PERBULAN!D17</f>
        <v>TK/0</v>
      </c>
      <c r="E17" s="258">
        <f>+PERBULAN!E17</f>
        <v>11</v>
      </c>
      <c r="F17" s="169">
        <f>+PERBULAN!R17</f>
        <v>44469978.759999998</v>
      </c>
      <c r="G17" s="189">
        <f>+PERBULAN!S17</f>
        <v>3994600</v>
      </c>
      <c r="H17" s="189">
        <f>+BPJS!O138</f>
        <v>360348.24</v>
      </c>
      <c r="I17" s="169">
        <f>+BPJS!O17</f>
        <v>1728064</v>
      </c>
      <c r="J17" s="169">
        <f>+PERBULAN!T17</f>
        <v>900000</v>
      </c>
      <c r="K17" s="189"/>
      <c r="L17" s="189" t="e">
        <f>'[4]BULANAN PTKP BARU'!V18</f>
        <v>#REF!</v>
      </c>
      <c r="M17" s="169">
        <f t="shared" si="0"/>
        <v>51452991</v>
      </c>
      <c r="N17" s="169">
        <f>+'ASTEK-DIISI SMPAI DES'!O17</f>
        <v>936584</v>
      </c>
      <c r="O17" s="169">
        <f>+'ASTEK-DIISI SMPAI DES'!O132</f>
        <v>468292</v>
      </c>
      <c r="P17" s="169">
        <f t="shared" si="1"/>
        <v>2572649.5500000003</v>
      </c>
      <c r="Q17" s="169">
        <f t="shared" si="2"/>
        <v>3977525.5500000003</v>
      </c>
      <c r="R17" s="169">
        <f t="shared" si="3"/>
        <v>47475465.450000003</v>
      </c>
      <c r="S17" s="167">
        <f t="shared" si="4"/>
        <v>54000000</v>
      </c>
      <c r="T17" s="191">
        <f t="shared" si="5"/>
        <v>0</v>
      </c>
      <c r="U17" s="259">
        <f t="shared" si="6"/>
        <v>42381566.519999996</v>
      </c>
      <c r="V17" s="260">
        <f t="shared" si="7"/>
        <v>2088412.24</v>
      </c>
    </row>
    <row r="18" spans="1:22">
      <c r="A18" s="188">
        <v>11</v>
      </c>
      <c r="B18" s="190" t="str">
        <f>+PERBULAN!B18</f>
        <v>MARYATI</v>
      </c>
      <c r="C18" s="190" t="str">
        <f>+PERBULAN!C18</f>
        <v>P</v>
      </c>
      <c r="D18" s="190" t="str">
        <f>+PERBULAN!D18</f>
        <v>TK/0</v>
      </c>
      <c r="E18" s="258">
        <f>+PERBULAN!E18</f>
        <v>11</v>
      </c>
      <c r="F18" s="169">
        <f>+PERBULAN!R18</f>
        <v>44352507.160000004</v>
      </c>
      <c r="G18" s="189">
        <f>+PERBULAN!S18</f>
        <v>3994600</v>
      </c>
      <c r="H18" s="189">
        <f>+BPJS!O139</f>
        <v>360465.83999999997</v>
      </c>
      <c r="I18" s="169">
        <f>+BPJS!O18</f>
        <v>1728624</v>
      </c>
      <c r="J18" s="169">
        <f>+PERBULAN!T18</f>
        <v>900000</v>
      </c>
      <c r="K18" s="189"/>
      <c r="L18" s="189" t="e">
        <f>'[4]BULANAN PTKP BARU'!V19</f>
        <v>#REF!</v>
      </c>
      <c r="M18" s="169">
        <f t="shared" si="0"/>
        <v>51336197.000000007</v>
      </c>
      <c r="N18" s="169">
        <f>+'ASTEK-DIISI SMPAI DES'!O18</f>
        <v>936864</v>
      </c>
      <c r="O18" s="169">
        <f>+'ASTEK-DIISI SMPAI DES'!O133</f>
        <v>468432</v>
      </c>
      <c r="P18" s="169">
        <f t="shared" si="1"/>
        <v>2566809.8500000006</v>
      </c>
      <c r="Q18" s="169">
        <f t="shared" si="2"/>
        <v>3972105.8500000006</v>
      </c>
      <c r="R18" s="169">
        <f t="shared" si="3"/>
        <v>47364091.150000006</v>
      </c>
      <c r="S18" s="167">
        <f t="shared" si="4"/>
        <v>54000000</v>
      </c>
      <c r="T18" s="191">
        <f t="shared" si="5"/>
        <v>0</v>
      </c>
      <c r="U18" s="259">
        <f t="shared" si="6"/>
        <v>42263417.32</v>
      </c>
      <c r="V18" s="260">
        <f t="shared" si="7"/>
        <v>2089089.8399999999</v>
      </c>
    </row>
    <row r="19" spans="1:22">
      <c r="A19" s="188">
        <v>12</v>
      </c>
      <c r="B19" s="190" t="str">
        <f>+PERBULAN!B19</f>
        <v>KOPRIATI</v>
      </c>
      <c r="C19" s="190" t="str">
        <f>+PERBULAN!C19</f>
        <v>P</v>
      </c>
      <c r="D19" s="190" t="str">
        <f>+PERBULAN!D19</f>
        <v>TK/0</v>
      </c>
      <c r="E19" s="258">
        <f>+PERBULAN!E19</f>
        <v>11</v>
      </c>
      <c r="F19" s="169">
        <f>+PERBULAN!R19</f>
        <v>44432569.159999996</v>
      </c>
      <c r="G19" s="189">
        <f>+PERBULAN!S19</f>
        <v>4029600</v>
      </c>
      <c r="H19" s="189">
        <f>+BPJS!O140</f>
        <v>361788.84</v>
      </c>
      <c r="I19" s="169">
        <f>+BPJS!O19</f>
        <v>1742344</v>
      </c>
      <c r="J19" s="169">
        <f>+PERBULAN!T19</f>
        <v>200000</v>
      </c>
      <c r="K19" s="189"/>
      <c r="L19" s="189" t="e">
        <f>'[4]BULANAN PTKP BARU'!V20</f>
        <v>#REF!</v>
      </c>
      <c r="M19" s="169">
        <f t="shared" si="0"/>
        <v>50766302</v>
      </c>
      <c r="N19" s="169">
        <f>+'ASTEK-DIISI SMPAI DES'!O19</f>
        <v>940644</v>
      </c>
      <c r="O19" s="169">
        <f>+'ASTEK-DIISI SMPAI DES'!O134</f>
        <v>470322</v>
      </c>
      <c r="P19" s="169">
        <f t="shared" si="1"/>
        <v>2538315.1</v>
      </c>
      <c r="Q19" s="169">
        <f t="shared" si="2"/>
        <v>3949281.1</v>
      </c>
      <c r="R19" s="169">
        <f t="shared" si="3"/>
        <v>46817020.899999999</v>
      </c>
      <c r="S19" s="167">
        <f t="shared" si="4"/>
        <v>54000000</v>
      </c>
      <c r="T19" s="191">
        <f t="shared" si="5"/>
        <v>0</v>
      </c>
      <c r="U19" s="259">
        <f t="shared" si="6"/>
        <v>42328436.319999993</v>
      </c>
      <c r="V19" s="260">
        <f t="shared" si="7"/>
        <v>2104132.84</v>
      </c>
    </row>
    <row r="20" spans="1:22">
      <c r="A20" s="188">
        <v>13</v>
      </c>
      <c r="B20" s="190" t="str">
        <f>+PERBULAN!B20</f>
        <v>ASNIATI</v>
      </c>
      <c r="C20" s="190" t="str">
        <f>+PERBULAN!C20</f>
        <v>P</v>
      </c>
      <c r="D20" s="190" t="str">
        <f>+PERBULAN!D20</f>
        <v>TK/0</v>
      </c>
      <c r="E20" s="258">
        <f>+PERBULAN!E20</f>
        <v>11</v>
      </c>
      <c r="F20" s="169">
        <f>+PERBULAN!R20</f>
        <v>44448979.159999996</v>
      </c>
      <c r="G20" s="189">
        <f>+PERBULAN!S20</f>
        <v>3991100</v>
      </c>
      <c r="H20" s="189">
        <f>+BPJS!O141</f>
        <v>360318.84</v>
      </c>
      <c r="I20" s="169">
        <f>+BPJS!O20</f>
        <v>1727224</v>
      </c>
      <c r="J20" s="169">
        <f>+PERBULAN!T20</f>
        <v>600000</v>
      </c>
      <c r="K20" s="189"/>
      <c r="L20" s="189" t="e">
        <f>'[4]BULANAN PTKP BARU'!V21</f>
        <v>#REF!</v>
      </c>
      <c r="M20" s="169">
        <f t="shared" si="0"/>
        <v>51127622</v>
      </c>
      <c r="N20" s="169">
        <f>+'ASTEK-DIISI SMPAI DES'!O20</f>
        <v>936444</v>
      </c>
      <c r="O20" s="169">
        <f>+'ASTEK-DIISI SMPAI DES'!O135</f>
        <v>468222</v>
      </c>
      <c r="P20" s="169">
        <f t="shared" si="1"/>
        <v>2556381.1</v>
      </c>
      <c r="Q20" s="169">
        <f t="shared" si="2"/>
        <v>3961047.1</v>
      </c>
      <c r="R20" s="169">
        <f t="shared" si="3"/>
        <v>47166574.899999999</v>
      </c>
      <c r="S20" s="167">
        <f t="shared" si="4"/>
        <v>54000000</v>
      </c>
      <c r="T20" s="191">
        <f t="shared" si="5"/>
        <v>0</v>
      </c>
      <c r="U20" s="259">
        <f t="shared" si="6"/>
        <v>42361436.319999993</v>
      </c>
      <c r="V20" s="260">
        <f t="shared" si="7"/>
        <v>2087542.84</v>
      </c>
    </row>
    <row r="21" spans="1:22">
      <c r="A21" s="188">
        <v>14</v>
      </c>
      <c r="B21" s="190" t="str">
        <f>+PERBULAN!B21</f>
        <v>ANDIWATI</v>
      </c>
      <c r="C21" s="190" t="str">
        <f>+PERBULAN!C21</f>
        <v>P</v>
      </c>
      <c r="D21" s="190" t="str">
        <f>+PERBULAN!D21</f>
        <v>TK/0</v>
      </c>
      <c r="E21" s="258">
        <f>+PERBULAN!E21</f>
        <v>11</v>
      </c>
      <c r="F21" s="169">
        <f>+PERBULAN!R21</f>
        <v>44438477.959999993</v>
      </c>
      <c r="G21" s="189">
        <f>+PERBULAN!S21</f>
        <v>3991100</v>
      </c>
      <c r="H21" s="189">
        <f>+BPJS!O142</f>
        <v>360260.04</v>
      </c>
      <c r="I21" s="169">
        <f>+BPJS!O21</f>
        <v>1726804</v>
      </c>
      <c r="J21" s="169">
        <f>+PERBULAN!T21</f>
        <v>600000</v>
      </c>
      <c r="K21" s="189"/>
      <c r="L21" s="189" t="e">
        <f>'[4]BULANAN PTKP BARU'!V22</f>
        <v>#REF!</v>
      </c>
      <c r="M21" s="169">
        <f t="shared" si="0"/>
        <v>51116641.999999993</v>
      </c>
      <c r="N21" s="169">
        <f>+'ASTEK-DIISI SMPAI DES'!O21</f>
        <v>936304</v>
      </c>
      <c r="O21" s="169">
        <f>+'ASTEK-DIISI SMPAI DES'!O136</f>
        <v>468152</v>
      </c>
      <c r="P21" s="169">
        <f t="shared" si="1"/>
        <v>2555832.0999999996</v>
      </c>
      <c r="Q21" s="169">
        <f t="shared" si="2"/>
        <v>3960288.0999999996</v>
      </c>
      <c r="R21" s="169">
        <f t="shared" si="3"/>
        <v>47156353.899999991</v>
      </c>
      <c r="S21" s="167">
        <f t="shared" si="4"/>
        <v>54000000</v>
      </c>
      <c r="T21" s="191">
        <f t="shared" si="5"/>
        <v>0</v>
      </c>
      <c r="U21" s="259">
        <f t="shared" si="6"/>
        <v>42351413.919999994</v>
      </c>
      <c r="V21" s="260">
        <f t="shared" si="7"/>
        <v>2087064.04</v>
      </c>
    </row>
    <row r="22" spans="1:22">
      <c r="A22" s="188">
        <v>15</v>
      </c>
      <c r="B22" s="190" t="str">
        <f>+PERBULAN!B22</f>
        <v>MARYANA.So</v>
      </c>
      <c r="C22" s="190" t="str">
        <f>+PERBULAN!C22</f>
        <v>P</v>
      </c>
      <c r="D22" s="190" t="str">
        <f>+PERBULAN!D22</f>
        <v>TK/0</v>
      </c>
      <c r="E22" s="258">
        <f>+PERBULAN!E22</f>
        <v>11</v>
      </c>
      <c r="F22" s="169">
        <f>+PERBULAN!R22</f>
        <v>44317509.159999996</v>
      </c>
      <c r="G22" s="189">
        <f>+PERBULAN!S22</f>
        <v>3991100</v>
      </c>
      <c r="H22" s="189">
        <f>+BPJS!O143</f>
        <v>360318.84</v>
      </c>
      <c r="I22" s="169">
        <f>+BPJS!O22</f>
        <v>1727224</v>
      </c>
      <c r="J22" s="169">
        <f>+PERBULAN!T22</f>
        <v>900000</v>
      </c>
      <c r="K22" s="189"/>
      <c r="L22" s="189" t="e">
        <f>'[4]BULANAN PTKP BARU'!V23</f>
        <v>#REF!</v>
      </c>
      <c r="M22" s="169">
        <f t="shared" si="0"/>
        <v>51296152</v>
      </c>
      <c r="N22" s="169">
        <f>+'ASTEK-DIISI SMPAI DES'!O22</f>
        <v>936444</v>
      </c>
      <c r="O22" s="169">
        <f>+'ASTEK-DIISI SMPAI DES'!O137</f>
        <v>468222</v>
      </c>
      <c r="P22" s="169">
        <f t="shared" si="1"/>
        <v>2564807.6</v>
      </c>
      <c r="Q22" s="169">
        <f t="shared" si="2"/>
        <v>3969473.6</v>
      </c>
      <c r="R22" s="169">
        <f t="shared" si="3"/>
        <v>47326678.399999999</v>
      </c>
      <c r="S22" s="167">
        <f t="shared" si="4"/>
        <v>54000000</v>
      </c>
      <c r="T22" s="191">
        <f t="shared" si="5"/>
        <v>0</v>
      </c>
      <c r="U22" s="259">
        <f t="shared" si="6"/>
        <v>42229966.319999993</v>
      </c>
      <c r="V22" s="260">
        <f t="shared" si="7"/>
        <v>2087542.84</v>
      </c>
    </row>
    <row r="23" spans="1:22">
      <c r="A23" s="188">
        <v>16</v>
      </c>
      <c r="B23" s="190" t="str">
        <f>+PERBULAN!B23</f>
        <v>TUTI</v>
      </c>
      <c r="C23" s="190" t="str">
        <f>+PERBULAN!C23</f>
        <v>P</v>
      </c>
      <c r="D23" s="190" t="str">
        <f>+PERBULAN!D23</f>
        <v>TK/0</v>
      </c>
      <c r="E23" s="258">
        <f>+PERBULAN!E23</f>
        <v>11</v>
      </c>
      <c r="F23" s="169">
        <f>+PERBULAN!R23</f>
        <v>44494477.160000004</v>
      </c>
      <c r="G23" s="189">
        <f>+PERBULAN!S23</f>
        <v>3994600</v>
      </c>
      <c r="H23" s="189">
        <f>+BPJS!O144</f>
        <v>360465.83999999997</v>
      </c>
      <c r="I23" s="169">
        <f>+BPJS!O23</f>
        <v>1729044</v>
      </c>
      <c r="J23" s="169">
        <f>+PERBULAN!T23</f>
        <v>600000</v>
      </c>
      <c r="K23" s="189"/>
      <c r="L23" s="189" t="e">
        <f>'[4]BULANAN PTKP BARU'!V24</f>
        <v>#REF!</v>
      </c>
      <c r="M23" s="169">
        <f t="shared" si="0"/>
        <v>51178587.000000007</v>
      </c>
      <c r="N23" s="169">
        <f>+'ASTEK-DIISI SMPAI DES'!O23</f>
        <v>936864</v>
      </c>
      <c r="O23" s="169">
        <f>+'ASTEK-DIISI SMPAI DES'!O138</f>
        <v>468432</v>
      </c>
      <c r="P23" s="169">
        <f t="shared" si="1"/>
        <v>2558929.3500000006</v>
      </c>
      <c r="Q23" s="169">
        <f t="shared" si="2"/>
        <v>3964225.3500000006</v>
      </c>
      <c r="R23" s="169">
        <f t="shared" si="3"/>
        <v>47214361.650000006</v>
      </c>
      <c r="S23" s="167">
        <f t="shared" si="4"/>
        <v>54000000</v>
      </c>
      <c r="T23" s="191">
        <f t="shared" si="5"/>
        <v>0</v>
      </c>
      <c r="U23" s="259">
        <f t="shared" si="6"/>
        <v>42404967.32</v>
      </c>
      <c r="V23" s="260">
        <f t="shared" si="7"/>
        <v>2089509.8399999999</v>
      </c>
    </row>
    <row r="24" spans="1:22">
      <c r="A24" s="188">
        <v>17</v>
      </c>
      <c r="B24" s="190" t="str">
        <f>+PERBULAN!B24</f>
        <v>AGUSTIANA</v>
      </c>
      <c r="C24" s="190" t="str">
        <f>+PERBULAN!C24</f>
        <v>P</v>
      </c>
      <c r="D24" s="190" t="str">
        <f>+PERBULAN!D24</f>
        <v>TK/0</v>
      </c>
      <c r="E24" s="258">
        <f>+PERBULAN!E24</f>
        <v>11</v>
      </c>
      <c r="F24" s="169">
        <f>+PERBULAN!R24</f>
        <v>44480477.560000002</v>
      </c>
      <c r="G24" s="189">
        <f>+PERBULAN!S24</f>
        <v>3994600</v>
      </c>
      <c r="H24" s="189">
        <f>+BPJS!O145</f>
        <v>360436.43999999994</v>
      </c>
      <c r="I24" s="169">
        <f>+BPJS!O24</f>
        <v>1728484</v>
      </c>
      <c r="J24" s="169">
        <f>+PERBULAN!T24</f>
        <v>600000</v>
      </c>
      <c r="K24" s="189"/>
      <c r="L24" s="189" t="e">
        <f>'[4]BULANAN PTKP BARU'!V25</f>
        <v>#REF!</v>
      </c>
      <c r="M24" s="169">
        <f t="shared" si="0"/>
        <v>51163998</v>
      </c>
      <c r="N24" s="169">
        <f>+'ASTEK-DIISI SMPAI DES'!O24</f>
        <v>936794</v>
      </c>
      <c r="O24" s="169">
        <f>+'ASTEK-DIISI SMPAI DES'!O139</f>
        <v>468397</v>
      </c>
      <c r="P24" s="169">
        <f t="shared" si="1"/>
        <v>2558199.9000000004</v>
      </c>
      <c r="Q24" s="169">
        <f t="shared" si="2"/>
        <v>3963390.9000000004</v>
      </c>
      <c r="R24" s="169">
        <f t="shared" si="3"/>
        <v>47200607.100000001</v>
      </c>
      <c r="S24" s="167">
        <f t="shared" si="4"/>
        <v>54000000</v>
      </c>
      <c r="T24" s="191">
        <f t="shared" si="5"/>
        <v>0</v>
      </c>
      <c r="U24" s="259">
        <f t="shared" si="6"/>
        <v>42391557.120000005</v>
      </c>
      <c r="V24" s="260">
        <f t="shared" si="7"/>
        <v>2088920.44</v>
      </c>
    </row>
    <row r="25" spans="1:22">
      <c r="A25" s="188">
        <v>18</v>
      </c>
      <c r="B25" s="190" t="str">
        <f>+PERBULAN!B25</f>
        <v>SISWANTO</v>
      </c>
      <c r="C25" s="190" t="str">
        <f>+PERBULAN!C25</f>
        <v>L</v>
      </c>
      <c r="D25" s="190" t="str">
        <f>+PERBULAN!D25</f>
        <v>K/0</v>
      </c>
      <c r="E25" s="258">
        <f>+PERBULAN!E25</f>
        <v>11</v>
      </c>
      <c r="F25" s="169">
        <f>+PERBULAN!R25</f>
        <v>44597915.960000001</v>
      </c>
      <c r="G25" s="189">
        <f>+PERBULAN!S25</f>
        <v>4041600</v>
      </c>
      <c r="H25" s="189">
        <f>+BPJS!O146</f>
        <v>360554.04</v>
      </c>
      <c r="I25" s="169">
        <f>+BPJS!O25</f>
        <v>1729884</v>
      </c>
      <c r="J25" s="169">
        <f>+PERBULAN!T25</f>
        <v>200000</v>
      </c>
      <c r="K25" s="189"/>
      <c r="L25" s="189" t="e">
        <f>'[4]BULANAN PTKP BARU'!V26</f>
        <v>#REF!</v>
      </c>
      <c r="M25" s="169">
        <f t="shared" si="0"/>
        <v>50929954</v>
      </c>
      <c r="N25" s="169">
        <f>+'ASTEK-DIISI SMPAI DES'!O25</f>
        <v>937144</v>
      </c>
      <c r="O25" s="169">
        <f>+'ASTEK-DIISI SMPAI DES'!O140</f>
        <v>468572</v>
      </c>
      <c r="P25" s="169">
        <f t="shared" si="1"/>
        <v>2546497.7000000002</v>
      </c>
      <c r="Q25" s="169">
        <f t="shared" si="2"/>
        <v>3952213.7</v>
      </c>
      <c r="R25" s="169">
        <f t="shared" si="3"/>
        <v>46977740.299999997</v>
      </c>
      <c r="S25" s="167">
        <f t="shared" si="4"/>
        <v>58500000</v>
      </c>
      <c r="T25" s="191">
        <f t="shared" si="5"/>
        <v>0</v>
      </c>
      <c r="U25" s="259">
        <f t="shared" si="6"/>
        <v>42507477.920000002</v>
      </c>
      <c r="V25" s="260">
        <f t="shared" si="7"/>
        <v>2090438.04</v>
      </c>
    </row>
    <row r="26" spans="1:22">
      <c r="A26" s="188">
        <v>19</v>
      </c>
      <c r="B26" s="190" t="str">
        <f>+PERBULAN!B26</f>
        <v>SUNDARI</v>
      </c>
      <c r="C26" s="190" t="str">
        <f>+PERBULAN!C26</f>
        <v>P</v>
      </c>
      <c r="D26" s="190" t="str">
        <f>+PERBULAN!D26</f>
        <v>TK/0</v>
      </c>
      <c r="E26" s="258">
        <f>+PERBULAN!E26</f>
        <v>11</v>
      </c>
      <c r="F26" s="169">
        <f>+PERBULAN!R26</f>
        <v>44255979.159999996</v>
      </c>
      <c r="G26" s="189">
        <f>+PERBULAN!S26</f>
        <v>3974100</v>
      </c>
      <c r="H26" s="189">
        <f>+BPJS!O147</f>
        <v>359583.84</v>
      </c>
      <c r="I26" s="169">
        <f>+BPJS!O26</f>
        <v>1719504</v>
      </c>
      <c r="J26" s="169">
        <f>+PERBULAN!T26</f>
        <v>200000</v>
      </c>
      <c r="K26" s="189"/>
      <c r="L26" s="189" t="e">
        <f>'[4]BULANAN PTKP BARU'!V27</f>
        <v>#REF!</v>
      </c>
      <c r="M26" s="169">
        <f t="shared" si="0"/>
        <v>50509167</v>
      </c>
      <c r="N26" s="169">
        <f>+'ASTEK-DIISI SMPAI DES'!O26</f>
        <v>934344</v>
      </c>
      <c r="O26" s="169">
        <f>+'ASTEK-DIISI SMPAI DES'!O141</f>
        <v>467172</v>
      </c>
      <c r="P26" s="169">
        <f t="shared" si="1"/>
        <v>2525458.35</v>
      </c>
      <c r="Q26" s="169">
        <f t="shared" si="2"/>
        <v>3926974.35</v>
      </c>
      <c r="R26" s="169">
        <f t="shared" si="3"/>
        <v>46582192.649999999</v>
      </c>
      <c r="S26" s="167">
        <f t="shared" si="4"/>
        <v>54000000</v>
      </c>
      <c r="T26" s="191">
        <f t="shared" si="5"/>
        <v>0</v>
      </c>
      <c r="U26" s="259">
        <f t="shared" si="6"/>
        <v>42176891.319999993</v>
      </c>
      <c r="V26" s="260">
        <f t="shared" si="7"/>
        <v>2079087.84</v>
      </c>
    </row>
    <row r="27" spans="1:22">
      <c r="A27" s="188">
        <v>20</v>
      </c>
      <c r="B27" s="190" t="str">
        <f>+PERBULAN!B27</f>
        <v>SURYATI</v>
      </c>
      <c r="C27" s="190" t="str">
        <f>+PERBULAN!C27</f>
        <v>P</v>
      </c>
      <c r="D27" s="190" t="str">
        <f>+PERBULAN!D27</f>
        <v>TK/2</v>
      </c>
      <c r="E27" s="258">
        <f>+PERBULAN!E27</f>
        <v>11</v>
      </c>
      <c r="F27" s="169">
        <f>+PERBULAN!R27</f>
        <v>44902629.159999996</v>
      </c>
      <c r="G27" s="189">
        <f>+PERBULAN!S27</f>
        <v>4032600</v>
      </c>
      <c r="H27" s="189">
        <f>+BPJS!O148</f>
        <v>359583.84</v>
      </c>
      <c r="I27" s="169">
        <f>+BPJS!O27</f>
        <v>1719504</v>
      </c>
      <c r="J27" s="169">
        <f>+PERBULAN!T27</f>
        <v>200000</v>
      </c>
      <c r="K27" s="189"/>
      <c r="L27" s="189" t="e">
        <f>'[4]BULANAN PTKP BARU'!V28</f>
        <v>#REF!</v>
      </c>
      <c r="M27" s="169">
        <f t="shared" si="0"/>
        <v>51214317</v>
      </c>
      <c r="N27" s="169">
        <f>+'ASTEK-DIISI SMPAI DES'!O27</f>
        <v>934344</v>
      </c>
      <c r="O27" s="169">
        <f>+'ASTEK-DIISI SMPAI DES'!O142</f>
        <v>467172</v>
      </c>
      <c r="P27" s="169">
        <f t="shared" si="1"/>
        <v>2560715.85</v>
      </c>
      <c r="Q27" s="169">
        <f t="shared" si="2"/>
        <v>3962231.85</v>
      </c>
      <c r="R27" s="169">
        <f t="shared" si="3"/>
        <v>47252085.149999999</v>
      </c>
      <c r="S27" s="167" t="b">
        <f t="shared" si="4"/>
        <v>0</v>
      </c>
      <c r="T27" s="191">
        <f t="shared" si="5"/>
        <v>0</v>
      </c>
      <c r="U27" s="259">
        <f t="shared" si="6"/>
        <v>42823541.319999993</v>
      </c>
      <c r="V27" s="260">
        <f t="shared" si="7"/>
        <v>2079087.84</v>
      </c>
    </row>
    <row r="28" spans="1:22">
      <c r="A28" s="188">
        <v>21</v>
      </c>
      <c r="B28" s="190" t="str">
        <f>+PERBULAN!B28</f>
        <v>SANTI</v>
      </c>
      <c r="C28" s="190" t="str">
        <f>+PERBULAN!C28</f>
        <v>P</v>
      </c>
      <c r="D28" s="190" t="str">
        <f>+PERBULAN!D28</f>
        <v>TK/0</v>
      </c>
      <c r="E28" s="258">
        <f>+PERBULAN!E28</f>
        <v>11</v>
      </c>
      <c r="F28" s="169">
        <f>+PERBULAN!R28</f>
        <v>44467567.160000004</v>
      </c>
      <c r="G28" s="189">
        <f>+PERBULAN!S28</f>
        <v>4033100</v>
      </c>
      <c r="H28" s="189">
        <f>+BPJS!O149</f>
        <v>361935.83999999997</v>
      </c>
      <c r="I28" s="169">
        <f>+BPJS!O28</f>
        <v>1743744</v>
      </c>
      <c r="J28" s="169">
        <f>+PERBULAN!T28</f>
        <v>600000</v>
      </c>
      <c r="K28" s="189"/>
      <c r="L28" s="189" t="e">
        <f>'[4]BULANAN PTKP BARU'!V29</f>
        <v>#REF!</v>
      </c>
      <c r="M28" s="169">
        <f t="shared" si="0"/>
        <v>51206347.000000007</v>
      </c>
      <c r="N28" s="169">
        <f>+'ASTEK-DIISI SMPAI DES'!O28</f>
        <v>941064</v>
      </c>
      <c r="O28" s="169">
        <f>+'ASTEK-DIISI SMPAI DES'!O143</f>
        <v>470532</v>
      </c>
      <c r="P28" s="169">
        <f t="shared" si="1"/>
        <v>2560317.3500000006</v>
      </c>
      <c r="Q28" s="169">
        <f t="shared" si="2"/>
        <v>3971913.3500000006</v>
      </c>
      <c r="R28" s="169">
        <f t="shared" si="3"/>
        <v>47234433.650000006</v>
      </c>
      <c r="S28" s="167">
        <f t="shared" si="4"/>
        <v>54000000</v>
      </c>
      <c r="T28" s="191">
        <f t="shared" si="5"/>
        <v>0</v>
      </c>
      <c r="U28" s="259">
        <f t="shared" si="6"/>
        <v>42361887.32</v>
      </c>
      <c r="V28" s="260">
        <f t="shared" si="7"/>
        <v>2105679.84</v>
      </c>
    </row>
    <row r="29" spans="1:22">
      <c r="A29" s="188">
        <v>22</v>
      </c>
      <c r="B29" s="190" t="str">
        <f>+PERBULAN!B29</f>
        <v>HARYANI</v>
      </c>
      <c r="C29" s="190" t="str">
        <f>+PERBULAN!C29</f>
        <v>L</v>
      </c>
      <c r="D29" s="190" t="str">
        <f>+PERBULAN!D29</f>
        <v>K/0</v>
      </c>
      <c r="E29" s="258">
        <f>+PERBULAN!E29</f>
        <v>11</v>
      </c>
      <c r="F29" s="169">
        <f>+PERBULAN!R29</f>
        <v>44990376.359999999</v>
      </c>
      <c r="G29" s="189">
        <f>+PERBULAN!S29</f>
        <v>4038600</v>
      </c>
      <c r="H29" s="189">
        <f>+BPJS!O150</f>
        <v>360524.64</v>
      </c>
      <c r="I29" s="169">
        <f>+BPJS!O29</f>
        <v>1729744</v>
      </c>
      <c r="J29" s="169">
        <f>+PERBULAN!T29</f>
        <v>900000</v>
      </c>
      <c r="K29" s="189"/>
      <c r="L29" s="189" t="e">
        <f>'[4]BULANAN PTKP BARU'!V30</f>
        <v>#REF!</v>
      </c>
      <c r="M29" s="169">
        <f t="shared" si="0"/>
        <v>52019245</v>
      </c>
      <c r="N29" s="169">
        <f>+'ASTEK-DIISI SMPAI DES'!O29</f>
        <v>937074</v>
      </c>
      <c r="O29" s="169">
        <f>+'ASTEK-DIISI SMPAI DES'!O144</f>
        <v>468537</v>
      </c>
      <c r="P29" s="169">
        <f t="shared" si="1"/>
        <v>2600962.25</v>
      </c>
      <c r="Q29" s="169">
        <f t="shared" si="2"/>
        <v>4006573.25</v>
      </c>
      <c r="R29" s="169">
        <f t="shared" si="3"/>
        <v>48012671.75</v>
      </c>
      <c r="S29" s="167">
        <f t="shared" si="4"/>
        <v>58500000</v>
      </c>
      <c r="T29" s="191">
        <f t="shared" si="5"/>
        <v>0</v>
      </c>
      <c r="U29" s="259">
        <f t="shared" si="6"/>
        <v>42900107.719999999</v>
      </c>
      <c r="V29" s="260">
        <f t="shared" si="7"/>
        <v>2090268.6400000001</v>
      </c>
    </row>
    <row r="30" spans="1:22">
      <c r="A30" s="188">
        <v>23</v>
      </c>
      <c r="B30" s="190" t="str">
        <f>+PERBULAN!B30</f>
        <v>SUWANDI</v>
      </c>
      <c r="C30" s="190" t="str">
        <f>+PERBULAN!C30</f>
        <v>L</v>
      </c>
      <c r="D30" s="190" t="str">
        <f>+PERBULAN!D30</f>
        <v>K/1</v>
      </c>
      <c r="E30" s="258">
        <f>+PERBULAN!E30</f>
        <v>11</v>
      </c>
      <c r="F30" s="169">
        <f>+PERBULAN!R30</f>
        <v>51926599.999999993</v>
      </c>
      <c r="G30" s="189">
        <f>+PERBULAN!S30</f>
        <v>4590000</v>
      </c>
      <c r="H30" s="189">
        <f>+BPJS!O151</f>
        <v>408681.00000000006</v>
      </c>
      <c r="I30" s="169">
        <f>+BPJS!O30</f>
        <v>1958080</v>
      </c>
      <c r="J30" s="169">
        <f>+PERBULAN!T30</f>
        <v>600000</v>
      </c>
      <c r="K30" s="189"/>
      <c r="L30" s="189" t="e">
        <f>'[4]BULANAN PTKP BARU'!V31</f>
        <v>#REF!</v>
      </c>
      <c r="M30" s="169">
        <f t="shared" si="0"/>
        <v>59483360.999999993</v>
      </c>
      <c r="N30" s="169">
        <f>+'ASTEK-DIISI SMPAI DES'!O30</f>
        <v>1020188</v>
      </c>
      <c r="O30" s="169">
        <f>+'ASTEK-DIISI SMPAI DES'!O145</f>
        <v>510094</v>
      </c>
      <c r="P30" s="169">
        <f t="shared" si="1"/>
        <v>2974168.05</v>
      </c>
      <c r="Q30" s="169">
        <f t="shared" si="2"/>
        <v>4504450.05</v>
      </c>
      <c r="R30" s="169">
        <f t="shared" si="3"/>
        <v>54978910.949999996</v>
      </c>
      <c r="S30" s="167">
        <f t="shared" si="4"/>
        <v>63000000</v>
      </c>
      <c r="T30" s="191">
        <f t="shared" si="5"/>
        <v>0</v>
      </c>
      <c r="U30" s="259">
        <f t="shared" si="6"/>
        <v>49559838.999999993</v>
      </c>
      <c r="V30" s="260">
        <f t="shared" si="7"/>
        <v>2366761</v>
      </c>
    </row>
    <row r="31" spans="1:22">
      <c r="A31" s="188">
        <v>24</v>
      </c>
      <c r="B31" s="190" t="str">
        <f>+PERBULAN!B31</f>
        <v>YUMNA M</v>
      </c>
      <c r="C31" s="190" t="str">
        <f>+PERBULAN!C31</f>
        <v>P</v>
      </c>
      <c r="D31" s="190" t="str">
        <f>+PERBULAN!D31</f>
        <v>TK/0</v>
      </c>
      <c r="E31" s="258">
        <f>+PERBULAN!E31</f>
        <v>11</v>
      </c>
      <c r="F31" s="169">
        <f>+PERBULAN!R31</f>
        <v>43919599.159999996</v>
      </c>
      <c r="G31" s="189">
        <f>+PERBULAN!S31</f>
        <v>3991100</v>
      </c>
      <c r="H31" s="189">
        <f>+BPJS!O152</f>
        <v>360318.84</v>
      </c>
      <c r="I31" s="169">
        <f>+BPJS!O31</f>
        <v>1727084</v>
      </c>
      <c r="J31" s="169">
        <f>+PERBULAN!T31</f>
        <v>200000</v>
      </c>
      <c r="K31" s="189"/>
      <c r="L31" s="189" t="e">
        <f>'[4]BULANAN PTKP BARU'!V32</f>
        <v>#REF!</v>
      </c>
      <c r="M31" s="169">
        <f t="shared" si="0"/>
        <v>50198102</v>
      </c>
      <c r="N31" s="169">
        <f>+'ASTEK-DIISI SMPAI DES'!O31</f>
        <v>936444</v>
      </c>
      <c r="O31" s="169">
        <f>+'ASTEK-DIISI SMPAI DES'!O146</f>
        <v>468222</v>
      </c>
      <c r="P31" s="169">
        <f t="shared" si="1"/>
        <v>2509905.1</v>
      </c>
      <c r="Q31" s="169">
        <f t="shared" si="2"/>
        <v>3914571.1</v>
      </c>
      <c r="R31" s="169">
        <f t="shared" si="3"/>
        <v>46283530.899999999</v>
      </c>
      <c r="S31" s="167">
        <f>IF(D31="TK/0",54000000,IF(D31="K/0",58500000,IF(D31="K/1",63000000,IF(D31="K/2",67500000,IF(D31="K/3",72000000)))))</f>
        <v>54000000</v>
      </c>
      <c r="T31" s="191">
        <f t="shared" si="5"/>
        <v>0</v>
      </c>
      <c r="U31" s="259">
        <f t="shared" si="6"/>
        <v>41832196.319999993</v>
      </c>
      <c r="V31" s="260">
        <f t="shared" si="7"/>
        <v>2087402.84</v>
      </c>
    </row>
    <row r="32" spans="1:22">
      <c r="A32" s="188">
        <v>25</v>
      </c>
      <c r="B32" s="190" t="str">
        <f>+PERBULAN!B32</f>
        <v>ANDRES</v>
      </c>
      <c r="C32" s="190" t="str">
        <f>+PERBULAN!C32</f>
        <v>L</v>
      </c>
      <c r="D32" s="190" t="str">
        <f>+PERBULAN!D32</f>
        <v>K/1</v>
      </c>
      <c r="E32" s="258">
        <f>+PERBULAN!E32</f>
        <v>11</v>
      </c>
      <c r="F32" s="169">
        <f>+PERBULAN!R32</f>
        <v>46475157.159999996</v>
      </c>
      <c r="G32" s="189">
        <f>+PERBULAN!S32</f>
        <v>4034100</v>
      </c>
      <c r="H32" s="189">
        <f>+BPJS!O153</f>
        <v>359079.83999999997</v>
      </c>
      <c r="I32" s="169">
        <f>+BPJS!O32</f>
        <v>1714344</v>
      </c>
      <c r="J32" s="169">
        <f>+PERBULAN!T32</f>
        <v>200000</v>
      </c>
      <c r="K32" s="189"/>
      <c r="L32" s="189" t="e">
        <f>'[4]BULANAN PTKP BARU'!V33</f>
        <v>#REF!</v>
      </c>
      <c r="M32" s="169">
        <f t="shared" si="0"/>
        <v>52782681</v>
      </c>
      <c r="N32" s="169">
        <f>+'ASTEK-DIISI SMPAI DES'!O32</f>
        <v>932904</v>
      </c>
      <c r="O32" s="169">
        <f>+'ASTEK-DIISI SMPAI DES'!O147</f>
        <v>466452</v>
      </c>
      <c r="P32" s="169">
        <f t="shared" si="1"/>
        <v>2639134.0500000003</v>
      </c>
      <c r="Q32" s="169">
        <f t="shared" si="2"/>
        <v>4038490.0500000003</v>
      </c>
      <c r="R32" s="169">
        <f t="shared" si="3"/>
        <v>48744190.950000003</v>
      </c>
      <c r="S32" s="167">
        <f>IF(D32="TK/0",54000000,IF(D32="K/0",58500000,IF(D32="K/1",63000000,IF(D32="K/2",67500000,IF(D32="K/3",72000000)))))</f>
        <v>63000000</v>
      </c>
      <c r="T32" s="191">
        <f t="shared" si="5"/>
        <v>0</v>
      </c>
      <c r="U32" s="259">
        <f t="shared" si="6"/>
        <v>44401733.319999993</v>
      </c>
      <c r="V32" s="260">
        <f t="shared" si="7"/>
        <v>2073423.8399999999</v>
      </c>
    </row>
    <row r="33" spans="1:22">
      <c r="A33" s="188">
        <v>26</v>
      </c>
      <c r="B33" s="190" t="str">
        <f>+PERBULAN!B33</f>
        <v>SUDIAN</v>
      </c>
      <c r="C33" s="190" t="str">
        <f>+PERBULAN!C33</f>
        <v>L</v>
      </c>
      <c r="D33" s="190" t="str">
        <f>+PERBULAN!D33</f>
        <v>K/0</v>
      </c>
      <c r="E33" s="258">
        <f>+PERBULAN!E33</f>
        <v>11</v>
      </c>
      <c r="F33" s="169">
        <f>+PERBULAN!R33</f>
        <v>47876836.160000004</v>
      </c>
      <c r="G33" s="189">
        <f>+PERBULAN!S33</f>
        <v>2990700</v>
      </c>
      <c r="H33" s="189">
        <f>+BPJS!O154</f>
        <v>358302.83999999997</v>
      </c>
      <c r="I33" s="169">
        <f>+BPJS!O33</f>
        <v>1706304</v>
      </c>
      <c r="J33" s="169">
        <f>+PERBULAN!T33</f>
        <v>450000</v>
      </c>
      <c r="K33" s="189"/>
      <c r="L33" s="189" t="e">
        <f>'[4]BULANAN PTKP BARU'!V34</f>
        <v>#REF!</v>
      </c>
      <c r="M33" s="169">
        <f t="shared" si="0"/>
        <v>53382143.000000007</v>
      </c>
      <c r="N33" s="169">
        <f>+'ASTEK-DIISI SMPAI DES'!O33</f>
        <v>930684</v>
      </c>
      <c r="O33" s="169">
        <f>+'ASTEK-DIISI SMPAI DES'!O148</f>
        <v>465342</v>
      </c>
      <c r="P33" s="169">
        <f t="shared" si="1"/>
        <v>2669107.1500000004</v>
      </c>
      <c r="Q33" s="169">
        <f t="shared" si="2"/>
        <v>4065133.1500000004</v>
      </c>
      <c r="R33" s="169">
        <f t="shared" si="3"/>
        <v>49317009.850000009</v>
      </c>
      <c r="S33" s="167">
        <f t="shared" ref="S33:S36" si="8">IF(D33="TK/0",54000000,IF(D33="K/0",58500000,IF(D33="K/1",63000000,IF(D33="K/2",67500000,IF(D33="K/3",72000000)))))</f>
        <v>58500000</v>
      </c>
      <c r="T33" s="191">
        <f t="shared" si="5"/>
        <v>0</v>
      </c>
      <c r="U33" s="259">
        <f t="shared" si="6"/>
        <v>45812229.32</v>
      </c>
      <c r="V33" s="260">
        <f t="shared" si="7"/>
        <v>2064606.8399999999</v>
      </c>
    </row>
    <row r="34" spans="1:22">
      <c r="A34" s="188">
        <v>27</v>
      </c>
      <c r="B34" s="190" t="str">
        <f>+PERBULAN!B34</f>
        <v>YUDA HERMAWAN</v>
      </c>
      <c r="C34" s="190" t="str">
        <f>+PERBULAN!C34</f>
        <v>L</v>
      </c>
      <c r="D34" s="190" t="str">
        <f>+PERBULAN!D34</f>
        <v>TK/0</v>
      </c>
      <c r="E34" s="258">
        <f>+PERBULAN!E34</f>
        <v>11</v>
      </c>
      <c r="F34" s="169">
        <f>+PERBULAN!R34</f>
        <v>57040715.160000004</v>
      </c>
      <c r="G34" s="189">
        <f>+PERBULAN!S34</f>
        <v>3946600</v>
      </c>
      <c r="H34" s="189">
        <f>+BPJS!O155</f>
        <v>358407.83999999997</v>
      </c>
      <c r="I34" s="169">
        <f>+BPJS!O34</f>
        <v>1707404</v>
      </c>
      <c r="J34" s="169">
        <f>+PERBULAN!T34</f>
        <v>200000</v>
      </c>
      <c r="K34" s="189"/>
      <c r="L34" s="189" t="e">
        <f>'[4]BULANAN PTKP BARU'!V35</f>
        <v>#REF!</v>
      </c>
      <c r="M34" s="169">
        <f t="shared" si="0"/>
        <v>63253127.000000007</v>
      </c>
      <c r="N34" s="169">
        <f>+'ASTEK-DIISI SMPAI DES'!O34</f>
        <v>930984</v>
      </c>
      <c r="O34" s="169">
        <f>+'ASTEK-DIISI SMPAI DES'!O149</f>
        <v>465492</v>
      </c>
      <c r="P34" s="169">
        <f t="shared" si="1"/>
        <v>3162656.3500000006</v>
      </c>
      <c r="Q34" s="169">
        <f t="shared" si="2"/>
        <v>4559132.3500000006</v>
      </c>
      <c r="R34" s="169">
        <f t="shared" si="3"/>
        <v>58693994.650000006</v>
      </c>
      <c r="S34" s="167">
        <f t="shared" si="8"/>
        <v>54000000</v>
      </c>
      <c r="T34" s="191">
        <f t="shared" si="5"/>
        <v>4693994.650000006</v>
      </c>
      <c r="U34" s="259">
        <f t="shared" si="6"/>
        <v>54974903.32</v>
      </c>
      <c r="V34" s="260">
        <f t="shared" si="7"/>
        <v>2065811.8399999999</v>
      </c>
    </row>
    <row r="35" spans="1:22">
      <c r="A35" s="188">
        <v>28</v>
      </c>
      <c r="B35" s="190" t="str">
        <f>+PERBULAN!B35</f>
        <v>SABIBI</v>
      </c>
      <c r="C35" s="190" t="str">
        <f>+PERBULAN!C35</f>
        <v>L</v>
      </c>
      <c r="D35" s="190" t="str">
        <f>+PERBULAN!D35</f>
        <v>K/2</v>
      </c>
      <c r="E35" s="258">
        <f>+PERBULAN!E35</f>
        <v>11</v>
      </c>
      <c r="F35" s="169">
        <f>+PERBULAN!R35</f>
        <v>64132021.559999995</v>
      </c>
      <c r="G35" s="189">
        <f>+PERBULAN!S35</f>
        <v>4067100</v>
      </c>
      <c r="H35" s="189">
        <f>+BPJS!O156</f>
        <v>359281.44</v>
      </c>
      <c r="I35" s="169">
        <f>+BPJS!O35</f>
        <v>1716384</v>
      </c>
      <c r="J35" s="169">
        <f>+PERBULAN!T35</f>
        <v>200000</v>
      </c>
      <c r="K35" s="189"/>
      <c r="L35" s="189" t="e">
        <f>'[4]BULANAN PTKP BARU'!V36</f>
        <v>#REF!</v>
      </c>
      <c r="M35" s="169">
        <f t="shared" si="0"/>
        <v>70474787</v>
      </c>
      <c r="N35" s="169">
        <f>+'ASTEK-DIISI SMPAI DES'!O35</f>
        <v>933504</v>
      </c>
      <c r="O35" s="169">
        <f>+'ASTEK-DIISI SMPAI DES'!O150</f>
        <v>466752</v>
      </c>
      <c r="P35" s="169">
        <f t="shared" si="1"/>
        <v>3523739.35</v>
      </c>
      <c r="Q35" s="169">
        <f t="shared" si="2"/>
        <v>4923995.3499999996</v>
      </c>
      <c r="R35" s="169">
        <f t="shared" si="3"/>
        <v>65550791.649999999</v>
      </c>
      <c r="S35" s="167">
        <f t="shared" si="8"/>
        <v>67500000</v>
      </c>
      <c r="T35" s="191">
        <f t="shared" si="5"/>
        <v>0</v>
      </c>
      <c r="U35" s="259">
        <f t="shared" si="6"/>
        <v>62056356.119999997</v>
      </c>
      <c r="V35" s="260">
        <f t="shared" si="7"/>
        <v>2075665.44</v>
      </c>
    </row>
    <row r="36" spans="1:22">
      <c r="A36" s="188">
        <v>29</v>
      </c>
      <c r="B36" s="190" t="str">
        <f>+PERBULAN!B36</f>
        <v>ADI SANJAYA</v>
      </c>
      <c r="C36" s="190" t="str">
        <f>+PERBULAN!C36</f>
        <v>L</v>
      </c>
      <c r="D36" s="190" t="str">
        <f>+PERBULAN!D36</f>
        <v>K/2</v>
      </c>
      <c r="E36" s="258">
        <f>+PERBULAN!E36</f>
        <v>11</v>
      </c>
      <c r="F36" s="169">
        <f>+PERBULAN!R36</f>
        <v>55199509.959999993</v>
      </c>
      <c r="G36" s="189">
        <f>+PERBULAN!S36</f>
        <v>4067100</v>
      </c>
      <c r="H36" s="189">
        <f>+BPJS!O157</f>
        <v>359231.04</v>
      </c>
      <c r="I36" s="169">
        <f>+BPJS!O36</f>
        <v>1716384</v>
      </c>
      <c r="J36" s="169">
        <f>+PERBULAN!T36</f>
        <v>900000</v>
      </c>
      <c r="K36" s="189"/>
      <c r="L36" s="189" t="e">
        <f>'[4]BULANAN PTKP BARU'!V37</f>
        <v>#REF!</v>
      </c>
      <c r="M36" s="169">
        <f t="shared" si="0"/>
        <v>62242224.999999993</v>
      </c>
      <c r="N36" s="169">
        <f>+'ASTEK-DIISI SMPAI DES'!O36</f>
        <v>933384</v>
      </c>
      <c r="O36" s="169">
        <f>+'ASTEK-DIISI SMPAI DES'!O151</f>
        <v>466692</v>
      </c>
      <c r="P36" s="169">
        <f t="shared" si="1"/>
        <v>3112111.25</v>
      </c>
      <c r="Q36" s="169">
        <f t="shared" si="2"/>
        <v>4512187.25</v>
      </c>
      <c r="R36" s="169">
        <f t="shared" si="3"/>
        <v>57730037.749999993</v>
      </c>
      <c r="S36" s="167">
        <f t="shared" si="8"/>
        <v>67500000</v>
      </c>
      <c r="T36" s="191">
        <f t="shared" si="5"/>
        <v>0</v>
      </c>
      <c r="U36" s="259">
        <f t="shared" si="6"/>
        <v>53123894.919999994</v>
      </c>
      <c r="V36" s="260">
        <f t="shared" si="7"/>
        <v>2075615.04</v>
      </c>
    </row>
    <row r="37" spans="1:22">
      <c r="A37" s="188">
        <v>30</v>
      </c>
      <c r="B37" s="190" t="str">
        <f>+PERBULAN!B37</f>
        <v>ANDI ( ASNA )</v>
      </c>
      <c r="C37" s="190" t="str">
        <f>+PERBULAN!C37</f>
        <v>L</v>
      </c>
      <c r="D37" s="190" t="str">
        <f>+PERBULAN!D37</f>
        <v>K/2</v>
      </c>
      <c r="E37" s="258">
        <f>+PERBULAN!E37</f>
        <v>11</v>
      </c>
      <c r="F37" s="169">
        <f>+PERBULAN!R37</f>
        <v>56838269.159999996</v>
      </c>
      <c r="G37" s="189">
        <f>+PERBULAN!S37</f>
        <v>4067100</v>
      </c>
      <c r="H37" s="189">
        <f>+BPJS!O158</f>
        <v>359205.83999999997</v>
      </c>
      <c r="I37" s="169">
        <f>+BPJS!O37</f>
        <v>1716264</v>
      </c>
      <c r="J37" s="169">
        <f>+PERBULAN!T37</f>
        <v>600000</v>
      </c>
      <c r="K37" s="189"/>
      <c r="L37" s="189" t="e">
        <f>'[4]BULANAN PTKP BARU'!V38</f>
        <v>#REF!</v>
      </c>
      <c r="M37" s="169">
        <f t="shared" si="0"/>
        <v>63580839</v>
      </c>
      <c r="N37" s="169">
        <f>+'ASTEK-DIISI SMPAI DES'!O37</f>
        <v>933324</v>
      </c>
      <c r="O37" s="169">
        <f>+'ASTEK-DIISI SMPAI DES'!O152</f>
        <v>466662</v>
      </c>
      <c r="P37" s="169">
        <f t="shared" si="1"/>
        <v>3179041.95</v>
      </c>
      <c r="Q37" s="169">
        <f t="shared" si="2"/>
        <v>4579027.95</v>
      </c>
      <c r="R37" s="169">
        <f t="shared" si="3"/>
        <v>59001811.049999997</v>
      </c>
      <c r="S37" s="167">
        <f>IF(D37="TK/0",54000000,IF(D37="K/0",58500000,IF(D37="K/1",63000000,IF(D37="K/2",67500000,IF(D37="K/3",72000000)))))</f>
        <v>67500000</v>
      </c>
      <c r="T37" s="191">
        <f t="shared" si="5"/>
        <v>0</v>
      </c>
      <c r="U37" s="259">
        <f t="shared" si="6"/>
        <v>54762799.319999993</v>
      </c>
      <c r="V37" s="260">
        <f t="shared" si="7"/>
        <v>2075469.8399999999</v>
      </c>
    </row>
    <row r="38" spans="1:22">
      <c r="A38" s="188">
        <v>31</v>
      </c>
      <c r="B38" s="190" t="str">
        <f>+PERBULAN!B38</f>
        <v>EFRIYONO</v>
      </c>
      <c r="C38" s="190" t="str">
        <f>+PERBULAN!C38</f>
        <v>L</v>
      </c>
      <c r="D38" s="190" t="str">
        <f>+PERBULAN!D38</f>
        <v>K/2</v>
      </c>
      <c r="E38" s="258">
        <f>+PERBULAN!E38</f>
        <v>11</v>
      </c>
      <c r="F38" s="169">
        <f>+PERBULAN!R38</f>
        <v>54295565.159999989</v>
      </c>
      <c r="G38" s="189">
        <f>+PERBULAN!S38</f>
        <v>4067100</v>
      </c>
      <c r="H38" s="189">
        <f>+BPJS!O159</f>
        <v>359331.83999999997</v>
      </c>
      <c r="I38" s="169">
        <f>+BPJS!O38</f>
        <v>1717224</v>
      </c>
      <c r="J38" s="169">
        <f>+PERBULAN!T38</f>
        <v>200000</v>
      </c>
      <c r="K38" s="189"/>
      <c r="L38" s="189" t="e">
        <f>'[4]BULANAN PTKP BARU'!V39</f>
        <v>#REF!</v>
      </c>
      <c r="M38" s="169">
        <f t="shared" si="0"/>
        <v>60639220.999999993</v>
      </c>
      <c r="N38" s="169">
        <f>+'ASTEK-DIISI SMPAI DES'!O38</f>
        <v>933624</v>
      </c>
      <c r="O38" s="169">
        <f>+'ASTEK-DIISI SMPAI DES'!O153</f>
        <v>466812</v>
      </c>
      <c r="P38" s="169">
        <f>M38*5%</f>
        <v>3031961.05</v>
      </c>
      <c r="Q38" s="169">
        <f t="shared" si="2"/>
        <v>4432397.05</v>
      </c>
      <c r="R38" s="169">
        <f t="shared" si="3"/>
        <v>56206823.949999996</v>
      </c>
      <c r="S38" s="167">
        <f>IF(D38="TK/0",54000000,IF(D38="K/0",58500000,IF(D38="K/1",63000000,IF(D38="K/2",67500000,IF(D38="K/3",72000000)))))</f>
        <v>67500000</v>
      </c>
      <c r="T38" s="191">
        <f t="shared" si="5"/>
        <v>0</v>
      </c>
      <c r="U38" s="259">
        <f t="shared" si="6"/>
        <v>52219009.319999985</v>
      </c>
      <c r="V38" s="260">
        <f t="shared" si="7"/>
        <v>2076555.8399999999</v>
      </c>
    </row>
    <row r="39" spans="1:22">
      <c r="A39" s="188">
        <v>32</v>
      </c>
      <c r="B39" s="190" t="str">
        <f>+PERBULAN!B39</f>
        <v>ERI HANDRAYANI</v>
      </c>
      <c r="C39" s="190" t="str">
        <f>+PERBULAN!C39</f>
        <v>L</v>
      </c>
      <c r="D39" s="190" t="str">
        <f>+PERBULAN!D39</f>
        <v>K/2</v>
      </c>
      <c r="E39" s="258">
        <f>+PERBULAN!E39</f>
        <v>11</v>
      </c>
      <c r="F39" s="169">
        <f>+PERBULAN!R39</f>
        <v>55593893.159999989</v>
      </c>
      <c r="G39" s="189">
        <f>+PERBULAN!S39</f>
        <v>4067100</v>
      </c>
      <c r="H39" s="189">
        <f>+BPJS!O160</f>
        <v>359331.83999999997</v>
      </c>
      <c r="I39" s="169">
        <f>+BPJS!O39</f>
        <v>1717224</v>
      </c>
      <c r="J39" s="169">
        <f>+PERBULAN!T39</f>
        <v>900000</v>
      </c>
      <c r="K39" s="189"/>
      <c r="L39" s="189" t="e">
        <f>'[4]BULANAN PTKP BARU'!V40</f>
        <v>#REF!</v>
      </c>
      <c r="M39" s="169">
        <f t="shared" si="0"/>
        <v>62637548.999999993</v>
      </c>
      <c r="N39" s="169">
        <f>+'ASTEK-DIISI SMPAI DES'!O39</f>
        <v>933624</v>
      </c>
      <c r="O39" s="169">
        <f>+'ASTEK-DIISI SMPAI DES'!O154</f>
        <v>466812</v>
      </c>
      <c r="P39" s="169">
        <f t="shared" ref="P39:P41" si="9">M39*5%</f>
        <v>3131877.4499999997</v>
      </c>
      <c r="Q39" s="169">
        <f t="shared" si="2"/>
        <v>4532313.4499999993</v>
      </c>
      <c r="R39" s="169">
        <f t="shared" si="3"/>
        <v>58105235.549999997</v>
      </c>
      <c r="S39" s="167">
        <f t="shared" ref="S39:S71" si="10">IF(D39="TK/0",54000000,IF(D39="K/0",58500000,IF(D39="K/1",63000000,IF(D39="K/2",67500000,IF(D39="K/3",72000000)))))</f>
        <v>67500000</v>
      </c>
      <c r="T39" s="191">
        <f t="shared" si="5"/>
        <v>0</v>
      </c>
      <c r="U39" s="259">
        <f t="shared" si="6"/>
        <v>53517337.319999985</v>
      </c>
      <c r="V39" s="260">
        <f t="shared" si="7"/>
        <v>2076555.8399999999</v>
      </c>
    </row>
    <row r="40" spans="1:22">
      <c r="A40" s="188">
        <v>33</v>
      </c>
      <c r="B40" s="190" t="str">
        <f>+PERBULAN!B40</f>
        <v>FERBI H</v>
      </c>
      <c r="C40" s="190" t="str">
        <f>+PERBULAN!C40</f>
        <v>L</v>
      </c>
      <c r="D40" s="190" t="str">
        <f>+PERBULAN!D40</f>
        <v>K/0</v>
      </c>
      <c r="E40" s="258">
        <f>+PERBULAN!E40</f>
        <v>11</v>
      </c>
      <c r="F40" s="169">
        <f>+PERBULAN!R40</f>
        <v>50250671.559999987</v>
      </c>
      <c r="G40" s="189">
        <f>+PERBULAN!S40</f>
        <v>4011600</v>
      </c>
      <c r="H40" s="189">
        <f>+BPJS!O161</f>
        <v>359281.44</v>
      </c>
      <c r="I40" s="169">
        <f>+BPJS!O40</f>
        <v>1716624</v>
      </c>
      <c r="J40" s="169">
        <f>+PERBULAN!T40</f>
        <v>200000</v>
      </c>
      <c r="K40" s="189"/>
      <c r="L40" s="189" t="e">
        <f>'[4]BULANAN PTKP BARU'!V41</f>
        <v>#REF!</v>
      </c>
      <c r="M40" s="169">
        <f t="shared" si="0"/>
        <v>56538176.999999985</v>
      </c>
      <c r="N40" s="169">
        <f>+'ASTEK-DIISI SMPAI DES'!O40</f>
        <v>933504</v>
      </c>
      <c r="O40" s="169">
        <f>+'ASTEK-DIISI SMPAI DES'!O155</f>
        <v>466752</v>
      </c>
      <c r="P40" s="169">
        <f t="shared" si="9"/>
        <v>2826908.8499999996</v>
      </c>
      <c r="Q40" s="169">
        <f t="shared" si="2"/>
        <v>4227164.8499999996</v>
      </c>
      <c r="R40" s="169">
        <f t="shared" si="3"/>
        <v>52311012.149999984</v>
      </c>
      <c r="S40" s="167">
        <f t="shared" si="10"/>
        <v>58500000</v>
      </c>
      <c r="T40" s="191">
        <f t="shared" si="5"/>
        <v>0</v>
      </c>
      <c r="U40" s="259">
        <f t="shared" si="6"/>
        <v>48174766.11999999</v>
      </c>
      <c r="V40" s="260">
        <f t="shared" si="7"/>
        <v>2075905.44</v>
      </c>
    </row>
    <row r="41" spans="1:22">
      <c r="A41" s="188">
        <v>34</v>
      </c>
      <c r="B41" s="190" t="str">
        <f>+PERBULAN!B41</f>
        <v>HAIDI</v>
      </c>
      <c r="C41" s="190" t="str">
        <f>+PERBULAN!C41</f>
        <v>L</v>
      </c>
      <c r="D41" s="190" t="str">
        <f>+PERBULAN!D41</f>
        <v>K/2</v>
      </c>
      <c r="E41" s="258">
        <f>+PERBULAN!E41</f>
        <v>11</v>
      </c>
      <c r="F41" s="169">
        <f>+PERBULAN!R41</f>
        <v>53139441.75999999</v>
      </c>
      <c r="G41" s="189">
        <f>+PERBULAN!S41</f>
        <v>4064100</v>
      </c>
      <c r="H41" s="189">
        <f>+BPJS!O162</f>
        <v>359130.23999999993</v>
      </c>
      <c r="I41" s="169">
        <f>+BPJS!O41</f>
        <v>1715184</v>
      </c>
      <c r="J41" s="169">
        <f>+PERBULAN!T41</f>
        <v>200000</v>
      </c>
      <c r="K41" s="189"/>
      <c r="L41" s="189" t="e">
        <f>'[4]BULANAN PTKP BARU'!V42</f>
        <v>#REF!</v>
      </c>
      <c r="M41" s="169">
        <f t="shared" si="0"/>
        <v>59477855.999999993</v>
      </c>
      <c r="N41" s="169">
        <f>+'ASTEK-DIISI SMPAI DES'!O41</f>
        <v>933084</v>
      </c>
      <c r="O41" s="169">
        <f>+'ASTEK-DIISI SMPAI DES'!O156</f>
        <v>466542</v>
      </c>
      <c r="P41" s="169">
        <f t="shared" si="9"/>
        <v>2973892.8</v>
      </c>
      <c r="Q41" s="169">
        <f t="shared" si="2"/>
        <v>4373518.8</v>
      </c>
      <c r="R41" s="169">
        <f t="shared" si="3"/>
        <v>55104337.199999996</v>
      </c>
      <c r="S41" s="167">
        <f t="shared" si="10"/>
        <v>67500000</v>
      </c>
      <c r="T41" s="191">
        <f t="shared" si="5"/>
        <v>0</v>
      </c>
      <c r="U41" s="259">
        <f t="shared" si="6"/>
        <v>51065127.519999988</v>
      </c>
      <c r="V41" s="260">
        <f t="shared" si="7"/>
        <v>2074314.24</v>
      </c>
    </row>
    <row r="42" spans="1:22">
      <c r="A42" s="188">
        <v>35</v>
      </c>
      <c r="B42" s="190" t="str">
        <f>+PERBULAN!B42</f>
        <v>IRHAS</v>
      </c>
      <c r="C42" s="190" t="str">
        <f>+PERBULAN!C42</f>
        <v>L</v>
      </c>
      <c r="D42" s="190" t="str">
        <f>+PERBULAN!D42</f>
        <v>K/2</v>
      </c>
      <c r="E42" s="258">
        <f>+PERBULAN!E42</f>
        <v>11</v>
      </c>
      <c r="F42" s="169">
        <f>+PERBULAN!R42</f>
        <v>49851095.159999982</v>
      </c>
      <c r="G42" s="189">
        <f>+PERBULAN!S42</f>
        <v>4061100</v>
      </c>
      <c r="H42" s="189">
        <f>+BPJS!O163</f>
        <v>359079.83999999997</v>
      </c>
      <c r="I42" s="169">
        <f>+BPJS!O42</f>
        <v>1714464</v>
      </c>
      <c r="J42" s="169">
        <f>+PERBULAN!T42</f>
        <v>200000</v>
      </c>
      <c r="K42" s="189"/>
      <c r="L42" s="189" t="e">
        <f>'[4]BULANAN PTKP BARU'!V43</f>
        <v>#REF!</v>
      </c>
      <c r="M42" s="169">
        <f t="shared" si="0"/>
        <v>56185738.999999985</v>
      </c>
      <c r="N42" s="169">
        <f>+'ASTEK-DIISI SMPAI DES'!O42</f>
        <v>932904</v>
      </c>
      <c r="O42" s="169">
        <f>+'ASTEK-DIISI SMPAI DES'!O157</f>
        <v>466452</v>
      </c>
      <c r="P42" s="169">
        <f t="shared" si="1"/>
        <v>2809286.9499999993</v>
      </c>
      <c r="Q42" s="169">
        <f t="shared" si="2"/>
        <v>4208642.9499999993</v>
      </c>
      <c r="R42" s="169">
        <f t="shared" si="3"/>
        <v>51977096.049999982</v>
      </c>
      <c r="S42" s="167">
        <f t="shared" si="10"/>
        <v>67500000</v>
      </c>
      <c r="T42" s="191">
        <f t="shared" si="5"/>
        <v>0</v>
      </c>
      <c r="U42" s="259">
        <f t="shared" si="6"/>
        <v>47777551.319999978</v>
      </c>
      <c r="V42" s="260">
        <f t="shared" si="7"/>
        <v>2073543.8399999999</v>
      </c>
    </row>
    <row r="43" spans="1:22">
      <c r="A43" s="188">
        <v>36</v>
      </c>
      <c r="B43" s="190" t="str">
        <f>+PERBULAN!B43</f>
        <v>YANUAR</v>
      </c>
      <c r="C43" s="190" t="str">
        <f>+PERBULAN!C43</f>
        <v>L</v>
      </c>
      <c r="D43" s="190" t="str">
        <f>+PERBULAN!D43</f>
        <v>K/2</v>
      </c>
      <c r="E43" s="258">
        <f>+PERBULAN!E43</f>
        <v>11</v>
      </c>
      <c r="F43" s="169">
        <f>+PERBULAN!R43</f>
        <v>52628630.559999995</v>
      </c>
      <c r="G43" s="189">
        <f>+PERBULAN!S43</f>
        <v>4032600</v>
      </c>
      <c r="H43" s="189">
        <f>+BPJS!O164</f>
        <v>359533.44</v>
      </c>
      <c r="I43" s="169">
        <f>+BPJS!O43</f>
        <v>1719264</v>
      </c>
      <c r="J43" s="169">
        <f>+PERBULAN!T43</f>
        <v>600000</v>
      </c>
      <c r="K43" s="189"/>
      <c r="L43" s="189" t="e">
        <f>'[4]BULANAN PTKP BARU'!V44</f>
        <v>#REF!</v>
      </c>
      <c r="M43" s="169">
        <f t="shared" si="0"/>
        <v>59340027.999999993</v>
      </c>
      <c r="N43" s="169">
        <f>+'ASTEK-DIISI SMPAI DES'!O43</f>
        <v>934224</v>
      </c>
      <c r="O43" s="169">
        <f>+'ASTEK-DIISI SMPAI DES'!O158</f>
        <v>467112</v>
      </c>
      <c r="P43" s="169">
        <f>M43*5%</f>
        <v>2967001.4</v>
      </c>
      <c r="Q43" s="169">
        <f t="shared" si="2"/>
        <v>4368337.4000000004</v>
      </c>
      <c r="R43" s="169">
        <f t="shared" si="3"/>
        <v>54971690.599999994</v>
      </c>
      <c r="S43" s="167">
        <f t="shared" si="10"/>
        <v>67500000</v>
      </c>
      <c r="T43" s="191">
        <f t="shared" si="5"/>
        <v>0</v>
      </c>
      <c r="U43" s="259">
        <f t="shared" si="6"/>
        <v>50549833.119999997</v>
      </c>
      <c r="V43" s="260">
        <f t="shared" si="7"/>
        <v>2078797.44</v>
      </c>
    </row>
    <row r="44" spans="1:22">
      <c r="A44" s="188">
        <v>37</v>
      </c>
      <c r="B44" s="190" t="str">
        <f>+PERBULAN!B44</f>
        <v>SEVENDRI</v>
      </c>
      <c r="C44" s="190" t="str">
        <f>+PERBULAN!C44</f>
        <v>L</v>
      </c>
      <c r="D44" s="190" t="str">
        <f>+PERBULAN!D44</f>
        <v>K/2</v>
      </c>
      <c r="E44" s="258">
        <f>+PERBULAN!E44</f>
        <v>11</v>
      </c>
      <c r="F44" s="169">
        <f>+PERBULAN!R44</f>
        <v>53957849.159999989</v>
      </c>
      <c r="G44" s="189">
        <f>+PERBULAN!S44</f>
        <v>4067100</v>
      </c>
      <c r="H44" s="189">
        <f>+BPJS!O165</f>
        <v>359331.83999999997</v>
      </c>
      <c r="I44" s="169">
        <f>+BPJS!O44</f>
        <v>1716624</v>
      </c>
      <c r="J44" s="169">
        <f>+PERBULAN!T44</f>
        <v>200000</v>
      </c>
      <c r="K44" s="189"/>
      <c r="L44" s="189" t="e">
        <f>'[4]BULANAN PTKP BARU'!V45</f>
        <v>#REF!</v>
      </c>
      <c r="M44" s="169">
        <f t="shared" si="0"/>
        <v>60300904.999999993</v>
      </c>
      <c r="N44" s="169">
        <f>+'ASTEK-DIISI SMPAI DES'!O44</f>
        <v>933624</v>
      </c>
      <c r="O44" s="169">
        <f>+'ASTEK-DIISI SMPAI DES'!O159</f>
        <v>466812</v>
      </c>
      <c r="P44" s="169">
        <f t="shared" ref="P44:P104" si="11">M44*5%</f>
        <v>3015045.25</v>
      </c>
      <c r="Q44" s="169">
        <f t="shared" si="2"/>
        <v>4415481.25</v>
      </c>
      <c r="R44" s="169">
        <f t="shared" si="3"/>
        <v>55885423.749999993</v>
      </c>
      <c r="S44" s="167">
        <f t="shared" si="10"/>
        <v>67500000</v>
      </c>
      <c r="T44" s="191">
        <f t="shared" si="5"/>
        <v>0</v>
      </c>
      <c r="U44" s="259">
        <f t="shared" si="6"/>
        <v>51881893.319999985</v>
      </c>
      <c r="V44" s="260">
        <f t="shared" si="7"/>
        <v>2075955.8399999999</v>
      </c>
    </row>
    <row r="45" spans="1:22">
      <c r="A45" s="188">
        <v>38</v>
      </c>
      <c r="B45" s="190" t="str">
        <f>+PERBULAN!B45</f>
        <v>PURGANDI</v>
      </c>
      <c r="C45" s="190" t="str">
        <f>+PERBULAN!C45</f>
        <v>L</v>
      </c>
      <c r="D45" s="190" t="str">
        <f>+PERBULAN!D45</f>
        <v>K/0</v>
      </c>
      <c r="E45" s="258">
        <f>+PERBULAN!E45</f>
        <v>11</v>
      </c>
      <c r="F45" s="169">
        <f>+PERBULAN!R45</f>
        <v>53263185.159999989</v>
      </c>
      <c r="G45" s="189">
        <f>+PERBULAN!S45</f>
        <v>3998100</v>
      </c>
      <c r="H45" s="189">
        <f>+BPJS!O166</f>
        <v>359331.83999999997</v>
      </c>
      <c r="I45" s="169">
        <f>+BPJS!O45</f>
        <v>1717224</v>
      </c>
      <c r="J45" s="169">
        <f>+PERBULAN!T45</f>
        <v>600000</v>
      </c>
      <c r="K45" s="189"/>
      <c r="L45" s="189" t="e">
        <f>'[4]BULANAN PTKP BARU'!V46</f>
        <v>#REF!</v>
      </c>
      <c r="M45" s="169">
        <f t="shared" si="0"/>
        <v>59937840.999999993</v>
      </c>
      <c r="N45" s="169">
        <f>+'ASTEK-DIISI SMPAI DES'!O45</f>
        <v>933624</v>
      </c>
      <c r="O45" s="169">
        <f>+'ASTEK-DIISI SMPAI DES'!O160</f>
        <v>466812</v>
      </c>
      <c r="P45" s="169">
        <f t="shared" si="11"/>
        <v>2996892.05</v>
      </c>
      <c r="Q45" s="169">
        <f t="shared" si="2"/>
        <v>4397328.05</v>
      </c>
      <c r="R45" s="169">
        <f t="shared" si="3"/>
        <v>55540512.949999996</v>
      </c>
      <c r="S45" s="167">
        <f t="shared" si="10"/>
        <v>58500000</v>
      </c>
      <c r="T45" s="191">
        <f t="shared" si="5"/>
        <v>0</v>
      </c>
      <c r="U45" s="259">
        <f t="shared" si="6"/>
        <v>51186629.319999985</v>
      </c>
      <c r="V45" s="260">
        <f t="shared" si="7"/>
        <v>2076555.8399999999</v>
      </c>
    </row>
    <row r="46" spans="1:22">
      <c r="A46" s="188">
        <v>39</v>
      </c>
      <c r="B46" s="190" t="str">
        <f>+PERBULAN!B46</f>
        <v>RICKI PUTRA</v>
      </c>
      <c r="C46" s="190" t="str">
        <f>+PERBULAN!C46</f>
        <v>L</v>
      </c>
      <c r="D46" s="190" t="str">
        <f>+PERBULAN!D46</f>
        <v>K/0</v>
      </c>
      <c r="E46" s="258">
        <f>+PERBULAN!E46</f>
        <v>11</v>
      </c>
      <c r="F46" s="169">
        <f>+PERBULAN!R46</f>
        <v>54931472.159999996</v>
      </c>
      <c r="G46" s="189">
        <f>+PERBULAN!S46</f>
        <v>4011600</v>
      </c>
      <c r="H46" s="189">
        <f>+BPJS!O167</f>
        <v>359205.83999999997</v>
      </c>
      <c r="I46" s="169">
        <f>+BPJS!O46</f>
        <v>1716264</v>
      </c>
      <c r="J46" s="169">
        <f>+PERBULAN!T46</f>
        <v>600000</v>
      </c>
      <c r="K46" s="189"/>
      <c r="L46" s="189" t="e">
        <f>'[4]BULANAN PTKP BARU'!V47</f>
        <v>#REF!</v>
      </c>
      <c r="M46" s="169">
        <f t="shared" si="0"/>
        <v>61618542</v>
      </c>
      <c r="N46" s="169">
        <f>+'ASTEK-DIISI SMPAI DES'!O46</f>
        <v>933324</v>
      </c>
      <c r="O46" s="169">
        <f>+'ASTEK-DIISI SMPAI DES'!O161</f>
        <v>466662</v>
      </c>
      <c r="P46" s="169">
        <f t="shared" si="11"/>
        <v>3080927.1</v>
      </c>
      <c r="Q46" s="169">
        <f t="shared" si="2"/>
        <v>4480913.0999999996</v>
      </c>
      <c r="R46" s="169">
        <f t="shared" si="3"/>
        <v>57137628.899999999</v>
      </c>
      <c r="S46" s="167">
        <f t="shared" si="10"/>
        <v>58500000</v>
      </c>
      <c r="T46" s="191">
        <f t="shared" si="5"/>
        <v>0</v>
      </c>
      <c r="U46" s="259">
        <f t="shared" si="6"/>
        <v>52856002.319999993</v>
      </c>
      <c r="V46" s="260">
        <f t="shared" si="7"/>
        <v>2075469.8399999999</v>
      </c>
    </row>
    <row r="47" spans="1:22">
      <c r="A47" s="188">
        <v>40</v>
      </c>
      <c r="B47" s="190" t="str">
        <f>+PERBULAN!B47</f>
        <v>ROLAND AGUSTA</v>
      </c>
      <c r="C47" s="190" t="str">
        <f>+PERBULAN!C47</f>
        <v>L</v>
      </c>
      <c r="D47" s="190" t="str">
        <f>+PERBULAN!D47</f>
        <v>K/1</v>
      </c>
      <c r="E47" s="258">
        <f>+PERBULAN!E47</f>
        <v>11</v>
      </c>
      <c r="F47" s="169">
        <f>+PERBULAN!R47</f>
        <v>56037486.159999982</v>
      </c>
      <c r="G47" s="189">
        <f>+PERBULAN!S47</f>
        <v>4034100</v>
      </c>
      <c r="H47" s="189">
        <f>+BPJS!O168</f>
        <v>359079.83999999997</v>
      </c>
      <c r="I47" s="169">
        <f>+BPJS!O47</f>
        <v>1714344</v>
      </c>
      <c r="J47" s="169">
        <f>+PERBULAN!T47</f>
        <v>200000</v>
      </c>
      <c r="K47" s="189"/>
      <c r="L47" s="189" t="e">
        <f>'[4]BULANAN PTKP BARU'!V48</f>
        <v>#REF!</v>
      </c>
      <c r="M47" s="169">
        <f t="shared" si="0"/>
        <v>62345009.999999985</v>
      </c>
      <c r="N47" s="169">
        <f>+'ASTEK-DIISI SMPAI DES'!O47</f>
        <v>932904</v>
      </c>
      <c r="O47" s="169">
        <f>+'ASTEK-DIISI SMPAI DES'!O162</f>
        <v>466452</v>
      </c>
      <c r="P47" s="169">
        <f t="shared" si="11"/>
        <v>3117250.4999999995</v>
      </c>
      <c r="Q47" s="169">
        <f t="shared" si="2"/>
        <v>4516606.5</v>
      </c>
      <c r="R47" s="169">
        <f t="shared" si="3"/>
        <v>57828403.499999985</v>
      </c>
      <c r="S47" s="167">
        <f t="shared" si="10"/>
        <v>63000000</v>
      </c>
      <c r="T47" s="191">
        <f t="shared" si="5"/>
        <v>0</v>
      </c>
      <c r="U47" s="259">
        <f t="shared" si="6"/>
        <v>53964062.319999978</v>
      </c>
      <c r="V47" s="260">
        <f t="shared" si="7"/>
        <v>2073423.8399999999</v>
      </c>
    </row>
    <row r="48" spans="1:22">
      <c r="A48" s="188">
        <v>41</v>
      </c>
      <c r="B48" s="190" t="str">
        <f>+PERBULAN!B48</f>
        <v>SAHDAN</v>
      </c>
      <c r="C48" s="190" t="str">
        <f>+PERBULAN!C48</f>
        <v>L</v>
      </c>
      <c r="D48" s="190" t="str">
        <f>+PERBULAN!D48</f>
        <v>K/0</v>
      </c>
      <c r="E48" s="258">
        <f>+PERBULAN!E48</f>
        <v>11</v>
      </c>
      <c r="F48" s="169">
        <f>+PERBULAN!R48</f>
        <v>52798634.159999989</v>
      </c>
      <c r="G48" s="189">
        <f>+PERBULAN!S48</f>
        <v>4011600</v>
      </c>
      <c r="H48" s="189">
        <f>+BPJS!O169</f>
        <v>359331.83999999997</v>
      </c>
      <c r="I48" s="169">
        <f>+BPJS!O48</f>
        <v>1716984</v>
      </c>
      <c r="J48" s="169">
        <f>+PERBULAN!T48</f>
        <v>200000</v>
      </c>
      <c r="K48" s="189"/>
      <c r="L48" s="189" t="e">
        <f>'[4]BULANAN PTKP BARU'!V49</f>
        <v>#REF!</v>
      </c>
      <c r="M48" s="169">
        <f t="shared" si="0"/>
        <v>59086549.999999993</v>
      </c>
      <c r="N48" s="169">
        <f>+'ASTEK-DIISI SMPAI DES'!O48</f>
        <v>933624</v>
      </c>
      <c r="O48" s="169">
        <f>+'ASTEK-DIISI SMPAI DES'!O163</f>
        <v>466812</v>
      </c>
      <c r="P48" s="169">
        <f t="shared" si="11"/>
        <v>2954327.5</v>
      </c>
      <c r="Q48" s="169">
        <f t="shared" si="2"/>
        <v>4354763.5</v>
      </c>
      <c r="R48" s="169">
        <f t="shared" si="3"/>
        <v>54731786.499999993</v>
      </c>
      <c r="S48" s="167">
        <f t="shared" si="10"/>
        <v>58500000</v>
      </c>
      <c r="T48" s="191">
        <f t="shared" si="5"/>
        <v>0</v>
      </c>
      <c r="U48" s="259">
        <f t="shared" si="6"/>
        <v>50722318.319999985</v>
      </c>
      <c r="V48" s="260">
        <f t="shared" si="7"/>
        <v>2076315.8399999999</v>
      </c>
    </row>
    <row r="49" spans="1:22">
      <c r="A49" s="188">
        <v>42</v>
      </c>
      <c r="B49" s="190" t="str">
        <f>+PERBULAN!B49</f>
        <v>YOPIE ,T</v>
      </c>
      <c r="C49" s="190" t="str">
        <f>+PERBULAN!C49</f>
        <v>L</v>
      </c>
      <c r="D49" s="190" t="str">
        <f>+PERBULAN!D49</f>
        <v>K/2</v>
      </c>
      <c r="E49" s="258">
        <f>+PERBULAN!E49</f>
        <v>11</v>
      </c>
      <c r="F49" s="169">
        <f>+PERBULAN!R49</f>
        <v>53940728.159999989</v>
      </c>
      <c r="G49" s="189">
        <f>+PERBULAN!S49</f>
        <v>4067100</v>
      </c>
      <c r="H49" s="189">
        <f>+BPJS!O170</f>
        <v>359331.83999999997</v>
      </c>
      <c r="I49" s="169">
        <f>+BPJS!O49</f>
        <v>1717224</v>
      </c>
      <c r="J49" s="169">
        <f>+PERBULAN!T49</f>
        <v>200000</v>
      </c>
      <c r="K49" s="189"/>
      <c r="L49" s="189" t="e">
        <f>'[4]BULANAN PTKP BARU'!V50</f>
        <v>#REF!</v>
      </c>
      <c r="M49" s="169">
        <f t="shared" si="0"/>
        <v>60284383.999999993</v>
      </c>
      <c r="N49" s="169">
        <f>+'ASTEK-DIISI SMPAI DES'!O49</f>
        <v>933624</v>
      </c>
      <c r="O49" s="169">
        <f>+'ASTEK-DIISI SMPAI DES'!O164</f>
        <v>466812</v>
      </c>
      <c r="P49" s="169">
        <f t="shared" si="11"/>
        <v>3014219.1999999997</v>
      </c>
      <c r="Q49" s="169">
        <f t="shared" si="2"/>
        <v>4414655.1999999993</v>
      </c>
      <c r="R49" s="169">
        <f t="shared" si="3"/>
        <v>55869728.799999997</v>
      </c>
      <c r="S49" s="167">
        <f t="shared" si="10"/>
        <v>67500000</v>
      </c>
      <c r="T49" s="191">
        <f t="shared" si="5"/>
        <v>0</v>
      </c>
      <c r="U49" s="259">
        <f t="shared" si="6"/>
        <v>51864172.319999985</v>
      </c>
      <c r="V49" s="260">
        <f t="shared" si="7"/>
        <v>2076555.8399999999</v>
      </c>
    </row>
    <row r="50" spans="1:22">
      <c r="A50" s="188">
        <v>43</v>
      </c>
      <c r="B50" s="190" t="str">
        <f>+PERBULAN!B50</f>
        <v>ELYANDI</v>
      </c>
      <c r="C50" s="190" t="str">
        <f>+PERBULAN!C50</f>
        <v>L</v>
      </c>
      <c r="D50" s="190" t="str">
        <f>+PERBULAN!D50</f>
        <v>TK/0</v>
      </c>
      <c r="E50" s="258">
        <f>+PERBULAN!E50</f>
        <v>11</v>
      </c>
      <c r="F50" s="169">
        <f>+PERBULAN!R50</f>
        <v>52092642.160000004</v>
      </c>
      <c r="G50" s="189">
        <f>+PERBULAN!S50</f>
        <v>3954100</v>
      </c>
      <c r="H50" s="189">
        <f>+BPJS!O171</f>
        <v>358701.83999999997</v>
      </c>
      <c r="I50" s="169">
        <f>+BPJS!O50</f>
        <v>1710504</v>
      </c>
      <c r="J50" s="169">
        <f>+PERBULAN!T50</f>
        <v>200000</v>
      </c>
      <c r="K50" s="189"/>
      <c r="L50" s="189" t="e">
        <f>'[4]BULANAN PTKP BARU'!V51</f>
        <v>#REF!</v>
      </c>
      <c r="M50" s="169">
        <f t="shared" si="0"/>
        <v>58315948.000000007</v>
      </c>
      <c r="N50" s="169">
        <f>+'ASTEK-DIISI SMPAI DES'!O50</f>
        <v>931834</v>
      </c>
      <c r="O50" s="169">
        <f>+'ASTEK-DIISI SMPAI DES'!O165</f>
        <v>465917</v>
      </c>
      <c r="P50" s="169">
        <f t="shared" si="11"/>
        <v>2915797.4000000004</v>
      </c>
      <c r="Q50" s="169">
        <f t="shared" si="2"/>
        <v>4313548.4000000004</v>
      </c>
      <c r="R50" s="169">
        <f t="shared" si="3"/>
        <v>54002399.600000009</v>
      </c>
      <c r="S50" s="167">
        <f t="shared" si="10"/>
        <v>54000000</v>
      </c>
      <c r="T50" s="191">
        <f t="shared" si="5"/>
        <v>2399.6000000089407</v>
      </c>
      <c r="U50" s="259">
        <f t="shared" si="6"/>
        <v>50023436.32</v>
      </c>
      <c r="V50" s="260">
        <f t="shared" si="7"/>
        <v>2069205.8399999999</v>
      </c>
    </row>
    <row r="51" spans="1:22">
      <c r="A51" s="188">
        <v>44</v>
      </c>
      <c r="B51" s="190" t="str">
        <f>+PERBULAN!B51</f>
        <v>ALI MAS DESI</v>
      </c>
      <c r="C51" s="190" t="str">
        <f>+PERBULAN!C51</f>
        <v>L</v>
      </c>
      <c r="D51" s="190" t="str">
        <f>+PERBULAN!D51</f>
        <v>K/1</v>
      </c>
      <c r="E51" s="258">
        <f>+PERBULAN!E51</f>
        <v>11</v>
      </c>
      <c r="F51" s="169">
        <f>+PERBULAN!R51</f>
        <v>56447602.160000004</v>
      </c>
      <c r="G51" s="189">
        <f>+PERBULAN!S51</f>
        <v>4021100</v>
      </c>
      <c r="H51" s="189">
        <f>+BPJS!O172</f>
        <v>358512.83999999997</v>
      </c>
      <c r="I51" s="169">
        <f>+BPJS!O51</f>
        <v>1708504</v>
      </c>
      <c r="J51" s="169">
        <f>+PERBULAN!T51</f>
        <v>200000</v>
      </c>
      <c r="K51" s="189"/>
      <c r="L51" s="189" t="e">
        <f>'[4]BULANAN PTKP BARU'!V52</f>
        <v>#REF!</v>
      </c>
      <c r="M51" s="169">
        <f t="shared" si="0"/>
        <v>62735719.000000007</v>
      </c>
      <c r="N51" s="169">
        <f>+'ASTEK-DIISI SMPAI DES'!O51</f>
        <v>931284</v>
      </c>
      <c r="O51" s="169">
        <f>+'ASTEK-DIISI SMPAI DES'!O166</f>
        <v>465642</v>
      </c>
      <c r="P51" s="169">
        <f t="shared" si="11"/>
        <v>3136785.9500000007</v>
      </c>
      <c r="Q51" s="169">
        <f t="shared" si="2"/>
        <v>4533711.9500000011</v>
      </c>
      <c r="R51" s="169">
        <f t="shared" si="3"/>
        <v>58202007.050000004</v>
      </c>
      <c r="S51" s="167">
        <f t="shared" si="10"/>
        <v>63000000</v>
      </c>
      <c r="T51" s="191">
        <f t="shared" si="5"/>
        <v>0</v>
      </c>
      <c r="U51" s="259">
        <f t="shared" si="6"/>
        <v>54380585.32</v>
      </c>
      <c r="V51" s="260">
        <f t="shared" si="7"/>
        <v>2067016.8399999999</v>
      </c>
    </row>
    <row r="52" spans="1:22">
      <c r="A52" s="188">
        <v>45</v>
      </c>
      <c r="B52" s="190" t="str">
        <f>+PERBULAN!B52</f>
        <v>HARYANTO</v>
      </c>
      <c r="C52" s="190" t="str">
        <f>+PERBULAN!C52</f>
        <v>L</v>
      </c>
      <c r="D52" s="190" t="str">
        <f>+PERBULAN!D52</f>
        <v>K/0</v>
      </c>
      <c r="E52" s="258">
        <f>+PERBULAN!E52</f>
        <v>11</v>
      </c>
      <c r="F52" s="169">
        <f>+PERBULAN!R52</f>
        <v>52660381.559999987</v>
      </c>
      <c r="G52" s="189">
        <f>+PERBULAN!S52</f>
        <v>4011600</v>
      </c>
      <c r="H52" s="189">
        <f>+BPJS!O173</f>
        <v>359281.44</v>
      </c>
      <c r="I52" s="169">
        <f>+BPJS!O52</f>
        <v>1716384</v>
      </c>
      <c r="J52" s="169">
        <f>+PERBULAN!T52</f>
        <v>200000</v>
      </c>
      <c r="K52" s="189"/>
      <c r="L52" s="189" t="e">
        <f>'[4]BULANAN PTKP BARU'!V53</f>
        <v>#REF!</v>
      </c>
      <c r="M52" s="169">
        <f t="shared" si="0"/>
        <v>58947646.999999985</v>
      </c>
      <c r="N52" s="169">
        <f>+'ASTEK-DIISI SMPAI DES'!O52</f>
        <v>933504</v>
      </c>
      <c r="O52" s="169">
        <f>+'ASTEK-DIISI SMPAI DES'!O167</f>
        <v>466752</v>
      </c>
      <c r="P52" s="169">
        <f t="shared" si="11"/>
        <v>2947382.3499999996</v>
      </c>
      <c r="Q52" s="169">
        <f t="shared" si="2"/>
        <v>4347638.3499999996</v>
      </c>
      <c r="R52" s="169">
        <f t="shared" si="3"/>
        <v>54600008.649999984</v>
      </c>
      <c r="S52" s="167">
        <f t="shared" si="10"/>
        <v>58500000</v>
      </c>
      <c r="T52" s="191">
        <f t="shared" si="5"/>
        <v>0</v>
      </c>
      <c r="U52" s="259">
        <f t="shared" si="6"/>
        <v>50584716.11999999</v>
      </c>
      <c r="V52" s="260">
        <f t="shared" si="7"/>
        <v>2075665.44</v>
      </c>
    </row>
    <row r="53" spans="1:22">
      <c r="A53" s="188">
        <v>46</v>
      </c>
      <c r="B53" s="190" t="str">
        <f>+PERBULAN!B53</f>
        <v>ROSMANSYAH</v>
      </c>
      <c r="C53" s="190" t="str">
        <f>+PERBULAN!C53</f>
        <v>L</v>
      </c>
      <c r="D53" s="190" t="str">
        <f>+PERBULAN!D53</f>
        <v>TK/0</v>
      </c>
      <c r="E53" s="258">
        <f>+PERBULAN!E53</f>
        <v>11</v>
      </c>
      <c r="F53" s="169">
        <f>+PERBULAN!R53</f>
        <v>54218944.159999982</v>
      </c>
      <c r="G53" s="189">
        <f>+PERBULAN!S53</f>
        <v>3965100</v>
      </c>
      <c r="H53" s="189">
        <f>+BPJS!O174</f>
        <v>359079.83999999997</v>
      </c>
      <c r="I53" s="169">
        <f>+BPJS!O53</f>
        <v>1714944</v>
      </c>
      <c r="J53" s="169">
        <f>+PERBULAN!T53</f>
        <v>600000</v>
      </c>
      <c r="K53" s="189"/>
      <c r="L53" s="189" t="e">
        <f>'[4]BULANAN PTKP BARU'!V54</f>
        <v>#REF!</v>
      </c>
      <c r="M53" s="169">
        <f t="shared" si="0"/>
        <v>60858067.999999985</v>
      </c>
      <c r="N53" s="169">
        <f>+'ASTEK-DIISI SMPAI DES'!O53</f>
        <v>932904</v>
      </c>
      <c r="O53" s="169">
        <f>+'ASTEK-DIISI SMPAI DES'!O168</f>
        <v>466452</v>
      </c>
      <c r="P53" s="169">
        <f t="shared" si="11"/>
        <v>3042903.3999999994</v>
      </c>
      <c r="Q53" s="169">
        <f t="shared" si="2"/>
        <v>4442259.3999999994</v>
      </c>
      <c r="R53" s="169">
        <f t="shared" si="3"/>
        <v>56415808.599999987</v>
      </c>
      <c r="S53" s="167">
        <f t="shared" si="10"/>
        <v>54000000</v>
      </c>
      <c r="T53" s="191">
        <f t="shared" si="5"/>
        <v>2415808.5999999866</v>
      </c>
      <c r="U53" s="259">
        <f t="shared" si="6"/>
        <v>52144920.319999978</v>
      </c>
      <c r="V53" s="260">
        <f t="shared" si="7"/>
        <v>2074023.8399999999</v>
      </c>
    </row>
    <row r="54" spans="1:22">
      <c r="A54" s="188">
        <v>47</v>
      </c>
      <c r="B54" s="190" t="str">
        <f>+PERBULAN!B54</f>
        <v>KAMALUDIN</v>
      </c>
      <c r="C54" s="190" t="str">
        <f>+PERBULAN!C54</f>
        <v>L</v>
      </c>
      <c r="D54" s="190" t="str">
        <f>+PERBULAN!D54</f>
        <v>K/1</v>
      </c>
      <c r="E54" s="258">
        <f>+PERBULAN!E54</f>
        <v>11</v>
      </c>
      <c r="F54" s="169">
        <f>+PERBULAN!R54</f>
        <v>50975040.159999982</v>
      </c>
      <c r="G54" s="189">
        <f>+PERBULAN!S54</f>
        <v>4037100</v>
      </c>
      <c r="H54" s="189">
        <f>+BPJS!O175</f>
        <v>359079.83999999997</v>
      </c>
      <c r="I54" s="169">
        <f>+BPJS!O54</f>
        <v>1714704</v>
      </c>
      <c r="J54" s="169">
        <f>+PERBULAN!T54</f>
        <v>200000</v>
      </c>
      <c r="K54" s="189"/>
      <c r="L54" s="189" t="e">
        <f>'[4]BULANAN PTKP BARU'!V56</f>
        <v>#REF!</v>
      </c>
      <c r="M54" s="169">
        <f t="shared" si="0"/>
        <v>57285923.999999985</v>
      </c>
      <c r="N54" s="169">
        <f>+'ASTEK-DIISI SMPAI DES'!O54</f>
        <v>932904</v>
      </c>
      <c r="O54" s="169">
        <f>+'ASTEK-DIISI SMPAI DES'!O169</f>
        <v>466452</v>
      </c>
      <c r="P54" s="169">
        <f t="shared" si="11"/>
        <v>2864296.1999999993</v>
      </c>
      <c r="Q54" s="169">
        <f t="shared" si="2"/>
        <v>4263652.1999999993</v>
      </c>
      <c r="R54" s="169">
        <f t="shared" si="3"/>
        <v>53022271.799999982</v>
      </c>
      <c r="S54" s="167">
        <f t="shared" si="10"/>
        <v>63000000</v>
      </c>
      <c r="T54" s="191">
        <f t="shared" si="5"/>
        <v>0</v>
      </c>
      <c r="U54" s="259">
        <f t="shared" si="6"/>
        <v>48901256.319999978</v>
      </c>
      <c r="V54" s="260">
        <f t="shared" si="7"/>
        <v>2073783.8399999999</v>
      </c>
    </row>
    <row r="55" spans="1:22">
      <c r="A55" s="188">
        <v>48</v>
      </c>
      <c r="B55" s="190" t="str">
        <f>+PERBULAN!B55</f>
        <v>AZRI DONA</v>
      </c>
      <c r="C55" s="190" t="str">
        <f>+PERBULAN!C55</f>
        <v>L</v>
      </c>
      <c r="D55" s="190" t="str">
        <f>+PERBULAN!D55</f>
        <v>K/2</v>
      </c>
      <c r="E55" s="258">
        <f>+PERBULAN!E55</f>
        <v>11</v>
      </c>
      <c r="F55" s="169">
        <f>+PERBULAN!R55</f>
        <v>53722961.359999985</v>
      </c>
      <c r="G55" s="189">
        <f>+PERBULAN!S55</f>
        <v>4067100</v>
      </c>
      <c r="H55" s="189">
        <f>+BPJS!O176</f>
        <v>359306.63999999996</v>
      </c>
      <c r="I55" s="169">
        <f>+BPJS!O55</f>
        <v>1716744</v>
      </c>
      <c r="J55" s="169">
        <f>+PERBULAN!T55</f>
        <v>200000</v>
      </c>
      <c r="K55" s="189"/>
      <c r="L55" s="189" t="e">
        <f>'[4]BULANAN PTKP BARU'!V57</f>
        <v>#REF!</v>
      </c>
      <c r="M55" s="169">
        <f t="shared" si="0"/>
        <v>60066111.999999985</v>
      </c>
      <c r="N55" s="169">
        <f>+'ASTEK-DIISI SMPAI DES'!O55</f>
        <v>933564</v>
      </c>
      <c r="O55" s="169">
        <f>+'ASTEK-DIISI SMPAI DES'!O170</f>
        <v>466782</v>
      </c>
      <c r="P55" s="169">
        <f t="shared" si="11"/>
        <v>3003305.5999999996</v>
      </c>
      <c r="Q55" s="169">
        <f t="shared" si="2"/>
        <v>4403651.5999999996</v>
      </c>
      <c r="R55" s="169">
        <f t="shared" si="3"/>
        <v>55662460.399999984</v>
      </c>
      <c r="S55" s="167">
        <f t="shared" si="10"/>
        <v>67500000</v>
      </c>
      <c r="T55" s="191">
        <f t="shared" si="5"/>
        <v>0</v>
      </c>
      <c r="U55" s="259">
        <f t="shared" si="6"/>
        <v>51646910.719999984</v>
      </c>
      <c r="V55" s="260">
        <f t="shared" si="7"/>
        <v>2076050.64</v>
      </c>
    </row>
    <row r="56" spans="1:22">
      <c r="A56" s="188">
        <v>49</v>
      </c>
      <c r="B56" s="190" t="str">
        <f>+PERBULAN!B56</f>
        <v>HALIK</v>
      </c>
      <c r="C56" s="190" t="str">
        <f>+PERBULAN!C56</f>
        <v>L</v>
      </c>
      <c r="D56" s="190" t="str">
        <f>+PERBULAN!D56</f>
        <v>K/2</v>
      </c>
      <c r="E56" s="258">
        <f>+PERBULAN!E56</f>
        <v>11</v>
      </c>
      <c r="F56" s="169">
        <f>+PERBULAN!R56</f>
        <v>56463777.160000004</v>
      </c>
      <c r="G56" s="189">
        <f>+PERBULAN!S56</f>
        <v>4045600</v>
      </c>
      <c r="H56" s="189">
        <f>+BPJS!O177</f>
        <v>358407.83999999997</v>
      </c>
      <c r="I56" s="169">
        <f>+BPJS!O56</f>
        <v>1707404</v>
      </c>
      <c r="J56" s="169">
        <f>+PERBULAN!T56</f>
        <v>200000</v>
      </c>
      <c r="K56" s="189"/>
      <c r="L56" s="189" t="e">
        <f>'[4]BULANAN PTKP BARU'!V59</f>
        <v>#REF!</v>
      </c>
      <c r="M56" s="169">
        <f t="shared" si="0"/>
        <v>62775189.000000007</v>
      </c>
      <c r="N56" s="169">
        <f>+'ASTEK-DIISI SMPAI DES'!O56</f>
        <v>930984</v>
      </c>
      <c r="O56" s="169">
        <f>+'ASTEK-DIISI SMPAI DES'!O171</f>
        <v>465492</v>
      </c>
      <c r="P56" s="169">
        <f t="shared" si="11"/>
        <v>3138759.4500000007</v>
      </c>
      <c r="Q56" s="169">
        <f t="shared" si="2"/>
        <v>4535235.4500000011</v>
      </c>
      <c r="R56" s="169">
        <f t="shared" si="3"/>
        <v>58239953.550000004</v>
      </c>
      <c r="S56" s="167">
        <f t="shared" si="10"/>
        <v>67500000</v>
      </c>
      <c r="T56" s="191">
        <f t="shared" si="5"/>
        <v>0</v>
      </c>
      <c r="U56" s="259">
        <f t="shared" si="6"/>
        <v>54397965.32</v>
      </c>
      <c r="V56" s="260">
        <f t="shared" si="7"/>
        <v>2065811.8399999999</v>
      </c>
    </row>
    <row r="57" spans="1:22">
      <c r="A57" s="188">
        <v>50</v>
      </c>
      <c r="B57" s="190" t="str">
        <f>+PERBULAN!B57</f>
        <v>KARTONO</v>
      </c>
      <c r="C57" s="190" t="str">
        <f>+PERBULAN!C57</f>
        <v>L</v>
      </c>
      <c r="D57" s="190" t="str">
        <f>+PERBULAN!D57</f>
        <v>K/1</v>
      </c>
      <c r="E57" s="258">
        <f>+PERBULAN!E57</f>
        <v>11</v>
      </c>
      <c r="F57" s="169">
        <f>+PERBULAN!R57</f>
        <v>52790008.160000004</v>
      </c>
      <c r="G57" s="189">
        <f>+PERBULAN!S57</f>
        <v>2668400</v>
      </c>
      <c r="H57" s="189">
        <f>+BPJS!O178</f>
        <v>358302.83999999997</v>
      </c>
      <c r="I57" s="169">
        <f>+BPJS!O57</f>
        <v>1706204</v>
      </c>
      <c r="J57" s="169">
        <f>+PERBULAN!T57</f>
        <v>250000</v>
      </c>
      <c r="K57" s="189"/>
      <c r="L57" s="189" t="e">
        <f>'[4]BULANAN PTKP BARU'!V61</f>
        <v>#REF!</v>
      </c>
      <c r="M57" s="169">
        <f t="shared" si="0"/>
        <v>57772915.000000007</v>
      </c>
      <c r="N57" s="169">
        <f>+'ASTEK-DIISI SMPAI DES'!O57</f>
        <v>930684</v>
      </c>
      <c r="O57" s="169">
        <f>+'ASTEK-DIISI SMPAI DES'!O172</f>
        <v>465342</v>
      </c>
      <c r="P57" s="169">
        <f t="shared" si="11"/>
        <v>2888645.7500000005</v>
      </c>
      <c r="Q57" s="169">
        <f t="shared" si="2"/>
        <v>4284671.75</v>
      </c>
      <c r="R57" s="169">
        <f t="shared" si="3"/>
        <v>53488243.250000007</v>
      </c>
      <c r="S57" s="167">
        <f t="shared" si="10"/>
        <v>63000000</v>
      </c>
      <c r="T57" s="191">
        <f t="shared" si="5"/>
        <v>0</v>
      </c>
      <c r="U57" s="259">
        <f t="shared" si="6"/>
        <v>50725501.32</v>
      </c>
      <c r="V57" s="260">
        <f t="shared" si="7"/>
        <v>2064506.8399999999</v>
      </c>
    </row>
    <row r="58" spans="1:22">
      <c r="A58" s="188">
        <v>51</v>
      </c>
      <c r="B58" s="190" t="str">
        <f>+PERBULAN!B58</f>
        <v>LALU MANAR HADI</v>
      </c>
      <c r="C58" s="190" t="str">
        <f>+PERBULAN!C58</f>
        <v>L</v>
      </c>
      <c r="D58" s="190" t="str">
        <f>+PERBULAN!D58</f>
        <v>K/0</v>
      </c>
      <c r="E58" s="258">
        <f>+PERBULAN!E58</f>
        <v>11</v>
      </c>
      <c r="F58" s="169">
        <f>+PERBULAN!R58</f>
        <v>66599682.160000011</v>
      </c>
      <c r="G58" s="189">
        <f>+PERBULAN!S58</f>
        <v>1993800</v>
      </c>
      <c r="H58" s="189">
        <f>+BPJS!O179</f>
        <v>358260.83999999997</v>
      </c>
      <c r="I58" s="169">
        <f>+BPJS!O58</f>
        <v>1706004</v>
      </c>
      <c r="J58" s="169">
        <f>+PERBULAN!T58</f>
        <v>50000</v>
      </c>
      <c r="K58" s="189"/>
      <c r="L58" s="189" t="e">
        <f>'[4]BULANAN PTKP BARU'!V62</f>
        <v>#REF!</v>
      </c>
      <c r="M58" s="169">
        <f t="shared" si="0"/>
        <v>70707747.000000015</v>
      </c>
      <c r="N58" s="169">
        <f>+'ASTEK-DIISI SMPAI DES'!O58</f>
        <v>930584</v>
      </c>
      <c r="O58" s="169">
        <f>+'ASTEK-DIISI SMPAI DES'!O173</f>
        <v>465292</v>
      </c>
      <c r="P58" s="169">
        <f t="shared" si="11"/>
        <v>3535387.350000001</v>
      </c>
      <c r="Q58" s="169">
        <f t="shared" si="2"/>
        <v>4931263.3500000015</v>
      </c>
      <c r="R58" s="169">
        <f t="shared" si="3"/>
        <v>65776483.650000013</v>
      </c>
      <c r="S58" s="167">
        <f t="shared" si="10"/>
        <v>58500000</v>
      </c>
      <c r="T58" s="191">
        <f t="shared" si="5"/>
        <v>7276483.6500000134</v>
      </c>
      <c r="U58" s="259">
        <f t="shared" si="6"/>
        <v>64535417.320000008</v>
      </c>
      <c r="V58" s="260">
        <f t="shared" si="7"/>
        <v>2064264.8399999999</v>
      </c>
    </row>
    <row r="59" spans="1:22">
      <c r="A59" s="188">
        <v>52</v>
      </c>
      <c r="B59" s="190" t="str">
        <f>+PERBULAN!B59</f>
        <v>ANHAR</v>
      </c>
      <c r="C59" s="190" t="str">
        <f>+PERBULAN!C59</f>
        <v>L</v>
      </c>
      <c r="D59" s="190" t="str">
        <f>+PERBULAN!D59</f>
        <v>K/2</v>
      </c>
      <c r="E59" s="258">
        <f>+PERBULAN!E59</f>
        <v>11</v>
      </c>
      <c r="F59" s="169">
        <f>+PERBULAN!R59</f>
        <v>55915168.160000004</v>
      </c>
      <c r="G59" s="189">
        <f>+PERBULAN!S59</f>
        <v>1010775</v>
      </c>
      <c r="H59" s="189">
        <f>+BPJS!O180</f>
        <v>358197.83999999997</v>
      </c>
      <c r="I59" s="169">
        <f>+BPJS!O59</f>
        <v>1705704</v>
      </c>
      <c r="J59" s="169">
        <f>+PERBULAN!T59</f>
        <v>0</v>
      </c>
      <c r="K59" s="189"/>
      <c r="L59" s="189" t="e">
        <f>'[4]BULANAN PTKP BARU'!V63</f>
        <v>#REF!</v>
      </c>
      <c r="M59" s="169">
        <f t="shared" si="0"/>
        <v>58989845.000000007</v>
      </c>
      <c r="N59" s="169">
        <f>+'ASTEK-DIISI SMPAI DES'!O59</f>
        <v>930434</v>
      </c>
      <c r="O59" s="169">
        <f>+'ASTEK-DIISI SMPAI DES'!O174</f>
        <v>465217</v>
      </c>
      <c r="P59" s="169">
        <f t="shared" si="11"/>
        <v>2949492.2500000005</v>
      </c>
      <c r="Q59" s="169">
        <f t="shared" si="2"/>
        <v>4345143.25</v>
      </c>
      <c r="R59" s="169">
        <f t="shared" si="3"/>
        <v>54644701.750000007</v>
      </c>
      <c r="S59" s="167">
        <f t="shared" si="10"/>
        <v>67500000</v>
      </c>
      <c r="T59" s="191">
        <f t="shared" si="5"/>
        <v>0</v>
      </c>
      <c r="U59" s="259">
        <f t="shared" si="6"/>
        <v>53851266.32</v>
      </c>
      <c r="V59" s="260">
        <f t="shared" si="7"/>
        <v>2063901.8399999999</v>
      </c>
    </row>
    <row r="60" spans="1:22">
      <c r="A60" s="188">
        <v>53</v>
      </c>
      <c r="B60" s="190" t="str">
        <f>+PERBULAN!B60</f>
        <v>IRPAN SAMSUDIN</v>
      </c>
      <c r="C60" s="190" t="str">
        <f>+PERBULAN!C60</f>
        <v>L</v>
      </c>
      <c r="D60" s="190" t="str">
        <f>+PERBULAN!D60</f>
        <v>TK/0</v>
      </c>
      <c r="E60" s="258">
        <f>+PERBULAN!E60</f>
        <v>7</v>
      </c>
      <c r="F60" s="169">
        <f>+PERBULAN!R60</f>
        <v>29229929.919999994</v>
      </c>
      <c r="G60" s="189">
        <f>+PERBULAN!S60</f>
        <v>996900</v>
      </c>
      <c r="H60" s="189">
        <f>+BPJS!O181</f>
        <v>227944.08</v>
      </c>
      <c r="I60" s="169">
        <f>+BPJS!O60</f>
        <v>1085448</v>
      </c>
      <c r="J60" s="169">
        <f>+PERBULAN!T60</f>
        <v>0</v>
      </c>
      <c r="K60" s="189"/>
      <c r="L60" s="189" t="e">
        <f>'[4]BULANAN PTKP BARU'!V64</f>
        <v>#REF!</v>
      </c>
      <c r="M60" s="169">
        <f t="shared" si="0"/>
        <v>31540221.999999993</v>
      </c>
      <c r="N60" s="169">
        <f>+'ASTEK-DIISI SMPAI DES'!O60</f>
        <v>542724</v>
      </c>
      <c r="O60" s="169">
        <f>+'ASTEK-DIISI SMPAI DES'!O175</f>
        <v>271362</v>
      </c>
      <c r="P60" s="169">
        <f t="shared" si="11"/>
        <v>1577011.0999999996</v>
      </c>
      <c r="Q60" s="169">
        <f t="shared" si="2"/>
        <v>2391097.0999999996</v>
      </c>
      <c r="R60" s="169">
        <f t="shared" si="3"/>
        <v>29149124.899999991</v>
      </c>
      <c r="S60" s="167">
        <f t="shared" si="10"/>
        <v>54000000</v>
      </c>
      <c r="T60" s="191">
        <f t="shared" si="5"/>
        <v>0</v>
      </c>
      <c r="U60" s="259">
        <f t="shared" si="6"/>
        <v>27916537.839999996</v>
      </c>
      <c r="V60" s="260">
        <f t="shared" si="7"/>
        <v>1313392.08</v>
      </c>
    </row>
    <row r="61" spans="1:22">
      <c r="A61" s="188">
        <v>54</v>
      </c>
      <c r="B61" s="190" t="str">
        <f>+PERBULAN!B61</f>
        <v>ADI . JP</v>
      </c>
      <c r="C61" s="190" t="str">
        <f>+PERBULAN!C61</f>
        <v>L</v>
      </c>
      <c r="D61" s="190" t="str">
        <f>+PERBULAN!D61</f>
        <v>K/2</v>
      </c>
      <c r="E61" s="258">
        <f>+PERBULAN!E61</f>
        <v>11</v>
      </c>
      <c r="F61" s="169">
        <f>+PERBULAN!R61</f>
        <v>46489026.159999989</v>
      </c>
      <c r="G61" s="189">
        <f>+PERBULAN!S61</f>
        <v>4090100</v>
      </c>
      <c r="H61" s="189">
        <f>+BPJS!O182</f>
        <v>360486.83999999997</v>
      </c>
      <c r="I61" s="169">
        <f>+BPJS!O61</f>
        <v>1728164</v>
      </c>
      <c r="J61" s="169">
        <f>+PERBULAN!T61</f>
        <v>600000</v>
      </c>
      <c r="K61" s="189"/>
      <c r="L61" s="189" t="e">
        <f>'[4]BULANAN PTKP BARU'!V65</f>
        <v>#REF!</v>
      </c>
      <c r="M61" s="169">
        <f t="shared" si="0"/>
        <v>53267776.999999993</v>
      </c>
      <c r="N61" s="169">
        <f>+'ASTEK-DIISI SMPAI DES'!O61</f>
        <v>936924</v>
      </c>
      <c r="O61" s="169">
        <f>+'ASTEK-DIISI SMPAI DES'!O176</f>
        <v>468462</v>
      </c>
      <c r="P61" s="169">
        <f t="shared" si="11"/>
        <v>2663388.8499999996</v>
      </c>
      <c r="Q61" s="169">
        <f t="shared" si="2"/>
        <v>4068774.8499999996</v>
      </c>
      <c r="R61" s="169">
        <f t="shared" si="3"/>
        <v>49199002.149999991</v>
      </c>
      <c r="S61" s="167">
        <f t="shared" si="10"/>
        <v>67500000</v>
      </c>
      <c r="T61" s="191">
        <f t="shared" si="5"/>
        <v>0</v>
      </c>
      <c r="U61" s="259">
        <f t="shared" si="6"/>
        <v>44400375.319999985</v>
      </c>
      <c r="V61" s="260">
        <f t="shared" si="7"/>
        <v>2088650.8399999999</v>
      </c>
    </row>
    <row r="62" spans="1:22">
      <c r="A62" s="188">
        <v>55</v>
      </c>
      <c r="B62" s="190" t="str">
        <f>+PERBULAN!B62</f>
        <v>RUDI</v>
      </c>
      <c r="C62" s="190" t="str">
        <f>+PERBULAN!C62</f>
        <v>L</v>
      </c>
      <c r="D62" s="190" t="str">
        <f>+PERBULAN!D62</f>
        <v>K/2</v>
      </c>
      <c r="E62" s="258">
        <f>+PERBULAN!E62</f>
        <v>11</v>
      </c>
      <c r="F62" s="169">
        <f>+PERBULAN!R62</f>
        <v>50841726.159999989</v>
      </c>
      <c r="G62" s="189">
        <f>+PERBULAN!S62</f>
        <v>4067100</v>
      </c>
      <c r="H62" s="189">
        <f>+BPJS!O183</f>
        <v>359331.83999999997</v>
      </c>
      <c r="I62" s="169">
        <f>+BPJS!O62</f>
        <v>1717224</v>
      </c>
      <c r="J62" s="169">
        <f>+PERBULAN!T62</f>
        <v>200000</v>
      </c>
      <c r="K62" s="189"/>
      <c r="L62" s="189" t="e">
        <f>'[4]BULANAN PTKP BARU'!V66</f>
        <v>#REF!</v>
      </c>
      <c r="M62" s="169">
        <f t="shared" si="0"/>
        <v>57185381.999999993</v>
      </c>
      <c r="N62" s="169">
        <f>+'ASTEK-DIISI SMPAI DES'!O62</f>
        <v>933624</v>
      </c>
      <c r="O62" s="169">
        <f>+'ASTEK-DIISI SMPAI DES'!O177</f>
        <v>466812</v>
      </c>
      <c r="P62" s="169">
        <f t="shared" si="11"/>
        <v>2859269.0999999996</v>
      </c>
      <c r="Q62" s="169">
        <f t="shared" si="2"/>
        <v>4259705.0999999996</v>
      </c>
      <c r="R62" s="169">
        <f t="shared" si="3"/>
        <v>52925676.899999991</v>
      </c>
      <c r="S62" s="167">
        <f t="shared" si="10"/>
        <v>67500000</v>
      </c>
      <c r="T62" s="191">
        <f t="shared" si="5"/>
        <v>0</v>
      </c>
      <c r="U62" s="259">
        <f t="shared" si="6"/>
        <v>48765170.319999985</v>
      </c>
      <c r="V62" s="260">
        <f t="shared" si="7"/>
        <v>2076555.8399999999</v>
      </c>
    </row>
    <row r="63" spans="1:22">
      <c r="A63" s="188">
        <v>56</v>
      </c>
      <c r="B63" s="190" t="str">
        <f>+PERBULAN!B63</f>
        <v>SUDIANTO</v>
      </c>
      <c r="C63" s="190" t="str">
        <f>+PERBULAN!C63</f>
        <v>L</v>
      </c>
      <c r="D63" s="190" t="str">
        <f>+PERBULAN!D63</f>
        <v>TK/0</v>
      </c>
      <c r="E63" s="258">
        <f>+PERBULAN!E63</f>
        <v>11</v>
      </c>
      <c r="F63" s="169">
        <f>+PERBULAN!R63</f>
        <v>49188436.159999989</v>
      </c>
      <c r="G63" s="189">
        <f>+PERBULAN!S63</f>
        <v>3968100</v>
      </c>
      <c r="H63" s="189">
        <f>+BPJS!O184</f>
        <v>359331.83999999997</v>
      </c>
      <c r="I63" s="169">
        <f>+BPJS!O63</f>
        <v>1717224</v>
      </c>
      <c r="J63" s="169">
        <f>+PERBULAN!T63</f>
        <v>600000</v>
      </c>
      <c r="K63" s="189"/>
      <c r="L63" s="189" t="e">
        <f>'[4]BULANAN PTKP BARU'!V67</f>
        <v>#REF!</v>
      </c>
      <c r="M63" s="169">
        <f t="shared" si="0"/>
        <v>55833091.999999993</v>
      </c>
      <c r="N63" s="169">
        <f>+'ASTEK-DIISI SMPAI DES'!O63</f>
        <v>933624</v>
      </c>
      <c r="O63" s="169">
        <f>+'ASTEK-DIISI SMPAI DES'!O178</f>
        <v>466812</v>
      </c>
      <c r="P63" s="169">
        <f t="shared" si="11"/>
        <v>2791654.5999999996</v>
      </c>
      <c r="Q63" s="169">
        <f t="shared" si="2"/>
        <v>4192090.5999999996</v>
      </c>
      <c r="R63" s="169">
        <f t="shared" si="3"/>
        <v>51641001.399999991</v>
      </c>
      <c r="S63" s="167">
        <f t="shared" si="10"/>
        <v>54000000</v>
      </c>
      <c r="T63" s="191">
        <f t="shared" si="5"/>
        <v>0</v>
      </c>
      <c r="U63" s="259">
        <f t="shared" si="6"/>
        <v>47111880.319999985</v>
      </c>
      <c r="V63" s="260">
        <f t="shared" si="7"/>
        <v>2076555.8399999999</v>
      </c>
    </row>
    <row r="64" spans="1:22">
      <c r="A64" s="188">
        <v>57</v>
      </c>
      <c r="B64" s="190" t="str">
        <f>+PERBULAN!B64</f>
        <v>SALEH</v>
      </c>
      <c r="C64" s="190" t="str">
        <f>+PERBULAN!C64</f>
        <v>L</v>
      </c>
      <c r="D64" s="190" t="str">
        <f>+PERBULAN!D64</f>
        <v>K/0</v>
      </c>
      <c r="E64" s="258">
        <f>+PERBULAN!E64</f>
        <v>11</v>
      </c>
      <c r="F64" s="169">
        <f>+PERBULAN!R64</f>
        <v>49862626.159999989</v>
      </c>
      <c r="G64" s="189">
        <f>+PERBULAN!S64</f>
        <v>4011600</v>
      </c>
      <c r="H64" s="189">
        <f>+BPJS!O185</f>
        <v>359331.83999999997</v>
      </c>
      <c r="I64" s="169">
        <f>+BPJS!O64</f>
        <v>1717224</v>
      </c>
      <c r="J64" s="169">
        <f>+PERBULAN!T64</f>
        <v>600000</v>
      </c>
      <c r="K64" s="189"/>
      <c r="L64" s="189" t="e">
        <f>'[4]BULANAN PTKP BARU'!V68</f>
        <v>#REF!</v>
      </c>
      <c r="M64" s="169">
        <f t="shared" si="0"/>
        <v>56550781.999999993</v>
      </c>
      <c r="N64" s="169">
        <f>+'ASTEK-DIISI SMPAI DES'!O64</f>
        <v>933624</v>
      </c>
      <c r="O64" s="169">
        <f>+'ASTEK-DIISI SMPAI DES'!O179</f>
        <v>466812</v>
      </c>
      <c r="P64" s="169">
        <f t="shared" si="11"/>
        <v>2827539.0999999996</v>
      </c>
      <c r="Q64" s="169">
        <f t="shared" si="2"/>
        <v>4227975.0999999996</v>
      </c>
      <c r="R64" s="169">
        <f t="shared" si="3"/>
        <v>52322806.899999991</v>
      </c>
      <c r="S64" s="167">
        <f t="shared" si="10"/>
        <v>58500000</v>
      </c>
      <c r="T64" s="191">
        <f t="shared" si="5"/>
        <v>0</v>
      </c>
      <c r="U64" s="259">
        <f t="shared" si="6"/>
        <v>47786070.319999985</v>
      </c>
      <c r="V64" s="260">
        <f t="shared" si="7"/>
        <v>2076555.8399999999</v>
      </c>
    </row>
    <row r="65" spans="1:22">
      <c r="A65" s="188">
        <v>58</v>
      </c>
      <c r="B65" s="190" t="str">
        <f>+PERBULAN!B65</f>
        <v>ANDRIANSYAH</v>
      </c>
      <c r="C65" s="190" t="str">
        <f>+PERBULAN!C65</f>
        <v>L</v>
      </c>
      <c r="D65" s="190" t="str">
        <f>+PERBULAN!D65</f>
        <v>K/2</v>
      </c>
      <c r="E65" s="258">
        <f>+PERBULAN!E65</f>
        <v>11</v>
      </c>
      <c r="F65" s="169">
        <f>+PERBULAN!R65</f>
        <v>50895376.159999989</v>
      </c>
      <c r="G65" s="189">
        <f>+PERBULAN!S65</f>
        <v>4067100</v>
      </c>
      <c r="H65" s="189">
        <f>+BPJS!O186</f>
        <v>359331.83999999997</v>
      </c>
      <c r="I65" s="169">
        <f>+BPJS!O65</f>
        <v>1717224</v>
      </c>
      <c r="J65" s="169">
        <f>+PERBULAN!T65</f>
        <v>200000</v>
      </c>
      <c r="K65" s="189"/>
      <c r="L65" s="189" t="e">
        <f>'[4]BULANAN PTKP BARU'!V69</f>
        <v>#REF!</v>
      </c>
      <c r="M65" s="169">
        <f t="shared" si="0"/>
        <v>57239031.999999993</v>
      </c>
      <c r="N65" s="169">
        <f>+'ASTEK-DIISI SMPAI DES'!O65</f>
        <v>933624</v>
      </c>
      <c r="O65" s="169">
        <f>+'ASTEK-DIISI SMPAI DES'!O180</f>
        <v>466812</v>
      </c>
      <c r="P65" s="169">
        <f t="shared" si="11"/>
        <v>2861951.5999999996</v>
      </c>
      <c r="Q65" s="169">
        <f t="shared" si="2"/>
        <v>4262387.5999999996</v>
      </c>
      <c r="R65" s="169">
        <f t="shared" si="3"/>
        <v>52976644.399999991</v>
      </c>
      <c r="S65" s="167">
        <f t="shared" si="10"/>
        <v>67500000</v>
      </c>
      <c r="T65" s="191">
        <f t="shared" si="5"/>
        <v>0</v>
      </c>
      <c r="U65" s="259">
        <f t="shared" si="6"/>
        <v>48818820.319999985</v>
      </c>
      <c r="V65" s="260">
        <f t="shared" si="7"/>
        <v>2076555.8399999999</v>
      </c>
    </row>
    <row r="66" spans="1:22">
      <c r="A66" s="188">
        <v>59</v>
      </c>
      <c r="B66" s="190" t="str">
        <f>+PERBULAN!B66</f>
        <v>HENDRI</v>
      </c>
      <c r="C66" s="190" t="str">
        <f>+PERBULAN!C66</f>
        <v>L</v>
      </c>
      <c r="D66" s="190" t="str">
        <f>+PERBULAN!D66</f>
        <v>K/2</v>
      </c>
      <c r="E66" s="258">
        <f>+PERBULAN!E66</f>
        <v>11</v>
      </c>
      <c r="F66" s="169">
        <f>+PERBULAN!R66</f>
        <v>50337306.159999989</v>
      </c>
      <c r="G66" s="189">
        <f>+PERBULAN!S66</f>
        <v>4067100</v>
      </c>
      <c r="H66" s="189">
        <f>+BPJS!O187</f>
        <v>359331.83999999997</v>
      </c>
      <c r="I66" s="169">
        <f>+BPJS!O66</f>
        <v>1717224</v>
      </c>
      <c r="J66" s="169">
        <f>+PERBULAN!T66</f>
        <v>600000</v>
      </c>
      <c r="K66" s="189"/>
      <c r="L66" s="189" t="e">
        <f>'[4]BULANAN PTKP BARU'!V70</f>
        <v>#REF!</v>
      </c>
      <c r="M66" s="169">
        <f t="shared" si="0"/>
        <v>57080961.999999993</v>
      </c>
      <c r="N66" s="169">
        <f>+'ASTEK-DIISI SMPAI DES'!O66</f>
        <v>933624</v>
      </c>
      <c r="O66" s="169">
        <f>+'ASTEK-DIISI SMPAI DES'!O181</f>
        <v>466812</v>
      </c>
      <c r="P66" s="169">
        <f t="shared" si="11"/>
        <v>2854048.0999999996</v>
      </c>
      <c r="Q66" s="169">
        <f t="shared" si="2"/>
        <v>4254484.0999999996</v>
      </c>
      <c r="R66" s="169">
        <f t="shared" si="3"/>
        <v>52826477.899999991</v>
      </c>
      <c r="S66" s="167">
        <f t="shared" si="10"/>
        <v>67500000</v>
      </c>
      <c r="T66" s="191">
        <f t="shared" si="5"/>
        <v>0</v>
      </c>
      <c r="U66" s="259">
        <f t="shared" si="6"/>
        <v>48260750.319999985</v>
      </c>
      <c r="V66" s="260">
        <f t="shared" si="7"/>
        <v>2076555.8399999999</v>
      </c>
    </row>
    <row r="67" spans="1:22">
      <c r="A67" s="188">
        <v>60</v>
      </c>
      <c r="B67" s="190" t="str">
        <f>+PERBULAN!B67</f>
        <v>POPPY ADEYANTI</v>
      </c>
      <c r="C67" s="190" t="str">
        <f>+PERBULAN!C67</f>
        <v>P</v>
      </c>
      <c r="D67" s="190" t="str">
        <f>+PERBULAN!D67</f>
        <v>TK/0</v>
      </c>
      <c r="E67" s="258">
        <f>+PERBULAN!E67</f>
        <v>11</v>
      </c>
      <c r="F67" s="169">
        <f>+PERBULAN!R67</f>
        <v>56187516.159999996</v>
      </c>
      <c r="G67" s="189">
        <f>+PERBULAN!S67</f>
        <v>3974100</v>
      </c>
      <c r="H67" s="189">
        <f>+BPJS!O188</f>
        <v>359583.84</v>
      </c>
      <c r="I67" s="169">
        <f>+BPJS!O67</f>
        <v>1719504</v>
      </c>
      <c r="J67" s="169">
        <f>+PERBULAN!T67</f>
        <v>200000</v>
      </c>
      <c r="K67" s="189"/>
      <c r="L67" s="189" t="e">
        <f>'[4]BULANAN PTKP BARU'!V71</f>
        <v>#REF!</v>
      </c>
      <c r="M67" s="169">
        <f t="shared" si="0"/>
        <v>62440704</v>
      </c>
      <c r="N67" s="169">
        <f>+'ASTEK-DIISI SMPAI DES'!O67</f>
        <v>934344</v>
      </c>
      <c r="O67" s="169">
        <f>+'ASTEK-DIISI SMPAI DES'!O182</f>
        <v>467172</v>
      </c>
      <c r="P67" s="169">
        <f t="shared" si="11"/>
        <v>3122035.2</v>
      </c>
      <c r="Q67" s="169">
        <f t="shared" si="2"/>
        <v>4523551.2</v>
      </c>
      <c r="R67" s="169">
        <f t="shared" si="3"/>
        <v>57917152.799999997</v>
      </c>
      <c r="S67" s="167">
        <f t="shared" si="10"/>
        <v>54000000</v>
      </c>
      <c r="T67" s="191">
        <f t="shared" si="5"/>
        <v>3917152.799999997</v>
      </c>
      <c r="U67" s="259">
        <f t="shared" si="6"/>
        <v>54108428.319999993</v>
      </c>
      <c r="V67" s="260">
        <f t="shared" si="7"/>
        <v>2079087.84</v>
      </c>
    </row>
    <row r="68" spans="1:22">
      <c r="A68" s="188">
        <v>61</v>
      </c>
      <c r="B68" s="190" t="str">
        <f>+PERBULAN!B68</f>
        <v>HARYADI</v>
      </c>
      <c r="C68" s="190" t="str">
        <f>+PERBULAN!C68</f>
        <v>L</v>
      </c>
      <c r="D68" s="190" t="str">
        <f>+PERBULAN!D68</f>
        <v>K/1</v>
      </c>
      <c r="E68" s="258">
        <f>+PERBULAN!E68</f>
        <v>11</v>
      </c>
      <c r="F68" s="169">
        <f>+PERBULAN!R68</f>
        <v>45314636.159999989</v>
      </c>
      <c r="G68" s="189">
        <f>+PERBULAN!S68</f>
        <v>4040100</v>
      </c>
      <c r="H68" s="189">
        <f>+BPJS!O189</f>
        <v>359331.83999999997</v>
      </c>
      <c r="I68" s="169">
        <f>+BPJS!O68</f>
        <v>1716864</v>
      </c>
      <c r="J68" s="169">
        <f>+PERBULAN!T68</f>
        <v>900000</v>
      </c>
      <c r="K68" s="189"/>
      <c r="L68" s="189" t="e">
        <f>'[4]BULANAN PTKP BARU'!V72</f>
        <v>#REF!</v>
      </c>
      <c r="M68" s="169">
        <f t="shared" si="0"/>
        <v>52330931.999999993</v>
      </c>
      <c r="N68" s="169">
        <f>+'ASTEK-DIISI SMPAI DES'!O68</f>
        <v>933624</v>
      </c>
      <c r="O68" s="169">
        <f>+'ASTEK-DIISI SMPAI DES'!O183</f>
        <v>466812</v>
      </c>
      <c r="P68" s="169">
        <f t="shared" si="11"/>
        <v>2616546.5999999996</v>
      </c>
      <c r="Q68" s="169">
        <f t="shared" si="2"/>
        <v>4016982.5999999996</v>
      </c>
      <c r="R68" s="169">
        <f t="shared" si="3"/>
        <v>48313949.399999991</v>
      </c>
      <c r="S68" s="167">
        <f t="shared" si="10"/>
        <v>63000000</v>
      </c>
      <c r="T68" s="191">
        <f t="shared" si="5"/>
        <v>0</v>
      </c>
      <c r="U68" s="259">
        <f t="shared" si="6"/>
        <v>43238440.319999985</v>
      </c>
      <c r="V68" s="260">
        <f t="shared" si="7"/>
        <v>2076195.8399999999</v>
      </c>
    </row>
    <row r="69" spans="1:22">
      <c r="A69" s="188">
        <v>62</v>
      </c>
      <c r="B69" s="190">
        <f>+PERBULAN!B69</f>
        <v>0</v>
      </c>
      <c r="C69" s="190">
        <f>+PERBULAN!C69</f>
        <v>0</v>
      </c>
      <c r="D69" s="190">
        <f>+PERBULAN!D69</f>
        <v>0</v>
      </c>
      <c r="E69" s="258">
        <f>+PERBULAN!E69</f>
        <v>0</v>
      </c>
      <c r="F69" s="169">
        <f>+PERBULAN!R69</f>
        <v>0</v>
      </c>
      <c r="G69" s="189">
        <f>+PERBULAN!S69</f>
        <v>0</v>
      </c>
      <c r="H69" s="189">
        <f>+BPJS!O190</f>
        <v>0</v>
      </c>
      <c r="I69" s="169">
        <f>+BPJS!O69</f>
        <v>0</v>
      </c>
      <c r="J69" s="169">
        <f>+PERBULAN!T69</f>
        <v>0</v>
      </c>
      <c r="K69" s="189"/>
      <c r="L69" s="189" t="e">
        <f>'[4]BULANAN PTKP BARU'!V73</f>
        <v>#REF!</v>
      </c>
      <c r="M69" s="169">
        <f t="shared" ref="M69:M109" si="12">F69+G69+I69+J69+K69+H69</f>
        <v>0</v>
      </c>
      <c r="N69" s="169">
        <f>+'ASTEK-DIISI SMPAI DES'!O69</f>
        <v>0</v>
      </c>
      <c r="O69" s="169">
        <f>+'ASTEK-DIISI SMPAI DES'!O184</f>
        <v>0</v>
      </c>
      <c r="P69" s="169">
        <f t="shared" si="11"/>
        <v>0</v>
      </c>
      <c r="Q69" s="169">
        <f t="shared" ref="Q69:Q109" si="13">N69+P69+O69</f>
        <v>0</v>
      </c>
      <c r="R69" s="169">
        <f t="shared" ref="R69:R109" si="14">M69-Q69</f>
        <v>0</v>
      </c>
      <c r="S69" s="167" t="b">
        <f t="shared" si="10"/>
        <v>0</v>
      </c>
      <c r="T69" s="191">
        <f t="shared" ref="T69:T109" si="15">IF(R69&lt;=S69,0,IF(R69&gt;S69,R69-S69))</f>
        <v>0</v>
      </c>
      <c r="U69" s="259">
        <f t="shared" ref="U69:U109" si="16">F69-H69-I69</f>
        <v>0</v>
      </c>
      <c r="V69" s="260">
        <f t="shared" si="7"/>
        <v>0</v>
      </c>
    </row>
    <row r="70" spans="1:22">
      <c r="A70" s="188">
        <v>63</v>
      </c>
      <c r="B70" s="190">
        <f>+PERBULAN!B70</f>
        <v>0</v>
      </c>
      <c r="C70" s="190">
        <f>+PERBULAN!C70</f>
        <v>0</v>
      </c>
      <c r="D70" s="190">
        <f>+PERBULAN!D70</f>
        <v>0</v>
      </c>
      <c r="E70" s="258">
        <f>+PERBULAN!E70</f>
        <v>0</v>
      </c>
      <c r="F70" s="169">
        <f>+PERBULAN!R70</f>
        <v>0</v>
      </c>
      <c r="G70" s="189">
        <f>+PERBULAN!S70</f>
        <v>0</v>
      </c>
      <c r="H70" s="189">
        <f>+BPJS!O191</f>
        <v>0</v>
      </c>
      <c r="I70" s="169">
        <f>+BPJS!O70</f>
        <v>0</v>
      </c>
      <c r="J70" s="169">
        <f>+PERBULAN!T70</f>
        <v>0</v>
      </c>
      <c r="K70" s="189"/>
      <c r="L70" s="189" t="e">
        <f>'[4]BULANAN PTKP BARU'!V74</f>
        <v>#REF!</v>
      </c>
      <c r="M70" s="169">
        <f t="shared" si="12"/>
        <v>0</v>
      </c>
      <c r="N70" s="169">
        <f>+'ASTEK-DIISI SMPAI DES'!O70</f>
        <v>0</v>
      </c>
      <c r="O70" s="169">
        <f>+'ASTEK-DIISI SMPAI DES'!O185</f>
        <v>0</v>
      </c>
      <c r="P70" s="169">
        <f t="shared" si="11"/>
        <v>0</v>
      </c>
      <c r="Q70" s="169">
        <f t="shared" si="13"/>
        <v>0</v>
      </c>
      <c r="R70" s="169">
        <f t="shared" si="14"/>
        <v>0</v>
      </c>
      <c r="S70" s="167" t="b">
        <f t="shared" si="10"/>
        <v>0</v>
      </c>
      <c r="T70" s="191">
        <f t="shared" si="15"/>
        <v>0</v>
      </c>
      <c r="U70" s="259">
        <f t="shared" si="16"/>
        <v>0</v>
      </c>
      <c r="V70" s="260">
        <f t="shared" si="7"/>
        <v>0</v>
      </c>
    </row>
    <row r="71" spans="1:22">
      <c r="A71" s="188">
        <v>64</v>
      </c>
      <c r="B71" s="190">
        <f>+PERBULAN!B71</f>
        <v>0</v>
      </c>
      <c r="C71" s="190">
        <f>+PERBULAN!C71</f>
        <v>0</v>
      </c>
      <c r="D71" s="190">
        <f>+PERBULAN!D71</f>
        <v>0</v>
      </c>
      <c r="E71" s="258">
        <f>+PERBULAN!E71</f>
        <v>0</v>
      </c>
      <c r="F71" s="169">
        <f>+PERBULAN!R71</f>
        <v>0</v>
      </c>
      <c r="G71" s="189">
        <f>+PERBULAN!S71</f>
        <v>0</v>
      </c>
      <c r="H71" s="189">
        <f>+BPJS!O192</f>
        <v>0</v>
      </c>
      <c r="I71" s="169">
        <f>+BPJS!O71</f>
        <v>0</v>
      </c>
      <c r="J71" s="169">
        <f>+PERBULAN!T71</f>
        <v>0</v>
      </c>
      <c r="K71" s="189"/>
      <c r="L71" s="189" t="e">
        <f>'[4]BULANAN PTKP BARU'!V75</f>
        <v>#REF!</v>
      </c>
      <c r="M71" s="169">
        <f t="shared" si="12"/>
        <v>0</v>
      </c>
      <c r="N71" s="169">
        <f>+'ASTEK-DIISI SMPAI DES'!O71</f>
        <v>0</v>
      </c>
      <c r="O71" s="169">
        <f>+'ASTEK-DIISI SMPAI DES'!O186</f>
        <v>0</v>
      </c>
      <c r="P71" s="169">
        <f t="shared" si="11"/>
        <v>0</v>
      </c>
      <c r="Q71" s="169">
        <f t="shared" si="13"/>
        <v>0</v>
      </c>
      <c r="R71" s="169">
        <f t="shared" si="14"/>
        <v>0</v>
      </c>
      <c r="S71" s="167" t="b">
        <f t="shared" si="10"/>
        <v>0</v>
      </c>
      <c r="T71" s="191">
        <f t="shared" si="15"/>
        <v>0</v>
      </c>
      <c r="U71" s="259">
        <f t="shared" si="16"/>
        <v>0</v>
      </c>
      <c r="V71" s="260">
        <f t="shared" ref="V71:V109" si="17">H71+I71</f>
        <v>0</v>
      </c>
    </row>
    <row r="72" spans="1:22">
      <c r="A72" s="188">
        <v>65</v>
      </c>
      <c r="B72" s="190">
        <f>+PERBULAN!B72</f>
        <v>0</v>
      </c>
      <c r="C72" s="190">
        <f>+PERBULAN!C72</f>
        <v>0</v>
      </c>
      <c r="D72" s="190">
        <f>+PERBULAN!D72</f>
        <v>0</v>
      </c>
      <c r="E72" s="258">
        <f>+PERBULAN!E72</f>
        <v>0</v>
      </c>
      <c r="F72" s="169">
        <f>+PERBULAN!R72</f>
        <v>0</v>
      </c>
      <c r="G72" s="189">
        <f>+PERBULAN!S72</f>
        <v>0</v>
      </c>
      <c r="H72" s="189">
        <f>+BPJS!O193</f>
        <v>0</v>
      </c>
      <c r="I72" s="169">
        <f>+BPJS!O72</f>
        <v>0</v>
      </c>
      <c r="J72" s="169">
        <f>+PERBULAN!T72</f>
        <v>0</v>
      </c>
      <c r="K72" s="189"/>
      <c r="L72" s="189" t="e">
        <f>'[4]BULANAN PTKP BARU'!V76</f>
        <v>#REF!</v>
      </c>
      <c r="M72" s="169">
        <f t="shared" si="12"/>
        <v>0</v>
      </c>
      <c r="N72" s="169">
        <f>+'ASTEK-DIISI SMPAI DES'!O72</f>
        <v>0</v>
      </c>
      <c r="O72" s="169">
        <f>+'ASTEK-DIISI SMPAI DES'!O187</f>
        <v>0</v>
      </c>
      <c r="P72" s="169">
        <f t="shared" si="11"/>
        <v>0</v>
      </c>
      <c r="Q72" s="169">
        <f t="shared" si="13"/>
        <v>0</v>
      </c>
      <c r="R72" s="169">
        <f t="shared" si="14"/>
        <v>0</v>
      </c>
      <c r="S72" s="167" t="b">
        <f>IF(D72="TK/0",54000000,IF(D72="K/0",58500000,IF(D72="K/1",63000000,IF(D72="K/2",67500000,IF(D72="K/3",72000000)))))</f>
        <v>0</v>
      </c>
      <c r="T72" s="191">
        <f t="shared" si="15"/>
        <v>0</v>
      </c>
      <c r="U72" s="259">
        <f t="shared" si="16"/>
        <v>0</v>
      </c>
      <c r="V72" s="260">
        <f t="shared" si="17"/>
        <v>0</v>
      </c>
    </row>
    <row r="73" spans="1:22">
      <c r="A73" s="188">
        <v>66</v>
      </c>
      <c r="B73" s="190">
        <f>+PERBULAN!B73</f>
        <v>0</v>
      </c>
      <c r="C73" s="190">
        <f>+PERBULAN!C73</f>
        <v>0</v>
      </c>
      <c r="D73" s="190">
        <f>+PERBULAN!D73</f>
        <v>0</v>
      </c>
      <c r="E73" s="258">
        <f>+PERBULAN!E73</f>
        <v>0</v>
      </c>
      <c r="F73" s="169">
        <f>+PERBULAN!R73</f>
        <v>0</v>
      </c>
      <c r="G73" s="189">
        <f>+PERBULAN!S73</f>
        <v>0</v>
      </c>
      <c r="H73" s="189">
        <f>+BPJS!O194</f>
        <v>0</v>
      </c>
      <c r="I73" s="169">
        <f>+BPJS!O73</f>
        <v>0</v>
      </c>
      <c r="J73" s="169">
        <f>+PERBULAN!T73</f>
        <v>0</v>
      </c>
      <c r="K73" s="189"/>
      <c r="L73" s="189" t="e">
        <f>'[4]BULANAN PTKP BARU'!V77</f>
        <v>#REF!</v>
      </c>
      <c r="M73" s="169">
        <f t="shared" si="12"/>
        <v>0</v>
      </c>
      <c r="N73" s="169">
        <f>+'ASTEK-DIISI SMPAI DES'!O73</f>
        <v>0</v>
      </c>
      <c r="O73" s="169">
        <f>+'ASTEK-DIISI SMPAI DES'!O188</f>
        <v>0</v>
      </c>
      <c r="P73" s="169">
        <f t="shared" si="11"/>
        <v>0</v>
      </c>
      <c r="Q73" s="169">
        <f t="shared" si="13"/>
        <v>0</v>
      </c>
      <c r="R73" s="169">
        <f t="shared" si="14"/>
        <v>0</v>
      </c>
      <c r="S73" s="167" t="b">
        <f>IF(D73="TK/0",54000000,IF(D73="K/0",58500000,IF(D73="K/1",63000000,IF(D73="K/2",67500000,IF(D73="K/3",72000000)))))</f>
        <v>0</v>
      </c>
      <c r="T73" s="191">
        <f t="shared" si="15"/>
        <v>0</v>
      </c>
      <c r="U73" s="259">
        <f t="shared" si="16"/>
        <v>0</v>
      </c>
      <c r="V73" s="260">
        <f t="shared" si="17"/>
        <v>0</v>
      </c>
    </row>
    <row r="74" spans="1:22">
      <c r="A74" s="188">
        <v>67</v>
      </c>
      <c r="B74" s="190">
        <f>+PERBULAN!B74</f>
        <v>0</v>
      </c>
      <c r="C74" s="190">
        <f>+PERBULAN!C74</f>
        <v>0</v>
      </c>
      <c r="D74" s="190">
        <f>+PERBULAN!D74</f>
        <v>0</v>
      </c>
      <c r="E74" s="258">
        <f>+PERBULAN!E74</f>
        <v>0</v>
      </c>
      <c r="F74" s="169">
        <f>+PERBULAN!R74</f>
        <v>0</v>
      </c>
      <c r="G74" s="189">
        <f>+PERBULAN!S74</f>
        <v>0</v>
      </c>
      <c r="H74" s="189">
        <f>+BPJS!O195</f>
        <v>0</v>
      </c>
      <c r="I74" s="169">
        <f>+BPJS!O74</f>
        <v>0</v>
      </c>
      <c r="J74" s="169">
        <f>+PERBULAN!T74</f>
        <v>0</v>
      </c>
      <c r="K74" s="189"/>
      <c r="L74" s="189" t="e">
        <f>'[4]BULANAN PTKP BARU'!V78</f>
        <v>#REF!</v>
      </c>
      <c r="M74" s="169">
        <f t="shared" si="12"/>
        <v>0</v>
      </c>
      <c r="N74" s="169">
        <f>+'ASTEK-DIISI SMPAI DES'!O74</f>
        <v>0</v>
      </c>
      <c r="O74" s="169">
        <f>+'ASTEK-DIISI SMPAI DES'!O189</f>
        <v>0</v>
      </c>
      <c r="P74" s="169">
        <f t="shared" si="11"/>
        <v>0</v>
      </c>
      <c r="Q74" s="169">
        <f t="shared" si="13"/>
        <v>0</v>
      </c>
      <c r="R74" s="169">
        <f t="shared" si="14"/>
        <v>0</v>
      </c>
      <c r="S74" s="167" t="b">
        <f t="shared" ref="S74:S109" si="18">IF(D74="TK/0",54000000,IF(D74="K/0",58500000,IF(D74="K/1",63000000,IF(D74="K/2",67500000,IF(D74="K/3",72000000)))))</f>
        <v>0</v>
      </c>
      <c r="T74" s="191">
        <f t="shared" si="15"/>
        <v>0</v>
      </c>
      <c r="U74" s="259">
        <f t="shared" si="16"/>
        <v>0</v>
      </c>
      <c r="V74" s="260">
        <f t="shared" si="17"/>
        <v>0</v>
      </c>
    </row>
    <row r="75" spans="1:22">
      <c r="A75" s="188">
        <v>68</v>
      </c>
      <c r="B75" s="190">
        <f>+PERBULAN!B75</f>
        <v>0</v>
      </c>
      <c r="C75" s="190">
        <f>+PERBULAN!C75</f>
        <v>0</v>
      </c>
      <c r="D75" s="190">
        <f>+PERBULAN!D75</f>
        <v>0</v>
      </c>
      <c r="E75" s="258">
        <f>+PERBULAN!E75</f>
        <v>0</v>
      </c>
      <c r="F75" s="169">
        <f>+PERBULAN!R75</f>
        <v>0</v>
      </c>
      <c r="G75" s="189">
        <f>+PERBULAN!S75</f>
        <v>0</v>
      </c>
      <c r="H75" s="189">
        <f>+BPJS!O196</f>
        <v>0</v>
      </c>
      <c r="I75" s="169">
        <f>+BPJS!O75</f>
        <v>0</v>
      </c>
      <c r="J75" s="169">
        <f>+PERBULAN!T75</f>
        <v>0</v>
      </c>
      <c r="K75" s="189"/>
      <c r="L75" s="189" t="e">
        <f>'[4]BULANAN PTKP BARU'!V79</f>
        <v>#REF!</v>
      </c>
      <c r="M75" s="169">
        <f t="shared" si="12"/>
        <v>0</v>
      </c>
      <c r="N75" s="169">
        <f>+'ASTEK-DIISI SMPAI DES'!O75</f>
        <v>0</v>
      </c>
      <c r="O75" s="169">
        <f>+'ASTEK-DIISI SMPAI DES'!O190</f>
        <v>0</v>
      </c>
      <c r="P75" s="169">
        <f t="shared" si="11"/>
        <v>0</v>
      </c>
      <c r="Q75" s="169">
        <f t="shared" si="13"/>
        <v>0</v>
      </c>
      <c r="R75" s="169">
        <f t="shared" si="14"/>
        <v>0</v>
      </c>
      <c r="S75" s="167" t="b">
        <f t="shared" si="18"/>
        <v>0</v>
      </c>
      <c r="T75" s="191">
        <f t="shared" si="15"/>
        <v>0</v>
      </c>
      <c r="U75" s="259">
        <f t="shared" si="16"/>
        <v>0</v>
      </c>
      <c r="V75" s="260">
        <f t="shared" si="17"/>
        <v>0</v>
      </c>
    </row>
    <row r="76" spans="1:22">
      <c r="A76" s="188">
        <v>69</v>
      </c>
      <c r="B76" s="190">
        <f>+PERBULAN!B76</f>
        <v>0</v>
      </c>
      <c r="C76" s="190">
        <f>+PERBULAN!C76</f>
        <v>0</v>
      </c>
      <c r="D76" s="190">
        <f>+PERBULAN!D76</f>
        <v>0</v>
      </c>
      <c r="E76" s="258">
        <f>+PERBULAN!E76</f>
        <v>0</v>
      </c>
      <c r="F76" s="169">
        <f>+PERBULAN!R76</f>
        <v>0</v>
      </c>
      <c r="G76" s="189">
        <f>+PERBULAN!S76</f>
        <v>0</v>
      </c>
      <c r="H76" s="189">
        <f>+BPJS!O197</f>
        <v>0</v>
      </c>
      <c r="I76" s="169">
        <f>+BPJS!O76</f>
        <v>0</v>
      </c>
      <c r="J76" s="169">
        <f>+PERBULAN!T76</f>
        <v>0</v>
      </c>
      <c r="K76" s="189"/>
      <c r="L76" s="189" t="e">
        <f>'[4]BULANAN PTKP BARU'!V80</f>
        <v>#REF!</v>
      </c>
      <c r="M76" s="169">
        <f t="shared" si="12"/>
        <v>0</v>
      </c>
      <c r="N76" s="169">
        <f>+'ASTEK-DIISI SMPAI DES'!O76</f>
        <v>0</v>
      </c>
      <c r="O76" s="169">
        <f>+'ASTEK-DIISI SMPAI DES'!O191</f>
        <v>0</v>
      </c>
      <c r="P76" s="169">
        <f t="shared" si="11"/>
        <v>0</v>
      </c>
      <c r="Q76" s="169">
        <f t="shared" si="13"/>
        <v>0</v>
      </c>
      <c r="R76" s="169">
        <f t="shared" si="14"/>
        <v>0</v>
      </c>
      <c r="S76" s="167" t="b">
        <f t="shared" si="18"/>
        <v>0</v>
      </c>
      <c r="T76" s="191">
        <f t="shared" si="15"/>
        <v>0</v>
      </c>
      <c r="U76" s="259">
        <f t="shared" si="16"/>
        <v>0</v>
      </c>
      <c r="V76" s="260">
        <f t="shared" si="17"/>
        <v>0</v>
      </c>
    </row>
    <row r="77" spans="1:22">
      <c r="A77" s="188">
        <v>70</v>
      </c>
      <c r="B77" s="190">
        <f>+PERBULAN!B77</f>
        <v>0</v>
      </c>
      <c r="C77" s="190">
        <f>+PERBULAN!C77</f>
        <v>0</v>
      </c>
      <c r="D77" s="190">
        <f>+PERBULAN!D77</f>
        <v>0</v>
      </c>
      <c r="E77" s="258">
        <f>+PERBULAN!E77</f>
        <v>0</v>
      </c>
      <c r="F77" s="169">
        <f>+PERBULAN!R77</f>
        <v>0</v>
      </c>
      <c r="G77" s="189">
        <f>+PERBULAN!S77</f>
        <v>0</v>
      </c>
      <c r="H77" s="189">
        <f>+BPJS!O198</f>
        <v>0</v>
      </c>
      <c r="I77" s="169">
        <f>+BPJS!O77</f>
        <v>0</v>
      </c>
      <c r="J77" s="169">
        <f>+PERBULAN!T77</f>
        <v>0</v>
      </c>
      <c r="K77" s="189"/>
      <c r="L77" s="189" t="e">
        <f>'[4]BULANAN PTKP BARU'!V81</f>
        <v>#REF!</v>
      </c>
      <c r="M77" s="169">
        <f t="shared" si="12"/>
        <v>0</v>
      </c>
      <c r="N77" s="169">
        <f>+'ASTEK-DIISI SMPAI DES'!O77</f>
        <v>0</v>
      </c>
      <c r="O77" s="169">
        <f>+'ASTEK-DIISI SMPAI DES'!O192</f>
        <v>0</v>
      </c>
      <c r="P77" s="169">
        <f t="shared" si="11"/>
        <v>0</v>
      </c>
      <c r="Q77" s="169">
        <f t="shared" si="13"/>
        <v>0</v>
      </c>
      <c r="R77" s="169">
        <f t="shared" si="14"/>
        <v>0</v>
      </c>
      <c r="S77" s="167" t="b">
        <f t="shared" si="18"/>
        <v>0</v>
      </c>
      <c r="T77" s="191">
        <f t="shared" si="15"/>
        <v>0</v>
      </c>
      <c r="U77" s="259">
        <f t="shared" si="16"/>
        <v>0</v>
      </c>
      <c r="V77" s="260">
        <f t="shared" si="17"/>
        <v>0</v>
      </c>
    </row>
    <row r="78" spans="1:22">
      <c r="A78" s="188">
        <v>71</v>
      </c>
      <c r="B78" s="190">
        <f>+PERBULAN!B78</f>
        <v>0</v>
      </c>
      <c r="C78" s="190">
        <f>+PERBULAN!C78</f>
        <v>0</v>
      </c>
      <c r="D78" s="190">
        <f>+PERBULAN!D78</f>
        <v>0</v>
      </c>
      <c r="E78" s="258">
        <f>+PERBULAN!E78</f>
        <v>0</v>
      </c>
      <c r="F78" s="169">
        <f>+PERBULAN!R78</f>
        <v>0</v>
      </c>
      <c r="G78" s="189">
        <f>+PERBULAN!S78</f>
        <v>0</v>
      </c>
      <c r="H78" s="189">
        <f>+BPJS!O199</f>
        <v>0</v>
      </c>
      <c r="I78" s="169">
        <f>+BPJS!O78</f>
        <v>0</v>
      </c>
      <c r="J78" s="169">
        <f>+PERBULAN!T78</f>
        <v>0</v>
      </c>
      <c r="K78" s="189"/>
      <c r="L78" s="189" t="e">
        <f>'[4]BULANAN PTKP BARU'!V82</f>
        <v>#REF!</v>
      </c>
      <c r="M78" s="169">
        <f t="shared" si="12"/>
        <v>0</v>
      </c>
      <c r="N78" s="169">
        <f>+'ASTEK-DIISI SMPAI DES'!O78</f>
        <v>0</v>
      </c>
      <c r="O78" s="169">
        <f>+'ASTEK-DIISI SMPAI DES'!O193</f>
        <v>0</v>
      </c>
      <c r="P78" s="169">
        <f t="shared" si="11"/>
        <v>0</v>
      </c>
      <c r="Q78" s="169">
        <f t="shared" si="13"/>
        <v>0</v>
      </c>
      <c r="R78" s="169">
        <f t="shared" si="14"/>
        <v>0</v>
      </c>
      <c r="S78" s="167" t="b">
        <f t="shared" si="18"/>
        <v>0</v>
      </c>
      <c r="T78" s="191">
        <f t="shared" si="15"/>
        <v>0</v>
      </c>
      <c r="U78" s="259">
        <f t="shared" si="16"/>
        <v>0</v>
      </c>
      <c r="V78" s="260">
        <f t="shared" si="17"/>
        <v>0</v>
      </c>
    </row>
    <row r="79" spans="1:22">
      <c r="A79" s="188">
        <v>72</v>
      </c>
      <c r="B79" s="190">
        <f>+PERBULAN!B79</f>
        <v>0</v>
      </c>
      <c r="C79" s="190">
        <f>+PERBULAN!C79</f>
        <v>0</v>
      </c>
      <c r="D79" s="190">
        <f>+PERBULAN!D79</f>
        <v>0</v>
      </c>
      <c r="E79" s="258">
        <f>+PERBULAN!E79</f>
        <v>0</v>
      </c>
      <c r="F79" s="169">
        <f>+PERBULAN!R79</f>
        <v>0</v>
      </c>
      <c r="G79" s="189">
        <f>+PERBULAN!S79</f>
        <v>0</v>
      </c>
      <c r="H79" s="189">
        <f>+BPJS!O200</f>
        <v>0</v>
      </c>
      <c r="I79" s="169">
        <f>+BPJS!O79</f>
        <v>0</v>
      </c>
      <c r="J79" s="169">
        <f>+PERBULAN!T79</f>
        <v>0</v>
      </c>
      <c r="K79" s="189"/>
      <c r="L79" s="189" t="e">
        <f>'[4]BULANAN PTKP BARU'!V83</f>
        <v>#REF!</v>
      </c>
      <c r="M79" s="169">
        <f t="shared" si="12"/>
        <v>0</v>
      </c>
      <c r="N79" s="169">
        <f>+'ASTEK-DIISI SMPAI DES'!O79</f>
        <v>0</v>
      </c>
      <c r="O79" s="169">
        <f>+'ASTEK-DIISI SMPAI DES'!O194</f>
        <v>0</v>
      </c>
      <c r="P79" s="169">
        <f t="shared" si="11"/>
        <v>0</v>
      </c>
      <c r="Q79" s="169">
        <f t="shared" si="13"/>
        <v>0</v>
      </c>
      <c r="R79" s="169">
        <f t="shared" si="14"/>
        <v>0</v>
      </c>
      <c r="S79" s="167" t="b">
        <f t="shared" si="18"/>
        <v>0</v>
      </c>
      <c r="T79" s="191">
        <f t="shared" si="15"/>
        <v>0</v>
      </c>
      <c r="U79" s="259">
        <f t="shared" si="16"/>
        <v>0</v>
      </c>
      <c r="V79" s="260">
        <f t="shared" si="17"/>
        <v>0</v>
      </c>
    </row>
    <row r="80" spans="1:22">
      <c r="A80" s="188">
        <v>73</v>
      </c>
      <c r="B80" s="190">
        <f>+PERBULAN!B80</f>
        <v>0</v>
      </c>
      <c r="C80" s="190">
        <f>+PERBULAN!C80</f>
        <v>0</v>
      </c>
      <c r="D80" s="190">
        <f>+PERBULAN!D80</f>
        <v>0</v>
      </c>
      <c r="E80" s="258">
        <f>+PERBULAN!E80</f>
        <v>0</v>
      </c>
      <c r="F80" s="169">
        <f>+PERBULAN!R80</f>
        <v>0</v>
      </c>
      <c r="G80" s="189">
        <f>+PERBULAN!S80</f>
        <v>0</v>
      </c>
      <c r="H80" s="189">
        <f>+BPJS!O201</f>
        <v>0</v>
      </c>
      <c r="I80" s="169">
        <f>+BPJS!O80</f>
        <v>0</v>
      </c>
      <c r="J80" s="169">
        <f>+PERBULAN!T80</f>
        <v>0</v>
      </c>
      <c r="K80" s="189"/>
      <c r="L80" s="189" t="e">
        <f>'[4]BULANAN PTKP BARU'!V84</f>
        <v>#REF!</v>
      </c>
      <c r="M80" s="169">
        <f t="shared" si="12"/>
        <v>0</v>
      </c>
      <c r="N80" s="169">
        <f>+'ASTEK-DIISI SMPAI DES'!O80</f>
        <v>0</v>
      </c>
      <c r="O80" s="169">
        <f>+'ASTEK-DIISI SMPAI DES'!O195</f>
        <v>0</v>
      </c>
      <c r="P80" s="169">
        <f t="shared" si="11"/>
        <v>0</v>
      </c>
      <c r="Q80" s="169">
        <f t="shared" si="13"/>
        <v>0</v>
      </c>
      <c r="R80" s="169">
        <f t="shared" si="14"/>
        <v>0</v>
      </c>
      <c r="S80" s="167" t="b">
        <f t="shared" si="18"/>
        <v>0</v>
      </c>
      <c r="T80" s="191">
        <f t="shared" si="15"/>
        <v>0</v>
      </c>
      <c r="U80" s="259">
        <f t="shared" si="16"/>
        <v>0</v>
      </c>
      <c r="V80" s="260">
        <f t="shared" si="17"/>
        <v>0</v>
      </c>
    </row>
    <row r="81" spans="1:22">
      <c r="A81" s="188">
        <v>74</v>
      </c>
      <c r="B81" s="190">
        <f>+PERBULAN!B81</f>
        <v>0</v>
      </c>
      <c r="C81" s="190">
        <f>+PERBULAN!C81</f>
        <v>0</v>
      </c>
      <c r="D81" s="190">
        <f>+PERBULAN!D81</f>
        <v>0</v>
      </c>
      <c r="E81" s="258">
        <f>+PERBULAN!E81</f>
        <v>0</v>
      </c>
      <c r="F81" s="169">
        <f>+PERBULAN!R81</f>
        <v>0</v>
      </c>
      <c r="G81" s="189">
        <f>+PERBULAN!S81</f>
        <v>0</v>
      </c>
      <c r="H81" s="189">
        <f>+BPJS!O202</f>
        <v>0</v>
      </c>
      <c r="I81" s="169">
        <f>+BPJS!O81</f>
        <v>0</v>
      </c>
      <c r="J81" s="169">
        <f>+PERBULAN!T81</f>
        <v>0</v>
      </c>
      <c r="K81" s="189"/>
      <c r="L81" s="189" t="e">
        <f>'[4]BULANAN PTKP BARU'!V85</f>
        <v>#REF!</v>
      </c>
      <c r="M81" s="169">
        <f t="shared" si="12"/>
        <v>0</v>
      </c>
      <c r="N81" s="169">
        <f>+'ASTEK-DIISI SMPAI DES'!O81</f>
        <v>0</v>
      </c>
      <c r="O81" s="169">
        <f>+'ASTEK-DIISI SMPAI DES'!O196</f>
        <v>0</v>
      </c>
      <c r="P81" s="169">
        <f t="shared" si="11"/>
        <v>0</v>
      </c>
      <c r="Q81" s="169">
        <f t="shared" si="13"/>
        <v>0</v>
      </c>
      <c r="R81" s="169">
        <f t="shared" si="14"/>
        <v>0</v>
      </c>
      <c r="S81" s="167" t="b">
        <f t="shared" si="18"/>
        <v>0</v>
      </c>
      <c r="T81" s="191">
        <f t="shared" si="15"/>
        <v>0</v>
      </c>
      <c r="U81" s="259">
        <f t="shared" si="16"/>
        <v>0</v>
      </c>
      <c r="V81" s="260">
        <f t="shared" si="17"/>
        <v>0</v>
      </c>
    </row>
    <row r="82" spans="1:22">
      <c r="A82" s="188">
        <v>75</v>
      </c>
      <c r="B82" s="190">
        <f>+PERBULAN!B82</f>
        <v>0</v>
      </c>
      <c r="C82" s="190">
        <f>+PERBULAN!C82</f>
        <v>0</v>
      </c>
      <c r="D82" s="190">
        <f>+PERBULAN!D82</f>
        <v>0</v>
      </c>
      <c r="E82" s="258">
        <f>+PERBULAN!E82</f>
        <v>0</v>
      </c>
      <c r="F82" s="169">
        <f>+PERBULAN!R82</f>
        <v>0</v>
      </c>
      <c r="G82" s="189">
        <f>+PERBULAN!S82</f>
        <v>0</v>
      </c>
      <c r="H82" s="189">
        <f>+BPJS!O203</f>
        <v>0</v>
      </c>
      <c r="I82" s="169">
        <f>+BPJS!O82</f>
        <v>0</v>
      </c>
      <c r="J82" s="169">
        <f>+PERBULAN!T82</f>
        <v>0</v>
      </c>
      <c r="K82" s="189"/>
      <c r="L82" s="189" t="e">
        <f>'[4]BULANAN PTKP BARU'!V86</f>
        <v>#REF!</v>
      </c>
      <c r="M82" s="169">
        <f t="shared" si="12"/>
        <v>0</v>
      </c>
      <c r="N82" s="169">
        <f>+'ASTEK-DIISI SMPAI DES'!O82</f>
        <v>0</v>
      </c>
      <c r="O82" s="169">
        <f>+'ASTEK-DIISI SMPAI DES'!O197</f>
        <v>0</v>
      </c>
      <c r="P82" s="169">
        <f t="shared" si="11"/>
        <v>0</v>
      </c>
      <c r="Q82" s="169">
        <f t="shared" si="13"/>
        <v>0</v>
      </c>
      <c r="R82" s="169">
        <f t="shared" si="14"/>
        <v>0</v>
      </c>
      <c r="S82" s="167" t="b">
        <f t="shared" si="18"/>
        <v>0</v>
      </c>
      <c r="T82" s="191">
        <f t="shared" si="15"/>
        <v>0</v>
      </c>
      <c r="U82" s="259">
        <f t="shared" si="16"/>
        <v>0</v>
      </c>
      <c r="V82" s="260">
        <f t="shared" si="17"/>
        <v>0</v>
      </c>
    </row>
    <row r="83" spans="1:22">
      <c r="A83" s="188">
        <v>76</v>
      </c>
      <c r="B83" s="190">
        <f>+PERBULAN!B83</f>
        <v>0</v>
      </c>
      <c r="C83" s="190">
        <f>+PERBULAN!C83</f>
        <v>0</v>
      </c>
      <c r="D83" s="190">
        <f>+PERBULAN!D83</f>
        <v>0</v>
      </c>
      <c r="E83" s="258">
        <f>+PERBULAN!E83</f>
        <v>0</v>
      </c>
      <c r="F83" s="169">
        <f>+PERBULAN!R83</f>
        <v>0</v>
      </c>
      <c r="G83" s="189">
        <f>+PERBULAN!S83</f>
        <v>0</v>
      </c>
      <c r="H83" s="189">
        <f>+BPJS!O204</f>
        <v>0</v>
      </c>
      <c r="I83" s="169">
        <f>+BPJS!O83</f>
        <v>0</v>
      </c>
      <c r="J83" s="169">
        <f>+PERBULAN!T83</f>
        <v>0</v>
      </c>
      <c r="K83" s="189"/>
      <c r="L83" s="189" t="e">
        <f>'[4]BULANAN PTKP BARU'!V87</f>
        <v>#REF!</v>
      </c>
      <c r="M83" s="169">
        <f t="shared" si="12"/>
        <v>0</v>
      </c>
      <c r="N83" s="169">
        <f>+'ASTEK-DIISI SMPAI DES'!O83</f>
        <v>0</v>
      </c>
      <c r="O83" s="169">
        <f>+'ASTEK-DIISI SMPAI DES'!O198</f>
        <v>0</v>
      </c>
      <c r="P83" s="169">
        <f t="shared" si="11"/>
        <v>0</v>
      </c>
      <c r="Q83" s="169">
        <f t="shared" si="13"/>
        <v>0</v>
      </c>
      <c r="R83" s="169">
        <f t="shared" si="14"/>
        <v>0</v>
      </c>
      <c r="S83" s="167" t="b">
        <f t="shared" si="18"/>
        <v>0</v>
      </c>
      <c r="T83" s="191">
        <f t="shared" si="15"/>
        <v>0</v>
      </c>
      <c r="U83" s="259">
        <f t="shared" si="16"/>
        <v>0</v>
      </c>
      <c r="V83" s="260">
        <f t="shared" si="17"/>
        <v>0</v>
      </c>
    </row>
    <row r="84" spans="1:22">
      <c r="A84" s="188">
        <v>77</v>
      </c>
      <c r="B84" s="190">
        <f>+PERBULAN!B84</f>
        <v>0</v>
      </c>
      <c r="C84" s="190">
        <f>+PERBULAN!C84</f>
        <v>0</v>
      </c>
      <c r="D84" s="190">
        <f>+PERBULAN!D84</f>
        <v>0</v>
      </c>
      <c r="E84" s="258">
        <f>+PERBULAN!E84</f>
        <v>0</v>
      </c>
      <c r="F84" s="169">
        <f>+PERBULAN!R84</f>
        <v>0</v>
      </c>
      <c r="G84" s="189">
        <f>+PERBULAN!S84</f>
        <v>0</v>
      </c>
      <c r="H84" s="189">
        <f>+BPJS!O205</f>
        <v>0</v>
      </c>
      <c r="I84" s="169">
        <f>+BPJS!O84</f>
        <v>0</v>
      </c>
      <c r="J84" s="169">
        <f>+PERBULAN!T84</f>
        <v>0</v>
      </c>
      <c r="K84" s="189"/>
      <c r="L84" s="189" t="e">
        <f>'[4]BULANAN PTKP BARU'!V88</f>
        <v>#REF!</v>
      </c>
      <c r="M84" s="169">
        <f t="shared" si="12"/>
        <v>0</v>
      </c>
      <c r="N84" s="169">
        <f>+'ASTEK-DIISI SMPAI DES'!O84</f>
        <v>0</v>
      </c>
      <c r="O84" s="169">
        <f>+'ASTEK-DIISI SMPAI DES'!O199</f>
        <v>0</v>
      </c>
      <c r="P84" s="169">
        <f t="shared" si="11"/>
        <v>0</v>
      </c>
      <c r="Q84" s="169">
        <f t="shared" si="13"/>
        <v>0</v>
      </c>
      <c r="R84" s="169">
        <f t="shared" si="14"/>
        <v>0</v>
      </c>
      <c r="S84" s="167" t="b">
        <f t="shared" si="18"/>
        <v>0</v>
      </c>
      <c r="T84" s="191">
        <f t="shared" si="15"/>
        <v>0</v>
      </c>
      <c r="U84" s="259">
        <f t="shared" si="16"/>
        <v>0</v>
      </c>
      <c r="V84" s="260">
        <f t="shared" si="17"/>
        <v>0</v>
      </c>
    </row>
    <row r="85" spans="1:22">
      <c r="A85" s="188">
        <v>78</v>
      </c>
      <c r="B85" s="190">
        <f>+PERBULAN!B85</f>
        <v>0</v>
      </c>
      <c r="C85" s="190">
        <f>+PERBULAN!C85</f>
        <v>0</v>
      </c>
      <c r="D85" s="190">
        <f>+PERBULAN!D85</f>
        <v>0</v>
      </c>
      <c r="E85" s="258">
        <f>+PERBULAN!E85</f>
        <v>0</v>
      </c>
      <c r="F85" s="169">
        <f>+PERBULAN!R85</f>
        <v>0</v>
      </c>
      <c r="G85" s="189">
        <f>+PERBULAN!S85</f>
        <v>0</v>
      </c>
      <c r="H85" s="189">
        <f>+BPJS!O206</f>
        <v>0</v>
      </c>
      <c r="I85" s="169">
        <f>+BPJS!O85</f>
        <v>0</v>
      </c>
      <c r="J85" s="169">
        <f>+PERBULAN!T85</f>
        <v>0</v>
      </c>
      <c r="K85" s="189"/>
      <c r="L85" s="189" t="e">
        <f>'[4]BULANAN PTKP BARU'!V89</f>
        <v>#REF!</v>
      </c>
      <c r="M85" s="169">
        <f t="shared" si="12"/>
        <v>0</v>
      </c>
      <c r="N85" s="169">
        <f>+'ASTEK-DIISI SMPAI DES'!O85</f>
        <v>0</v>
      </c>
      <c r="O85" s="169">
        <f>+'ASTEK-DIISI SMPAI DES'!O200</f>
        <v>0</v>
      </c>
      <c r="P85" s="169">
        <f t="shared" si="11"/>
        <v>0</v>
      </c>
      <c r="Q85" s="169">
        <f t="shared" si="13"/>
        <v>0</v>
      </c>
      <c r="R85" s="169">
        <f t="shared" si="14"/>
        <v>0</v>
      </c>
      <c r="S85" s="167" t="b">
        <f t="shared" si="18"/>
        <v>0</v>
      </c>
      <c r="T85" s="191">
        <f t="shared" si="15"/>
        <v>0</v>
      </c>
      <c r="U85" s="259">
        <f t="shared" si="16"/>
        <v>0</v>
      </c>
      <c r="V85" s="260">
        <f t="shared" si="17"/>
        <v>0</v>
      </c>
    </row>
    <row r="86" spans="1:22">
      <c r="A86" s="188">
        <v>79</v>
      </c>
      <c r="B86" s="190">
        <f>+PERBULAN!B86</f>
        <v>0</v>
      </c>
      <c r="C86" s="190">
        <f>+PERBULAN!C86</f>
        <v>0</v>
      </c>
      <c r="D86" s="190">
        <f>+PERBULAN!D86</f>
        <v>0</v>
      </c>
      <c r="E86" s="258">
        <f>+PERBULAN!E86</f>
        <v>0</v>
      </c>
      <c r="F86" s="169">
        <f>+PERBULAN!R86</f>
        <v>0</v>
      </c>
      <c r="G86" s="189">
        <f>+PERBULAN!S86</f>
        <v>0</v>
      </c>
      <c r="H86" s="189">
        <f>+BPJS!O207</f>
        <v>0</v>
      </c>
      <c r="I86" s="169">
        <f>+BPJS!O86</f>
        <v>0</v>
      </c>
      <c r="J86" s="169">
        <f>+PERBULAN!T86</f>
        <v>0</v>
      </c>
      <c r="K86" s="189"/>
      <c r="L86" s="189" t="e">
        <f>'[4]BULANAN PTKP BARU'!V90</f>
        <v>#REF!</v>
      </c>
      <c r="M86" s="169">
        <f t="shared" si="12"/>
        <v>0</v>
      </c>
      <c r="N86" s="169">
        <f>+'ASTEK-DIISI SMPAI DES'!O86</f>
        <v>0</v>
      </c>
      <c r="O86" s="169">
        <f>+'ASTEK-DIISI SMPAI DES'!O201</f>
        <v>0</v>
      </c>
      <c r="P86" s="169">
        <f t="shared" si="11"/>
        <v>0</v>
      </c>
      <c r="Q86" s="169">
        <f t="shared" si="13"/>
        <v>0</v>
      </c>
      <c r="R86" s="169">
        <f t="shared" si="14"/>
        <v>0</v>
      </c>
      <c r="S86" s="167" t="b">
        <f t="shared" si="18"/>
        <v>0</v>
      </c>
      <c r="T86" s="191">
        <f t="shared" si="15"/>
        <v>0</v>
      </c>
      <c r="U86" s="259">
        <f t="shared" si="16"/>
        <v>0</v>
      </c>
      <c r="V86" s="260">
        <f t="shared" si="17"/>
        <v>0</v>
      </c>
    </row>
    <row r="87" spans="1:22">
      <c r="A87" s="188">
        <v>80</v>
      </c>
      <c r="B87" s="190">
        <f>+PERBULAN!B87</f>
        <v>0</v>
      </c>
      <c r="C87" s="190">
        <f>+PERBULAN!C87</f>
        <v>0</v>
      </c>
      <c r="D87" s="190">
        <f>+PERBULAN!D87</f>
        <v>0</v>
      </c>
      <c r="E87" s="258">
        <f>+PERBULAN!E87</f>
        <v>0</v>
      </c>
      <c r="F87" s="169">
        <f>+PERBULAN!R87</f>
        <v>0</v>
      </c>
      <c r="G87" s="189">
        <f>+PERBULAN!S87</f>
        <v>0</v>
      </c>
      <c r="H87" s="189">
        <f>+BPJS!O208</f>
        <v>0</v>
      </c>
      <c r="I87" s="169">
        <f>+BPJS!O87</f>
        <v>0</v>
      </c>
      <c r="J87" s="169">
        <f>+PERBULAN!T87</f>
        <v>0</v>
      </c>
      <c r="K87" s="189"/>
      <c r="L87" s="189" t="e">
        <f>'[4]BULANAN PTKP BARU'!V91</f>
        <v>#REF!</v>
      </c>
      <c r="M87" s="169">
        <f t="shared" si="12"/>
        <v>0</v>
      </c>
      <c r="N87" s="169">
        <f>+'ASTEK-DIISI SMPAI DES'!O87</f>
        <v>0</v>
      </c>
      <c r="O87" s="169">
        <f>+'ASTEK-DIISI SMPAI DES'!O202</f>
        <v>0</v>
      </c>
      <c r="P87" s="169">
        <f t="shared" si="11"/>
        <v>0</v>
      </c>
      <c r="Q87" s="169">
        <f t="shared" si="13"/>
        <v>0</v>
      </c>
      <c r="R87" s="169">
        <f t="shared" si="14"/>
        <v>0</v>
      </c>
      <c r="S87" s="167" t="b">
        <f t="shared" si="18"/>
        <v>0</v>
      </c>
      <c r="T87" s="191">
        <f t="shared" si="15"/>
        <v>0</v>
      </c>
      <c r="U87" s="259">
        <f t="shared" si="16"/>
        <v>0</v>
      </c>
      <c r="V87" s="260">
        <f t="shared" si="17"/>
        <v>0</v>
      </c>
    </row>
    <row r="88" spans="1:22">
      <c r="A88" s="188">
        <v>81</v>
      </c>
      <c r="B88" s="190">
        <f>+PERBULAN!B88</f>
        <v>0</v>
      </c>
      <c r="C88" s="190">
        <f>+PERBULAN!C88</f>
        <v>0</v>
      </c>
      <c r="D88" s="190">
        <f>+PERBULAN!D88</f>
        <v>0</v>
      </c>
      <c r="E88" s="258">
        <f>+PERBULAN!E88</f>
        <v>0</v>
      </c>
      <c r="F88" s="169">
        <f>+PERBULAN!R88</f>
        <v>0</v>
      </c>
      <c r="G88" s="189">
        <f>+PERBULAN!S88</f>
        <v>0</v>
      </c>
      <c r="H88" s="189">
        <f>+BPJS!O209</f>
        <v>0</v>
      </c>
      <c r="I88" s="169">
        <f>+BPJS!O88</f>
        <v>0</v>
      </c>
      <c r="J88" s="169">
        <f>+PERBULAN!T88</f>
        <v>0</v>
      </c>
      <c r="K88" s="189"/>
      <c r="L88" s="189" t="e">
        <f>'[4]BULANAN PTKP BARU'!V92</f>
        <v>#REF!</v>
      </c>
      <c r="M88" s="169">
        <f t="shared" si="12"/>
        <v>0</v>
      </c>
      <c r="N88" s="169">
        <f>+'ASTEK-DIISI SMPAI DES'!O88</f>
        <v>0</v>
      </c>
      <c r="O88" s="169">
        <f>+'ASTEK-DIISI SMPAI DES'!O203</f>
        <v>0</v>
      </c>
      <c r="P88" s="169">
        <f t="shared" si="11"/>
        <v>0</v>
      </c>
      <c r="Q88" s="169">
        <f t="shared" si="13"/>
        <v>0</v>
      </c>
      <c r="R88" s="169">
        <f t="shared" si="14"/>
        <v>0</v>
      </c>
      <c r="S88" s="167" t="b">
        <f t="shared" si="18"/>
        <v>0</v>
      </c>
      <c r="T88" s="191">
        <f t="shared" si="15"/>
        <v>0</v>
      </c>
      <c r="U88" s="259">
        <f t="shared" si="16"/>
        <v>0</v>
      </c>
      <c r="V88" s="260">
        <f t="shared" si="17"/>
        <v>0</v>
      </c>
    </row>
    <row r="89" spans="1:22">
      <c r="A89" s="188">
        <v>82</v>
      </c>
      <c r="B89" s="190">
        <f>+PERBULAN!B89</f>
        <v>0</v>
      </c>
      <c r="C89" s="190">
        <f>+PERBULAN!C89</f>
        <v>0</v>
      </c>
      <c r="D89" s="190">
        <f>+PERBULAN!D89</f>
        <v>0</v>
      </c>
      <c r="E89" s="258">
        <f>+PERBULAN!E89</f>
        <v>0</v>
      </c>
      <c r="F89" s="169">
        <f>+PERBULAN!R89</f>
        <v>0</v>
      </c>
      <c r="G89" s="189">
        <f>+PERBULAN!S89</f>
        <v>0</v>
      </c>
      <c r="H89" s="189">
        <f>+BPJS!O210</f>
        <v>0</v>
      </c>
      <c r="I89" s="169">
        <f>+BPJS!O89</f>
        <v>0</v>
      </c>
      <c r="J89" s="169">
        <f>+PERBULAN!T89</f>
        <v>0</v>
      </c>
      <c r="K89" s="189"/>
      <c r="L89" s="189" t="e">
        <f>'[4]BULANAN PTKP BARU'!V93</f>
        <v>#REF!</v>
      </c>
      <c r="M89" s="169">
        <f t="shared" si="12"/>
        <v>0</v>
      </c>
      <c r="N89" s="169">
        <f>+'ASTEK-DIISI SMPAI DES'!O89</f>
        <v>0</v>
      </c>
      <c r="O89" s="169">
        <f>+'ASTEK-DIISI SMPAI DES'!O204</f>
        <v>0</v>
      </c>
      <c r="P89" s="169">
        <f t="shared" si="11"/>
        <v>0</v>
      </c>
      <c r="Q89" s="169">
        <f t="shared" si="13"/>
        <v>0</v>
      </c>
      <c r="R89" s="169">
        <f t="shared" si="14"/>
        <v>0</v>
      </c>
      <c r="S89" s="167" t="b">
        <f t="shared" si="18"/>
        <v>0</v>
      </c>
      <c r="T89" s="191">
        <f t="shared" si="15"/>
        <v>0</v>
      </c>
      <c r="U89" s="259">
        <f t="shared" si="16"/>
        <v>0</v>
      </c>
      <c r="V89" s="260">
        <f t="shared" si="17"/>
        <v>0</v>
      </c>
    </row>
    <row r="90" spans="1:22">
      <c r="A90" s="188">
        <v>83</v>
      </c>
      <c r="B90" s="190">
        <f>+PERBULAN!B90</f>
        <v>0</v>
      </c>
      <c r="C90" s="190">
        <f>+PERBULAN!C90</f>
        <v>0</v>
      </c>
      <c r="D90" s="190">
        <f>+PERBULAN!D90</f>
        <v>0</v>
      </c>
      <c r="E90" s="258">
        <f>+PERBULAN!E90</f>
        <v>0</v>
      </c>
      <c r="F90" s="169">
        <f>+PERBULAN!R90</f>
        <v>0</v>
      </c>
      <c r="G90" s="189">
        <f>+PERBULAN!S90</f>
        <v>0</v>
      </c>
      <c r="H90" s="189">
        <f>+BPJS!O211</f>
        <v>0</v>
      </c>
      <c r="I90" s="169">
        <f>+BPJS!O90</f>
        <v>0</v>
      </c>
      <c r="J90" s="169">
        <f>+PERBULAN!T90</f>
        <v>0</v>
      </c>
      <c r="K90" s="189"/>
      <c r="L90" s="189" t="e">
        <f>'[4]BULANAN PTKP BARU'!V94</f>
        <v>#REF!</v>
      </c>
      <c r="M90" s="169">
        <f t="shared" si="12"/>
        <v>0</v>
      </c>
      <c r="N90" s="169">
        <f>+'ASTEK-DIISI SMPAI DES'!O90</f>
        <v>0</v>
      </c>
      <c r="O90" s="169">
        <f>+'ASTEK-DIISI SMPAI DES'!O205</f>
        <v>0</v>
      </c>
      <c r="P90" s="169">
        <f t="shared" si="11"/>
        <v>0</v>
      </c>
      <c r="Q90" s="169">
        <f t="shared" si="13"/>
        <v>0</v>
      </c>
      <c r="R90" s="169">
        <f t="shared" si="14"/>
        <v>0</v>
      </c>
      <c r="S90" s="167" t="b">
        <f t="shared" si="18"/>
        <v>0</v>
      </c>
      <c r="T90" s="191">
        <f t="shared" si="15"/>
        <v>0</v>
      </c>
      <c r="U90" s="259">
        <f t="shared" si="16"/>
        <v>0</v>
      </c>
      <c r="V90" s="260">
        <f t="shared" si="17"/>
        <v>0</v>
      </c>
    </row>
    <row r="91" spans="1:22">
      <c r="A91" s="188">
        <v>84</v>
      </c>
      <c r="B91" s="190">
        <f>+PERBULAN!B91</f>
        <v>0</v>
      </c>
      <c r="C91" s="190">
        <f>+PERBULAN!C91</f>
        <v>0</v>
      </c>
      <c r="D91" s="190">
        <f>+PERBULAN!D91</f>
        <v>0</v>
      </c>
      <c r="E91" s="258">
        <f>+PERBULAN!E91</f>
        <v>0</v>
      </c>
      <c r="F91" s="169">
        <f>+PERBULAN!R91</f>
        <v>0</v>
      </c>
      <c r="G91" s="189">
        <f>+PERBULAN!S91</f>
        <v>0</v>
      </c>
      <c r="H91" s="189">
        <f>+BPJS!O212</f>
        <v>0</v>
      </c>
      <c r="I91" s="169">
        <f>+BPJS!O91</f>
        <v>0</v>
      </c>
      <c r="J91" s="169">
        <f>+PERBULAN!T91</f>
        <v>0</v>
      </c>
      <c r="K91" s="189"/>
      <c r="L91" s="189" t="e">
        <f>'[4]BULANAN PTKP BARU'!V95</f>
        <v>#REF!</v>
      </c>
      <c r="M91" s="169">
        <f t="shared" si="12"/>
        <v>0</v>
      </c>
      <c r="N91" s="169">
        <f>+'ASTEK-DIISI SMPAI DES'!O91</f>
        <v>0</v>
      </c>
      <c r="O91" s="169">
        <f>+'ASTEK-DIISI SMPAI DES'!O206</f>
        <v>0</v>
      </c>
      <c r="P91" s="169">
        <f t="shared" si="11"/>
        <v>0</v>
      </c>
      <c r="Q91" s="169">
        <f t="shared" si="13"/>
        <v>0</v>
      </c>
      <c r="R91" s="169">
        <f t="shared" si="14"/>
        <v>0</v>
      </c>
      <c r="S91" s="167" t="b">
        <f t="shared" si="18"/>
        <v>0</v>
      </c>
      <c r="T91" s="191">
        <f t="shared" si="15"/>
        <v>0</v>
      </c>
      <c r="U91" s="259">
        <f t="shared" si="16"/>
        <v>0</v>
      </c>
      <c r="V91" s="260">
        <f t="shared" si="17"/>
        <v>0</v>
      </c>
    </row>
    <row r="92" spans="1:22">
      <c r="A92" s="188">
        <v>85</v>
      </c>
      <c r="B92" s="190">
        <f>+PERBULAN!B92</f>
        <v>0</v>
      </c>
      <c r="C92" s="190">
        <f>+PERBULAN!C92</f>
        <v>0</v>
      </c>
      <c r="D92" s="190">
        <f>+PERBULAN!D92</f>
        <v>0</v>
      </c>
      <c r="E92" s="258">
        <f>+PERBULAN!E92</f>
        <v>0</v>
      </c>
      <c r="F92" s="169">
        <f>+PERBULAN!R92</f>
        <v>0</v>
      </c>
      <c r="G92" s="189">
        <f>+PERBULAN!S92</f>
        <v>0</v>
      </c>
      <c r="H92" s="189">
        <f>+BPJS!O213</f>
        <v>0</v>
      </c>
      <c r="I92" s="169">
        <f>+BPJS!O92</f>
        <v>0</v>
      </c>
      <c r="J92" s="169">
        <f>+PERBULAN!T92</f>
        <v>0</v>
      </c>
      <c r="K92" s="189"/>
      <c r="L92" s="189" t="e">
        <f>'[4]BULANAN PTKP BARU'!V96</f>
        <v>#REF!</v>
      </c>
      <c r="M92" s="169">
        <f t="shared" si="12"/>
        <v>0</v>
      </c>
      <c r="N92" s="169">
        <f>+'ASTEK-DIISI SMPAI DES'!O92</f>
        <v>0</v>
      </c>
      <c r="O92" s="169">
        <f>+'ASTEK-DIISI SMPAI DES'!O207</f>
        <v>0</v>
      </c>
      <c r="P92" s="169">
        <f t="shared" si="11"/>
        <v>0</v>
      </c>
      <c r="Q92" s="169">
        <f t="shared" si="13"/>
        <v>0</v>
      </c>
      <c r="R92" s="169">
        <f t="shared" si="14"/>
        <v>0</v>
      </c>
      <c r="S92" s="167" t="b">
        <f t="shared" si="18"/>
        <v>0</v>
      </c>
      <c r="T92" s="191">
        <f t="shared" si="15"/>
        <v>0</v>
      </c>
      <c r="U92" s="259">
        <f t="shared" si="16"/>
        <v>0</v>
      </c>
      <c r="V92" s="260">
        <f t="shared" si="17"/>
        <v>0</v>
      </c>
    </row>
    <row r="93" spans="1:22">
      <c r="A93" s="188">
        <v>86</v>
      </c>
      <c r="B93" s="190">
        <f>+PERBULAN!B93</f>
        <v>0</v>
      </c>
      <c r="C93" s="190">
        <f>+PERBULAN!C93</f>
        <v>0</v>
      </c>
      <c r="D93" s="190">
        <f>+PERBULAN!D93</f>
        <v>0</v>
      </c>
      <c r="E93" s="258">
        <f>+PERBULAN!E93</f>
        <v>0</v>
      </c>
      <c r="F93" s="169">
        <f>+PERBULAN!R93</f>
        <v>0</v>
      </c>
      <c r="G93" s="189">
        <f>+PERBULAN!S93</f>
        <v>0</v>
      </c>
      <c r="H93" s="189">
        <f>+BPJS!O214</f>
        <v>0</v>
      </c>
      <c r="I93" s="169">
        <f>+BPJS!O93</f>
        <v>0</v>
      </c>
      <c r="J93" s="169">
        <f>+PERBULAN!T93</f>
        <v>0</v>
      </c>
      <c r="K93" s="189"/>
      <c r="L93" s="189" t="e">
        <f>'[4]BULANAN PTKP BARU'!V97</f>
        <v>#REF!</v>
      </c>
      <c r="M93" s="169">
        <f t="shared" si="12"/>
        <v>0</v>
      </c>
      <c r="N93" s="169">
        <f>+'ASTEK-DIISI SMPAI DES'!O93</f>
        <v>0</v>
      </c>
      <c r="O93" s="169">
        <f>+'ASTEK-DIISI SMPAI DES'!O208</f>
        <v>0</v>
      </c>
      <c r="P93" s="169">
        <f t="shared" si="11"/>
        <v>0</v>
      </c>
      <c r="Q93" s="169">
        <f t="shared" si="13"/>
        <v>0</v>
      </c>
      <c r="R93" s="169">
        <f t="shared" si="14"/>
        <v>0</v>
      </c>
      <c r="S93" s="167" t="b">
        <f t="shared" si="18"/>
        <v>0</v>
      </c>
      <c r="T93" s="191">
        <f t="shared" si="15"/>
        <v>0</v>
      </c>
      <c r="U93" s="259">
        <f t="shared" si="16"/>
        <v>0</v>
      </c>
      <c r="V93" s="260">
        <f t="shared" si="17"/>
        <v>0</v>
      </c>
    </row>
    <row r="94" spans="1:22">
      <c r="A94" s="188">
        <v>87</v>
      </c>
      <c r="B94" s="190">
        <f>+PERBULAN!B94</f>
        <v>0</v>
      </c>
      <c r="C94" s="190">
        <f>+PERBULAN!C94</f>
        <v>0</v>
      </c>
      <c r="D94" s="190">
        <f>+PERBULAN!D94</f>
        <v>0</v>
      </c>
      <c r="E94" s="258">
        <f>+PERBULAN!E94</f>
        <v>0</v>
      </c>
      <c r="F94" s="169">
        <f>+PERBULAN!R94</f>
        <v>0</v>
      </c>
      <c r="G94" s="189">
        <f>+PERBULAN!S94</f>
        <v>0</v>
      </c>
      <c r="H94" s="189">
        <f>+BPJS!O215</f>
        <v>0</v>
      </c>
      <c r="I94" s="169">
        <f>+BPJS!O94</f>
        <v>0</v>
      </c>
      <c r="J94" s="169">
        <f>+PERBULAN!T94</f>
        <v>0</v>
      </c>
      <c r="K94" s="189"/>
      <c r="L94" s="189" t="e">
        <f>'[4]BULANAN PTKP BARU'!V98</f>
        <v>#REF!</v>
      </c>
      <c r="M94" s="169">
        <f t="shared" si="12"/>
        <v>0</v>
      </c>
      <c r="N94" s="169">
        <f>+'ASTEK-DIISI SMPAI DES'!O94</f>
        <v>0</v>
      </c>
      <c r="O94" s="169">
        <f>+'ASTEK-DIISI SMPAI DES'!O209</f>
        <v>0</v>
      </c>
      <c r="P94" s="169">
        <f t="shared" si="11"/>
        <v>0</v>
      </c>
      <c r="Q94" s="169">
        <f t="shared" si="13"/>
        <v>0</v>
      </c>
      <c r="R94" s="169">
        <f t="shared" si="14"/>
        <v>0</v>
      </c>
      <c r="S94" s="167" t="b">
        <f t="shared" si="18"/>
        <v>0</v>
      </c>
      <c r="T94" s="191">
        <f t="shared" si="15"/>
        <v>0</v>
      </c>
      <c r="U94" s="259">
        <f t="shared" si="16"/>
        <v>0</v>
      </c>
      <c r="V94" s="260">
        <f t="shared" si="17"/>
        <v>0</v>
      </c>
    </row>
    <row r="95" spans="1:22">
      <c r="A95" s="188">
        <v>88</v>
      </c>
      <c r="B95" s="190">
        <f>+PERBULAN!B95</f>
        <v>0</v>
      </c>
      <c r="C95" s="190">
        <f>+PERBULAN!C95</f>
        <v>0</v>
      </c>
      <c r="D95" s="190">
        <f>+PERBULAN!D95</f>
        <v>0</v>
      </c>
      <c r="E95" s="258">
        <f>+PERBULAN!E95</f>
        <v>0</v>
      </c>
      <c r="F95" s="169">
        <f>+PERBULAN!R95</f>
        <v>0</v>
      </c>
      <c r="G95" s="189">
        <f>+PERBULAN!S95</f>
        <v>0</v>
      </c>
      <c r="H95" s="189">
        <f>+BPJS!O216</f>
        <v>0</v>
      </c>
      <c r="I95" s="169">
        <f>+BPJS!O95</f>
        <v>0</v>
      </c>
      <c r="J95" s="169">
        <f>+PERBULAN!T95</f>
        <v>0</v>
      </c>
      <c r="K95" s="189"/>
      <c r="L95" s="189" t="e">
        <f>'[4]BULANAN PTKP BARU'!V99</f>
        <v>#REF!</v>
      </c>
      <c r="M95" s="169">
        <f t="shared" si="12"/>
        <v>0</v>
      </c>
      <c r="N95" s="169">
        <f>+'ASTEK-DIISI SMPAI DES'!O95</f>
        <v>0</v>
      </c>
      <c r="O95" s="169">
        <f>+'ASTEK-DIISI SMPAI DES'!O210</f>
        <v>0</v>
      </c>
      <c r="P95" s="169">
        <f t="shared" si="11"/>
        <v>0</v>
      </c>
      <c r="Q95" s="169">
        <f t="shared" si="13"/>
        <v>0</v>
      </c>
      <c r="R95" s="169">
        <f t="shared" si="14"/>
        <v>0</v>
      </c>
      <c r="S95" s="167" t="b">
        <f t="shared" si="18"/>
        <v>0</v>
      </c>
      <c r="T95" s="191">
        <f t="shared" si="15"/>
        <v>0</v>
      </c>
      <c r="U95" s="259">
        <f t="shared" si="16"/>
        <v>0</v>
      </c>
      <c r="V95" s="260">
        <f t="shared" si="17"/>
        <v>0</v>
      </c>
    </row>
    <row r="96" spans="1:22">
      <c r="A96" s="188">
        <v>89</v>
      </c>
      <c r="B96" s="190">
        <f>+PERBULAN!B96</f>
        <v>0</v>
      </c>
      <c r="C96" s="190">
        <f>+PERBULAN!C96</f>
        <v>0</v>
      </c>
      <c r="D96" s="190">
        <f>+PERBULAN!D96</f>
        <v>0</v>
      </c>
      <c r="E96" s="258">
        <f>+PERBULAN!E96</f>
        <v>0</v>
      </c>
      <c r="F96" s="169">
        <f>+PERBULAN!R96</f>
        <v>0</v>
      </c>
      <c r="G96" s="189">
        <f>+PERBULAN!S96</f>
        <v>0</v>
      </c>
      <c r="H96" s="189">
        <f>+BPJS!O217</f>
        <v>0</v>
      </c>
      <c r="I96" s="169">
        <f>+BPJS!O96</f>
        <v>0</v>
      </c>
      <c r="J96" s="169">
        <f>+PERBULAN!T96</f>
        <v>0</v>
      </c>
      <c r="K96" s="189"/>
      <c r="L96" s="189" t="e">
        <f>'[4]BULANAN PTKP BARU'!V100</f>
        <v>#REF!</v>
      </c>
      <c r="M96" s="169">
        <f t="shared" si="12"/>
        <v>0</v>
      </c>
      <c r="N96" s="169">
        <f>+'ASTEK-DIISI SMPAI DES'!O96</f>
        <v>0</v>
      </c>
      <c r="O96" s="169">
        <f>+'ASTEK-DIISI SMPAI DES'!O211</f>
        <v>0</v>
      </c>
      <c r="P96" s="169">
        <f t="shared" si="11"/>
        <v>0</v>
      </c>
      <c r="Q96" s="169">
        <f t="shared" si="13"/>
        <v>0</v>
      </c>
      <c r="R96" s="169">
        <f t="shared" si="14"/>
        <v>0</v>
      </c>
      <c r="S96" s="167" t="b">
        <f t="shared" si="18"/>
        <v>0</v>
      </c>
      <c r="T96" s="191">
        <f t="shared" si="15"/>
        <v>0</v>
      </c>
      <c r="U96" s="259">
        <f t="shared" si="16"/>
        <v>0</v>
      </c>
      <c r="V96" s="260">
        <f t="shared" si="17"/>
        <v>0</v>
      </c>
    </row>
    <row r="97" spans="1:22">
      <c r="A97" s="188">
        <v>90</v>
      </c>
      <c r="B97" s="190">
        <f>+PERBULAN!B97</f>
        <v>0</v>
      </c>
      <c r="C97" s="190">
        <f>+PERBULAN!C97</f>
        <v>0</v>
      </c>
      <c r="D97" s="190">
        <f>+PERBULAN!D97</f>
        <v>0</v>
      </c>
      <c r="E97" s="258">
        <f>+PERBULAN!E97</f>
        <v>0</v>
      </c>
      <c r="F97" s="169">
        <f>+PERBULAN!R97</f>
        <v>0</v>
      </c>
      <c r="G97" s="189">
        <f>+PERBULAN!S97</f>
        <v>0</v>
      </c>
      <c r="H97" s="189">
        <f>+BPJS!O218</f>
        <v>0</v>
      </c>
      <c r="I97" s="169">
        <f>+BPJS!O97</f>
        <v>0</v>
      </c>
      <c r="J97" s="169">
        <f>+PERBULAN!T97</f>
        <v>0</v>
      </c>
      <c r="K97" s="189"/>
      <c r="L97" s="189" t="e">
        <f>'[4]BULANAN PTKP BARU'!V101</f>
        <v>#REF!</v>
      </c>
      <c r="M97" s="169">
        <f t="shared" si="12"/>
        <v>0</v>
      </c>
      <c r="N97" s="169">
        <f>+'ASTEK-DIISI SMPAI DES'!O97</f>
        <v>0</v>
      </c>
      <c r="O97" s="169">
        <f>+'ASTEK-DIISI SMPAI DES'!O212</f>
        <v>0</v>
      </c>
      <c r="P97" s="169">
        <f t="shared" si="11"/>
        <v>0</v>
      </c>
      <c r="Q97" s="169">
        <f t="shared" si="13"/>
        <v>0</v>
      </c>
      <c r="R97" s="169">
        <f t="shared" si="14"/>
        <v>0</v>
      </c>
      <c r="S97" s="167" t="b">
        <f t="shared" si="18"/>
        <v>0</v>
      </c>
      <c r="T97" s="191">
        <f t="shared" si="15"/>
        <v>0</v>
      </c>
      <c r="U97" s="259">
        <f t="shared" si="16"/>
        <v>0</v>
      </c>
      <c r="V97" s="260">
        <f t="shared" si="17"/>
        <v>0</v>
      </c>
    </row>
    <row r="98" spans="1:22">
      <c r="A98" s="188">
        <v>91</v>
      </c>
      <c r="B98" s="190">
        <f>+PERBULAN!B98</f>
        <v>0</v>
      </c>
      <c r="C98" s="190">
        <f>+PERBULAN!C98</f>
        <v>0</v>
      </c>
      <c r="D98" s="190">
        <f>+PERBULAN!D98</f>
        <v>0</v>
      </c>
      <c r="E98" s="258">
        <f>+PERBULAN!E98</f>
        <v>0</v>
      </c>
      <c r="F98" s="169">
        <f>+PERBULAN!R98</f>
        <v>0</v>
      </c>
      <c r="G98" s="189">
        <f>+PERBULAN!S98</f>
        <v>0</v>
      </c>
      <c r="H98" s="189">
        <f>+BPJS!O219</f>
        <v>0</v>
      </c>
      <c r="I98" s="169">
        <f>+BPJS!O98</f>
        <v>0</v>
      </c>
      <c r="J98" s="169">
        <f>+PERBULAN!T98</f>
        <v>0</v>
      </c>
      <c r="K98" s="189"/>
      <c r="L98" s="189" t="e">
        <f>'[4]BULANAN PTKP BARU'!V102</f>
        <v>#REF!</v>
      </c>
      <c r="M98" s="169">
        <f t="shared" si="12"/>
        <v>0</v>
      </c>
      <c r="N98" s="169">
        <f>+'ASTEK-DIISI SMPAI DES'!O98</f>
        <v>0</v>
      </c>
      <c r="O98" s="169">
        <f>+'ASTEK-DIISI SMPAI DES'!O213</f>
        <v>0</v>
      </c>
      <c r="P98" s="169">
        <f t="shared" si="11"/>
        <v>0</v>
      </c>
      <c r="Q98" s="169">
        <f t="shared" si="13"/>
        <v>0</v>
      </c>
      <c r="R98" s="169">
        <f t="shared" si="14"/>
        <v>0</v>
      </c>
      <c r="S98" s="167" t="b">
        <f t="shared" si="18"/>
        <v>0</v>
      </c>
      <c r="T98" s="191">
        <f t="shared" si="15"/>
        <v>0</v>
      </c>
      <c r="U98" s="259">
        <f t="shared" si="16"/>
        <v>0</v>
      </c>
      <c r="V98" s="260">
        <f t="shared" si="17"/>
        <v>0</v>
      </c>
    </row>
    <row r="99" spans="1:22">
      <c r="A99" s="188">
        <v>92</v>
      </c>
      <c r="B99" s="190">
        <f>+PERBULAN!B99</f>
        <v>0</v>
      </c>
      <c r="C99" s="190">
        <f>+PERBULAN!C99</f>
        <v>0</v>
      </c>
      <c r="D99" s="190">
        <f>+PERBULAN!D99</f>
        <v>0</v>
      </c>
      <c r="E99" s="258">
        <f>+PERBULAN!E99</f>
        <v>0</v>
      </c>
      <c r="F99" s="169">
        <f>+PERBULAN!R99</f>
        <v>0</v>
      </c>
      <c r="G99" s="189">
        <f>+PERBULAN!S99</f>
        <v>0</v>
      </c>
      <c r="H99" s="189">
        <f>+BPJS!O220</f>
        <v>0</v>
      </c>
      <c r="I99" s="169">
        <f>+BPJS!O99</f>
        <v>0</v>
      </c>
      <c r="J99" s="169">
        <f>+PERBULAN!T99</f>
        <v>0</v>
      </c>
      <c r="K99" s="189"/>
      <c r="L99" s="189" t="e">
        <f>'[4]BULANAN PTKP BARU'!V103</f>
        <v>#REF!</v>
      </c>
      <c r="M99" s="169">
        <f t="shared" si="12"/>
        <v>0</v>
      </c>
      <c r="N99" s="169">
        <f>+'ASTEK-DIISI SMPAI DES'!O99</f>
        <v>0</v>
      </c>
      <c r="O99" s="169">
        <f>+'ASTEK-DIISI SMPAI DES'!O214</f>
        <v>0</v>
      </c>
      <c r="P99" s="169">
        <f t="shared" si="11"/>
        <v>0</v>
      </c>
      <c r="Q99" s="169">
        <f t="shared" si="13"/>
        <v>0</v>
      </c>
      <c r="R99" s="169">
        <f t="shared" si="14"/>
        <v>0</v>
      </c>
      <c r="S99" s="167" t="b">
        <f t="shared" si="18"/>
        <v>0</v>
      </c>
      <c r="T99" s="191">
        <f t="shared" si="15"/>
        <v>0</v>
      </c>
      <c r="U99" s="259">
        <f t="shared" si="16"/>
        <v>0</v>
      </c>
      <c r="V99" s="260">
        <f t="shared" si="17"/>
        <v>0</v>
      </c>
    </row>
    <row r="100" spans="1:22">
      <c r="A100" s="188">
        <v>93</v>
      </c>
      <c r="B100" s="190">
        <f>+PERBULAN!B100</f>
        <v>0</v>
      </c>
      <c r="C100" s="190">
        <f>+PERBULAN!C100</f>
        <v>0</v>
      </c>
      <c r="D100" s="190">
        <f>+PERBULAN!D100</f>
        <v>0</v>
      </c>
      <c r="E100" s="258">
        <f>+PERBULAN!E100</f>
        <v>0</v>
      </c>
      <c r="F100" s="169">
        <f>+PERBULAN!R100</f>
        <v>0</v>
      </c>
      <c r="G100" s="189">
        <f>+PERBULAN!S100</f>
        <v>0</v>
      </c>
      <c r="H100" s="189">
        <f>+BPJS!O221</f>
        <v>0</v>
      </c>
      <c r="I100" s="169">
        <f>+BPJS!O100</f>
        <v>0</v>
      </c>
      <c r="J100" s="169">
        <f>+PERBULAN!T100</f>
        <v>0</v>
      </c>
      <c r="K100" s="189"/>
      <c r="L100" s="189" t="e">
        <f>'[4]BULANAN PTKP BARU'!V104</f>
        <v>#REF!</v>
      </c>
      <c r="M100" s="169">
        <f t="shared" si="12"/>
        <v>0</v>
      </c>
      <c r="N100" s="169">
        <f>+'ASTEK-DIISI SMPAI DES'!O100</f>
        <v>0</v>
      </c>
      <c r="O100" s="169">
        <f>+'ASTEK-DIISI SMPAI DES'!O215</f>
        <v>0</v>
      </c>
      <c r="P100" s="169">
        <f t="shared" si="11"/>
        <v>0</v>
      </c>
      <c r="Q100" s="169">
        <f t="shared" si="13"/>
        <v>0</v>
      </c>
      <c r="R100" s="169">
        <f t="shared" si="14"/>
        <v>0</v>
      </c>
      <c r="S100" s="167" t="b">
        <f t="shared" si="18"/>
        <v>0</v>
      </c>
      <c r="T100" s="191">
        <f t="shared" si="15"/>
        <v>0</v>
      </c>
      <c r="U100" s="259">
        <f t="shared" si="16"/>
        <v>0</v>
      </c>
      <c r="V100" s="260">
        <f t="shared" si="17"/>
        <v>0</v>
      </c>
    </row>
    <row r="101" spans="1:22">
      <c r="A101" s="188">
        <v>94</v>
      </c>
      <c r="B101" s="190">
        <f>+PERBULAN!B101</f>
        <v>0</v>
      </c>
      <c r="C101" s="190">
        <f>+PERBULAN!C101</f>
        <v>0</v>
      </c>
      <c r="D101" s="190">
        <f>+PERBULAN!D101</f>
        <v>0</v>
      </c>
      <c r="E101" s="258">
        <f>+PERBULAN!E101</f>
        <v>0</v>
      </c>
      <c r="F101" s="169">
        <f>+PERBULAN!R101</f>
        <v>0</v>
      </c>
      <c r="G101" s="189">
        <f>+PERBULAN!S101</f>
        <v>0</v>
      </c>
      <c r="H101" s="189">
        <f>+BPJS!O222</f>
        <v>0</v>
      </c>
      <c r="I101" s="169">
        <f>+BPJS!O101</f>
        <v>0</v>
      </c>
      <c r="J101" s="169">
        <f>+PERBULAN!T101</f>
        <v>0</v>
      </c>
      <c r="K101" s="189"/>
      <c r="L101" s="189" t="e">
        <f>'[4]BULANAN PTKP BARU'!V105</f>
        <v>#REF!</v>
      </c>
      <c r="M101" s="169">
        <f t="shared" si="12"/>
        <v>0</v>
      </c>
      <c r="N101" s="169">
        <f>+'ASTEK-DIISI SMPAI DES'!O101</f>
        <v>0</v>
      </c>
      <c r="O101" s="169">
        <f>+'ASTEK-DIISI SMPAI DES'!O216</f>
        <v>0</v>
      </c>
      <c r="P101" s="169">
        <f t="shared" si="11"/>
        <v>0</v>
      </c>
      <c r="Q101" s="169">
        <f t="shared" si="13"/>
        <v>0</v>
      </c>
      <c r="R101" s="169">
        <f t="shared" si="14"/>
        <v>0</v>
      </c>
      <c r="S101" s="167" t="b">
        <f t="shared" si="18"/>
        <v>0</v>
      </c>
      <c r="T101" s="191">
        <f t="shared" si="15"/>
        <v>0</v>
      </c>
      <c r="U101" s="259">
        <f t="shared" si="16"/>
        <v>0</v>
      </c>
      <c r="V101" s="260">
        <f t="shared" si="17"/>
        <v>0</v>
      </c>
    </row>
    <row r="102" spans="1:22">
      <c r="A102" s="188">
        <v>95</v>
      </c>
      <c r="B102" s="190">
        <f>+PERBULAN!B102</f>
        <v>0</v>
      </c>
      <c r="C102" s="190">
        <f>+PERBULAN!C102</f>
        <v>0</v>
      </c>
      <c r="D102" s="190">
        <f>+PERBULAN!D102</f>
        <v>0</v>
      </c>
      <c r="E102" s="258">
        <f>+PERBULAN!E102</f>
        <v>0</v>
      </c>
      <c r="F102" s="169">
        <f>+PERBULAN!R102</f>
        <v>0</v>
      </c>
      <c r="G102" s="189">
        <f>+PERBULAN!S102</f>
        <v>0</v>
      </c>
      <c r="H102" s="189">
        <f>+BPJS!O223</f>
        <v>0</v>
      </c>
      <c r="I102" s="169">
        <f>+BPJS!O102</f>
        <v>0</v>
      </c>
      <c r="J102" s="169">
        <f>+PERBULAN!T102</f>
        <v>0</v>
      </c>
      <c r="K102" s="189"/>
      <c r="L102" s="189" t="e">
        <f>'[4]BULANAN PTKP BARU'!V106</f>
        <v>#REF!</v>
      </c>
      <c r="M102" s="169">
        <f t="shared" si="12"/>
        <v>0</v>
      </c>
      <c r="N102" s="169">
        <f>+'ASTEK-DIISI SMPAI DES'!O102</f>
        <v>0</v>
      </c>
      <c r="O102" s="169">
        <f>+'ASTEK-DIISI SMPAI DES'!O217</f>
        <v>0</v>
      </c>
      <c r="P102" s="169">
        <f t="shared" si="11"/>
        <v>0</v>
      </c>
      <c r="Q102" s="169">
        <f t="shared" si="13"/>
        <v>0</v>
      </c>
      <c r="R102" s="169">
        <f t="shared" si="14"/>
        <v>0</v>
      </c>
      <c r="S102" s="167" t="b">
        <f t="shared" si="18"/>
        <v>0</v>
      </c>
      <c r="T102" s="191">
        <f t="shared" si="15"/>
        <v>0</v>
      </c>
      <c r="U102" s="259">
        <f t="shared" si="16"/>
        <v>0</v>
      </c>
      <c r="V102" s="260">
        <f t="shared" si="17"/>
        <v>0</v>
      </c>
    </row>
    <row r="103" spans="1:22">
      <c r="A103" s="188">
        <v>96</v>
      </c>
      <c r="B103" s="190">
        <f>+PERBULAN!B103</f>
        <v>0</v>
      </c>
      <c r="C103" s="190">
        <f>+PERBULAN!C103</f>
        <v>0</v>
      </c>
      <c r="D103" s="190">
        <f>+PERBULAN!D103</f>
        <v>0</v>
      </c>
      <c r="E103" s="258">
        <f>+PERBULAN!E103</f>
        <v>0</v>
      </c>
      <c r="F103" s="169">
        <f>+PERBULAN!R103</f>
        <v>0</v>
      </c>
      <c r="G103" s="189">
        <f>+PERBULAN!S103</f>
        <v>0</v>
      </c>
      <c r="H103" s="189">
        <f>+BPJS!O224</f>
        <v>0</v>
      </c>
      <c r="I103" s="169">
        <f>+BPJS!O103</f>
        <v>0</v>
      </c>
      <c r="J103" s="169">
        <f>+PERBULAN!T103</f>
        <v>0</v>
      </c>
      <c r="K103" s="189"/>
      <c r="L103" s="189" t="e">
        <f>'[4]BULANAN PTKP BARU'!V107</f>
        <v>#REF!</v>
      </c>
      <c r="M103" s="169">
        <f t="shared" si="12"/>
        <v>0</v>
      </c>
      <c r="N103" s="169">
        <f>+'ASTEK-DIISI SMPAI DES'!O103</f>
        <v>0</v>
      </c>
      <c r="O103" s="169">
        <f>+'ASTEK-DIISI SMPAI DES'!O218</f>
        <v>0</v>
      </c>
      <c r="P103" s="169">
        <f t="shared" si="11"/>
        <v>0</v>
      </c>
      <c r="Q103" s="169">
        <f t="shared" si="13"/>
        <v>0</v>
      </c>
      <c r="R103" s="169">
        <f t="shared" si="14"/>
        <v>0</v>
      </c>
      <c r="S103" s="167" t="b">
        <f t="shared" si="18"/>
        <v>0</v>
      </c>
      <c r="T103" s="191">
        <f t="shared" si="15"/>
        <v>0</v>
      </c>
      <c r="U103" s="259">
        <f t="shared" si="16"/>
        <v>0</v>
      </c>
      <c r="V103" s="260">
        <f t="shared" si="17"/>
        <v>0</v>
      </c>
    </row>
    <row r="104" spans="1:22">
      <c r="A104" s="188">
        <v>97</v>
      </c>
      <c r="B104" s="190">
        <f>+PERBULAN!B104</f>
        <v>0</v>
      </c>
      <c r="C104" s="190">
        <f>+PERBULAN!C104</f>
        <v>0</v>
      </c>
      <c r="D104" s="190">
        <f>+PERBULAN!D104</f>
        <v>0</v>
      </c>
      <c r="E104" s="258">
        <f>+PERBULAN!E104</f>
        <v>0</v>
      </c>
      <c r="F104" s="169">
        <f>+PERBULAN!R104</f>
        <v>0</v>
      </c>
      <c r="G104" s="189">
        <f>+PERBULAN!S104</f>
        <v>0</v>
      </c>
      <c r="H104" s="189">
        <f>+BPJS!O225</f>
        <v>0</v>
      </c>
      <c r="I104" s="169">
        <f>+BPJS!O104</f>
        <v>0</v>
      </c>
      <c r="J104" s="169">
        <f>+PERBULAN!T104</f>
        <v>0</v>
      </c>
      <c r="K104" s="189"/>
      <c r="L104" s="189" t="e">
        <f>'[4]BULANAN PTKP BARU'!V108</f>
        <v>#REF!</v>
      </c>
      <c r="M104" s="169">
        <f t="shared" si="12"/>
        <v>0</v>
      </c>
      <c r="N104" s="169">
        <f>+'ASTEK-DIISI SMPAI DES'!O104</f>
        <v>0</v>
      </c>
      <c r="O104" s="169">
        <f>+'ASTEK-DIISI SMPAI DES'!O219</f>
        <v>0</v>
      </c>
      <c r="P104" s="169">
        <f t="shared" si="11"/>
        <v>0</v>
      </c>
      <c r="Q104" s="169">
        <f t="shared" si="13"/>
        <v>0</v>
      </c>
      <c r="R104" s="169">
        <f t="shared" si="14"/>
        <v>0</v>
      </c>
      <c r="S104" s="167" t="b">
        <f t="shared" si="18"/>
        <v>0</v>
      </c>
      <c r="T104" s="191">
        <f t="shared" si="15"/>
        <v>0</v>
      </c>
      <c r="U104" s="259">
        <f t="shared" si="16"/>
        <v>0</v>
      </c>
      <c r="V104" s="260">
        <f t="shared" si="17"/>
        <v>0</v>
      </c>
    </row>
    <row r="105" spans="1:22">
      <c r="A105" s="188">
        <v>98</v>
      </c>
      <c r="B105" s="190">
        <f>+PERBULAN!B105</f>
        <v>0</v>
      </c>
      <c r="C105" s="190">
        <f>+PERBULAN!C105</f>
        <v>0</v>
      </c>
      <c r="D105" s="190">
        <f>+PERBULAN!D105</f>
        <v>0</v>
      </c>
      <c r="E105" s="258">
        <f>+PERBULAN!E105</f>
        <v>0</v>
      </c>
      <c r="F105" s="169">
        <f>+PERBULAN!R105</f>
        <v>0</v>
      </c>
      <c r="G105" s="189">
        <f>+PERBULAN!S105</f>
        <v>0</v>
      </c>
      <c r="H105" s="189">
        <f>+BPJS!O226</f>
        <v>0</v>
      </c>
      <c r="I105" s="169">
        <f>+BPJS!O105</f>
        <v>0</v>
      </c>
      <c r="J105" s="169">
        <f>+PERBULAN!T105</f>
        <v>0</v>
      </c>
      <c r="K105" s="189"/>
      <c r="L105" s="189" t="e">
        <f>'[4]BULANAN PTKP BARU'!V109</f>
        <v>#REF!</v>
      </c>
      <c r="M105" s="169">
        <f t="shared" si="12"/>
        <v>0</v>
      </c>
      <c r="N105" s="169">
        <f>+'ASTEK-DIISI SMPAI DES'!O105</f>
        <v>0</v>
      </c>
      <c r="O105" s="169">
        <f>+'ASTEK-DIISI SMPAI DES'!O220</f>
        <v>0</v>
      </c>
      <c r="P105" s="169">
        <f t="shared" ref="P105:P109" si="19">M105*5%</f>
        <v>0</v>
      </c>
      <c r="Q105" s="169">
        <f t="shared" si="13"/>
        <v>0</v>
      </c>
      <c r="R105" s="169">
        <f t="shared" si="14"/>
        <v>0</v>
      </c>
      <c r="S105" s="167" t="b">
        <f t="shared" si="18"/>
        <v>0</v>
      </c>
      <c r="T105" s="191">
        <f t="shared" si="15"/>
        <v>0</v>
      </c>
      <c r="U105" s="259">
        <f t="shared" si="16"/>
        <v>0</v>
      </c>
      <c r="V105" s="260">
        <f t="shared" si="17"/>
        <v>0</v>
      </c>
    </row>
    <row r="106" spans="1:22">
      <c r="A106" s="188">
        <v>99</v>
      </c>
      <c r="B106" s="190">
        <f>+PERBULAN!B106</f>
        <v>0</v>
      </c>
      <c r="C106" s="190">
        <f>+PERBULAN!C106</f>
        <v>0</v>
      </c>
      <c r="D106" s="190">
        <f>+PERBULAN!D106</f>
        <v>0</v>
      </c>
      <c r="E106" s="258">
        <f>+PERBULAN!E106</f>
        <v>0</v>
      </c>
      <c r="F106" s="169">
        <f>+PERBULAN!R106</f>
        <v>0</v>
      </c>
      <c r="G106" s="189">
        <f>+PERBULAN!S106</f>
        <v>0</v>
      </c>
      <c r="H106" s="189">
        <f>+BPJS!O227</f>
        <v>0</v>
      </c>
      <c r="I106" s="169">
        <f>+BPJS!O106</f>
        <v>0</v>
      </c>
      <c r="J106" s="169">
        <f>+PERBULAN!T106</f>
        <v>0</v>
      </c>
      <c r="K106" s="189"/>
      <c r="L106" s="189" t="e">
        <f>'[4]BULANAN PTKP BARU'!V110</f>
        <v>#REF!</v>
      </c>
      <c r="M106" s="169">
        <f t="shared" si="12"/>
        <v>0</v>
      </c>
      <c r="N106" s="169">
        <f>+'ASTEK-DIISI SMPAI DES'!O106</f>
        <v>0</v>
      </c>
      <c r="O106" s="169">
        <f>+'ASTEK-DIISI SMPAI DES'!O221</f>
        <v>0</v>
      </c>
      <c r="P106" s="169">
        <f t="shared" si="19"/>
        <v>0</v>
      </c>
      <c r="Q106" s="169">
        <f t="shared" si="13"/>
        <v>0</v>
      </c>
      <c r="R106" s="169">
        <f t="shared" si="14"/>
        <v>0</v>
      </c>
      <c r="S106" s="167" t="b">
        <f t="shared" si="18"/>
        <v>0</v>
      </c>
      <c r="T106" s="191">
        <f t="shared" si="15"/>
        <v>0</v>
      </c>
      <c r="U106" s="259">
        <f t="shared" si="16"/>
        <v>0</v>
      </c>
      <c r="V106" s="260">
        <f t="shared" si="17"/>
        <v>0</v>
      </c>
    </row>
    <row r="107" spans="1:22">
      <c r="A107" s="188">
        <v>100</v>
      </c>
      <c r="B107" s="190">
        <f>+PERBULAN!B107</f>
        <v>0</v>
      </c>
      <c r="C107" s="190">
        <f>+PERBULAN!C107</f>
        <v>0</v>
      </c>
      <c r="D107" s="190">
        <f>+PERBULAN!D107</f>
        <v>0</v>
      </c>
      <c r="E107" s="258">
        <f>+PERBULAN!E107</f>
        <v>0</v>
      </c>
      <c r="F107" s="169">
        <f>+PERBULAN!R107</f>
        <v>0</v>
      </c>
      <c r="G107" s="189">
        <f>+PERBULAN!S107</f>
        <v>0</v>
      </c>
      <c r="H107" s="189">
        <f>+BPJS!O228</f>
        <v>0</v>
      </c>
      <c r="I107" s="169">
        <f>+BPJS!O107</f>
        <v>0</v>
      </c>
      <c r="J107" s="169">
        <f>+PERBULAN!T107</f>
        <v>0</v>
      </c>
      <c r="K107" s="189"/>
      <c r="L107" s="189" t="e">
        <f>'[4]BULANAN PTKP BARU'!V111</f>
        <v>#REF!</v>
      </c>
      <c r="M107" s="169">
        <f t="shared" si="12"/>
        <v>0</v>
      </c>
      <c r="N107" s="169">
        <f>+'ASTEK-DIISI SMPAI DES'!O107</f>
        <v>0</v>
      </c>
      <c r="O107" s="169">
        <f>+'ASTEK-DIISI SMPAI DES'!O222</f>
        <v>0</v>
      </c>
      <c r="P107" s="169">
        <f t="shared" si="19"/>
        <v>0</v>
      </c>
      <c r="Q107" s="169">
        <f t="shared" si="13"/>
        <v>0</v>
      </c>
      <c r="R107" s="169">
        <f t="shared" si="14"/>
        <v>0</v>
      </c>
      <c r="S107" s="167" t="b">
        <f t="shared" si="18"/>
        <v>0</v>
      </c>
      <c r="T107" s="191">
        <f t="shared" si="15"/>
        <v>0</v>
      </c>
      <c r="U107" s="259">
        <f t="shared" si="16"/>
        <v>0</v>
      </c>
      <c r="V107" s="260">
        <f t="shared" si="17"/>
        <v>0</v>
      </c>
    </row>
    <row r="108" spans="1:22">
      <c r="A108" s="188">
        <v>101</v>
      </c>
      <c r="B108" s="190">
        <f>+PERBULAN!B108</f>
        <v>0</v>
      </c>
      <c r="C108" s="190">
        <f>+PERBULAN!C108</f>
        <v>0</v>
      </c>
      <c r="D108" s="190">
        <f>+PERBULAN!D108</f>
        <v>0</v>
      </c>
      <c r="E108" s="258">
        <f>+PERBULAN!E108</f>
        <v>0</v>
      </c>
      <c r="F108" s="169">
        <f>+PERBULAN!R108</f>
        <v>0</v>
      </c>
      <c r="G108" s="189">
        <f>+PERBULAN!S108</f>
        <v>0</v>
      </c>
      <c r="H108" s="189">
        <f>+BPJS!O229</f>
        <v>0</v>
      </c>
      <c r="I108" s="169">
        <f>+BPJS!O108</f>
        <v>0</v>
      </c>
      <c r="J108" s="169">
        <f>+PERBULAN!T108</f>
        <v>0</v>
      </c>
      <c r="K108" s="189"/>
      <c r="L108" s="189" t="e">
        <f>'[4]BULANAN PTKP BARU'!V112</f>
        <v>#REF!</v>
      </c>
      <c r="M108" s="169">
        <f t="shared" si="12"/>
        <v>0</v>
      </c>
      <c r="N108" s="169">
        <f>+'ASTEK-DIISI SMPAI DES'!O108</f>
        <v>0</v>
      </c>
      <c r="O108" s="169">
        <f>+'ASTEK-DIISI SMPAI DES'!O223</f>
        <v>0</v>
      </c>
      <c r="P108" s="169">
        <f t="shared" si="19"/>
        <v>0</v>
      </c>
      <c r="Q108" s="169">
        <f t="shared" si="13"/>
        <v>0</v>
      </c>
      <c r="R108" s="169">
        <f t="shared" si="14"/>
        <v>0</v>
      </c>
      <c r="S108" s="167" t="b">
        <f t="shared" si="18"/>
        <v>0</v>
      </c>
      <c r="T108" s="191">
        <f t="shared" si="15"/>
        <v>0</v>
      </c>
      <c r="U108" s="259">
        <f t="shared" si="16"/>
        <v>0</v>
      </c>
      <c r="V108" s="260">
        <f t="shared" si="17"/>
        <v>0</v>
      </c>
    </row>
    <row r="109" spans="1:22" ht="15.75" thickBot="1">
      <c r="A109" s="188">
        <v>102</v>
      </c>
      <c r="B109" s="190">
        <f>+PERBULAN!B109</f>
        <v>0</v>
      </c>
      <c r="C109" s="190">
        <f>+PERBULAN!C109</f>
        <v>0</v>
      </c>
      <c r="D109" s="190">
        <f>+PERBULAN!D109</f>
        <v>0</v>
      </c>
      <c r="E109" s="258">
        <f>+PERBULAN!E109</f>
        <v>0</v>
      </c>
      <c r="F109" s="169">
        <f>+PERBULAN!R109</f>
        <v>0</v>
      </c>
      <c r="G109" s="189">
        <f>+PERBULAN!S109</f>
        <v>0</v>
      </c>
      <c r="H109" s="189">
        <f>+BPJS!O230</f>
        <v>0</v>
      </c>
      <c r="I109" s="169">
        <f>+BPJS!O109</f>
        <v>0</v>
      </c>
      <c r="J109" s="169">
        <f>+PERBULAN!T109</f>
        <v>0</v>
      </c>
      <c r="K109" s="189"/>
      <c r="L109" s="189" t="e">
        <f>'[4]BULANAN PTKP BARU'!V113</f>
        <v>#REF!</v>
      </c>
      <c r="M109" s="169">
        <f t="shared" si="12"/>
        <v>0</v>
      </c>
      <c r="N109" s="169">
        <f>+'ASTEK-DIISI SMPAI DES'!O109</f>
        <v>0</v>
      </c>
      <c r="O109" s="169">
        <f>+'ASTEK-DIISI SMPAI DES'!O224</f>
        <v>0</v>
      </c>
      <c r="P109" s="169">
        <f t="shared" si="19"/>
        <v>0</v>
      </c>
      <c r="Q109" s="169">
        <f t="shared" si="13"/>
        <v>0</v>
      </c>
      <c r="R109" s="169">
        <f t="shared" si="14"/>
        <v>0</v>
      </c>
      <c r="S109" s="167" t="b">
        <f t="shared" si="18"/>
        <v>0</v>
      </c>
      <c r="T109" s="191">
        <f t="shared" si="15"/>
        <v>0</v>
      </c>
      <c r="U109" s="259">
        <f t="shared" si="16"/>
        <v>0</v>
      </c>
      <c r="V109" s="260">
        <f t="shared" si="17"/>
        <v>0</v>
      </c>
    </row>
    <row r="110" spans="1:22" ht="14.25" customHeight="1" thickBot="1">
      <c r="A110" s="500" t="s">
        <v>349</v>
      </c>
      <c r="B110" s="501"/>
      <c r="C110" s="501"/>
      <c r="D110" s="501"/>
      <c r="E110" s="261">
        <f t="shared" ref="E110:V110" si="20">SUM(E8:E109)</f>
        <v>667</v>
      </c>
      <c r="F110" s="261">
        <f t="shared" si="20"/>
        <v>3191070861.3599982</v>
      </c>
      <c r="G110" s="261">
        <f t="shared" si="20"/>
        <v>235897075</v>
      </c>
      <c r="H110" s="261">
        <f t="shared" si="20"/>
        <v>21855347.639999989</v>
      </c>
      <c r="I110" s="261">
        <f t="shared" si="20"/>
        <v>104539664</v>
      </c>
      <c r="J110" s="261">
        <f t="shared" si="20"/>
        <v>27150000</v>
      </c>
      <c r="K110" s="261">
        <f t="shared" si="20"/>
        <v>0</v>
      </c>
      <c r="L110" s="261" t="e">
        <f t="shared" si="20"/>
        <v>#REF!</v>
      </c>
      <c r="M110" s="261">
        <f t="shared" si="20"/>
        <v>3580512948</v>
      </c>
      <c r="N110" s="261">
        <f t="shared" si="20"/>
        <v>56699238</v>
      </c>
      <c r="O110" s="261">
        <f t="shared" si="20"/>
        <v>28349619</v>
      </c>
      <c r="P110" s="261">
        <f t="shared" si="20"/>
        <v>179025647.39999992</v>
      </c>
      <c r="Q110" s="261">
        <f t="shared" si="20"/>
        <v>264074504.39999986</v>
      </c>
      <c r="R110" s="261">
        <f t="shared" si="20"/>
        <v>3316438443.6000023</v>
      </c>
      <c r="S110" s="261">
        <f t="shared" si="20"/>
        <v>3649500000</v>
      </c>
      <c r="T110" s="261">
        <f t="shared" si="20"/>
        <v>84541882.700000003</v>
      </c>
      <c r="U110" s="261">
        <f t="shared" si="20"/>
        <v>3064675849.7200012</v>
      </c>
      <c r="V110" s="261">
        <f t="shared" si="20"/>
        <v>126395011.64000009</v>
      </c>
    </row>
    <row r="111" spans="1:22">
      <c r="A111" s="245"/>
      <c r="B111" s="245"/>
      <c r="C111" s="245"/>
      <c r="D111" s="245"/>
      <c r="E111" s="245"/>
      <c r="F111" s="246"/>
      <c r="G111" s="246"/>
      <c r="H111" s="245"/>
      <c r="I111" s="246"/>
      <c r="J111" s="262"/>
      <c r="K111" s="263"/>
      <c r="L111" s="263"/>
      <c r="M111" s="263"/>
      <c r="N111" s="262"/>
      <c r="O111" s="263"/>
      <c r="P111" s="263"/>
      <c r="Q111" s="263"/>
      <c r="R111" s="263"/>
      <c r="S111" s="263"/>
      <c r="T111" s="263"/>
      <c r="V111" s="263"/>
    </row>
    <row r="112" spans="1:22">
      <c r="A112" s="245"/>
      <c r="B112" s="245"/>
      <c r="C112" s="245"/>
      <c r="D112" s="245"/>
      <c r="E112" s="245"/>
      <c r="F112" s="263"/>
      <c r="G112" s="263"/>
      <c r="I112" s="263"/>
      <c r="J112" s="263"/>
      <c r="K112" s="263"/>
      <c r="L112" s="263"/>
      <c r="M112" s="263"/>
      <c r="N112" s="263"/>
      <c r="O112" s="263"/>
      <c r="P112" s="263"/>
      <c r="Q112" s="263"/>
      <c r="R112" s="263"/>
      <c r="S112" s="263"/>
      <c r="T112" s="263"/>
      <c r="V112" s="263"/>
    </row>
    <row r="113" spans="1:21" hidden="1">
      <c r="A113" s="484" t="s">
        <v>0</v>
      </c>
      <c r="B113" s="484" t="s">
        <v>324</v>
      </c>
      <c r="C113" s="484" t="s">
        <v>37</v>
      </c>
      <c r="D113" s="484" t="s">
        <v>325</v>
      </c>
      <c r="E113" s="484" t="s">
        <v>326</v>
      </c>
      <c r="F113" s="264" t="s">
        <v>367</v>
      </c>
      <c r="G113" s="484" t="s">
        <v>368</v>
      </c>
      <c r="H113" s="503" t="s">
        <v>369</v>
      </c>
      <c r="I113" s="503" t="s">
        <v>370</v>
      </c>
      <c r="J113" s="493" t="s">
        <v>350</v>
      </c>
      <c r="K113" s="503" t="s">
        <v>371</v>
      </c>
      <c r="L113" s="484" t="s">
        <v>372</v>
      </c>
      <c r="M113" s="488" t="s">
        <v>373</v>
      </c>
      <c r="N113" s="507" t="s">
        <v>374</v>
      </c>
      <c r="U113" s="154" t="s">
        <v>375</v>
      </c>
    </row>
    <row r="114" spans="1:21" hidden="1">
      <c r="A114" s="485"/>
      <c r="B114" s="485"/>
      <c r="C114" s="485"/>
      <c r="D114" s="485"/>
      <c r="E114" s="485"/>
      <c r="F114" s="265" t="s">
        <v>376</v>
      </c>
      <c r="G114" s="485"/>
      <c r="H114" s="504"/>
      <c r="I114" s="505"/>
      <c r="J114" s="506"/>
      <c r="K114" s="505"/>
      <c r="L114" s="485"/>
      <c r="M114" s="488"/>
      <c r="N114" s="507"/>
    </row>
    <row r="115" spans="1:21" hidden="1">
      <c r="A115" s="486"/>
      <c r="B115" s="486"/>
      <c r="C115" s="486"/>
      <c r="D115" s="486"/>
      <c r="E115" s="486"/>
      <c r="F115" s="266" t="s">
        <v>347</v>
      </c>
      <c r="G115" s="486"/>
      <c r="H115" s="267" t="s">
        <v>377</v>
      </c>
      <c r="I115" s="504"/>
      <c r="J115" s="494"/>
      <c r="K115" s="504"/>
      <c r="L115" s="486"/>
      <c r="M115" s="488"/>
      <c r="N115" s="507"/>
    </row>
    <row r="116" spans="1:21" hidden="1">
      <c r="A116" s="188">
        <f t="shared" ref="A116:E118" si="21">A8</f>
        <v>1</v>
      </c>
      <c r="B116" s="192" t="str">
        <f t="shared" si="21"/>
        <v>SUDARMONO</v>
      </c>
      <c r="C116" s="188" t="str">
        <f t="shared" si="21"/>
        <v>L</v>
      </c>
      <c r="D116" s="188" t="str">
        <f t="shared" si="21"/>
        <v>K/2</v>
      </c>
      <c r="E116" s="188">
        <f t="shared" si="21"/>
        <v>11</v>
      </c>
      <c r="F116" s="268">
        <f>T8</f>
        <v>9213689.450000003</v>
      </c>
      <c r="G116" s="268">
        <f>ROUNDDOWN(F116,-3)</f>
        <v>9213000</v>
      </c>
      <c r="H116" s="269">
        <f>IF(L116="",G116*6%,G116*5%)</f>
        <v>460650</v>
      </c>
      <c r="I116" s="270">
        <f>H116</f>
        <v>460650</v>
      </c>
      <c r="J116" s="271">
        <f>'[4]BULANAN PTKP BARU'!W123</f>
        <v>328681</v>
      </c>
      <c r="K116" s="191">
        <f>IF(I116&lt;=J116,0,IF(I116&gt;J116,I116-J116))</f>
        <v>131969</v>
      </c>
      <c r="L116" s="193" t="s">
        <v>69</v>
      </c>
      <c r="M116" s="154" t="s">
        <v>198</v>
      </c>
      <c r="N116" s="154" t="s">
        <v>195</v>
      </c>
    </row>
    <row r="117" spans="1:21" hidden="1">
      <c r="A117" s="188">
        <f t="shared" si="21"/>
        <v>2</v>
      </c>
      <c r="B117" s="192" t="str">
        <f t="shared" si="21"/>
        <v>ARDIYANSA</v>
      </c>
      <c r="C117" s="188" t="str">
        <f t="shared" si="21"/>
        <v>L</v>
      </c>
      <c r="D117" s="188" t="str">
        <f t="shared" si="21"/>
        <v>TK/0</v>
      </c>
      <c r="E117" s="188">
        <f t="shared" si="21"/>
        <v>11</v>
      </c>
      <c r="F117" s="268">
        <f>T9</f>
        <v>23384263.75</v>
      </c>
      <c r="G117" s="268">
        <f t="shared" ref="G117:G180" si="22">ROUNDDOWN(F117,-3)</f>
        <v>23384000</v>
      </c>
      <c r="H117" s="269">
        <f t="shared" ref="H117:H180" si="23">IF(L117="",G117*6%,G117*5%)</f>
        <v>1169200</v>
      </c>
      <c r="I117" s="270">
        <f t="shared" ref="I117:I180" si="24">H117</f>
        <v>1169200</v>
      </c>
      <c r="J117" s="271">
        <f>'[4]BULANAN PTKP BARU'!W124</f>
        <v>290437</v>
      </c>
      <c r="K117" s="191">
        <f t="shared" ref="K117:K180" si="25">IF(I117&lt;=J117,0,IF(I117&gt;J117,I117-J117))</f>
        <v>878763</v>
      </c>
      <c r="L117" s="272" t="s">
        <v>378</v>
      </c>
      <c r="M117" s="154" t="s">
        <v>199</v>
      </c>
      <c r="N117" s="154" t="s">
        <v>273</v>
      </c>
    </row>
    <row r="118" spans="1:21" hidden="1">
      <c r="A118" s="188">
        <f t="shared" si="21"/>
        <v>3</v>
      </c>
      <c r="B118" s="192" t="str">
        <f t="shared" si="21"/>
        <v>INDRA JAYA</v>
      </c>
      <c r="C118" s="188" t="str">
        <f t="shared" si="21"/>
        <v>L</v>
      </c>
      <c r="D118" s="188" t="str">
        <f t="shared" si="21"/>
        <v>K/1</v>
      </c>
      <c r="E118" s="188">
        <f t="shared" si="21"/>
        <v>11</v>
      </c>
      <c r="F118" s="268">
        <f>T10</f>
        <v>0</v>
      </c>
      <c r="G118" s="268">
        <f t="shared" si="22"/>
        <v>0</v>
      </c>
      <c r="H118" s="269">
        <f t="shared" si="23"/>
        <v>0</v>
      </c>
      <c r="I118" s="270">
        <f t="shared" si="24"/>
        <v>0</v>
      </c>
      <c r="J118" s="271">
        <f>'[4]BULANAN PTKP BARU'!W125</f>
        <v>400569</v>
      </c>
      <c r="K118" s="191">
        <f t="shared" si="25"/>
        <v>0</v>
      </c>
      <c r="L118" s="272" t="s">
        <v>379</v>
      </c>
      <c r="M118" s="154" t="s">
        <v>200</v>
      </c>
      <c r="N118" s="198" t="s">
        <v>274</v>
      </c>
      <c r="O118" s="199"/>
      <c r="P118" s="273"/>
    </row>
    <row r="119" spans="1:21" hidden="1">
      <c r="A119" s="188">
        <f>A248</f>
        <v>4</v>
      </c>
      <c r="B119" s="192" t="str">
        <f>B248</f>
        <v>BENNY SAPUTRA</v>
      </c>
      <c r="C119" s="188" t="str">
        <f>C248</f>
        <v>L</v>
      </c>
      <c r="D119" s="188" t="str">
        <f>D248</f>
        <v>K/1</v>
      </c>
      <c r="E119" s="188">
        <f>E248</f>
        <v>6</v>
      </c>
      <c r="F119" s="268">
        <f>T248</f>
        <v>0</v>
      </c>
      <c r="G119" s="268">
        <f t="shared" si="22"/>
        <v>0</v>
      </c>
      <c r="H119" s="269">
        <f t="shared" si="23"/>
        <v>0</v>
      </c>
      <c r="I119" s="270">
        <f t="shared" si="24"/>
        <v>0</v>
      </c>
      <c r="J119" s="271">
        <f>'[4]BULANAN PTKP BARU'!W126</f>
        <v>308597</v>
      </c>
      <c r="K119" s="191">
        <f t="shared" si="25"/>
        <v>0</v>
      </c>
      <c r="L119" s="272" t="s">
        <v>380</v>
      </c>
      <c r="M119" s="154" t="s">
        <v>201</v>
      </c>
      <c r="N119" s="198" t="s">
        <v>188</v>
      </c>
      <c r="O119" s="199"/>
      <c r="P119" s="273"/>
    </row>
    <row r="120" spans="1:21" hidden="1">
      <c r="A120" s="188">
        <f t="shared" ref="A120:E129" si="26">A11</f>
        <v>4</v>
      </c>
      <c r="B120" s="192" t="str">
        <f t="shared" si="26"/>
        <v>USPANDI</v>
      </c>
      <c r="C120" s="188" t="str">
        <f t="shared" si="26"/>
        <v>L</v>
      </c>
      <c r="D120" s="188" t="str">
        <f t="shared" si="26"/>
        <v>K/2</v>
      </c>
      <c r="E120" s="188">
        <f t="shared" si="26"/>
        <v>11</v>
      </c>
      <c r="F120" s="268">
        <f t="shared" ref="F120:F162" si="27">T11</f>
        <v>6503341.900000006</v>
      </c>
      <c r="G120" s="268">
        <f t="shared" si="22"/>
        <v>6503000</v>
      </c>
      <c r="H120" s="269">
        <f t="shared" si="23"/>
        <v>325150</v>
      </c>
      <c r="I120" s="270">
        <f t="shared" si="24"/>
        <v>325150</v>
      </c>
      <c r="J120" s="271">
        <f>'[4]BULANAN PTKP BARU'!W127</f>
        <v>316301</v>
      </c>
      <c r="K120" s="191">
        <f t="shared" si="25"/>
        <v>8849</v>
      </c>
      <c r="L120" s="272" t="s">
        <v>381</v>
      </c>
      <c r="M120" s="154" t="s">
        <v>202</v>
      </c>
      <c r="N120" s="198" t="s">
        <v>275</v>
      </c>
      <c r="O120" s="199"/>
      <c r="P120" s="273"/>
    </row>
    <row r="121" spans="1:21" hidden="1">
      <c r="A121" s="188">
        <f t="shared" si="26"/>
        <v>5</v>
      </c>
      <c r="B121" s="192" t="str">
        <f t="shared" si="26"/>
        <v>NOVI SUHAIDI</v>
      </c>
      <c r="C121" s="188" t="str">
        <f t="shared" si="26"/>
        <v>L</v>
      </c>
      <c r="D121" s="188" t="str">
        <f t="shared" si="26"/>
        <v>K/2</v>
      </c>
      <c r="E121" s="188">
        <f t="shared" si="26"/>
        <v>11</v>
      </c>
      <c r="F121" s="268">
        <f t="shared" si="27"/>
        <v>5183774</v>
      </c>
      <c r="G121" s="268">
        <f t="shared" si="22"/>
        <v>5183000</v>
      </c>
      <c r="H121" s="269">
        <f>IF(L121="",G121*6%,G121*5%)</f>
        <v>259150</v>
      </c>
      <c r="I121" s="270">
        <f t="shared" si="24"/>
        <v>259150</v>
      </c>
      <c r="J121" s="271">
        <f>'[4]BULANAN PTKP BARU'!W128</f>
        <v>316860</v>
      </c>
      <c r="K121" s="191">
        <f t="shared" si="25"/>
        <v>0</v>
      </c>
      <c r="L121" s="272" t="s">
        <v>69</v>
      </c>
      <c r="M121" s="154" t="s">
        <v>203</v>
      </c>
      <c r="N121" s="198" t="s">
        <v>276</v>
      </c>
      <c r="O121" s="199"/>
      <c r="P121" s="273"/>
    </row>
    <row r="122" spans="1:21" hidden="1">
      <c r="A122" s="188">
        <f t="shared" si="26"/>
        <v>6</v>
      </c>
      <c r="B122" s="192" t="str">
        <f t="shared" si="26"/>
        <v>ROSLI</v>
      </c>
      <c r="C122" s="188" t="str">
        <f t="shared" si="26"/>
        <v>L</v>
      </c>
      <c r="D122" s="188" t="str">
        <f t="shared" si="26"/>
        <v>K/2</v>
      </c>
      <c r="E122" s="188">
        <f t="shared" si="26"/>
        <v>11</v>
      </c>
      <c r="F122" s="268">
        <f t="shared" si="27"/>
        <v>0</v>
      </c>
      <c r="G122" s="268">
        <f t="shared" si="22"/>
        <v>0</v>
      </c>
      <c r="H122" s="269">
        <f>IF(L122="",G122*6%,G122*5%)</f>
        <v>0</v>
      </c>
      <c r="I122" s="270">
        <f t="shared" si="24"/>
        <v>0</v>
      </c>
      <c r="J122" s="271">
        <f>'[4]BULANAN PTKP BARU'!W129</f>
        <v>81185</v>
      </c>
      <c r="K122" s="191">
        <f t="shared" si="25"/>
        <v>0</v>
      </c>
      <c r="L122" s="272" t="s">
        <v>382</v>
      </c>
      <c r="M122" s="154" t="s">
        <v>204</v>
      </c>
      <c r="N122" s="198" t="s">
        <v>277</v>
      </c>
      <c r="O122" s="199"/>
      <c r="P122" s="273"/>
    </row>
    <row r="123" spans="1:21" hidden="1">
      <c r="A123" s="188">
        <f t="shared" si="26"/>
        <v>7</v>
      </c>
      <c r="B123" s="192" t="str">
        <f t="shared" si="26"/>
        <v>AMRIL</v>
      </c>
      <c r="C123" s="188" t="str">
        <f t="shared" si="26"/>
        <v>L</v>
      </c>
      <c r="D123" s="188" t="str">
        <f t="shared" si="26"/>
        <v>K/1</v>
      </c>
      <c r="E123" s="188">
        <f t="shared" si="26"/>
        <v>11</v>
      </c>
      <c r="F123" s="268">
        <f t="shared" si="27"/>
        <v>21950974.299999997</v>
      </c>
      <c r="G123" s="268">
        <f t="shared" si="22"/>
        <v>21950000</v>
      </c>
      <c r="H123" s="269">
        <f t="shared" si="23"/>
        <v>1097500</v>
      </c>
      <c r="I123" s="270">
        <f t="shared" si="24"/>
        <v>1097500</v>
      </c>
      <c r="J123" s="271">
        <f>+'PAJAK JAN-NOV'!R9</f>
        <v>1089445</v>
      </c>
      <c r="K123" s="191">
        <f t="shared" si="25"/>
        <v>8055</v>
      </c>
      <c r="L123" s="274" t="s">
        <v>383</v>
      </c>
      <c r="M123" s="154" t="s">
        <v>205</v>
      </c>
      <c r="N123" s="198" t="s">
        <v>278</v>
      </c>
      <c r="O123" s="199"/>
      <c r="P123" s="273"/>
    </row>
    <row r="124" spans="1:21" hidden="1">
      <c r="A124" s="188">
        <f t="shared" si="26"/>
        <v>8</v>
      </c>
      <c r="B124" s="192" t="str">
        <f t="shared" si="26"/>
        <v>KARMILA</v>
      </c>
      <c r="C124" s="188" t="str">
        <f t="shared" si="26"/>
        <v>P</v>
      </c>
      <c r="D124" s="188" t="str">
        <f t="shared" si="26"/>
        <v>TK/0</v>
      </c>
      <c r="E124" s="188">
        <f t="shared" si="26"/>
        <v>11</v>
      </c>
      <c r="F124" s="268">
        <f t="shared" si="27"/>
        <v>0</v>
      </c>
      <c r="G124" s="268">
        <f t="shared" si="22"/>
        <v>0</v>
      </c>
      <c r="H124" s="269">
        <f>IF(L124="",G124*6%,G124*5%)</f>
        <v>0</v>
      </c>
      <c r="I124" s="270">
        <f t="shared" si="24"/>
        <v>0</v>
      </c>
      <c r="J124" s="271">
        <f>'[4]BULANAN PTKP BARU'!W131</f>
        <v>117052</v>
      </c>
      <c r="K124" s="191">
        <f t="shared" si="25"/>
        <v>0</v>
      </c>
      <c r="L124" s="272" t="s">
        <v>384</v>
      </c>
      <c r="M124" s="154" t="s">
        <v>206</v>
      </c>
      <c r="N124" s="198" t="s">
        <v>279</v>
      </c>
      <c r="O124" s="199"/>
      <c r="P124" s="273"/>
    </row>
    <row r="125" spans="1:21" hidden="1">
      <c r="A125" s="188">
        <f t="shared" si="26"/>
        <v>9</v>
      </c>
      <c r="B125" s="192" t="str">
        <f t="shared" si="26"/>
        <v>MARTUTI</v>
      </c>
      <c r="C125" s="188" t="str">
        <f t="shared" si="26"/>
        <v>P</v>
      </c>
      <c r="D125" s="188" t="str">
        <f t="shared" si="26"/>
        <v>TK/0</v>
      </c>
      <c r="E125" s="188">
        <f t="shared" si="26"/>
        <v>11</v>
      </c>
      <c r="F125" s="268">
        <f t="shared" si="27"/>
        <v>0</v>
      </c>
      <c r="G125" s="268">
        <f t="shared" si="22"/>
        <v>0</v>
      </c>
      <c r="H125" s="269">
        <f t="shared" si="23"/>
        <v>0</v>
      </c>
      <c r="I125" s="270">
        <f t="shared" si="24"/>
        <v>0</v>
      </c>
      <c r="J125" s="271">
        <f>'[4]BULANAN PTKP BARU'!W132</f>
        <v>117159</v>
      </c>
      <c r="K125" s="191">
        <f t="shared" si="25"/>
        <v>0</v>
      </c>
      <c r="L125" s="272" t="s">
        <v>385</v>
      </c>
      <c r="M125" s="154" t="s">
        <v>207</v>
      </c>
      <c r="N125" s="198" t="s">
        <v>280</v>
      </c>
      <c r="O125" s="199"/>
      <c r="P125" s="273"/>
    </row>
    <row r="126" spans="1:21" hidden="1">
      <c r="A126" s="188">
        <f t="shared" si="26"/>
        <v>10</v>
      </c>
      <c r="B126" s="192" t="str">
        <f t="shared" si="26"/>
        <v>HARNIAWATI</v>
      </c>
      <c r="C126" s="188" t="str">
        <f t="shared" si="26"/>
        <v>P</v>
      </c>
      <c r="D126" s="188" t="str">
        <f t="shared" si="26"/>
        <v>TK/0</v>
      </c>
      <c r="E126" s="188">
        <f t="shared" si="26"/>
        <v>11</v>
      </c>
      <c r="F126" s="268">
        <f t="shared" si="27"/>
        <v>0</v>
      </c>
      <c r="G126" s="268">
        <f t="shared" si="22"/>
        <v>0</v>
      </c>
      <c r="H126" s="269">
        <f>IF(L126="",G126*6%,G126*5%)</f>
        <v>0</v>
      </c>
      <c r="I126" s="270">
        <f>H126</f>
        <v>0</v>
      </c>
      <c r="J126" s="271">
        <f>'[4]BULANAN PTKP BARU'!W133</f>
        <v>117159</v>
      </c>
      <c r="K126" s="191">
        <f>IF(I126&lt;=J126,0,IF(I126&gt;J126,I126-J126))</f>
        <v>0</v>
      </c>
      <c r="L126" s="272" t="s">
        <v>386</v>
      </c>
      <c r="M126" s="154" t="s">
        <v>208</v>
      </c>
      <c r="N126" s="198" t="s">
        <v>281</v>
      </c>
      <c r="O126" s="199"/>
      <c r="P126" s="273"/>
    </row>
    <row r="127" spans="1:21" hidden="1">
      <c r="A127" s="188">
        <f t="shared" si="26"/>
        <v>11</v>
      </c>
      <c r="B127" s="192" t="str">
        <f t="shared" si="26"/>
        <v>MARYATI</v>
      </c>
      <c r="C127" s="188" t="str">
        <f t="shared" si="26"/>
        <v>P</v>
      </c>
      <c r="D127" s="188" t="str">
        <f t="shared" si="26"/>
        <v>TK/0</v>
      </c>
      <c r="E127" s="188">
        <f t="shared" si="26"/>
        <v>11</v>
      </c>
      <c r="F127" s="268">
        <f t="shared" si="27"/>
        <v>0</v>
      </c>
      <c r="G127" s="268">
        <f t="shared" si="22"/>
        <v>0</v>
      </c>
      <c r="H127" s="269">
        <f>IF(L127="",G127*6%,G127*5%)</f>
        <v>0</v>
      </c>
      <c r="I127" s="270">
        <f t="shared" si="24"/>
        <v>0</v>
      </c>
      <c r="J127" s="271">
        <f>'[4]BULANAN PTKP BARU'!W134</f>
        <v>117159</v>
      </c>
      <c r="K127" s="191">
        <f t="shared" si="25"/>
        <v>0</v>
      </c>
      <c r="L127" s="272" t="s">
        <v>387</v>
      </c>
      <c r="M127" s="154" t="s">
        <v>209</v>
      </c>
      <c r="N127" s="198" t="s">
        <v>275</v>
      </c>
      <c r="O127" s="199"/>
      <c r="P127" s="273"/>
    </row>
    <row r="128" spans="1:21" hidden="1">
      <c r="A128" s="188">
        <f t="shared" si="26"/>
        <v>12</v>
      </c>
      <c r="B128" s="192" t="str">
        <f t="shared" si="26"/>
        <v>KOPRIATI</v>
      </c>
      <c r="C128" s="188" t="str">
        <f t="shared" si="26"/>
        <v>P</v>
      </c>
      <c r="D128" s="188" t="str">
        <f t="shared" si="26"/>
        <v>TK/0</v>
      </c>
      <c r="E128" s="188">
        <f t="shared" si="26"/>
        <v>11</v>
      </c>
      <c r="F128" s="268">
        <f t="shared" si="27"/>
        <v>0</v>
      </c>
      <c r="G128" s="268">
        <f t="shared" si="22"/>
        <v>0</v>
      </c>
      <c r="H128" s="269">
        <f t="shared" si="23"/>
        <v>0</v>
      </c>
      <c r="I128" s="270">
        <f t="shared" si="24"/>
        <v>0</v>
      </c>
      <c r="J128" s="271">
        <f>'[4]BULANAN PTKP BARU'!W135</f>
        <v>115734</v>
      </c>
      <c r="K128" s="191">
        <f t="shared" si="25"/>
        <v>0</v>
      </c>
      <c r="L128" s="272" t="s">
        <v>388</v>
      </c>
      <c r="M128" s="154" t="s">
        <v>210</v>
      </c>
      <c r="N128" s="198" t="s">
        <v>275</v>
      </c>
      <c r="O128" s="199"/>
      <c r="P128" s="273"/>
    </row>
    <row r="129" spans="1:16" hidden="1">
      <c r="A129" s="188">
        <f t="shared" si="26"/>
        <v>13</v>
      </c>
      <c r="B129" s="192" t="str">
        <f t="shared" si="26"/>
        <v>ASNIATI</v>
      </c>
      <c r="C129" s="188" t="str">
        <f t="shared" si="26"/>
        <v>P</v>
      </c>
      <c r="D129" s="188" t="str">
        <f t="shared" si="26"/>
        <v>TK/0</v>
      </c>
      <c r="E129" s="188">
        <f t="shared" si="26"/>
        <v>11</v>
      </c>
      <c r="F129" s="268">
        <f t="shared" si="27"/>
        <v>0</v>
      </c>
      <c r="G129" s="268">
        <f t="shared" si="22"/>
        <v>0</v>
      </c>
      <c r="H129" s="269">
        <f>IF(L129="",G129*6%,G129*5%)</f>
        <v>0</v>
      </c>
      <c r="I129" s="270">
        <f t="shared" si="24"/>
        <v>0</v>
      </c>
      <c r="J129" s="271">
        <f>'[4]BULANAN PTKP BARU'!W136</f>
        <v>115198</v>
      </c>
      <c r="K129" s="191">
        <f t="shared" si="25"/>
        <v>0</v>
      </c>
      <c r="L129" s="272" t="s">
        <v>389</v>
      </c>
      <c r="M129" s="154" t="s">
        <v>211</v>
      </c>
      <c r="N129" s="198" t="s">
        <v>282</v>
      </c>
      <c r="O129" s="199"/>
      <c r="P129" s="273"/>
    </row>
    <row r="130" spans="1:16" hidden="1">
      <c r="A130" s="188">
        <f t="shared" ref="A130:E139" si="28">A21</f>
        <v>14</v>
      </c>
      <c r="B130" s="192" t="str">
        <f t="shared" si="28"/>
        <v>ANDIWATI</v>
      </c>
      <c r="C130" s="188" t="str">
        <f t="shared" si="28"/>
        <v>P</v>
      </c>
      <c r="D130" s="188" t="str">
        <f t="shared" si="28"/>
        <v>TK/0</v>
      </c>
      <c r="E130" s="188">
        <f t="shared" si="28"/>
        <v>11</v>
      </c>
      <c r="F130" s="268">
        <f t="shared" si="27"/>
        <v>0</v>
      </c>
      <c r="G130" s="268">
        <f t="shared" si="22"/>
        <v>0</v>
      </c>
      <c r="H130" s="269">
        <f t="shared" si="23"/>
        <v>0</v>
      </c>
      <c r="I130" s="270">
        <f t="shared" si="24"/>
        <v>0</v>
      </c>
      <c r="J130" s="271">
        <f>'[4]BULANAN PTKP BARU'!W137</f>
        <v>117052</v>
      </c>
      <c r="K130" s="191">
        <f t="shared" si="25"/>
        <v>0</v>
      </c>
      <c r="L130" s="272" t="s">
        <v>390</v>
      </c>
      <c r="M130" s="154" t="s">
        <v>212</v>
      </c>
      <c r="N130" s="198" t="s">
        <v>283</v>
      </c>
      <c r="O130" s="199"/>
      <c r="P130" s="273"/>
    </row>
    <row r="131" spans="1:16" hidden="1">
      <c r="A131" s="188">
        <f t="shared" si="28"/>
        <v>15</v>
      </c>
      <c r="B131" s="192" t="str">
        <f t="shared" si="28"/>
        <v>MARYANA.So</v>
      </c>
      <c r="C131" s="188" t="str">
        <f t="shared" si="28"/>
        <v>P</v>
      </c>
      <c r="D131" s="188" t="str">
        <f t="shared" si="28"/>
        <v>TK/0</v>
      </c>
      <c r="E131" s="188">
        <f t="shared" si="28"/>
        <v>11</v>
      </c>
      <c r="F131" s="268">
        <f t="shared" si="27"/>
        <v>0</v>
      </c>
      <c r="G131" s="268">
        <f t="shared" si="22"/>
        <v>0</v>
      </c>
      <c r="H131" s="269">
        <f t="shared" si="23"/>
        <v>0</v>
      </c>
      <c r="I131" s="270">
        <f t="shared" si="24"/>
        <v>0</v>
      </c>
      <c r="J131" s="271">
        <f>'[4]BULANAN PTKP BARU'!W138</f>
        <v>117052</v>
      </c>
      <c r="K131" s="191">
        <f t="shared" si="25"/>
        <v>0</v>
      </c>
      <c r="L131" s="272" t="s">
        <v>391</v>
      </c>
      <c r="M131" s="154" t="s">
        <v>213</v>
      </c>
      <c r="N131" s="198" t="s">
        <v>275</v>
      </c>
      <c r="O131" s="199"/>
      <c r="P131" s="273"/>
    </row>
    <row r="132" spans="1:16" hidden="1">
      <c r="A132" s="188">
        <f t="shared" si="28"/>
        <v>16</v>
      </c>
      <c r="B132" s="192" t="str">
        <f t="shared" si="28"/>
        <v>TUTI</v>
      </c>
      <c r="C132" s="188" t="str">
        <f t="shared" si="28"/>
        <v>P</v>
      </c>
      <c r="D132" s="188" t="str">
        <f t="shared" si="28"/>
        <v>TK/0</v>
      </c>
      <c r="E132" s="188">
        <f t="shared" si="28"/>
        <v>11</v>
      </c>
      <c r="F132" s="268">
        <f t="shared" si="27"/>
        <v>0</v>
      </c>
      <c r="G132" s="268">
        <f t="shared" si="22"/>
        <v>0</v>
      </c>
      <c r="H132" s="269">
        <f t="shared" si="23"/>
        <v>0</v>
      </c>
      <c r="I132" s="270">
        <f t="shared" si="24"/>
        <v>0</v>
      </c>
      <c r="J132" s="271">
        <f>'[4]BULANAN PTKP BARU'!W139</f>
        <v>117212</v>
      </c>
      <c r="K132" s="191">
        <f t="shared" si="25"/>
        <v>0</v>
      </c>
      <c r="L132" s="272" t="s">
        <v>392</v>
      </c>
      <c r="M132" s="154" t="s">
        <v>214</v>
      </c>
      <c r="N132" s="198" t="s">
        <v>190</v>
      </c>
      <c r="O132" s="199"/>
      <c r="P132" s="273"/>
    </row>
    <row r="133" spans="1:16" hidden="1">
      <c r="A133" s="188">
        <f t="shared" si="28"/>
        <v>17</v>
      </c>
      <c r="B133" s="192" t="str">
        <f t="shared" si="28"/>
        <v>AGUSTIANA</v>
      </c>
      <c r="C133" s="188" t="str">
        <f t="shared" si="28"/>
        <v>P</v>
      </c>
      <c r="D133" s="188" t="str">
        <f t="shared" si="28"/>
        <v>TK/0</v>
      </c>
      <c r="E133" s="188">
        <f t="shared" si="28"/>
        <v>11</v>
      </c>
      <c r="F133" s="268">
        <f t="shared" si="27"/>
        <v>0</v>
      </c>
      <c r="G133" s="268">
        <f t="shared" si="22"/>
        <v>0</v>
      </c>
      <c r="H133" s="269">
        <f t="shared" si="23"/>
        <v>0</v>
      </c>
      <c r="I133" s="270">
        <f t="shared" si="24"/>
        <v>0</v>
      </c>
      <c r="J133" s="271">
        <f>'[4]BULANAN PTKP BARU'!W140</f>
        <v>117159</v>
      </c>
      <c r="K133" s="191">
        <f t="shared" si="25"/>
        <v>0</v>
      </c>
      <c r="L133" s="194" t="s">
        <v>393</v>
      </c>
      <c r="M133" s="154" t="s">
        <v>215</v>
      </c>
      <c r="N133" s="198" t="s">
        <v>284</v>
      </c>
      <c r="O133" s="199"/>
      <c r="P133" s="273"/>
    </row>
    <row r="134" spans="1:16" hidden="1">
      <c r="A134" s="188">
        <f t="shared" si="28"/>
        <v>18</v>
      </c>
      <c r="B134" s="192" t="str">
        <f t="shared" si="28"/>
        <v>SISWANTO</v>
      </c>
      <c r="C134" s="188" t="str">
        <f t="shared" si="28"/>
        <v>L</v>
      </c>
      <c r="D134" s="188" t="str">
        <f t="shared" si="28"/>
        <v>K/0</v>
      </c>
      <c r="E134" s="188">
        <f t="shared" si="28"/>
        <v>11</v>
      </c>
      <c r="F134" s="268">
        <f t="shared" si="27"/>
        <v>0</v>
      </c>
      <c r="G134" s="268">
        <f t="shared" si="22"/>
        <v>0</v>
      </c>
      <c r="H134" s="269">
        <f t="shared" si="23"/>
        <v>0</v>
      </c>
      <c r="I134" s="270">
        <f t="shared" si="24"/>
        <v>0</v>
      </c>
      <c r="J134" s="271">
        <f>'[4]BULANAN PTKP BARU'!W141</f>
        <v>118501</v>
      </c>
      <c r="K134" s="191">
        <f t="shared" si="25"/>
        <v>0</v>
      </c>
      <c r="L134" s="194" t="s">
        <v>394</v>
      </c>
      <c r="M134" s="154" t="s">
        <v>216</v>
      </c>
      <c r="N134" s="198" t="s">
        <v>190</v>
      </c>
      <c r="O134" s="199"/>
      <c r="P134" s="273"/>
    </row>
    <row r="135" spans="1:16" hidden="1">
      <c r="A135" s="188">
        <f t="shared" si="28"/>
        <v>19</v>
      </c>
      <c r="B135" s="192" t="str">
        <f t="shared" si="28"/>
        <v>SUNDARI</v>
      </c>
      <c r="C135" s="188" t="str">
        <f t="shared" si="28"/>
        <v>P</v>
      </c>
      <c r="D135" s="188" t="str">
        <f t="shared" si="28"/>
        <v>TK/0</v>
      </c>
      <c r="E135" s="188">
        <f t="shared" si="28"/>
        <v>11</v>
      </c>
      <c r="F135" s="268">
        <f t="shared" si="27"/>
        <v>0</v>
      </c>
      <c r="G135" s="268">
        <f t="shared" si="22"/>
        <v>0</v>
      </c>
      <c r="H135" s="269">
        <f t="shared" si="23"/>
        <v>0</v>
      </c>
      <c r="I135" s="270">
        <f t="shared" si="24"/>
        <v>0</v>
      </c>
      <c r="J135" s="271">
        <f>'[4]BULANAN PTKP BARU'!W142</f>
        <v>116547</v>
      </c>
      <c r="K135" s="191">
        <f t="shared" si="25"/>
        <v>0</v>
      </c>
      <c r="L135" s="272" t="s">
        <v>69</v>
      </c>
      <c r="M135" s="154" t="s">
        <v>217</v>
      </c>
      <c r="N135" s="198" t="s">
        <v>285</v>
      </c>
      <c r="O135" s="199"/>
      <c r="P135" s="273"/>
    </row>
    <row r="136" spans="1:16" hidden="1">
      <c r="A136" s="188">
        <f t="shared" si="28"/>
        <v>20</v>
      </c>
      <c r="B136" s="192" t="str">
        <f t="shared" si="28"/>
        <v>SURYATI</v>
      </c>
      <c r="C136" s="188" t="str">
        <f t="shared" si="28"/>
        <v>P</v>
      </c>
      <c r="D136" s="188" t="str">
        <f t="shared" si="28"/>
        <v>TK/2</v>
      </c>
      <c r="E136" s="188">
        <f t="shared" si="28"/>
        <v>11</v>
      </c>
      <c r="F136" s="268">
        <f t="shared" si="27"/>
        <v>0</v>
      </c>
      <c r="G136" s="268">
        <f t="shared" si="22"/>
        <v>0</v>
      </c>
      <c r="H136" s="269">
        <f t="shared" si="23"/>
        <v>0</v>
      </c>
      <c r="I136" s="270">
        <f t="shared" si="24"/>
        <v>0</v>
      </c>
      <c r="J136" s="271">
        <f>'[4]BULANAN PTKP BARU'!W143</f>
        <v>116547</v>
      </c>
      <c r="K136" s="191">
        <f t="shared" si="25"/>
        <v>0</v>
      </c>
      <c r="L136" s="195" t="s">
        <v>395</v>
      </c>
      <c r="M136" s="154" t="s">
        <v>218</v>
      </c>
      <c r="N136" s="198" t="s">
        <v>286</v>
      </c>
      <c r="O136" s="199"/>
      <c r="P136" s="273"/>
    </row>
    <row r="137" spans="1:16" hidden="1">
      <c r="A137" s="188">
        <f t="shared" si="28"/>
        <v>21</v>
      </c>
      <c r="B137" s="192" t="str">
        <f t="shared" si="28"/>
        <v>SANTI</v>
      </c>
      <c r="C137" s="188" t="str">
        <f t="shared" si="28"/>
        <v>P</v>
      </c>
      <c r="D137" s="188" t="str">
        <f t="shared" si="28"/>
        <v>TK/0</v>
      </c>
      <c r="E137" s="188">
        <f t="shared" si="28"/>
        <v>11</v>
      </c>
      <c r="F137" s="268">
        <f t="shared" si="27"/>
        <v>0</v>
      </c>
      <c r="G137" s="268">
        <f t="shared" si="22"/>
        <v>0</v>
      </c>
      <c r="H137" s="269">
        <f t="shared" si="23"/>
        <v>0</v>
      </c>
      <c r="I137" s="270">
        <f t="shared" si="24"/>
        <v>0</v>
      </c>
      <c r="J137" s="271">
        <f>'[4]BULANAN PTKP BARU'!W144</f>
        <v>79504</v>
      </c>
      <c r="K137" s="191">
        <f t="shared" si="25"/>
        <v>0</v>
      </c>
      <c r="L137" s="196" t="s">
        <v>69</v>
      </c>
      <c r="M137" s="154" t="s">
        <v>219</v>
      </c>
      <c r="N137" s="198" t="s">
        <v>287</v>
      </c>
      <c r="O137" s="199"/>
      <c r="P137" s="273"/>
    </row>
    <row r="138" spans="1:16" hidden="1">
      <c r="A138" s="188">
        <f t="shared" si="28"/>
        <v>22</v>
      </c>
      <c r="B138" s="192" t="str">
        <f t="shared" si="28"/>
        <v>HARYANI</v>
      </c>
      <c r="C138" s="188" t="str">
        <f t="shared" si="28"/>
        <v>L</v>
      </c>
      <c r="D138" s="188" t="str">
        <f t="shared" si="28"/>
        <v>K/0</v>
      </c>
      <c r="E138" s="188">
        <f t="shared" si="28"/>
        <v>11</v>
      </c>
      <c r="F138" s="268">
        <f t="shared" si="27"/>
        <v>0</v>
      </c>
      <c r="G138" s="268">
        <f t="shared" si="22"/>
        <v>0</v>
      </c>
      <c r="H138" s="269">
        <f t="shared" si="23"/>
        <v>0</v>
      </c>
      <c r="I138" s="270">
        <f t="shared" si="24"/>
        <v>0</v>
      </c>
      <c r="J138" s="271">
        <f>'[4]BULANAN PTKP BARU'!W145</f>
        <v>117587</v>
      </c>
      <c r="K138" s="191">
        <f t="shared" si="25"/>
        <v>0</v>
      </c>
      <c r="L138" s="194" t="s">
        <v>396</v>
      </c>
      <c r="M138" s="275" t="s">
        <v>220</v>
      </c>
      <c r="N138" s="198" t="s">
        <v>273</v>
      </c>
      <c r="O138" s="199"/>
      <c r="P138" s="273"/>
    </row>
    <row r="139" spans="1:16" hidden="1">
      <c r="A139" s="188">
        <f t="shared" si="28"/>
        <v>23</v>
      </c>
      <c r="B139" s="192" t="str">
        <f t="shared" si="28"/>
        <v>SUWANDI</v>
      </c>
      <c r="C139" s="188" t="str">
        <f t="shared" si="28"/>
        <v>L</v>
      </c>
      <c r="D139" s="188" t="str">
        <f t="shared" si="28"/>
        <v>K/1</v>
      </c>
      <c r="E139" s="188">
        <f t="shared" si="28"/>
        <v>11</v>
      </c>
      <c r="F139" s="268">
        <f t="shared" si="27"/>
        <v>0</v>
      </c>
      <c r="G139" s="268">
        <f t="shared" si="22"/>
        <v>0</v>
      </c>
      <c r="H139" s="269">
        <f t="shared" si="23"/>
        <v>0</v>
      </c>
      <c r="I139" s="270">
        <f t="shared" si="24"/>
        <v>0</v>
      </c>
      <c r="J139" s="271">
        <f>'[4]BULANAN PTKP BARU'!W146</f>
        <v>119606</v>
      </c>
      <c r="K139" s="191">
        <f t="shared" si="25"/>
        <v>0</v>
      </c>
      <c r="L139" s="195" t="s">
        <v>397</v>
      </c>
      <c r="M139" s="154" t="s">
        <v>221</v>
      </c>
      <c r="N139" s="198" t="s">
        <v>188</v>
      </c>
      <c r="O139" s="199"/>
      <c r="P139" s="273"/>
    </row>
    <row r="140" spans="1:16" hidden="1">
      <c r="A140" s="188">
        <f t="shared" ref="A140:E149" si="29">A31</f>
        <v>24</v>
      </c>
      <c r="B140" s="192" t="str">
        <f t="shared" si="29"/>
        <v>YUMNA M</v>
      </c>
      <c r="C140" s="188" t="str">
        <f t="shared" si="29"/>
        <v>P</v>
      </c>
      <c r="D140" s="188" t="str">
        <f t="shared" si="29"/>
        <v>TK/0</v>
      </c>
      <c r="E140" s="188">
        <f t="shared" si="29"/>
        <v>11</v>
      </c>
      <c r="F140" s="268">
        <f t="shared" si="27"/>
        <v>0</v>
      </c>
      <c r="G140" s="268">
        <f t="shared" si="22"/>
        <v>0</v>
      </c>
      <c r="H140" s="269">
        <f t="shared" si="23"/>
        <v>0</v>
      </c>
      <c r="I140" s="270">
        <f t="shared" si="24"/>
        <v>0</v>
      </c>
      <c r="J140" s="271">
        <f>'[4]BULANAN PTKP BARU'!W147</f>
        <v>142950</v>
      </c>
      <c r="K140" s="191">
        <f t="shared" si="25"/>
        <v>0</v>
      </c>
      <c r="L140" s="272" t="s">
        <v>398</v>
      </c>
      <c r="M140" s="154" t="s">
        <v>222</v>
      </c>
      <c r="N140" s="198" t="s">
        <v>288</v>
      </c>
      <c r="O140" s="199"/>
      <c r="P140" s="273"/>
    </row>
    <row r="141" spans="1:16" hidden="1">
      <c r="A141" s="188">
        <f t="shared" si="29"/>
        <v>25</v>
      </c>
      <c r="B141" s="192" t="str">
        <f t="shared" si="29"/>
        <v>ANDRES</v>
      </c>
      <c r="C141" s="188" t="str">
        <f t="shared" si="29"/>
        <v>L</v>
      </c>
      <c r="D141" s="188" t="str">
        <f t="shared" si="29"/>
        <v>K/1</v>
      </c>
      <c r="E141" s="188">
        <f t="shared" si="29"/>
        <v>11</v>
      </c>
      <c r="F141" s="268">
        <f t="shared" si="27"/>
        <v>0</v>
      </c>
      <c r="G141" s="268">
        <f t="shared" si="22"/>
        <v>0</v>
      </c>
      <c r="H141" s="269">
        <f t="shared" si="23"/>
        <v>0</v>
      </c>
      <c r="I141" s="270">
        <f t="shared" si="24"/>
        <v>0</v>
      </c>
      <c r="J141" s="271">
        <f>'[4]BULANAN PTKP BARU'!W148</f>
        <v>117052</v>
      </c>
      <c r="K141" s="191">
        <f t="shared" si="25"/>
        <v>0</v>
      </c>
      <c r="L141" s="194" t="s">
        <v>399</v>
      </c>
      <c r="M141" s="154" t="s">
        <v>223</v>
      </c>
      <c r="N141" s="198" t="s">
        <v>289</v>
      </c>
      <c r="O141" s="199"/>
      <c r="P141" s="273"/>
    </row>
    <row r="142" spans="1:16" hidden="1">
      <c r="A142" s="188">
        <f t="shared" si="29"/>
        <v>26</v>
      </c>
      <c r="B142" s="192" t="str">
        <f t="shared" si="29"/>
        <v>SUDIAN</v>
      </c>
      <c r="C142" s="188" t="str">
        <f t="shared" si="29"/>
        <v>L</v>
      </c>
      <c r="D142" s="188" t="str">
        <f t="shared" si="29"/>
        <v>K/0</v>
      </c>
      <c r="E142" s="188">
        <f t="shared" si="29"/>
        <v>11</v>
      </c>
      <c r="F142" s="268">
        <f t="shared" si="27"/>
        <v>0</v>
      </c>
      <c r="G142" s="268">
        <f t="shared" si="22"/>
        <v>0</v>
      </c>
      <c r="H142" s="269">
        <f t="shared" si="23"/>
        <v>0</v>
      </c>
      <c r="I142" s="270">
        <f t="shared" si="24"/>
        <v>0</v>
      </c>
      <c r="J142" s="271">
        <f>'[4]BULANAN PTKP BARU'!W149</f>
        <v>516627</v>
      </c>
      <c r="K142" s="191">
        <f t="shared" si="25"/>
        <v>0</v>
      </c>
      <c r="L142" s="193" t="s">
        <v>69</v>
      </c>
      <c r="M142" s="154" t="s">
        <v>224</v>
      </c>
      <c r="N142" s="198" t="s">
        <v>290</v>
      </c>
      <c r="O142" s="199"/>
      <c r="P142" s="273"/>
    </row>
    <row r="143" spans="1:16" hidden="1">
      <c r="A143" s="188">
        <f t="shared" si="29"/>
        <v>27</v>
      </c>
      <c r="B143" s="192" t="str">
        <f t="shared" si="29"/>
        <v>YUDA HERMAWAN</v>
      </c>
      <c r="C143" s="188" t="str">
        <f t="shared" si="29"/>
        <v>L</v>
      </c>
      <c r="D143" s="188" t="str">
        <f t="shared" si="29"/>
        <v>TK/0</v>
      </c>
      <c r="E143" s="188">
        <f t="shared" si="29"/>
        <v>11</v>
      </c>
      <c r="F143" s="268">
        <f t="shared" si="27"/>
        <v>4693994.650000006</v>
      </c>
      <c r="G143" s="268">
        <f t="shared" si="22"/>
        <v>4693000</v>
      </c>
      <c r="H143" s="269">
        <f t="shared" si="23"/>
        <v>234650</v>
      </c>
      <c r="I143" s="270">
        <f t="shared" si="24"/>
        <v>234650</v>
      </c>
      <c r="J143" s="271">
        <f>'[4]BULANAN PTKP BARU'!W150</f>
        <v>118443</v>
      </c>
      <c r="K143" s="191">
        <f t="shared" si="25"/>
        <v>116207</v>
      </c>
      <c r="L143" s="272" t="s">
        <v>69</v>
      </c>
      <c r="M143" s="154" t="s">
        <v>225</v>
      </c>
      <c r="N143" s="198" t="s">
        <v>291</v>
      </c>
      <c r="O143" s="199"/>
      <c r="P143" s="273"/>
    </row>
    <row r="144" spans="1:16" hidden="1">
      <c r="A144" s="188">
        <f t="shared" si="29"/>
        <v>28</v>
      </c>
      <c r="B144" s="192" t="str">
        <f t="shared" si="29"/>
        <v>SABIBI</v>
      </c>
      <c r="C144" s="188" t="str">
        <f t="shared" si="29"/>
        <v>L</v>
      </c>
      <c r="D144" s="188" t="str">
        <f t="shared" si="29"/>
        <v>K/2</v>
      </c>
      <c r="E144" s="188">
        <f t="shared" si="29"/>
        <v>11</v>
      </c>
      <c r="F144" s="268">
        <f t="shared" si="27"/>
        <v>0</v>
      </c>
      <c r="G144" s="268">
        <f t="shared" si="22"/>
        <v>0</v>
      </c>
      <c r="H144" s="269">
        <f t="shared" si="23"/>
        <v>0</v>
      </c>
      <c r="I144" s="270">
        <f t="shared" si="24"/>
        <v>0</v>
      </c>
      <c r="J144" s="271">
        <f>'[4]BULANAN PTKP BARU'!W151</f>
        <v>113851</v>
      </c>
      <c r="K144" s="191">
        <f t="shared" si="25"/>
        <v>0</v>
      </c>
      <c r="L144" s="272" t="s">
        <v>400</v>
      </c>
      <c r="M144" s="154" t="s">
        <v>226</v>
      </c>
      <c r="N144" s="198" t="s">
        <v>292</v>
      </c>
      <c r="O144" s="199"/>
      <c r="P144" s="273"/>
    </row>
    <row r="145" spans="1:16" hidden="1">
      <c r="A145" s="188">
        <f t="shared" si="29"/>
        <v>29</v>
      </c>
      <c r="B145" s="192" t="str">
        <f t="shared" si="29"/>
        <v>ADI SANJAYA</v>
      </c>
      <c r="C145" s="188" t="str">
        <f t="shared" si="29"/>
        <v>L</v>
      </c>
      <c r="D145" s="188" t="str">
        <f t="shared" si="29"/>
        <v>K/2</v>
      </c>
      <c r="E145" s="188">
        <f t="shared" si="29"/>
        <v>11</v>
      </c>
      <c r="F145" s="268">
        <f t="shared" si="27"/>
        <v>0</v>
      </c>
      <c r="G145" s="268">
        <f t="shared" si="22"/>
        <v>0</v>
      </c>
      <c r="H145" s="269">
        <f t="shared" si="23"/>
        <v>0</v>
      </c>
      <c r="I145" s="270">
        <f t="shared" si="24"/>
        <v>0</v>
      </c>
      <c r="J145" s="271">
        <f>'[4]BULANAN PTKP BARU'!W152</f>
        <v>222758</v>
      </c>
      <c r="K145" s="191">
        <f t="shared" si="25"/>
        <v>0</v>
      </c>
      <c r="L145" s="272" t="s">
        <v>69</v>
      </c>
      <c r="M145" s="154" t="s">
        <v>227</v>
      </c>
      <c r="N145" s="198" t="s">
        <v>293</v>
      </c>
      <c r="O145" s="199"/>
      <c r="P145" s="273"/>
    </row>
    <row r="146" spans="1:16" hidden="1">
      <c r="A146" s="188">
        <f t="shared" si="29"/>
        <v>30</v>
      </c>
      <c r="B146" s="192" t="str">
        <f t="shared" si="29"/>
        <v>ANDI ( ASNA )</v>
      </c>
      <c r="C146" s="188" t="str">
        <f t="shared" si="29"/>
        <v>L</v>
      </c>
      <c r="D146" s="188" t="str">
        <f t="shared" si="29"/>
        <v>K/2</v>
      </c>
      <c r="E146" s="188">
        <f t="shared" si="29"/>
        <v>11</v>
      </c>
      <c r="F146" s="268">
        <f t="shared" si="27"/>
        <v>0</v>
      </c>
      <c r="G146" s="268">
        <f t="shared" si="22"/>
        <v>0</v>
      </c>
      <c r="H146" s="269">
        <f t="shared" si="23"/>
        <v>0</v>
      </c>
      <c r="I146" s="270">
        <f t="shared" si="24"/>
        <v>0</v>
      </c>
      <c r="J146" s="271">
        <f>'[4]BULANAN PTKP BARU'!W153</f>
        <v>180239</v>
      </c>
      <c r="K146" s="191">
        <f t="shared" si="25"/>
        <v>0</v>
      </c>
      <c r="L146" s="272" t="s">
        <v>69</v>
      </c>
      <c r="M146" s="154" t="s">
        <v>228</v>
      </c>
      <c r="N146" s="198" t="s">
        <v>294</v>
      </c>
      <c r="O146" s="199"/>
      <c r="P146" s="273"/>
    </row>
    <row r="147" spans="1:16" hidden="1">
      <c r="A147" s="188">
        <f t="shared" si="29"/>
        <v>31</v>
      </c>
      <c r="B147" s="192" t="str">
        <f t="shared" si="29"/>
        <v>EFRIYONO</v>
      </c>
      <c r="C147" s="188" t="str">
        <f t="shared" si="29"/>
        <v>L</v>
      </c>
      <c r="D147" s="188" t="str">
        <f t="shared" si="29"/>
        <v>K/2</v>
      </c>
      <c r="E147" s="188">
        <f t="shared" si="29"/>
        <v>11</v>
      </c>
      <c r="F147" s="268">
        <f t="shared" si="27"/>
        <v>0</v>
      </c>
      <c r="G147" s="268">
        <f t="shared" si="22"/>
        <v>0</v>
      </c>
      <c r="H147" s="269">
        <f t="shared" si="23"/>
        <v>0</v>
      </c>
      <c r="I147" s="270">
        <f t="shared" si="24"/>
        <v>0</v>
      </c>
      <c r="J147" s="271">
        <f>'[4]BULANAN PTKP BARU'!W154</f>
        <v>141990</v>
      </c>
      <c r="K147" s="191">
        <f t="shared" si="25"/>
        <v>0</v>
      </c>
      <c r="L147" s="272" t="s">
        <v>69</v>
      </c>
      <c r="M147" s="154" t="s">
        <v>229</v>
      </c>
      <c r="N147" s="198" t="s">
        <v>295</v>
      </c>
      <c r="O147" s="199"/>
      <c r="P147" s="273"/>
    </row>
    <row r="148" spans="1:16" hidden="1">
      <c r="A148" s="188">
        <f t="shared" si="29"/>
        <v>32</v>
      </c>
      <c r="B148" s="192" t="str">
        <f t="shared" si="29"/>
        <v>ERI HANDRAYANI</v>
      </c>
      <c r="C148" s="188" t="str">
        <f t="shared" si="29"/>
        <v>L</v>
      </c>
      <c r="D148" s="188" t="str">
        <f t="shared" si="29"/>
        <v>K/2</v>
      </c>
      <c r="E148" s="188">
        <f t="shared" si="29"/>
        <v>11</v>
      </c>
      <c r="F148" s="268">
        <f t="shared" si="27"/>
        <v>0</v>
      </c>
      <c r="G148" s="268">
        <f t="shared" si="22"/>
        <v>0</v>
      </c>
      <c r="H148" s="269">
        <f t="shared" si="23"/>
        <v>0</v>
      </c>
      <c r="I148" s="270">
        <f t="shared" si="24"/>
        <v>0</v>
      </c>
      <c r="J148" s="271">
        <f>'[4]BULANAN PTKP BARU'!W155</f>
        <v>139592</v>
      </c>
      <c r="K148" s="191">
        <f t="shared" si="25"/>
        <v>0</v>
      </c>
      <c r="L148" s="272" t="s">
        <v>69</v>
      </c>
      <c r="M148" s="154" t="s">
        <v>230</v>
      </c>
      <c r="N148" s="198" t="s">
        <v>296</v>
      </c>
      <c r="O148" s="199"/>
      <c r="P148" s="273"/>
    </row>
    <row r="149" spans="1:16" hidden="1">
      <c r="A149" s="188">
        <f t="shared" si="29"/>
        <v>33</v>
      </c>
      <c r="B149" s="192" t="str">
        <f t="shared" si="29"/>
        <v>FERBI H</v>
      </c>
      <c r="C149" s="188" t="str">
        <f t="shared" si="29"/>
        <v>L</v>
      </c>
      <c r="D149" s="188" t="str">
        <f t="shared" si="29"/>
        <v>K/0</v>
      </c>
      <c r="E149" s="188">
        <f t="shared" si="29"/>
        <v>11</v>
      </c>
      <c r="F149" s="268">
        <f t="shared" si="27"/>
        <v>0</v>
      </c>
      <c r="G149" s="268">
        <f t="shared" si="22"/>
        <v>0</v>
      </c>
      <c r="H149" s="269">
        <f t="shared" si="23"/>
        <v>0</v>
      </c>
      <c r="I149" s="270">
        <f t="shared" si="24"/>
        <v>0</v>
      </c>
      <c r="J149" s="271">
        <f>'[4]BULANAN PTKP BARU'!W156</f>
        <v>141292</v>
      </c>
      <c r="K149" s="191">
        <f t="shared" si="25"/>
        <v>0</v>
      </c>
      <c r="L149" s="272" t="s">
        <v>69</v>
      </c>
      <c r="M149" s="154" t="s">
        <v>231</v>
      </c>
      <c r="N149" s="198" t="s">
        <v>275</v>
      </c>
      <c r="O149" s="199"/>
      <c r="P149" s="273"/>
    </row>
    <row r="150" spans="1:16" hidden="1">
      <c r="A150" s="188">
        <f t="shared" ref="A150:E159" si="30">A41</f>
        <v>34</v>
      </c>
      <c r="B150" s="192" t="str">
        <f t="shared" si="30"/>
        <v>HAIDI</v>
      </c>
      <c r="C150" s="188" t="str">
        <f t="shared" si="30"/>
        <v>L</v>
      </c>
      <c r="D150" s="188" t="str">
        <f t="shared" si="30"/>
        <v>K/2</v>
      </c>
      <c r="E150" s="188">
        <f t="shared" si="30"/>
        <v>11</v>
      </c>
      <c r="F150" s="268">
        <f t="shared" si="27"/>
        <v>0</v>
      </c>
      <c r="G150" s="268">
        <f t="shared" si="22"/>
        <v>0</v>
      </c>
      <c r="H150" s="269">
        <f t="shared" si="23"/>
        <v>0</v>
      </c>
      <c r="I150" s="270">
        <f t="shared" si="24"/>
        <v>0</v>
      </c>
      <c r="J150" s="271">
        <f>'[4]BULANAN PTKP BARU'!W157</f>
        <v>141781</v>
      </c>
      <c r="K150" s="191">
        <f t="shared" si="25"/>
        <v>0</v>
      </c>
      <c r="L150" s="272" t="s">
        <v>69</v>
      </c>
      <c r="M150" s="154" t="s">
        <v>232</v>
      </c>
      <c r="N150" s="198" t="s">
        <v>190</v>
      </c>
      <c r="O150" s="199"/>
      <c r="P150" s="273"/>
    </row>
    <row r="151" spans="1:16" hidden="1">
      <c r="A151" s="188">
        <f t="shared" si="30"/>
        <v>35</v>
      </c>
      <c r="B151" s="192" t="str">
        <f t="shared" si="30"/>
        <v>IRHAS</v>
      </c>
      <c r="C151" s="188" t="str">
        <f t="shared" si="30"/>
        <v>L</v>
      </c>
      <c r="D151" s="188" t="str">
        <f t="shared" si="30"/>
        <v>K/2</v>
      </c>
      <c r="E151" s="188">
        <f t="shared" si="30"/>
        <v>11</v>
      </c>
      <c r="F151" s="268">
        <f t="shared" si="27"/>
        <v>0</v>
      </c>
      <c r="G151" s="268">
        <f t="shared" si="22"/>
        <v>0</v>
      </c>
      <c r="H151" s="269">
        <f t="shared" si="23"/>
        <v>0</v>
      </c>
      <c r="I151" s="270">
        <f t="shared" si="24"/>
        <v>0</v>
      </c>
      <c r="J151" s="271">
        <f>'[4]BULANAN PTKP BARU'!W158</f>
        <v>173703</v>
      </c>
      <c r="K151" s="191">
        <f t="shared" si="25"/>
        <v>0</v>
      </c>
      <c r="L151" s="272" t="s">
        <v>69</v>
      </c>
      <c r="M151" s="154" t="s">
        <v>233</v>
      </c>
      <c r="N151" s="198" t="s">
        <v>190</v>
      </c>
      <c r="O151" s="199"/>
      <c r="P151" s="273"/>
    </row>
    <row r="152" spans="1:16" hidden="1">
      <c r="A152" s="188">
        <f t="shared" si="30"/>
        <v>36</v>
      </c>
      <c r="B152" s="192" t="str">
        <f t="shared" si="30"/>
        <v>YANUAR</v>
      </c>
      <c r="C152" s="188" t="str">
        <f t="shared" si="30"/>
        <v>L</v>
      </c>
      <c r="D152" s="188" t="str">
        <f t="shared" si="30"/>
        <v>K/2</v>
      </c>
      <c r="E152" s="188">
        <f t="shared" si="30"/>
        <v>11</v>
      </c>
      <c r="F152" s="268">
        <f t="shared" si="27"/>
        <v>0</v>
      </c>
      <c r="G152" s="268">
        <f t="shared" si="22"/>
        <v>0</v>
      </c>
      <c r="H152" s="269">
        <f t="shared" si="23"/>
        <v>0</v>
      </c>
      <c r="I152" s="270">
        <f t="shared" si="24"/>
        <v>0</v>
      </c>
      <c r="J152" s="271">
        <f>'[4]BULANAN PTKP BARU'!W159</f>
        <v>91103</v>
      </c>
      <c r="K152" s="191">
        <f t="shared" si="25"/>
        <v>0</v>
      </c>
      <c r="L152" s="272" t="s">
        <v>69</v>
      </c>
      <c r="M152" s="154" t="s">
        <v>234</v>
      </c>
      <c r="N152" s="198" t="s">
        <v>297</v>
      </c>
      <c r="O152" s="199"/>
      <c r="P152" s="273"/>
    </row>
    <row r="153" spans="1:16" hidden="1">
      <c r="A153" s="188">
        <f t="shared" si="30"/>
        <v>37</v>
      </c>
      <c r="B153" s="192" t="str">
        <f t="shared" si="30"/>
        <v>SEVENDRI</v>
      </c>
      <c r="C153" s="188" t="str">
        <f t="shared" si="30"/>
        <v>L</v>
      </c>
      <c r="D153" s="188" t="str">
        <f t="shared" si="30"/>
        <v>K/2</v>
      </c>
      <c r="E153" s="188">
        <f t="shared" si="30"/>
        <v>11</v>
      </c>
      <c r="F153" s="268">
        <f t="shared" si="27"/>
        <v>0</v>
      </c>
      <c r="G153" s="268">
        <f t="shared" si="22"/>
        <v>0</v>
      </c>
      <c r="H153" s="269">
        <f t="shared" si="23"/>
        <v>0</v>
      </c>
      <c r="I153" s="270">
        <f t="shared" si="24"/>
        <v>0</v>
      </c>
      <c r="J153" s="271">
        <f>'[4]BULANAN PTKP BARU'!W160</f>
        <v>138277</v>
      </c>
      <c r="K153" s="191">
        <f t="shared" si="25"/>
        <v>0</v>
      </c>
      <c r="L153" s="272" t="s">
        <v>69</v>
      </c>
      <c r="M153" s="154" t="s">
        <v>235</v>
      </c>
      <c r="N153" s="198" t="s">
        <v>298</v>
      </c>
      <c r="O153" s="199"/>
      <c r="P153" s="273"/>
    </row>
    <row r="154" spans="1:16" hidden="1">
      <c r="A154" s="188">
        <f t="shared" si="30"/>
        <v>38</v>
      </c>
      <c r="B154" s="192" t="str">
        <f t="shared" si="30"/>
        <v>PURGANDI</v>
      </c>
      <c r="C154" s="188" t="str">
        <f t="shared" si="30"/>
        <v>L</v>
      </c>
      <c r="D154" s="188" t="str">
        <f t="shared" si="30"/>
        <v>K/0</v>
      </c>
      <c r="E154" s="188">
        <f t="shared" si="30"/>
        <v>11</v>
      </c>
      <c r="F154" s="268">
        <f t="shared" si="27"/>
        <v>0</v>
      </c>
      <c r="G154" s="268">
        <f t="shared" si="22"/>
        <v>0</v>
      </c>
      <c r="H154" s="269">
        <f t="shared" si="23"/>
        <v>0</v>
      </c>
      <c r="I154" s="270">
        <f t="shared" si="24"/>
        <v>0</v>
      </c>
      <c r="J154" s="271">
        <f>'[4]BULANAN PTKP BARU'!W161</f>
        <v>141161</v>
      </c>
      <c r="K154" s="191">
        <f t="shared" si="25"/>
        <v>0</v>
      </c>
      <c r="L154" s="272" t="s">
        <v>69</v>
      </c>
      <c r="M154" s="154" t="s">
        <v>236</v>
      </c>
      <c r="N154" s="198" t="s">
        <v>190</v>
      </c>
      <c r="O154" s="199"/>
      <c r="P154" s="273"/>
    </row>
    <row r="155" spans="1:16" hidden="1">
      <c r="A155" s="188">
        <f t="shared" si="30"/>
        <v>39</v>
      </c>
      <c r="B155" s="192" t="str">
        <f t="shared" si="30"/>
        <v>RICKI PUTRA</v>
      </c>
      <c r="C155" s="188" t="str">
        <f t="shared" si="30"/>
        <v>L</v>
      </c>
      <c r="D155" s="188" t="str">
        <f t="shared" si="30"/>
        <v>K/0</v>
      </c>
      <c r="E155" s="188">
        <f t="shared" si="30"/>
        <v>11</v>
      </c>
      <c r="F155" s="268">
        <f t="shared" si="27"/>
        <v>0</v>
      </c>
      <c r="G155" s="268">
        <f t="shared" si="22"/>
        <v>0</v>
      </c>
      <c r="H155" s="269">
        <f t="shared" si="23"/>
        <v>0</v>
      </c>
      <c r="I155" s="270">
        <f t="shared" si="24"/>
        <v>0</v>
      </c>
      <c r="J155" s="271">
        <f>'[4]BULANAN PTKP BARU'!W162</f>
        <v>141511</v>
      </c>
      <c r="K155" s="191">
        <f t="shared" si="25"/>
        <v>0</v>
      </c>
      <c r="L155" s="272" t="s">
        <v>69</v>
      </c>
      <c r="M155" s="154" t="s">
        <v>237</v>
      </c>
      <c r="N155" s="198" t="s">
        <v>299</v>
      </c>
      <c r="O155" s="199"/>
      <c r="P155" s="273"/>
    </row>
    <row r="156" spans="1:16" hidden="1">
      <c r="A156" s="188">
        <f t="shared" si="30"/>
        <v>40</v>
      </c>
      <c r="B156" s="192" t="str">
        <f t="shared" si="30"/>
        <v>ROLAND AGUSTA</v>
      </c>
      <c r="C156" s="188" t="str">
        <f t="shared" si="30"/>
        <v>L</v>
      </c>
      <c r="D156" s="188" t="str">
        <f t="shared" si="30"/>
        <v>K/1</v>
      </c>
      <c r="E156" s="188">
        <f t="shared" si="30"/>
        <v>11</v>
      </c>
      <c r="F156" s="268">
        <f t="shared" si="27"/>
        <v>0</v>
      </c>
      <c r="G156" s="268">
        <f t="shared" si="22"/>
        <v>0</v>
      </c>
      <c r="H156" s="269">
        <f t="shared" si="23"/>
        <v>0</v>
      </c>
      <c r="I156" s="270">
        <f t="shared" si="24"/>
        <v>0</v>
      </c>
      <c r="J156" s="271">
        <f>'[4]BULANAN PTKP BARU'!W163</f>
        <v>143772</v>
      </c>
      <c r="K156" s="191">
        <f t="shared" si="25"/>
        <v>0</v>
      </c>
      <c r="L156" s="272" t="s">
        <v>69</v>
      </c>
      <c r="M156" s="154" t="s">
        <v>238</v>
      </c>
      <c r="N156" s="198" t="s">
        <v>300</v>
      </c>
      <c r="O156" s="199"/>
      <c r="P156" s="273"/>
    </row>
    <row r="157" spans="1:16" hidden="1">
      <c r="A157" s="188">
        <f t="shared" si="30"/>
        <v>41</v>
      </c>
      <c r="B157" s="192" t="str">
        <f t="shared" si="30"/>
        <v>SAHDAN</v>
      </c>
      <c r="C157" s="188" t="str">
        <f t="shared" si="30"/>
        <v>L</v>
      </c>
      <c r="D157" s="188" t="str">
        <f t="shared" si="30"/>
        <v>K/0</v>
      </c>
      <c r="E157" s="188">
        <f t="shared" si="30"/>
        <v>11</v>
      </c>
      <c r="F157" s="268">
        <f t="shared" si="27"/>
        <v>0</v>
      </c>
      <c r="G157" s="268">
        <f t="shared" si="22"/>
        <v>0</v>
      </c>
      <c r="H157" s="269">
        <f t="shared" si="23"/>
        <v>0</v>
      </c>
      <c r="I157" s="270">
        <f t="shared" si="24"/>
        <v>0</v>
      </c>
      <c r="J157" s="271">
        <f>'[4]BULANAN PTKP BARU'!W164</f>
        <v>202517</v>
      </c>
      <c r="K157" s="191">
        <f t="shared" si="25"/>
        <v>0</v>
      </c>
      <c r="L157" s="272" t="s">
        <v>69</v>
      </c>
      <c r="M157" s="154" t="s">
        <v>239</v>
      </c>
      <c r="N157" s="198" t="s">
        <v>189</v>
      </c>
      <c r="O157" s="199"/>
      <c r="P157" s="273"/>
    </row>
    <row r="158" spans="1:16" hidden="1">
      <c r="A158" s="188">
        <f t="shared" si="30"/>
        <v>42</v>
      </c>
      <c r="B158" s="192" t="str">
        <f t="shared" si="30"/>
        <v>YOPIE ,T</v>
      </c>
      <c r="C158" s="188" t="str">
        <f t="shared" si="30"/>
        <v>L</v>
      </c>
      <c r="D158" s="188" t="str">
        <f t="shared" si="30"/>
        <v>K/2</v>
      </c>
      <c r="E158" s="188">
        <f t="shared" si="30"/>
        <v>11</v>
      </c>
      <c r="F158" s="268">
        <f t="shared" si="27"/>
        <v>0</v>
      </c>
      <c r="G158" s="268">
        <f t="shared" si="22"/>
        <v>0</v>
      </c>
      <c r="H158" s="269">
        <f t="shared" si="23"/>
        <v>0</v>
      </c>
      <c r="I158" s="270">
        <f t="shared" si="24"/>
        <v>0</v>
      </c>
      <c r="J158" s="271">
        <f>'[4]BULANAN PTKP BARU'!W165</f>
        <v>207620</v>
      </c>
      <c r="K158" s="191">
        <f t="shared" si="25"/>
        <v>0</v>
      </c>
      <c r="L158" s="272" t="s">
        <v>69</v>
      </c>
      <c r="M158" s="154" t="s">
        <v>240</v>
      </c>
      <c r="N158" s="198" t="s">
        <v>301</v>
      </c>
      <c r="O158" s="199"/>
      <c r="P158" s="273"/>
    </row>
    <row r="159" spans="1:16" hidden="1">
      <c r="A159" s="188">
        <f t="shared" si="30"/>
        <v>43</v>
      </c>
      <c r="B159" s="192" t="str">
        <f t="shared" si="30"/>
        <v>ELYANDI</v>
      </c>
      <c r="C159" s="188" t="str">
        <f t="shared" si="30"/>
        <v>L</v>
      </c>
      <c r="D159" s="188" t="str">
        <f t="shared" si="30"/>
        <v>TK/0</v>
      </c>
      <c r="E159" s="188">
        <f t="shared" si="30"/>
        <v>11</v>
      </c>
      <c r="F159" s="268">
        <f t="shared" si="27"/>
        <v>2399.6000000089407</v>
      </c>
      <c r="G159" s="268">
        <f t="shared" si="22"/>
        <v>2000</v>
      </c>
      <c r="H159" s="269">
        <f t="shared" si="23"/>
        <v>100</v>
      </c>
      <c r="I159" s="270">
        <f t="shared" si="24"/>
        <v>100</v>
      </c>
      <c r="J159" s="271">
        <f>'[4]BULANAN PTKP BARU'!W166</f>
        <v>166737</v>
      </c>
      <c r="K159" s="191">
        <f t="shared" si="25"/>
        <v>0</v>
      </c>
      <c r="L159" s="272" t="s">
        <v>69</v>
      </c>
      <c r="M159" s="154" t="s">
        <v>241</v>
      </c>
      <c r="N159" s="198" t="s">
        <v>302</v>
      </c>
      <c r="O159" s="199"/>
      <c r="P159" s="273"/>
    </row>
    <row r="160" spans="1:16" hidden="1">
      <c r="A160" s="188">
        <f t="shared" ref="A160:E162" si="31">A51</f>
        <v>44</v>
      </c>
      <c r="B160" s="192" t="str">
        <f t="shared" si="31"/>
        <v>ALI MAS DESI</v>
      </c>
      <c r="C160" s="188" t="str">
        <f t="shared" si="31"/>
        <v>L</v>
      </c>
      <c r="D160" s="188" t="str">
        <f t="shared" si="31"/>
        <v>K/1</v>
      </c>
      <c r="E160" s="188">
        <f t="shared" si="31"/>
        <v>11</v>
      </c>
      <c r="F160" s="268">
        <f t="shared" si="27"/>
        <v>0</v>
      </c>
      <c r="G160" s="268">
        <f t="shared" si="22"/>
        <v>0</v>
      </c>
      <c r="H160" s="269">
        <f t="shared" si="23"/>
        <v>0</v>
      </c>
      <c r="I160" s="270">
        <f t="shared" si="24"/>
        <v>0</v>
      </c>
      <c r="J160" s="271">
        <f>'[4]BULANAN PTKP BARU'!W167</f>
        <v>203993</v>
      </c>
      <c r="K160" s="191">
        <f t="shared" si="25"/>
        <v>0</v>
      </c>
      <c r="L160" s="272" t="s">
        <v>69</v>
      </c>
      <c r="M160" s="197" t="s">
        <v>242</v>
      </c>
      <c r="N160" s="198" t="s">
        <v>303</v>
      </c>
      <c r="O160" s="199"/>
      <c r="P160" s="273"/>
    </row>
    <row r="161" spans="1:16" hidden="1">
      <c r="A161" s="188">
        <f t="shared" si="31"/>
        <v>45</v>
      </c>
      <c r="B161" s="192" t="str">
        <f t="shared" si="31"/>
        <v>HARYANTO</v>
      </c>
      <c r="C161" s="188" t="str">
        <f t="shared" si="31"/>
        <v>L</v>
      </c>
      <c r="D161" s="188" t="str">
        <f t="shared" si="31"/>
        <v>K/0</v>
      </c>
      <c r="E161" s="188">
        <f t="shared" si="31"/>
        <v>11</v>
      </c>
      <c r="F161" s="268">
        <f t="shared" si="27"/>
        <v>0</v>
      </c>
      <c r="G161" s="268">
        <f t="shared" si="22"/>
        <v>0</v>
      </c>
      <c r="H161" s="269">
        <f t="shared" si="23"/>
        <v>0</v>
      </c>
      <c r="I161" s="270">
        <f t="shared" si="24"/>
        <v>0</v>
      </c>
      <c r="J161" s="271">
        <f>'[4]BULANAN PTKP BARU'!W168</f>
        <v>140830</v>
      </c>
      <c r="K161" s="191">
        <f t="shared" si="25"/>
        <v>0</v>
      </c>
      <c r="L161" s="272" t="s">
        <v>69</v>
      </c>
      <c r="M161" s="154" t="s">
        <v>243</v>
      </c>
      <c r="N161" s="198" t="s">
        <v>192</v>
      </c>
      <c r="O161" s="199"/>
      <c r="P161" s="273"/>
    </row>
    <row r="162" spans="1:16" hidden="1">
      <c r="A162" s="188">
        <f t="shared" si="31"/>
        <v>46</v>
      </c>
      <c r="B162" s="192" t="str">
        <f t="shared" si="31"/>
        <v>ROSMANSYAH</v>
      </c>
      <c r="C162" s="188" t="str">
        <f t="shared" si="31"/>
        <v>L</v>
      </c>
      <c r="D162" s="188" t="str">
        <f t="shared" si="31"/>
        <v>TK/0</v>
      </c>
      <c r="E162" s="188">
        <f t="shared" si="31"/>
        <v>11</v>
      </c>
      <c r="F162" s="268">
        <f t="shared" si="27"/>
        <v>2415808.5999999866</v>
      </c>
      <c r="G162" s="268">
        <f t="shared" si="22"/>
        <v>2415000</v>
      </c>
      <c r="H162" s="269">
        <f t="shared" si="23"/>
        <v>120750</v>
      </c>
      <c r="I162" s="270">
        <f t="shared" si="24"/>
        <v>120750</v>
      </c>
      <c r="J162" s="271">
        <f>'[4]BULANAN PTKP BARU'!W169</f>
        <v>172504</v>
      </c>
      <c r="K162" s="191">
        <f t="shared" si="25"/>
        <v>0</v>
      </c>
      <c r="L162" s="272" t="s">
        <v>69</v>
      </c>
      <c r="M162" s="197" t="s">
        <v>244</v>
      </c>
      <c r="N162" s="198" t="s">
        <v>304</v>
      </c>
      <c r="O162" s="199"/>
      <c r="P162" s="273"/>
    </row>
    <row r="163" spans="1:16" hidden="1">
      <c r="A163" s="188" t="e">
        <f>#REF!</f>
        <v>#REF!</v>
      </c>
      <c r="B163" s="192" t="e">
        <f>#REF!</f>
        <v>#REF!</v>
      </c>
      <c r="C163" s="188" t="e">
        <f>#REF!</f>
        <v>#REF!</v>
      </c>
      <c r="D163" s="188" t="e">
        <f>#REF!</f>
        <v>#REF!</v>
      </c>
      <c r="E163" s="188" t="e">
        <f>#REF!</f>
        <v>#REF!</v>
      </c>
      <c r="F163" s="268" t="e">
        <f>#REF!</f>
        <v>#REF!</v>
      </c>
      <c r="G163" s="268" t="e">
        <f t="shared" si="22"/>
        <v>#REF!</v>
      </c>
      <c r="H163" s="269" t="e">
        <f t="shared" si="23"/>
        <v>#REF!</v>
      </c>
      <c r="I163" s="270" t="e">
        <f t="shared" si="24"/>
        <v>#REF!</v>
      </c>
      <c r="J163" s="271">
        <f>'[4]BULANAN PTKP BARU'!W170</f>
        <v>141008</v>
      </c>
      <c r="K163" s="191" t="e">
        <f t="shared" si="25"/>
        <v>#REF!</v>
      </c>
      <c r="L163" s="194" t="s">
        <v>401</v>
      </c>
      <c r="M163" s="154" t="s">
        <v>245</v>
      </c>
      <c r="N163" s="198" t="s">
        <v>305</v>
      </c>
      <c r="O163" s="199"/>
      <c r="P163" s="273"/>
    </row>
    <row r="164" spans="1:16" hidden="1">
      <c r="A164" s="188">
        <f t="shared" ref="A164:E165" si="32">A54</f>
        <v>47</v>
      </c>
      <c r="B164" s="192" t="str">
        <f t="shared" si="32"/>
        <v>KAMALUDIN</v>
      </c>
      <c r="C164" s="188" t="str">
        <f t="shared" si="32"/>
        <v>L</v>
      </c>
      <c r="D164" s="188" t="str">
        <f t="shared" si="32"/>
        <v>K/1</v>
      </c>
      <c r="E164" s="188">
        <f t="shared" si="32"/>
        <v>11</v>
      </c>
      <c r="F164" s="268">
        <f>T54</f>
        <v>0</v>
      </c>
      <c r="G164" s="268">
        <f t="shared" si="22"/>
        <v>0</v>
      </c>
      <c r="H164" s="269">
        <f t="shared" si="23"/>
        <v>0</v>
      </c>
      <c r="I164" s="270">
        <f t="shared" si="24"/>
        <v>0</v>
      </c>
      <c r="J164" s="271">
        <f>'[4]BULANAN PTKP BARU'!W171</f>
        <v>144598</v>
      </c>
      <c r="K164" s="191">
        <f t="shared" si="25"/>
        <v>0</v>
      </c>
      <c r="L164" s="272" t="s">
        <v>69</v>
      </c>
      <c r="M164" s="154" t="s">
        <v>246</v>
      </c>
      <c r="N164" s="198" t="s">
        <v>306</v>
      </c>
      <c r="O164" s="199"/>
      <c r="P164" s="273"/>
    </row>
    <row r="165" spans="1:16" hidden="1">
      <c r="A165" s="188">
        <f t="shared" si="32"/>
        <v>48</v>
      </c>
      <c r="B165" s="192" t="str">
        <f t="shared" si="32"/>
        <v>AZRI DONA</v>
      </c>
      <c r="C165" s="188" t="str">
        <f t="shared" si="32"/>
        <v>L</v>
      </c>
      <c r="D165" s="188" t="str">
        <f t="shared" si="32"/>
        <v>K/2</v>
      </c>
      <c r="E165" s="188">
        <f t="shared" si="32"/>
        <v>11</v>
      </c>
      <c r="F165" s="268">
        <f>T55</f>
        <v>0</v>
      </c>
      <c r="G165" s="268">
        <f t="shared" si="22"/>
        <v>0</v>
      </c>
      <c r="H165" s="269">
        <f t="shared" si="23"/>
        <v>0</v>
      </c>
      <c r="I165" s="270">
        <f t="shared" si="24"/>
        <v>0</v>
      </c>
      <c r="J165" s="271">
        <f>'[4]BULANAN PTKP BARU'!W172</f>
        <v>292243</v>
      </c>
      <c r="K165" s="191">
        <f t="shared" si="25"/>
        <v>0</v>
      </c>
      <c r="L165" s="272" t="s">
        <v>69</v>
      </c>
      <c r="M165" s="154" t="s">
        <v>247</v>
      </c>
      <c r="N165" s="198" t="s">
        <v>307</v>
      </c>
      <c r="O165" s="199"/>
      <c r="P165" s="273"/>
    </row>
    <row r="166" spans="1:16" hidden="1">
      <c r="A166" s="188">
        <f>A249</f>
        <v>49</v>
      </c>
      <c r="B166" s="192" t="str">
        <f>B249</f>
        <v>RINDI PRIANTO</v>
      </c>
      <c r="C166" s="188" t="str">
        <f>C249</f>
        <v>L</v>
      </c>
      <c r="D166" s="188" t="str">
        <f>D249</f>
        <v>K/1</v>
      </c>
      <c r="E166" s="188">
        <f>E249</f>
        <v>8</v>
      </c>
      <c r="F166" s="268">
        <f>T249</f>
        <v>0</v>
      </c>
      <c r="G166" s="268">
        <f t="shared" si="22"/>
        <v>0</v>
      </c>
      <c r="H166" s="269">
        <f t="shared" si="23"/>
        <v>0</v>
      </c>
      <c r="I166" s="270">
        <f t="shared" si="24"/>
        <v>0</v>
      </c>
      <c r="J166" s="271">
        <f>'[4]BULANAN PTKP BARU'!W173</f>
        <v>175761</v>
      </c>
      <c r="K166" s="191">
        <f t="shared" si="25"/>
        <v>0</v>
      </c>
      <c r="L166" s="272" t="s">
        <v>402</v>
      </c>
      <c r="M166" s="154" t="s">
        <v>248</v>
      </c>
      <c r="N166" s="198" t="s">
        <v>194</v>
      </c>
      <c r="O166" s="199"/>
      <c r="P166" s="273"/>
    </row>
    <row r="167" spans="1:16" hidden="1">
      <c r="A167" s="188">
        <f>A56</f>
        <v>49</v>
      </c>
      <c r="B167" s="192" t="str">
        <f>B56</f>
        <v>HALIK</v>
      </c>
      <c r="C167" s="188" t="str">
        <f>C56</f>
        <v>L</v>
      </c>
      <c r="D167" s="188" t="str">
        <f>D56</f>
        <v>K/2</v>
      </c>
      <c r="E167" s="188">
        <f>E56</f>
        <v>11</v>
      </c>
      <c r="F167" s="268">
        <f>T56</f>
        <v>0</v>
      </c>
      <c r="G167" s="268">
        <f t="shared" si="22"/>
        <v>0</v>
      </c>
      <c r="H167" s="269">
        <f t="shared" si="23"/>
        <v>0</v>
      </c>
      <c r="I167" s="270">
        <f t="shared" si="24"/>
        <v>0</v>
      </c>
      <c r="J167" s="271">
        <f>'[4]BULANAN PTKP BARU'!W174</f>
        <v>218355</v>
      </c>
      <c r="K167" s="191">
        <f t="shared" si="25"/>
        <v>0</v>
      </c>
      <c r="L167" s="272" t="s">
        <v>69</v>
      </c>
      <c r="M167" s="154" t="s">
        <v>249</v>
      </c>
      <c r="N167" s="198" t="s">
        <v>308</v>
      </c>
      <c r="O167" s="199"/>
      <c r="P167" s="273"/>
    </row>
    <row r="168" spans="1:16" hidden="1">
      <c r="A168" s="188">
        <f>A250</f>
        <v>51</v>
      </c>
      <c r="B168" s="192" t="str">
        <f>B250</f>
        <v>PUTRA ROMADHAN</v>
      </c>
      <c r="C168" s="188" t="str">
        <f>C250</f>
        <v>L</v>
      </c>
      <c r="D168" s="188" t="str">
        <f>D250</f>
        <v>K/2</v>
      </c>
      <c r="E168" s="188">
        <f>E250</f>
        <v>8</v>
      </c>
      <c r="F168" s="268">
        <f>T250</f>
        <v>0</v>
      </c>
      <c r="G168" s="268">
        <f t="shared" si="22"/>
        <v>0</v>
      </c>
      <c r="H168" s="269">
        <f t="shared" si="23"/>
        <v>0</v>
      </c>
      <c r="I168" s="270">
        <f t="shared" si="24"/>
        <v>0</v>
      </c>
      <c r="J168" s="271">
        <f>'[4]BULANAN PTKP BARU'!W175</f>
        <v>91577</v>
      </c>
      <c r="K168" s="191">
        <f t="shared" si="25"/>
        <v>0</v>
      </c>
      <c r="L168" s="272" t="s">
        <v>69</v>
      </c>
      <c r="M168" s="154" t="s">
        <v>250</v>
      </c>
      <c r="N168" s="198" t="s">
        <v>309</v>
      </c>
      <c r="O168" s="199"/>
      <c r="P168" s="273"/>
    </row>
    <row r="169" spans="1:16" hidden="1">
      <c r="A169" s="188">
        <f t="shared" ref="A169:E173" si="33">A57</f>
        <v>50</v>
      </c>
      <c r="B169" s="192" t="str">
        <f t="shared" si="33"/>
        <v>KARTONO</v>
      </c>
      <c r="C169" s="188" t="str">
        <f t="shared" si="33"/>
        <v>L</v>
      </c>
      <c r="D169" s="188" t="str">
        <f t="shared" si="33"/>
        <v>K/1</v>
      </c>
      <c r="E169" s="188">
        <f t="shared" si="33"/>
        <v>11</v>
      </c>
      <c r="F169" s="268">
        <f t="shared" ref="F169:F195" si="34">T57</f>
        <v>0</v>
      </c>
      <c r="G169" s="268">
        <f t="shared" si="22"/>
        <v>0</v>
      </c>
      <c r="H169" s="269">
        <f t="shared" si="23"/>
        <v>0</v>
      </c>
      <c r="I169" s="270">
        <f t="shared" si="24"/>
        <v>0</v>
      </c>
      <c r="J169" s="271">
        <f>'[4]BULANAN PTKP BARU'!W176</f>
        <v>87029</v>
      </c>
      <c r="K169" s="191">
        <f t="shared" si="25"/>
        <v>0</v>
      </c>
      <c r="L169" s="272" t="s">
        <v>69</v>
      </c>
      <c r="M169" s="154" t="s">
        <v>251</v>
      </c>
      <c r="N169" s="198" t="s">
        <v>310</v>
      </c>
      <c r="O169" s="199"/>
      <c r="P169" s="273"/>
    </row>
    <row r="170" spans="1:16" hidden="1">
      <c r="A170" s="188">
        <f t="shared" si="33"/>
        <v>51</v>
      </c>
      <c r="B170" s="192" t="str">
        <f t="shared" si="33"/>
        <v>LALU MANAR HADI</v>
      </c>
      <c r="C170" s="188" t="str">
        <f t="shared" si="33"/>
        <v>L</v>
      </c>
      <c r="D170" s="188" t="str">
        <f t="shared" si="33"/>
        <v>K/0</v>
      </c>
      <c r="E170" s="188">
        <f t="shared" si="33"/>
        <v>11</v>
      </c>
      <c r="F170" s="268">
        <f t="shared" si="34"/>
        <v>7276483.6500000134</v>
      </c>
      <c r="G170" s="268">
        <f t="shared" si="22"/>
        <v>7276000</v>
      </c>
      <c r="H170" s="269">
        <f t="shared" si="23"/>
        <v>363800</v>
      </c>
      <c r="I170" s="270">
        <f t="shared" si="24"/>
        <v>363800</v>
      </c>
      <c r="J170" s="271">
        <f>'[4]BULANAN PTKP BARU'!W177</f>
        <v>139307</v>
      </c>
      <c r="K170" s="191">
        <f t="shared" si="25"/>
        <v>224493</v>
      </c>
      <c r="L170" s="272" t="s">
        <v>69</v>
      </c>
      <c r="M170" s="154" t="s">
        <v>252</v>
      </c>
      <c r="N170" s="198" t="s">
        <v>311</v>
      </c>
      <c r="O170" s="199"/>
      <c r="P170" s="273"/>
    </row>
    <row r="171" spans="1:16" hidden="1">
      <c r="A171" s="188">
        <f t="shared" si="33"/>
        <v>52</v>
      </c>
      <c r="B171" s="192" t="str">
        <f t="shared" si="33"/>
        <v>ANHAR</v>
      </c>
      <c r="C171" s="188" t="str">
        <f t="shared" si="33"/>
        <v>L</v>
      </c>
      <c r="D171" s="188" t="str">
        <f t="shared" si="33"/>
        <v>K/2</v>
      </c>
      <c r="E171" s="188">
        <f t="shared" si="33"/>
        <v>11</v>
      </c>
      <c r="F171" s="268">
        <f t="shared" si="34"/>
        <v>0</v>
      </c>
      <c r="G171" s="268">
        <f t="shared" si="22"/>
        <v>0</v>
      </c>
      <c r="H171" s="269">
        <f t="shared" si="23"/>
        <v>0</v>
      </c>
      <c r="I171" s="270">
        <f t="shared" si="24"/>
        <v>0</v>
      </c>
      <c r="J171" s="271">
        <f>'[4]BULANAN PTKP BARU'!W178</f>
        <v>74850</v>
      </c>
      <c r="K171" s="191">
        <f t="shared" si="25"/>
        <v>0</v>
      </c>
      <c r="L171" s="272" t="s">
        <v>403</v>
      </c>
      <c r="M171" s="154" t="s">
        <v>253</v>
      </c>
      <c r="N171" s="198" t="s">
        <v>312</v>
      </c>
      <c r="O171" s="199"/>
      <c r="P171" s="273"/>
    </row>
    <row r="172" spans="1:16" hidden="1">
      <c r="A172" s="188">
        <f t="shared" si="33"/>
        <v>53</v>
      </c>
      <c r="B172" s="192" t="str">
        <f t="shared" si="33"/>
        <v>IRPAN SAMSUDIN</v>
      </c>
      <c r="C172" s="188" t="str">
        <f t="shared" si="33"/>
        <v>L</v>
      </c>
      <c r="D172" s="188" t="str">
        <f t="shared" si="33"/>
        <v>TK/0</v>
      </c>
      <c r="E172" s="188">
        <f t="shared" si="33"/>
        <v>7</v>
      </c>
      <c r="F172" s="268">
        <f t="shared" si="34"/>
        <v>0</v>
      </c>
      <c r="G172" s="268">
        <f t="shared" si="22"/>
        <v>0</v>
      </c>
      <c r="H172" s="269">
        <f t="shared" si="23"/>
        <v>0</v>
      </c>
      <c r="I172" s="270">
        <f t="shared" si="24"/>
        <v>0</v>
      </c>
      <c r="J172" s="271">
        <f>'[4]BULANAN PTKP BARU'!W179</f>
        <v>63527</v>
      </c>
      <c r="K172" s="191">
        <f t="shared" si="25"/>
        <v>0</v>
      </c>
      <c r="L172" s="272" t="s">
        <v>69</v>
      </c>
      <c r="M172" s="154" t="s">
        <v>254</v>
      </c>
      <c r="N172" s="198" t="s">
        <v>313</v>
      </c>
      <c r="O172" s="199"/>
      <c r="P172" s="273"/>
    </row>
    <row r="173" spans="1:16" hidden="1">
      <c r="A173" s="188">
        <f t="shared" si="33"/>
        <v>54</v>
      </c>
      <c r="B173" s="192" t="str">
        <f t="shared" si="33"/>
        <v>ADI . JP</v>
      </c>
      <c r="C173" s="188" t="str">
        <f t="shared" si="33"/>
        <v>L</v>
      </c>
      <c r="D173" s="188" t="str">
        <f t="shared" si="33"/>
        <v>K/2</v>
      </c>
      <c r="E173" s="188">
        <f t="shared" si="33"/>
        <v>11</v>
      </c>
      <c r="F173" s="268">
        <f t="shared" si="34"/>
        <v>0</v>
      </c>
      <c r="G173" s="268">
        <f t="shared" si="22"/>
        <v>0</v>
      </c>
      <c r="H173" s="269">
        <f t="shared" si="23"/>
        <v>0</v>
      </c>
      <c r="I173" s="270">
        <f t="shared" si="24"/>
        <v>0</v>
      </c>
      <c r="J173" s="271">
        <f>'[4]BULANAN PTKP BARU'!W180</f>
        <v>52692</v>
      </c>
      <c r="K173" s="191">
        <f t="shared" si="25"/>
        <v>0</v>
      </c>
      <c r="L173" s="272" t="s">
        <v>69</v>
      </c>
      <c r="M173" s="154" t="s">
        <v>255</v>
      </c>
      <c r="N173" s="198" t="s">
        <v>314</v>
      </c>
      <c r="O173" s="199"/>
      <c r="P173" s="273"/>
    </row>
    <row r="174" spans="1:16" hidden="1">
      <c r="A174" s="188">
        <f t="shared" ref="A174:E183" si="35">A62</f>
        <v>55</v>
      </c>
      <c r="B174" s="192" t="str">
        <f t="shared" si="35"/>
        <v>RUDI</v>
      </c>
      <c r="C174" s="188" t="str">
        <f t="shared" si="35"/>
        <v>L</v>
      </c>
      <c r="D174" s="188" t="str">
        <f t="shared" si="35"/>
        <v>K/2</v>
      </c>
      <c r="E174" s="188">
        <f t="shared" si="35"/>
        <v>11</v>
      </c>
      <c r="F174" s="268">
        <f t="shared" si="34"/>
        <v>0</v>
      </c>
      <c r="G174" s="268">
        <f t="shared" si="22"/>
        <v>0</v>
      </c>
      <c r="H174" s="269">
        <f t="shared" si="23"/>
        <v>0</v>
      </c>
      <c r="I174" s="270">
        <f t="shared" si="24"/>
        <v>0</v>
      </c>
      <c r="J174" s="271">
        <f>'[4]BULANAN PTKP BARU'!W181</f>
        <v>88947</v>
      </c>
      <c r="K174" s="191">
        <f t="shared" si="25"/>
        <v>0</v>
      </c>
      <c r="L174" s="272" t="s">
        <v>404</v>
      </c>
      <c r="M174" s="154" t="s">
        <v>256</v>
      </c>
      <c r="N174" s="198" t="s">
        <v>192</v>
      </c>
      <c r="O174" s="199"/>
      <c r="P174" s="273"/>
    </row>
    <row r="175" spans="1:16" hidden="1">
      <c r="A175" s="188">
        <f t="shared" si="35"/>
        <v>56</v>
      </c>
      <c r="B175" s="192" t="str">
        <f t="shared" si="35"/>
        <v>SUDIANTO</v>
      </c>
      <c r="C175" s="188" t="str">
        <f t="shared" si="35"/>
        <v>L</v>
      </c>
      <c r="D175" s="188" t="str">
        <f t="shared" si="35"/>
        <v>TK/0</v>
      </c>
      <c r="E175" s="188">
        <f t="shared" si="35"/>
        <v>11</v>
      </c>
      <c r="F175" s="268">
        <f t="shared" si="34"/>
        <v>0</v>
      </c>
      <c r="G175" s="268">
        <f t="shared" si="22"/>
        <v>0</v>
      </c>
      <c r="H175" s="269">
        <f t="shared" si="23"/>
        <v>0</v>
      </c>
      <c r="I175" s="270">
        <f t="shared" si="24"/>
        <v>0</v>
      </c>
      <c r="J175" s="271">
        <f>'[4]BULANAN PTKP BARU'!W182</f>
        <v>139803</v>
      </c>
      <c r="K175" s="191">
        <f t="shared" si="25"/>
        <v>0</v>
      </c>
      <c r="L175" s="272" t="s">
        <v>69</v>
      </c>
      <c r="M175" s="154" t="s">
        <v>257</v>
      </c>
      <c r="N175" s="198" t="s">
        <v>196</v>
      </c>
      <c r="O175" s="199"/>
      <c r="P175" s="273"/>
    </row>
    <row r="176" spans="1:16" hidden="1">
      <c r="A176" s="188">
        <f t="shared" si="35"/>
        <v>57</v>
      </c>
      <c r="B176" s="192" t="str">
        <f t="shared" si="35"/>
        <v>SALEH</v>
      </c>
      <c r="C176" s="188" t="str">
        <f t="shared" si="35"/>
        <v>L</v>
      </c>
      <c r="D176" s="188" t="str">
        <f t="shared" si="35"/>
        <v>K/0</v>
      </c>
      <c r="E176" s="188">
        <f t="shared" si="35"/>
        <v>11</v>
      </c>
      <c r="F176" s="268">
        <f t="shared" si="34"/>
        <v>0</v>
      </c>
      <c r="G176" s="268">
        <f t="shared" si="22"/>
        <v>0</v>
      </c>
      <c r="H176" s="269">
        <f t="shared" si="23"/>
        <v>0</v>
      </c>
      <c r="I176" s="270">
        <f t="shared" si="24"/>
        <v>0</v>
      </c>
      <c r="J176" s="271">
        <f>'[4]BULANAN PTKP BARU'!W183</f>
        <v>81419</v>
      </c>
      <c r="K176" s="191">
        <f t="shared" si="25"/>
        <v>0</v>
      </c>
      <c r="L176" s="272" t="s">
        <v>405</v>
      </c>
      <c r="M176" s="154" t="s">
        <v>258</v>
      </c>
      <c r="N176" s="198" t="s">
        <v>193</v>
      </c>
      <c r="O176" s="199"/>
      <c r="P176" s="273"/>
    </row>
    <row r="177" spans="1:16" hidden="1">
      <c r="A177" s="188">
        <f t="shared" si="35"/>
        <v>58</v>
      </c>
      <c r="B177" s="192" t="str">
        <f t="shared" si="35"/>
        <v>ANDRIANSYAH</v>
      </c>
      <c r="C177" s="188" t="str">
        <f t="shared" si="35"/>
        <v>L</v>
      </c>
      <c r="D177" s="188" t="str">
        <f t="shared" si="35"/>
        <v>K/2</v>
      </c>
      <c r="E177" s="188">
        <f t="shared" si="35"/>
        <v>11</v>
      </c>
      <c r="F177" s="268">
        <f t="shared" si="34"/>
        <v>0</v>
      </c>
      <c r="G177" s="268">
        <f t="shared" si="22"/>
        <v>0</v>
      </c>
      <c r="H177" s="269">
        <f t="shared" si="23"/>
        <v>0</v>
      </c>
      <c r="I177" s="270">
        <f t="shared" si="24"/>
        <v>0</v>
      </c>
      <c r="J177" s="271">
        <f>'[4]BULANAN PTKP BARU'!W184</f>
        <v>91816</v>
      </c>
      <c r="K177" s="191">
        <f t="shared" si="25"/>
        <v>0</v>
      </c>
      <c r="L177" s="272" t="s">
        <v>69</v>
      </c>
      <c r="M177" s="154" t="s">
        <v>259</v>
      </c>
      <c r="N177" s="198" t="s">
        <v>192</v>
      </c>
      <c r="O177" s="199"/>
      <c r="P177" s="273"/>
    </row>
    <row r="178" spans="1:16" hidden="1">
      <c r="A178" s="188">
        <f t="shared" si="35"/>
        <v>59</v>
      </c>
      <c r="B178" s="192" t="str">
        <f t="shared" si="35"/>
        <v>HENDRI</v>
      </c>
      <c r="C178" s="188" t="str">
        <f t="shared" si="35"/>
        <v>L</v>
      </c>
      <c r="D178" s="188" t="str">
        <f t="shared" si="35"/>
        <v>K/2</v>
      </c>
      <c r="E178" s="188">
        <f t="shared" si="35"/>
        <v>11</v>
      </c>
      <c r="F178" s="268">
        <f t="shared" si="34"/>
        <v>0</v>
      </c>
      <c r="G178" s="268">
        <f t="shared" si="22"/>
        <v>0</v>
      </c>
      <c r="H178" s="269">
        <f t="shared" si="23"/>
        <v>0</v>
      </c>
      <c r="I178" s="270">
        <f t="shared" si="24"/>
        <v>0</v>
      </c>
      <c r="J178" s="271">
        <f>'[4]BULANAN PTKP BARU'!W185</f>
        <v>158445</v>
      </c>
      <c r="K178" s="191">
        <f t="shared" si="25"/>
        <v>0</v>
      </c>
      <c r="L178" s="272" t="s">
        <v>69</v>
      </c>
      <c r="M178" s="154" t="s">
        <v>260</v>
      </c>
      <c r="N178" s="198" t="s">
        <v>284</v>
      </c>
      <c r="O178" s="199"/>
      <c r="P178" s="273"/>
    </row>
    <row r="179" spans="1:16" hidden="1">
      <c r="A179" s="188">
        <f t="shared" si="35"/>
        <v>60</v>
      </c>
      <c r="B179" s="192" t="str">
        <f t="shared" si="35"/>
        <v>POPPY ADEYANTI</v>
      </c>
      <c r="C179" s="188" t="str">
        <f t="shared" si="35"/>
        <v>P</v>
      </c>
      <c r="D179" s="188" t="str">
        <f t="shared" si="35"/>
        <v>TK/0</v>
      </c>
      <c r="E179" s="188">
        <f t="shared" si="35"/>
        <v>11</v>
      </c>
      <c r="F179" s="268">
        <f t="shared" si="34"/>
        <v>3917152.799999997</v>
      </c>
      <c r="G179" s="268">
        <f t="shared" si="22"/>
        <v>3917000</v>
      </c>
      <c r="H179" s="269">
        <f t="shared" si="23"/>
        <v>195850</v>
      </c>
      <c r="I179" s="270">
        <f t="shared" si="24"/>
        <v>195850</v>
      </c>
      <c r="J179" s="271">
        <f>'[4]BULANAN PTKP BARU'!W186</f>
        <v>159174</v>
      </c>
      <c r="K179" s="191">
        <f t="shared" si="25"/>
        <v>36676</v>
      </c>
      <c r="L179" s="272" t="s">
        <v>69</v>
      </c>
      <c r="M179" s="154" t="s">
        <v>261</v>
      </c>
      <c r="N179" s="198" t="s">
        <v>190</v>
      </c>
      <c r="O179" s="199"/>
      <c r="P179" s="273"/>
    </row>
    <row r="180" spans="1:16" hidden="1">
      <c r="A180" s="188">
        <f t="shared" si="35"/>
        <v>61</v>
      </c>
      <c r="B180" s="192" t="str">
        <f t="shared" si="35"/>
        <v>HARYADI</v>
      </c>
      <c r="C180" s="188" t="str">
        <f t="shared" si="35"/>
        <v>L</v>
      </c>
      <c r="D180" s="188" t="str">
        <f t="shared" si="35"/>
        <v>K/1</v>
      </c>
      <c r="E180" s="188">
        <f t="shared" si="35"/>
        <v>11</v>
      </c>
      <c r="F180" s="268">
        <f t="shared" si="34"/>
        <v>0</v>
      </c>
      <c r="G180" s="268">
        <f t="shared" si="22"/>
        <v>0</v>
      </c>
      <c r="H180" s="269">
        <f t="shared" si="23"/>
        <v>0</v>
      </c>
      <c r="I180" s="270">
        <f t="shared" si="24"/>
        <v>0</v>
      </c>
      <c r="J180" s="271">
        <f>'[4]BULANAN PTKP BARU'!W187</f>
        <v>138356</v>
      </c>
      <c r="K180" s="191">
        <f t="shared" si="25"/>
        <v>0</v>
      </c>
      <c r="L180" s="272" t="s">
        <v>69</v>
      </c>
      <c r="M180" s="154" t="s">
        <v>262</v>
      </c>
      <c r="N180" s="198" t="s">
        <v>190</v>
      </c>
      <c r="O180" s="199"/>
      <c r="P180" s="273"/>
    </row>
    <row r="181" spans="1:16" hidden="1">
      <c r="A181" s="188">
        <f t="shared" si="35"/>
        <v>62</v>
      </c>
      <c r="B181" s="192">
        <f t="shared" si="35"/>
        <v>0</v>
      </c>
      <c r="C181" s="188">
        <f t="shared" si="35"/>
        <v>0</v>
      </c>
      <c r="D181" s="188">
        <f t="shared" si="35"/>
        <v>0</v>
      </c>
      <c r="E181" s="188">
        <f t="shared" si="35"/>
        <v>0</v>
      </c>
      <c r="F181" s="268">
        <f t="shared" si="34"/>
        <v>0</v>
      </c>
      <c r="G181" s="268">
        <f t="shared" ref="G181:G221" si="36">ROUNDDOWN(F181,-3)</f>
        <v>0</v>
      </c>
      <c r="H181" s="269">
        <f>IF(L181="",G181*6%,G181*5%)</f>
        <v>0</v>
      </c>
      <c r="I181" s="270">
        <f t="shared" ref="I181:I221" si="37">H181</f>
        <v>0</v>
      </c>
      <c r="J181" s="271">
        <f>'[4]BULANAN PTKP BARU'!W188</f>
        <v>90785</v>
      </c>
      <c r="K181" s="191">
        <f t="shared" ref="K181:K221" si="38">IF(I181&lt;=J181,0,IF(I181&gt;J181,I181-J181))</f>
        <v>0</v>
      </c>
      <c r="L181" s="272" t="s">
        <v>69</v>
      </c>
      <c r="M181" s="154" t="s">
        <v>263</v>
      </c>
      <c r="N181" s="198" t="s">
        <v>311</v>
      </c>
      <c r="O181" s="199"/>
      <c r="P181" s="273"/>
    </row>
    <row r="182" spans="1:16" hidden="1">
      <c r="A182" s="188">
        <f t="shared" si="35"/>
        <v>63</v>
      </c>
      <c r="B182" s="192">
        <f t="shared" si="35"/>
        <v>0</v>
      </c>
      <c r="C182" s="188">
        <f t="shared" si="35"/>
        <v>0</v>
      </c>
      <c r="D182" s="188">
        <f t="shared" si="35"/>
        <v>0</v>
      </c>
      <c r="E182" s="188">
        <f t="shared" si="35"/>
        <v>0</v>
      </c>
      <c r="F182" s="268">
        <f t="shared" si="34"/>
        <v>0</v>
      </c>
      <c r="G182" s="268">
        <f t="shared" si="36"/>
        <v>0</v>
      </c>
      <c r="H182" s="269">
        <f t="shared" ref="H182:H221" si="39">IF(L182="",G182*6%,G182*5%)</f>
        <v>0</v>
      </c>
      <c r="I182" s="270">
        <f t="shared" si="37"/>
        <v>0</v>
      </c>
      <c r="J182" s="271">
        <f>'[4]BULANAN PTKP BARU'!W189</f>
        <v>0</v>
      </c>
      <c r="K182" s="191">
        <f t="shared" si="38"/>
        <v>0</v>
      </c>
      <c r="L182" s="272" t="s">
        <v>69</v>
      </c>
      <c r="M182" s="154" t="s">
        <v>264</v>
      </c>
      <c r="N182" s="198" t="s">
        <v>315</v>
      </c>
      <c r="O182" s="199"/>
      <c r="P182" s="273"/>
    </row>
    <row r="183" spans="1:16" hidden="1">
      <c r="A183" s="188">
        <f t="shared" si="35"/>
        <v>64</v>
      </c>
      <c r="B183" s="192">
        <f t="shared" si="35"/>
        <v>0</v>
      </c>
      <c r="C183" s="188">
        <f t="shared" si="35"/>
        <v>0</v>
      </c>
      <c r="D183" s="188">
        <f t="shared" si="35"/>
        <v>0</v>
      </c>
      <c r="E183" s="188">
        <f t="shared" si="35"/>
        <v>0</v>
      </c>
      <c r="F183" s="268">
        <f t="shared" si="34"/>
        <v>0</v>
      </c>
      <c r="G183" s="268">
        <f t="shared" si="36"/>
        <v>0</v>
      </c>
      <c r="H183" s="269">
        <f t="shared" si="39"/>
        <v>0</v>
      </c>
      <c r="I183" s="270">
        <f t="shared" si="37"/>
        <v>0</v>
      </c>
      <c r="J183" s="271">
        <f>'[4]BULANAN PTKP BARU'!W190</f>
        <v>0</v>
      </c>
      <c r="K183" s="191">
        <f t="shared" si="38"/>
        <v>0</v>
      </c>
      <c r="L183" s="272" t="s">
        <v>69</v>
      </c>
      <c r="M183" s="154" t="s">
        <v>265</v>
      </c>
      <c r="N183" s="198" t="s">
        <v>316</v>
      </c>
      <c r="O183" s="199"/>
      <c r="P183" s="273"/>
    </row>
    <row r="184" spans="1:16" hidden="1">
      <c r="A184" s="188">
        <f t="shared" ref="A184:E193" si="40">A72</f>
        <v>65</v>
      </c>
      <c r="B184" s="192">
        <f t="shared" si="40"/>
        <v>0</v>
      </c>
      <c r="C184" s="188">
        <f t="shared" si="40"/>
        <v>0</v>
      </c>
      <c r="D184" s="188">
        <f t="shared" si="40"/>
        <v>0</v>
      </c>
      <c r="E184" s="188">
        <f t="shared" si="40"/>
        <v>0</v>
      </c>
      <c r="F184" s="268">
        <f t="shared" si="34"/>
        <v>0</v>
      </c>
      <c r="G184" s="268">
        <f t="shared" si="36"/>
        <v>0</v>
      </c>
      <c r="H184" s="269">
        <f t="shared" si="39"/>
        <v>0</v>
      </c>
      <c r="I184" s="270">
        <f t="shared" si="37"/>
        <v>0</v>
      </c>
      <c r="J184" s="271">
        <f>'[4]BULANAN PTKP BARU'!W191</f>
        <v>192443</v>
      </c>
      <c r="K184" s="191">
        <f t="shared" si="38"/>
        <v>0</v>
      </c>
      <c r="L184" s="272" t="s">
        <v>406</v>
      </c>
      <c r="M184" s="154" t="s">
        <v>266</v>
      </c>
      <c r="N184" s="198" t="s">
        <v>317</v>
      </c>
      <c r="O184" s="199"/>
      <c r="P184" s="273"/>
    </row>
    <row r="185" spans="1:16" hidden="1">
      <c r="A185" s="188">
        <f t="shared" si="40"/>
        <v>66</v>
      </c>
      <c r="B185" s="192">
        <f t="shared" si="40"/>
        <v>0</v>
      </c>
      <c r="C185" s="188">
        <f t="shared" si="40"/>
        <v>0</v>
      </c>
      <c r="D185" s="188">
        <f t="shared" si="40"/>
        <v>0</v>
      </c>
      <c r="E185" s="188">
        <f t="shared" si="40"/>
        <v>0</v>
      </c>
      <c r="F185" s="268">
        <f t="shared" si="34"/>
        <v>0</v>
      </c>
      <c r="G185" s="268">
        <f t="shared" si="36"/>
        <v>0</v>
      </c>
      <c r="H185" s="269">
        <f t="shared" si="39"/>
        <v>0</v>
      </c>
      <c r="I185" s="270">
        <f t="shared" si="37"/>
        <v>0</v>
      </c>
      <c r="J185" s="271">
        <f>'[4]BULANAN PTKP BARU'!W192</f>
        <v>54643</v>
      </c>
      <c r="K185" s="191">
        <f t="shared" si="38"/>
        <v>0</v>
      </c>
      <c r="L185" s="272" t="s">
        <v>69</v>
      </c>
      <c r="M185" s="154" t="s">
        <v>267</v>
      </c>
      <c r="N185" s="198" t="s">
        <v>318</v>
      </c>
      <c r="O185" s="199"/>
      <c r="P185" s="273"/>
    </row>
    <row r="186" spans="1:16" hidden="1">
      <c r="A186" s="188">
        <f t="shared" si="40"/>
        <v>67</v>
      </c>
      <c r="B186" s="192">
        <f t="shared" si="40"/>
        <v>0</v>
      </c>
      <c r="C186" s="188">
        <f t="shared" si="40"/>
        <v>0</v>
      </c>
      <c r="D186" s="188">
        <f t="shared" si="40"/>
        <v>0</v>
      </c>
      <c r="E186" s="188">
        <f t="shared" si="40"/>
        <v>0</v>
      </c>
      <c r="F186" s="268">
        <f t="shared" si="34"/>
        <v>0</v>
      </c>
      <c r="G186" s="268">
        <f t="shared" si="36"/>
        <v>0</v>
      </c>
      <c r="H186" s="269">
        <f t="shared" si="39"/>
        <v>0</v>
      </c>
      <c r="I186" s="270">
        <f t="shared" si="37"/>
        <v>0</v>
      </c>
      <c r="J186" s="271">
        <f>'[4]BULANAN PTKP BARU'!W193</f>
        <v>0</v>
      </c>
      <c r="K186" s="191">
        <f t="shared" si="38"/>
        <v>0</v>
      </c>
      <c r="L186" s="272" t="s">
        <v>69</v>
      </c>
      <c r="M186" s="154" t="s">
        <v>268</v>
      </c>
      <c r="N186" s="198" t="s">
        <v>319</v>
      </c>
      <c r="O186" s="199"/>
      <c r="P186" s="273"/>
    </row>
    <row r="187" spans="1:16" hidden="1">
      <c r="A187" s="188">
        <f t="shared" si="40"/>
        <v>68</v>
      </c>
      <c r="B187" s="192">
        <f t="shared" si="40"/>
        <v>0</v>
      </c>
      <c r="C187" s="188">
        <f t="shared" si="40"/>
        <v>0</v>
      </c>
      <c r="D187" s="188">
        <f t="shared" si="40"/>
        <v>0</v>
      </c>
      <c r="E187" s="188">
        <f t="shared" si="40"/>
        <v>0</v>
      </c>
      <c r="F187" s="268">
        <f t="shared" si="34"/>
        <v>0</v>
      </c>
      <c r="G187" s="268">
        <f t="shared" si="36"/>
        <v>0</v>
      </c>
      <c r="H187" s="269">
        <f t="shared" si="39"/>
        <v>0</v>
      </c>
      <c r="I187" s="270">
        <f t="shared" si="37"/>
        <v>0</v>
      </c>
      <c r="J187" s="271">
        <f>'[4]BULANAN PTKP BARU'!W194</f>
        <v>0</v>
      </c>
      <c r="K187" s="191">
        <f t="shared" si="38"/>
        <v>0</v>
      </c>
      <c r="L187" s="272" t="s">
        <v>69</v>
      </c>
      <c r="M187" s="154" t="s">
        <v>269</v>
      </c>
      <c r="N187" s="198" t="s">
        <v>275</v>
      </c>
      <c r="O187" s="199"/>
      <c r="P187" s="273"/>
    </row>
    <row r="188" spans="1:16" hidden="1">
      <c r="A188" s="188">
        <f t="shared" si="40"/>
        <v>69</v>
      </c>
      <c r="B188" s="192">
        <f t="shared" si="40"/>
        <v>0</v>
      </c>
      <c r="C188" s="188">
        <f t="shared" si="40"/>
        <v>0</v>
      </c>
      <c r="D188" s="188">
        <f t="shared" si="40"/>
        <v>0</v>
      </c>
      <c r="E188" s="188">
        <f t="shared" si="40"/>
        <v>0</v>
      </c>
      <c r="F188" s="268">
        <f t="shared" si="34"/>
        <v>0</v>
      </c>
      <c r="G188" s="268">
        <f t="shared" si="36"/>
        <v>0</v>
      </c>
      <c r="H188" s="269">
        <f t="shared" si="39"/>
        <v>0</v>
      </c>
      <c r="I188" s="270">
        <f t="shared" si="37"/>
        <v>0</v>
      </c>
      <c r="J188" s="271">
        <f>'[4]BULANAN PTKP BARU'!W195</f>
        <v>0</v>
      </c>
      <c r="K188" s="191">
        <f t="shared" si="38"/>
        <v>0</v>
      </c>
      <c r="L188" s="272" t="s">
        <v>69</v>
      </c>
      <c r="M188" s="154" t="s">
        <v>270</v>
      </c>
      <c r="N188" s="198" t="s">
        <v>320</v>
      </c>
      <c r="O188" s="199"/>
      <c r="P188" s="273"/>
    </row>
    <row r="189" spans="1:16" hidden="1">
      <c r="A189" s="188">
        <f t="shared" si="40"/>
        <v>70</v>
      </c>
      <c r="B189" s="192">
        <f t="shared" si="40"/>
        <v>0</v>
      </c>
      <c r="C189" s="188">
        <f t="shared" si="40"/>
        <v>0</v>
      </c>
      <c r="D189" s="188">
        <f t="shared" si="40"/>
        <v>0</v>
      </c>
      <c r="E189" s="188">
        <f t="shared" si="40"/>
        <v>0</v>
      </c>
      <c r="F189" s="268">
        <f t="shared" si="34"/>
        <v>0</v>
      </c>
      <c r="G189" s="268">
        <f t="shared" si="36"/>
        <v>0</v>
      </c>
      <c r="H189" s="269">
        <f t="shared" si="39"/>
        <v>0</v>
      </c>
      <c r="I189" s="270">
        <f t="shared" si="37"/>
        <v>0</v>
      </c>
      <c r="J189" s="271">
        <f>'[4]BULANAN PTKP BARU'!W196</f>
        <v>0</v>
      </c>
      <c r="K189" s="191">
        <f t="shared" si="38"/>
        <v>0</v>
      </c>
      <c r="L189" s="272" t="s">
        <v>69</v>
      </c>
      <c r="M189" s="154" t="s">
        <v>271</v>
      </c>
      <c r="N189" s="198" t="s">
        <v>321</v>
      </c>
      <c r="O189" s="199"/>
      <c r="P189" s="273"/>
    </row>
    <row r="190" spans="1:16" hidden="1">
      <c r="A190" s="188">
        <f t="shared" si="40"/>
        <v>71</v>
      </c>
      <c r="B190" s="192">
        <f t="shared" si="40"/>
        <v>0</v>
      </c>
      <c r="C190" s="188">
        <f t="shared" si="40"/>
        <v>0</v>
      </c>
      <c r="D190" s="188">
        <f t="shared" si="40"/>
        <v>0</v>
      </c>
      <c r="E190" s="188">
        <f t="shared" si="40"/>
        <v>0</v>
      </c>
      <c r="F190" s="268">
        <f t="shared" si="34"/>
        <v>0</v>
      </c>
      <c r="G190" s="268">
        <f t="shared" si="36"/>
        <v>0</v>
      </c>
      <c r="H190" s="269">
        <f t="shared" si="39"/>
        <v>0</v>
      </c>
      <c r="I190" s="270">
        <f t="shared" si="37"/>
        <v>0</v>
      </c>
      <c r="J190" s="271">
        <f>'[4]BULANAN PTKP BARU'!W197</f>
        <v>0</v>
      </c>
      <c r="K190" s="191">
        <f t="shared" si="38"/>
        <v>0</v>
      </c>
      <c r="L190" s="272" t="s">
        <v>69</v>
      </c>
      <c r="M190" s="154" t="s">
        <v>272</v>
      </c>
      <c r="N190" s="198" t="s">
        <v>321</v>
      </c>
      <c r="O190" s="199"/>
      <c r="P190" s="273"/>
    </row>
    <row r="191" spans="1:16" hidden="1">
      <c r="A191" s="188">
        <f t="shared" si="40"/>
        <v>72</v>
      </c>
      <c r="B191" s="192">
        <f t="shared" si="40"/>
        <v>0</v>
      </c>
      <c r="C191" s="188">
        <f t="shared" si="40"/>
        <v>0</v>
      </c>
      <c r="D191" s="188">
        <f t="shared" si="40"/>
        <v>0</v>
      </c>
      <c r="E191" s="188">
        <f t="shared" si="40"/>
        <v>0</v>
      </c>
      <c r="F191" s="268">
        <f t="shared" si="34"/>
        <v>0</v>
      </c>
      <c r="G191" s="268">
        <f t="shared" si="36"/>
        <v>0</v>
      </c>
      <c r="H191" s="269">
        <f t="shared" si="39"/>
        <v>0</v>
      </c>
      <c r="I191" s="270">
        <f t="shared" si="37"/>
        <v>0</v>
      </c>
      <c r="J191" s="271">
        <f>'[4]BULANAN PTKP BARU'!W198</f>
        <v>0</v>
      </c>
      <c r="K191" s="191">
        <f t="shared" si="38"/>
        <v>0</v>
      </c>
      <c r="L191" s="194"/>
      <c r="N191" s="198"/>
      <c r="O191" s="199"/>
      <c r="P191" s="273"/>
    </row>
    <row r="192" spans="1:16" hidden="1">
      <c r="A192" s="188">
        <f t="shared" si="40"/>
        <v>73</v>
      </c>
      <c r="B192" s="192">
        <f t="shared" si="40"/>
        <v>0</v>
      </c>
      <c r="C192" s="188">
        <f t="shared" si="40"/>
        <v>0</v>
      </c>
      <c r="D192" s="188">
        <f t="shared" si="40"/>
        <v>0</v>
      </c>
      <c r="E192" s="188">
        <f t="shared" si="40"/>
        <v>0</v>
      </c>
      <c r="F192" s="268">
        <f t="shared" si="34"/>
        <v>0</v>
      </c>
      <c r="G192" s="268">
        <f t="shared" si="36"/>
        <v>0</v>
      </c>
      <c r="H192" s="269">
        <f t="shared" si="39"/>
        <v>0</v>
      </c>
      <c r="I192" s="270">
        <f t="shared" si="37"/>
        <v>0</v>
      </c>
      <c r="J192" s="271">
        <f>'[4]BULANAN PTKP BARU'!W199</f>
        <v>0</v>
      </c>
      <c r="K192" s="191">
        <f t="shared" si="38"/>
        <v>0</v>
      </c>
      <c r="L192" s="194"/>
      <c r="N192" s="198"/>
      <c r="O192" s="199"/>
      <c r="P192" s="273"/>
    </row>
    <row r="193" spans="1:16" hidden="1">
      <c r="A193" s="188">
        <f t="shared" si="40"/>
        <v>74</v>
      </c>
      <c r="B193" s="192">
        <f t="shared" si="40"/>
        <v>0</v>
      </c>
      <c r="C193" s="188">
        <f t="shared" si="40"/>
        <v>0</v>
      </c>
      <c r="D193" s="188">
        <f t="shared" si="40"/>
        <v>0</v>
      </c>
      <c r="E193" s="188">
        <f t="shared" si="40"/>
        <v>0</v>
      </c>
      <c r="F193" s="268">
        <f t="shared" si="34"/>
        <v>0</v>
      </c>
      <c r="G193" s="268">
        <f t="shared" si="36"/>
        <v>0</v>
      </c>
      <c r="H193" s="269">
        <f t="shared" si="39"/>
        <v>0</v>
      </c>
      <c r="I193" s="270">
        <f t="shared" si="37"/>
        <v>0</v>
      </c>
      <c r="J193" s="271">
        <f>'[4]BULANAN PTKP BARU'!W200</f>
        <v>0</v>
      </c>
      <c r="K193" s="191">
        <f t="shared" si="38"/>
        <v>0</v>
      </c>
      <c r="L193" s="194"/>
      <c r="N193" s="198"/>
      <c r="O193" s="199"/>
      <c r="P193" s="273"/>
    </row>
    <row r="194" spans="1:16" hidden="1">
      <c r="A194" s="188">
        <f t="shared" ref="A194:E203" si="41">A82</f>
        <v>75</v>
      </c>
      <c r="B194" s="192">
        <f t="shared" si="41"/>
        <v>0</v>
      </c>
      <c r="C194" s="188">
        <f t="shared" si="41"/>
        <v>0</v>
      </c>
      <c r="D194" s="188">
        <f t="shared" si="41"/>
        <v>0</v>
      </c>
      <c r="E194" s="188">
        <f t="shared" si="41"/>
        <v>0</v>
      </c>
      <c r="F194" s="268">
        <f t="shared" si="34"/>
        <v>0</v>
      </c>
      <c r="G194" s="268">
        <f t="shared" si="36"/>
        <v>0</v>
      </c>
      <c r="H194" s="269">
        <f t="shared" si="39"/>
        <v>0</v>
      </c>
      <c r="I194" s="270">
        <f t="shared" si="37"/>
        <v>0</v>
      </c>
      <c r="J194" s="271">
        <f>'[4]BULANAN PTKP BARU'!W201</f>
        <v>0</v>
      </c>
      <c r="K194" s="191">
        <f t="shared" si="38"/>
        <v>0</v>
      </c>
      <c r="L194" s="194"/>
      <c r="N194" s="198"/>
      <c r="O194" s="199"/>
      <c r="P194" s="273"/>
    </row>
    <row r="195" spans="1:16" hidden="1">
      <c r="A195" s="188">
        <f t="shared" si="41"/>
        <v>76</v>
      </c>
      <c r="B195" s="192">
        <f t="shared" si="41"/>
        <v>0</v>
      </c>
      <c r="C195" s="188">
        <f t="shared" si="41"/>
        <v>0</v>
      </c>
      <c r="D195" s="188">
        <f t="shared" si="41"/>
        <v>0</v>
      </c>
      <c r="E195" s="188">
        <f t="shared" si="41"/>
        <v>0</v>
      </c>
      <c r="F195" s="268">
        <f t="shared" si="34"/>
        <v>0</v>
      </c>
      <c r="G195" s="268">
        <f t="shared" si="36"/>
        <v>0</v>
      </c>
      <c r="H195" s="269">
        <f t="shared" si="39"/>
        <v>0</v>
      </c>
      <c r="I195" s="270">
        <f t="shared" si="37"/>
        <v>0</v>
      </c>
      <c r="J195" s="271">
        <f>'[4]BULANAN PTKP BARU'!W202</f>
        <v>0</v>
      </c>
      <c r="K195" s="191">
        <f t="shared" si="38"/>
        <v>0</v>
      </c>
      <c r="L195" s="194"/>
      <c r="N195" s="198"/>
      <c r="O195" s="199"/>
      <c r="P195" s="273"/>
    </row>
    <row r="196" spans="1:16" hidden="1">
      <c r="A196" s="188">
        <f t="shared" si="41"/>
        <v>77</v>
      </c>
      <c r="B196" s="192">
        <f t="shared" si="41"/>
        <v>0</v>
      </c>
      <c r="C196" s="188">
        <f t="shared" si="41"/>
        <v>0</v>
      </c>
      <c r="D196" s="188">
        <f t="shared" si="41"/>
        <v>0</v>
      </c>
      <c r="E196" s="188">
        <f t="shared" si="41"/>
        <v>0</v>
      </c>
      <c r="F196" s="268">
        <f t="shared" ref="F196:F221" si="42">T84</f>
        <v>0</v>
      </c>
      <c r="G196" s="268">
        <f t="shared" si="36"/>
        <v>0</v>
      </c>
      <c r="H196" s="269">
        <f t="shared" si="39"/>
        <v>0</v>
      </c>
      <c r="I196" s="270">
        <f t="shared" si="37"/>
        <v>0</v>
      </c>
      <c r="J196" s="271">
        <f>'[4]BULANAN PTKP BARU'!W203</f>
        <v>0</v>
      </c>
      <c r="K196" s="191">
        <f t="shared" si="38"/>
        <v>0</v>
      </c>
      <c r="L196" s="194"/>
      <c r="N196" s="198"/>
      <c r="O196" s="199"/>
      <c r="P196" s="273"/>
    </row>
    <row r="197" spans="1:16" hidden="1">
      <c r="A197" s="188">
        <f t="shared" si="41"/>
        <v>78</v>
      </c>
      <c r="B197" s="192">
        <f t="shared" si="41"/>
        <v>0</v>
      </c>
      <c r="C197" s="188">
        <f t="shared" si="41"/>
        <v>0</v>
      </c>
      <c r="D197" s="188">
        <f t="shared" si="41"/>
        <v>0</v>
      </c>
      <c r="E197" s="188">
        <f t="shared" si="41"/>
        <v>0</v>
      </c>
      <c r="F197" s="268">
        <f t="shared" si="42"/>
        <v>0</v>
      </c>
      <c r="G197" s="268">
        <f t="shared" si="36"/>
        <v>0</v>
      </c>
      <c r="H197" s="269">
        <f t="shared" si="39"/>
        <v>0</v>
      </c>
      <c r="I197" s="270">
        <f t="shared" si="37"/>
        <v>0</v>
      </c>
      <c r="J197" s="271">
        <f>'[4]BULANAN PTKP BARU'!W204</f>
        <v>0</v>
      </c>
      <c r="K197" s="191">
        <f t="shared" si="38"/>
        <v>0</v>
      </c>
      <c r="L197" s="194"/>
      <c r="N197" s="198"/>
      <c r="O197" s="199"/>
      <c r="P197" s="273"/>
    </row>
    <row r="198" spans="1:16" hidden="1">
      <c r="A198" s="188">
        <f t="shared" si="41"/>
        <v>79</v>
      </c>
      <c r="B198" s="192">
        <f t="shared" si="41"/>
        <v>0</v>
      </c>
      <c r="C198" s="188">
        <f t="shared" si="41"/>
        <v>0</v>
      </c>
      <c r="D198" s="188">
        <f t="shared" si="41"/>
        <v>0</v>
      </c>
      <c r="E198" s="188">
        <f t="shared" si="41"/>
        <v>0</v>
      </c>
      <c r="F198" s="268">
        <f t="shared" si="42"/>
        <v>0</v>
      </c>
      <c r="G198" s="268">
        <f t="shared" si="36"/>
        <v>0</v>
      </c>
      <c r="H198" s="269">
        <f t="shared" si="39"/>
        <v>0</v>
      </c>
      <c r="I198" s="270">
        <f t="shared" si="37"/>
        <v>0</v>
      </c>
      <c r="J198" s="271">
        <f>'[4]BULANAN PTKP BARU'!W205</f>
        <v>0</v>
      </c>
      <c r="K198" s="191">
        <f t="shared" si="38"/>
        <v>0</v>
      </c>
      <c r="L198" s="194"/>
      <c r="N198" s="198"/>
      <c r="O198" s="199"/>
      <c r="P198" s="273"/>
    </row>
    <row r="199" spans="1:16" hidden="1">
      <c r="A199" s="188">
        <f t="shared" si="41"/>
        <v>80</v>
      </c>
      <c r="B199" s="192">
        <f t="shared" si="41"/>
        <v>0</v>
      </c>
      <c r="C199" s="188">
        <f t="shared" si="41"/>
        <v>0</v>
      </c>
      <c r="D199" s="188">
        <f t="shared" si="41"/>
        <v>0</v>
      </c>
      <c r="E199" s="188">
        <f t="shared" si="41"/>
        <v>0</v>
      </c>
      <c r="F199" s="268">
        <f t="shared" si="42"/>
        <v>0</v>
      </c>
      <c r="G199" s="268">
        <f t="shared" si="36"/>
        <v>0</v>
      </c>
      <c r="H199" s="269">
        <f t="shared" si="39"/>
        <v>0</v>
      </c>
      <c r="I199" s="270">
        <f t="shared" si="37"/>
        <v>0</v>
      </c>
      <c r="J199" s="271">
        <f>'[4]BULANAN PTKP BARU'!W206</f>
        <v>0</v>
      </c>
      <c r="K199" s="191">
        <f t="shared" si="38"/>
        <v>0</v>
      </c>
      <c r="L199" s="272"/>
      <c r="N199" s="198"/>
      <c r="O199" s="199"/>
      <c r="P199" s="273"/>
    </row>
    <row r="200" spans="1:16" hidden="1">
      <c r="A200" s="188">
        <f t="shared" si="41"/>
        <v>81</v>
      </c>
      <c r="B200" s="192">
        <f t="shared" si="41"/>
        <v>0</v>
      </c>
      <c r="C200" s="188">
        <f t="shared" si="41"/>
        <v>0</v>
      </c>
      <c r="D200" s="188">
        <f t="shared" si="41"/>
        <v>0</v>
      </c>
      <c r="E200" s="188">
        <f t="shared" si="41"/>
        <v>0</v>
      </c>
      <c r="F200" s="268">
        <f t="shared" si="42"/>
        <v>0</v>
      </c>
      <c r="G200" s="268">
        <f t="shared" si="36"/>
        <v>0</v>
      </c>
      <c r="H200" s="269">
        <f t="shared" si="39"/>
        <v>0</v>
      </c>
      <c r="I200" s="270">
        <f t="shared" si="37"/>
        <v>0</v>
      </c>
      <c r="J200" s="271">
        <f>'[4]BULANAN PTKP BARU'!W207</f>
        <v>0</v>
      </c>
      <c r="K200" s="191">
        <f t="shared" si="38"/>
        <v>0</v>
      </c>
      <c r="L200" s="272"/>
      <c r="N200" s="198"/>
      <c r="O200" s="199"/>
      <c r="P200" s="273"/>
    </row>
    <row r="201" spans="1:16" hidden="1">
      <c r="A201" s="188">
        <f t="shared" si="41"/>
        <v>82</v>
      </c>
      <c r="B201" s="192">
        <f t="shared" si="41"/>
        <v>0</v>
      </c>
      <c r="C201" s="188">
        <f t="shared" si="41"/>
        <v>0</v>
      </c>
      <c r="D201" s="188">
        <f t="shared" si="41"/>
        <v>0</v>
      </c>
      <c r="E201" s="188">
        <f t="shared" si="41"/>
        <v>0</v>
      </c>
      <c r="F201" s="268">
        <f t="shared" si="42"/>
        <v>0</v>
      </c>
      <c r="G201" s="268">
        <f t="shared" si="36"/>
        <v>0</v>
      </c>
      <c r="H201" s="269">
        <f t="shared" si="39"/>
        <v>0</v>
      </c>
      <c r="I201" s="270">
        <f t="shared" si="37"/>
        <v>0</v>
      </c>
      <c r="J201" s="271">
        <f>'[4]BULANAN PTKP BARU'!W208</f>
        <v>0</v>
      </c>
      <c r="K201" s="191">
        <f t="shared" si="38"/>
        <v>0</v>
      </c>
      <c r="L201" s="194"/>
      <c r="N201" s="198"/>
      <c r="O201" s="199"/>
      <c r="P201" s="273"/>
    </row>
    <row r="202" spans="1:16" hidden="1">
      <c r="A202" s="188">
        <f t="shared" si="41"/>
        <v>83</v>
      </c>
      <c r="B202" s="192">
        <f t="shared" si="41"/>
        <v>0</v>
      </c>
      <c r="C202" s="188">
        <f t="shared" si="41"/>
        <v>0</v>
      </c>
      <c r="D202" s="188">
        <f t="shared" si="41"/>
        <v>0</v>
      </c>
      <c r="E202" s="188">
        <f t="shared" si="41"/>
        <v>0</v>
      </c>
      <c r="F202" s="268">
        <f t="shared" si="42"/>
        <v>0</v>
      </c>
      <c r="G202" s="268">
        <f t="shared" si="36"/>
        <v>0</v>
      </c>
      <c r="H202" s="269">
        <f t="shared" si="39"/>
        <v>0</v>
      </c>
      <c r="I202" s="270">
        <f t="shared" si="37"/>
        <v>0</v>
      </c>
      <c r="J202" s="271">
        <f>'[4]BULANAN PTKP BARU'!W209</f>
        <v>0</v>
      </c>
      <c r="K202" s="191">
        <f t="shared" si="38"/>
        <v>0</v>
      </c>
      <c r="L202" s="272"/>
      <c r="N202" s="198"/>
      <c r="O202" s="199"/>
      <c r="P202" s="273"/>
    </row>
    <row r="203" spans="1:16" hidden="1">
      <c r="A203" s="188">
        <f t="shared" si="41"/>
        <v>84</v>
      </c>
      <c r="B203" s="192">
        <f t="shared" si="41"/>
        <v>0</v>
      </c>
      <c r="C203" s="188">
        <f t="shared" si="41"/>
        <v>0</v>
      </c>
      <c r="D203" s="188">
        <f t="shared" si="41"/>
        <v>0</v>
      </c>
      <c r="E203" s="188">
        <f t="shared" si="41"/>
        <v>0</v>
      </c>
      <c r="F203" s="268">
        <f t="shared" si="42"/>
        <v>0</v>
      </c>
      <c r="G203" s="268">
        <f t="shared" si="36"/>
        <v>0</v>
      </c>
      <c r="H203" s="269">
        <f t="shared" si="39"/>
        <v>0</v>
      </c>
      <c r="I203" s="270">
        <f t="shared" si="37"/>
        <v>0</v>
      </c>
      <c r="J203" s="271">
        <f>'[4]BULANAN PTKP BARU'!W210</f>
        <v>0</v>
      </c>
      <c r="K203" s="191">
        <f t="shared" si="38"/>
        <v>0</v>
      </c>
      <c r="L203" s="272"/>
      <c r="N203" s="198"/>
      <c r="O203" s="199"/>
      <c r="P203" s="273"/>
    </row>
    <row r="204" spans="1:16" hidden="1">
      <c r="A204" s="188">
        <f t="shared" ref="A204:E213" si="43">A92</f>
        <v>85</v>
      </c>
      <c r="B204" s="192">
        <f t="shared" si="43"/>
        <v>0</v>
      </c>
      <c r="C204" s="188">
        <f t="shared" si="43"/>
        <v>0</v>
      </c>
      <c r="D204" s="188">
        <f t="shared" si="43"/>
        <v>0</v>
      </c>
      <c r="E204" s="188">
        <f t="shared" si="43"/>
        <v>0</v>
      </c>
      <c r="F204" s="268">
        <f t="shared" si="42"/>
        <v>0</v>
      </c>
      <c r="G204" s="268">
        <f t="shared" si="36"/>
        <v>0</v>
      </c>
      <c r="H204" s="269">
        <f t="shared" si="39"/>
        <v>0</v>
      </c>
      <c r="I204" s="270">
        <f t="shared" si="37"/>
        <v>0</v>
      </c>
      <c r="J204" s="271">
        <f>'[4]BULANAN PTKP BARU'!W211</f>
        <v>0</v>
      </c>
      <c r="K204" s="191">
        <f t="shared" si="38"/>
        <v>0</v>
      </c>
      <c r="L204" s="272"/>
      <c r="N204" s="198"/>
      <c r="O204" s="199"/>
      <c r="P204" s="273"/>
    </row>
    <row r="205" spans="1:16" hidden="1">
      <c r="A205" s="188">
        <f t="shared" si="43"/>
        <v>86</v>
      </c>
      <c r="B205" s="192">
        <f t="shared" si="43"/>
        <v>0</v>
      </c>
      <c r="C205" s="188">
        <f t="shared" si="43"/>
        <v>0</v>
      </c>
      <c r="D205" s="188">
        <f t="shared" si="43"/>
        <v>0</v>
      </c>
      <c r="E205" s="188">
        <f t="shared" si="43"/>
        <v>0</v>
      </c>
      <c r="F205" s="268">
        <f t="shared" si="42"/>
        <v>0</v>
      </c>
      <c r="G205" s="268">
        <f t="shared" si="36"/>
        <v>0</v>
      </c>
      <c r="H205" s="269">
        <f t="shared" si="39"/>
        <v>0</v>
      </c>
      <c r="I205" s="270">
        <f t="shared" si="37"/>
        <v>0</v>
      </c>
      <c r="J205" s="271">
        <f>'[4]BULANAN PTKP BARU'!W212</f>
        <v>0</v>
      </c>
      <c r="K205" s="191">
        <f t="shared" si="38"/>
        <v>0</v>
      </c>
      <c r="L205" s="272"/>
      <c r="N205" s="198"/>
      <c r="O205" s="199"/>
      <c r="P205" s="273"/>
    </row>
    <row r="206" spans="1:16" hidden="1">
      <c r="A206" s="188">
        <f t="shared" si="43"/>
        <v>87</v>
      </c>
      <c r="B206" s="192">
        <f t="shared" si="43"/>
        <v>0</v>
      </c>
      <c r="C206" s="188">
        <f t="shared" si="43"/>
        <v>0</v>
      </c>
      <c r="D206" s="188">
        <f t="shared" si="43"/>
        <v>0</v>
      </c>
      <c r="E206" s="188">
        <f t="shared" si="43"/>
        <v>0</v>
      </c>
      <c r="F206" s="268">
        <f t="shared" si="42"/>
        <v>0</v>
      </c>
      <c r="G206" s="268">
        <f t="shared" si="36"/>
        <v>0</v>
      </c>
      <c r="H206" s="269">
        <f t="shared" si="39"/>
        <v>0</v>
      </c>
      <c r="I206" s="270">
        <f t="shared" si="37"/>
        <v>0</v>
      </c>
      <c r="J206" s="271">
        <f>'[4]BULANAN PTKP BARU'!W213</f>
        <v>0</v>
      </c>
      <c r="K206" s="191">
        <f t="shared" si="38"/>
        <v>0</v>
      </c>
      <c r="L206" s="272"/>
      <c r="N206" s="198"/>
      <c r="O206" s="199"/>
      <c r="P206" s="273"/>
    </row>
    <row r="207" spans="1:16" hidden="1">
      <c r="A207" s="188">
        <f t="shared" si="43"/>
        <v>88</v>
      </c>
      <c r="B207" s="192">
        <f t="shared" si="43"/>
        <v>0</v>
      </c>
      <c r="C207" s="188">
        <f t="shared" si="43"/>
        <v>0</v>
      </c>
      <c r="D207" s="188">
        <f t="shared" si="43"/>
        <v>0</v>
      </c>
      <c r="E207" s="188">
        <f t="shared" si="43"/>
        <v>0</v>
      </c>
      <c r="F207" s="268">
        <f t="shared" si="42"/>
        <v>0</v>
      </c>
      <c r="G207" s="268">
        <f t="shared" si="36"/>
        <v>0</v>
      </c>
      <c r="H207" s="269">
        <f>IF(L207="",G207*6%,G207*5%)</f>
        <v>0</v>
      </c>
      <c r="I207" s="270">
        <f t="shared" si="37"/>
        <v>0</v>
      </c>
      <c r="J207" s="271">
        <f>'[4]BULANAN PTKP BARU'!W214</f>
        <v>0</v>
      </c>
      <c r="K207" s="191">
        <f t="shared" si="38"/>
        <v>0</v>
      </c>
      <c r="L207" s="272"/>
      <c r="N207" s="198"/>
      <c r="O207" s="199"/>
      <c r="P207" s="273"/>
    </row>
    <row r="208" spans="1:16" hidden="1">
      <c r="A208" s="188">
        <f t="shared" si="43"/>
        <v>89</v>
      </c>
      <c r="B208" s="192">
        <f t="shared" si="43"/>
        <v>0</v>
      </c>
      <c r="C208" s="188">
        <f t="shared" si="43"/>
        <v>0</v>
      </c>
      <c r="D208" s="188">
        <f t="shared" si="43"/>
        <v>0</v>
      </c>
      <c r="E208" s="188">
        <f t="shared" si="43"/>
        <v>0</v>
      </c>
      <c r="F208" s="268">
        <f t="shared" si="42"/>
        <v>0</v>
      </c>
      <c r="G208" s="268">
        <f t="shared" si="36"/>
        <v>0</v>
      </c>
      <c r="H208" s="269">
        <f t="shared" si="39"/>
        <v>0</v>
      </c>
      <c r="I208" s="270">
        <f t="shared" si="37"/>
        <v>0</v>
      </c>
      <c r="J208" s="271">
        <f>'[4]BULANAN PTKP BARU'!W215</f>
        <v>0</v>
      </c>
      <c r="K208" s="191">
        <f t="shared" si="38"/>
        <v>0</v>
      </c>
      <c r="L208" s="272"/>
      <c r="N208" s="198"/>
      <c r="O208" s="199"/>
      <c r="P208" s="273"/>
    </row>
    <row r="209" spans="1:16" hidden="1">
      <c r="A209" s="188">
        <f t="shared" si="43"/>
        <v>90</v>
      </c>
      <c r="B209" s="192">
        <f t="shared" si="43"/>
        <v>0</v>
      </c>
      <c r="C209" s="188">
        <f t="shared" si="43"/>
        <v>0</v>
      </c>
      <c r="D209" s="188">
        <f t="shared" si="43"/>
        <v>0</v>
      </c>
      <c r="E209" s="188">
        <f t="shared" si="43"/>
        <v>0</v>
      </c>
      <c r="F209" s="268">
        <f t="shared" si="42"/>
        <v>0</v>
      </c>
      <c r="G209" s="268">
        <f t="shared" si="36"/>
        <v>0</v>
      </c>
      <c r="H209" s="269">
        <f t="shared" si="39"/>
        <v>0</v>
      </c>
      <c r="I209" s="270">
        <f t="shared" si="37"/>
        <v>0</v>
      </c>
      <c r="J209" s="271">
        <f>'[4]BULANAN PTKP BARU'!W216</f>
        <v>0</v>
      </c>
      <c r="K209" s="191">
        <f t="shared" si="38"/>
        <v>0</v>
      </c>
      <c r="L209" s="272"/>
      <c r="N209" s="198"/>
      <c r="O209" s="199"/>
      <c r="P209" s="273"/>
    </row>
    <row r="210" spans="1:16" hidden="1">
      <c r="A210" s="188">
        <f t="shared" si="43"/>
        <v>91</v>
      </c>
      <c r="B210" s="192">
        <f t="shared" si="43"/>
        <v>0</v>
      </c>
      <c r="C210" s="188">
        <f t="shared" si="43"/>
        <v>0</v>
      </c>
      <c r="D210" s="188">
        <f t="shared" si="43"/>
        <v>0</v>
      </c>
      <c r="E210" s="188">
        <f t="shared" si="43"/>
        <v>0</v>
      </c>
      <c r="F210" s="268">
        <f t="shared" si="42"/>
        <v>0</v>
      </c>
      <c r="G210" s="268">
        <f t="shared" si="36"/>
        <v>0</v>
      </c>
      <c r="H210" s="269">
        <f t="shared" si="39"/>
        <v>0</v>
      </c>
      <c r="I210" s="270">
        <f t="shared" si="37"/>
        <v>0</v>
      </c>
      <c r="J210" s="271">
        <f>'[4]BULANAN PTKP BARU'!W217</f>
        <v>0</v>
      </c>
      <c r="K210" s="191">
        <f t="shared" si="38"/>
        <v>0</v>
      </c>
      <c r="L210" s="272"/>
      <c r="N210" s="198"/>
      <c r="O210" s="199"/>
      <c r="P210" s="273"/>
    </row>
    <row r="211" spans="1:16" hidden="1">
      <c r="A211" s="188">
        <f t="shared" si="43"/>
        <v>92</v>
      </c>
      <c r="B211" s="192">
        <f t="shared" si="43"/>
        <v>0</v>
      </c>
      <c r="C211" s="188">
        <f t="shared" si="43"/>
        <v>0</v>
      </c>
      <c r="D211" s="188">
        <f t="shared" si="43"/>
        <v>0</v>
      </c>
      <c r="E211" s="188">
        <f t="shared" si="43"/>
        <v>0</v>
      </c>
      <c r="F211" s="268">
        <f t="shared" si="42"/>
        <v>0</v>
      </c>
      <c r="G211" s="268">
        <f t="shared" si="36"/>
        <v>0</v>
      </c>
      <c r="H211" s="269">
        <f t="shared" si="39"/>
        <v>0</v>
      </c>
      <c r="I211" s="270">
        <f t="shared" si="37"/>
        <v>0</v>
      </c>
      <c r="J211" s="271">
        <f>'[4]BULANAN PTKP BARU'!W218</f>
        <v>0</v>
      </c>
      <c r="K211" s="191">
        <f t="shared" si="38"/>
        <v>0</v>
      </c>
      <c r="L211" s="194"/>
      <c r="N211" s="198"/>
      <c r="O211" s="199"/>
      <c r="P211" s="273"/>
    </row>
    <row r="212" spans="1:16" hidden="1">
      <c r="A212" s="188">
        <f t="shared" si="43"/>
        <v>93</v>
      </c>
      <c r="B212" s="192">
        <f t="shared" si="43"/>
        <v>0</v>
      </c>
      <c r="C212" s="188">
        <f t="shared" si="43"/>
        <v>0</v>
      </c>
      <c r="D212" s="188">
        <f t="shared" si="43"/>
        <v>0</v>
      </c>
      <c r="E212" s="188">
        <f t="shared" si="43"/>
        <v>0</v>
      </c>
      <c r="F212" s="268">
        <f t="shared" si="42"/>
        <v>0</v>
      </c>
      <c r="G212" s="268">
        <f t="shared" si="36"/>
        <v>0</v>
      </c>
      <c r="H212" s="269">
        <f t="shared" si="39"/>
        <v>0</v>
      </c>
      <c r="I212" s="270">
        <f t="shared" si="37"/>
        <v>0</v>
      </c>
      <c r="J212" s="271">
        <f>'[4]BULANAN PTKP BARU'!W219</f>
        <v>0</v>
      </c>
      <c r="K212" s="191">
        <f t="shared" si="38"/>
        <v>0</v>
      </c>
      <c r="L212" s="272"/>
      <c r="N212" s="198"/>
      <c r="O212" s="199"/>
      <c r="P212" s="273"/>
    </row>
    <row r="213" spans="1:16" hidden="1">
      <c r="A213" s="188">
        <f t="shared" si="43"/>
        <v>94</v>
      </c>
      <c r="B213" s="192">
        <f t="shared" si="43"/>
        <v>0</v>
      </c>
      <c r="C213" s="188">
        <f t="shared" si="43"/>
        <v>0</v>
      </c>
      <c r="D213" s="188">
        <f t="shared" si="43"/>
        <v>0</v>
      </c>
      <c r="E213" s="188">
        <f t="shared" si="43"/>
        <v>0</v>
      </c>
      <c r="F213" s="268">
        <f t="shared" si="42"/>
        <v>0</v>
      </c>
      <c r="G213" s="268">
        <f t="shared" si="36"/>
        <v>0</v>
      </c>
      <c r="H213" s="269">
        <f t="shared" si="39"/>
        <v>0</v>
      </c>
      <c r="I213" s="270">
        <f t="shared" si="37"/>
        <v>0</v>
      </c>
      <c r="J213" s="271">
        <f>'[4]BULANAN PTKP BARU'!W220</f>
        <v>0</v>
      </c>
      <c r="K213" s="191">
        <f t="shared" si="38"/>
        <v>0</v>
      </c>
      <c r="L213" s="272"/>
      <c r="N213" s="198"/>
      <c r="O213" s="199"/>
      <c r="P213" s="273"/>
    </row>
    <row r="214" spans="1:16" hidden="1">
      <c r="A214" s="188">
        <f t="shared" ref="A214:E221" si="44">A102</f>
        <v>95</v>
      </c>
      <c r="B214" s="192">
        <f t="shared" si="44"/>
        <v>0</v>
      </c>
      <c r="C214" s="188">
        <f t="shared" si="44"/>
        <v>0</v>
      </c>
      <c r="D214" s="188">
        <f t="shared" si="44"/>
        <v>0</v>
      </c>
      <c r="E214" s="188">
        <f t="shared" si="44"/>
        <v>0</v>
      </c>
      <c r="F214" s="268">
        <f t="shared" si="42"/>
        <v>0</v>
      </c>
      <c r="G214" s="268">
        <f t="shared" si="36"/>
        <v>0</v>
      </c>
      <c r="H214" s="269">
        <f t="shared" si="39"/>
        <v>0</v>
      </c>
      <c r="I214" s="270">
        <f t="shared" si="37"/>
        <v>0</v>
      </c>
      <c r="J214" s="271">
        <f>'[4]BULANAN PTKP BARU'!W221</f>
        <v>0</v>
      </c>
      <c r="K214" s="191">
        <f t="shared" si="38"/>
        <v>0</v>
      </c>
      <c r="L214" s="272"/>
      <c r="N214" s="198"/>
      <c r="O214" s="199"/>
      <c r="P214" s="273"/>
    </row>
    <row r="215" spans="1:16" hidden="1">
      <c r="A215" s="188">
        <f t="shared" si="44"/>
        <v>96</v>
      </c>
      <c r="B215" s="192">
        <f t="shared" si="44"/>
        <v>0</v>
      </c>
      <c r="C215" s="188">
        <f t="shared" si="44"/>
        <v>0</v>
      </c>
      <c r="D215" s="188">
        <f t="shared" si="44"/>
        <v>0</v>
      </c>
      <c r="E215" s="188">
        <f t="shared" si="44"/>
        <v>0</v>
      </c>
      <c r="F215" s="268">
        <f t="shared" si="42"/>
        <v>0</v>
      </c>
      <c r="G215" s="268">
        <f t="shared" si="36"/>
        <v>0</v>
      </c>
      <c r="H215" s="269">
        <f t="shared" si="39"/>
        <v>0</v>
      </c>
      <c r="I215" s="270">
        <f t="shared" si="37"/>
        <v>0</v>
      </c>
      <c r="J215" s="271">
        <f>'[4]BULANAN PTKP BARU'!W222</f>
        <v>0</v>
      </c>
      <c r="K215" s="191">
        <f t="shared" si="38"/>
        <v>0</v>
      </c>
      <c r="L215" s="194"/>
      <c r="N215" s="198"/>
      <c r="O215" s="199"/>
      <c r="P215" s="273"/>
    </row>
    <row r="216" spans="1:16" hidden="1">
      <c r="A216" s="188">
        <f t="shared" si="44"/>
        <v>97</v>
      </c>
      <c r="B216" s="192">
        <f t="shared" si="44"/>
        <v>0</v>
      </c>
      <c r="C216" s="188">
        <f t="shared" si="44"/>
        <v>0</v>
      </c>
      <c r="D216" s="188">
        <f t="shared" si="44"/>
        <v>0</v>
      </c>
      <c r="E216" s="188">
        <f t="shared" si="44"/>
        <v>0</v>
      </c>
      <c r="F216" s="268">
        <f t="shared" si="42"/>
        <v>0</v>
      </c>
      <c r="G216" s="268">
        <f t="shared" si="36"/>
        <v>0</v>
      </c>
      <c r="H216" s="269">
        <f>IF(L216="",G216*6%,G216*5%)</f>
        <v>0</v>
      </c>
      <c r="I216" s="270">
        <f t="shared" si="37"/>
        <v>0</v>
      </c>
      <c r="J216" s="271">
        <f>'[4]BULANAN PTKP BARU'!W223</f>
        <v>0</v>
      </c>
      <c r="K216" s="191">
        <f t="shared" si="38"/>
        <v>0</v>
      </c>
      <c r="L216" s="194"/>
      <c r="N216" s="198"/>
      <c r="O216" s="199"/>
      <c r="P216" s="273"/>
    </row>
    <row r="217" spans="1:16" hidden="1">
      <c r="A217" s="188">
        <f t="shared" si="44"/>
        <v>98</v>
      </c>
      <c r="B217" s="192">
        <f t="shared" si="44"/>
        <v>0</v>
      </c>
      <c r="C217" s="188">
        <f t="shared" si="44"/>
        <v>0</v>
      </c>
      <c r="D217" s="188">
        <f t="shared" si="44"/>
        <v>0</v>
      </c>
      <c r="E217" s="188">
        <f t="shared" si="44"/>
        <v>0</v>
      </c>
      <c r="F217" s="268">
        <f t="shared" si="42"/>
        <v>0</v>
      </c>
      <c r="G217" s="268">
        <f t="shared" si="36"/>
        <v>0</v>
      </c>
      <c r="H217" s="269">
        <f t="shared" si="39"/>
        <v>0</v>
      </c>
      <c r="I217" s="270">
        <f t="shared" si="37"/>
        <v>0</v>
      </c>
      <c r="J217" s="271">
        <f>'[4]BULANAN PTKP BARU'!W224</f>
        <v>0</v>
      </c>
      <c r="K217" s="191">
        <f t="shared" si="38"/>
        <v>0</v>
      </c>
      <c r="L217" s="194"/>
      <c r="N217" s="198"/>
      <c r="O217" s="199"/>
      <c r="P217" s="273"/>
    </row>
    <row r="218" spans="1:16" hidden="1">
      <c r="A218" s="188">
        <f t="shared" si="44"/>
        <v>99</v>
      </c>
      <c r="B218" s="192">
        <f t="shared" si="44"/>
        <v>0</v>
      </c>
      <c r="C218" s="188">
        <f t="shared" si="44"/>
        <v>0</v>
      </c>
      <c r="D218" s="188">
        <f t="shared" si="44"/>
        <v>0</v>
      </c>
      <c r="E218" s="188">
        <f t="shared" si="44"/>
        <v>0</v>
      </c>
      <c r="F218" s="268">
        <f t="shared" si="42"/>
        <v>0</v>
      </c>
      <c r="G218" s="268">
        <f t="shared" si="36"/>
        <v>0</v>
      </c>
      <c r="H218" s="269">
        <f t="shared" si="39"/>
        <v>0</v>
      </c>
      <c r="I218" s="270">
        <f t="shared" si="37"/>
        <v>0</v>
      </c>
      <c r="J218" s="271">
        <f>'[4]BULANAN PTKP BARU'!W225</f>
        <v>0</v>
      </c>
      <c r="K218" s="191">
        <f t="shared" si="38"/>
        <v>0</v>
      </c>
      <c r="L218" s="194"/>
      <c r="N218" s="198"/>
      <c r="O218" s="199"/>
      <c r="P218" s="273"/>
    </row>
    <row r="219" spans="1:16" hidden="1">
      <c r="A219" s="188">
        <f t="shared" si="44"/>
        <v>100</v>
      </c>
      <c r="B219" s="192">
        <f t="shared" si="44"/>
        <v>0</v>
      </c>
      <c r="C219" s="188">
        <f t="shared" si="44"/>
        <v>0</v>
      </c>
      <c r="D219" s="188">
        <f t="shared" si="44"/>
        <v>0</v>
      </c>
      <c r="E219" s="188">
        <f t="shared" si="44"/>
        <v>0</v>
      </c>
      <c r="F219" s="268">
        <f t="shared" si="42"/>
        <v>0</v>
      </c>
      <c r="G219" s="268">
        <f t="shared" si="36"/>
        <v>0</v>
      </c>
      <c r="H219" s="269">
        <f t="shared" si="39"/>
        <v>0</v>
      </c>
      <c r="I219" s="270">
        <f t="shared" si="37"/>
        <v>0</v>
      </c>
      <c r="J219" s="271">
        <f>'[4]BULANAN PTKP BARU'!W226</f>
        <v>0</v>
      </c>
      <c r="K219" s="191">
        <f t="shared" si="38"/>
        <v>0</v>
      </c>
      <c r="L219" s="194"/>
      <c r="N219" s="198"/>
      <c r="O219" s="199"/>
      <c r="P219" s="273"/>
    </row>
    <row r="220" spans="1:16" hidden="1">
      <c r="A220" s="188">
        <f t="shared" si="44"/>
        <v>101</v>
      </c>
      <c r="B220" s="192">
        <f t="shared" si="44"/>
        <v>0</v>
      </c>
      <c r="C220" s="188">
        <f t="shared" si="44"/>
        <v>0</v>
      </c>
      <c r="D220" s="188">
        <f t="shared" si="44"/>
        <v>0</v>
      </c>
      <c r="E220" s="188">
        <f t="shared" si="44"/>
        <v>0</v>
      </c>
      <c r="F220" s="268">
        <f t="shared" si="42"/>
        <v>0</v>
      </c>
      <c r="G220" s="268">
        <f t="shared" si="36"/>
        <v>0</v>
      </c>
      <c r="H220" s="269">
        <f t="shared" si="39"/>
        <v>0</v>
      </c>
      <c r="I220" s="270">
        <f t="shared" si="37"/>
        <v>0</v>
      </c>
      <c r="J220" s="271">
        <f>'[4]BULANAN PTKP BARU'!W227</f>
        <v>0</v>
      </c>
      <c r="K220" s="191">
        <f t="shared" si="38"/>
        <v>0</v>
      </c>
      <c r="L220" s="194"/>
      <c r="N220" s="198"/>
      <c r="O220" s="199"/>
      <c r="P220" s="273"/>
    </row>
    <row r="221" spans="1:16" hidden="1">
      <c r="A221" s="188">
        <f t="shared" si="44"/>
        <v>102</v>
      </c>
      <c r="B221" s="192">
        <f t="shared" si="44"/>
        <v>0</v>
      </c>
      <c r="C221" s="188">
        <f t="shared" si="44"/>
        <v>0</v>
      </c>
      <c r="D221" s="188">
        <f t="shared" si="44"/>
        <v>0</v>
      </c>
      <c r="E221" s="188">
        <f t="shared" si="44"/>
        <v>0</v>
      </c>
      <c r="F221" s="268">
        <f t="shared" si="42"/>
        <v>0</v>
      </c>
      <c r="G221" s="268">
        <f t="shared" si="36"/>
        <v>0</v>
      </c>
      <c r="H221" s="269">
        <f t="shared" si="39"/>
        <v>0</v>
      </c>
      <c r="I221" s="270">
        <f t="shared" si="37"/>
        <v>0</v>
      </c>
      <c r="J221" s="271">
        <f>'[4]BULANAN PTKP BARU'!W228</f>
        <v>0</v>
      </c>
      <c r="K221" s="191">
        <f t="shared" si="38"/>
        <v>0</v>
      </c>
      <c r="L221" s="194"/>
      <c r="N221" s="198"/>
      <c r="O221" s="199"/>
      <c r="P221" s="273"/>
    </row>
    <row r="222" spans="1:16" hidden="1">
      <c r="A222" s="508" t="s">
        <v>349</v>
      </c>
      <c r="B222" s="509"/>
      <c r="C222" s="509"/>
      <c r="D222" s="510"/>
      <c r="E222" s="276" t="e">
        <f t="shared" ref="E222:K222" si="45">SUM(E116:E221)</f>
        <v>#REF!</v>
      </c>
      <c r="F222" s="276" t="e">
        <f t="shared" si="45"/>
        <v>#REF!</v>
      </c>
      <c r="G222" s="276" t="e">
        <f t="shared" si="45"/>
        <v>#REF!</v>
      </c>
      <c r="H222" s="276" t="e">
        <f t="shared" si="45"/>
        <v>#REF!</v>
      </c>
      <c r="I222" s="276" t="e">
        <f t="shared" si="45"/>
        <v>#REF!</v>
      </c>
      <c r="J222" s="276">
        <f t="shared" si="45"/>
        <v>11545384</v>
      </c>
      <c r="K222" s="276" t="e">
        <f t="shared" si="45"/>
        <v>#REF!</v>
      </c>
      <c r="L222" s="277"/>
      <c r="M222" s="278"/>
    </row>
    <row r="223" spans="1:16" hidden="1">
      <c r="A223" s="188" t="e">
        <f>#REF!</f>
        <v>#REF!</v>
      </c>
      <c r="B223" s="192" t="e">
        <f>#REF!</f>
        <v>#REF!</v>
      </c>
      <c r="C223" s="188" t="e">
        <f>#REF!</f>
        <v>#REF!</v>
      </c>
      <c r="D223" s="188" t="e">
        <f>#REF!</f>
        <v>#REF!</v>
      </c>
      <c r="E223" s="188">
        <v>11</v>
      </c>
      <c r="F223" s="268" t="e">
        <f>#REF!</f>
        <v>#REF!</v>
      </c>
      <c r="G223" s="268" t="e">
        <f>ROUNDDOWN(F223,-3)</f>
        <v>#REF!</v>
      </c>
      <c r="H223" s="269" t="e">
        <f>IF(L223="",G223*6%,G223*5%)</f>
        <v>#REF!</v>
      </c>
      <c r="I223" s="270" t="e">
        <f>H223</f>
        <v>#REF!</v>
      </c>
      <c r="J223" s="271" t="e">
        <f>'[4]BULANAN PTKP BARU'!#REF!</f>
        <v>#REF!</v>
      </c>
      <c r="K223" s="191" t="e">
        <f>IF(I223&lt;=J223,0,IF(I223&gt;J223,I223-J223))</f>
        <v>#REF!</v>
      </c>
      <c r="L223" s="194"/>
      <c r="M223" s="200"/>
    </row>
    <row r="224" spans="1:16" hidden="1">
      <c r="A224" s="188" t="e">
        <f>#REF!</f>
        <v>#REF!</v>
      </c>
      <c r="B224" s="192" t="e">
        <f>#REF!</f>
        <v>#REF!</v>
      </c>
      <c r="C224" s="188" t="e">
        <f>#REF!</f>
        <v>#REF!</v>
      </c>
      <c r="D224" s="188" t="e">
        <f>#REF!</f>
        <v>#REF!</v>
      </c>
      <c r="E224" s="188">
        <v>11</v>
      </c>
      <c r="F224" s="268" t="e">
        <f>#REF!</f>
        <v>#REF!</v>
      </c>
      <c r="G224" s="268" t="e">
        <f>ROUNDDOWN(F224,-3)</f>
        <v>#REF!</v>
      </c>
      <c r="H224" s="269" t="e">
        <f>IF(L224="",G224*6%,G224*5%)</f>
        <v>#REF!</v>
      </c>
      <c r="I224" s="270" t="e">
        <f>H224</f>
        <v>#REF!</v>
      </c>
      <c r="J224" s="271" t="e">
        <f>'[4]BULANAN PTKP BARU'!#REF!</f>
        <v>#REF!</v>
      </c>
      <c r="K224" s="191" t="e">
        <f>IF(I224&lt;=J224,0,IF(I224&gt;J224,I224-J224))</f>
        <v>#REF!</v>
      </c>
      <c r="L224" s="272" t="s">
        <v>407</v>
      </c>
      <c r="M224" s="279"/>
    </row>
    <row r="225" spans="1:16" hidden="1">
      <c r="A225" s="188" t="e">
        <f>#REF!</f>
        <v>#REF!</v>
      </c>
      <c r="B225" s="192" t="e">
        <f>#REF!</f>
        <v>#REF!</v>
      </c>
      <c r="C225" s="188" t="e">
        <f>#REF!</f>
        <v>#REF!</v>
      </c>
      <c r="D225" s="188" t="e">
        <f>#REF!</f>
        <v>#REF!</v>
      </c>
      <c r="E225" s="188"/>
      <c r="F225" s="268" t="e">
        <f>#REF!</f>
        <v>#REF!</v>
      </c>
      <c r="G225" s="268" t="e">
        <f>ROUNDDOWN(F225,-3)</f>
        <v>#REF!</v>
      </c>
      <c r="H225" s="269" t="e">
        <f>IF(L225="",G225*6%,G225*5%)</f>
        <v>#REF!</v>
      </c>
      <c r="I225" s="270" t="e">
        <f>H225</f>
        <v>#REF!</v>
      </c>
      <c r="J225" s="271" t="e">
        <f>'[4]BULANAN PTKP BARU'!#REF!</f>
        <v>#REF!</v>
      </c>
      <c r="K225" s="191" t="e">
        <f>IF(I225&lt;=J225,0,IF(I225&gt;J225,I225-J225))</f>
        <v>#REF!</v>
      </c>
      <c r="L225" s="194"/>
      <c r="M225" s="200"/>
    </row>
    <row r="226" spans="1:16" hidden="1"/>
    <row r="227" spans="1:16" hidden="1">
      <c r="B227" s="280" t="s">
        <v>408</v>
      </c>
      <c r="K227" s="502" t="s">
        <v>409</v>
      </c>
      <c r="L227" s="502"/>
      <c r="M227" s="281"/>
    </row>
    <row r="228" spans="1:16" hidden="1"/>
    <row r="229" spans="1:16" hidden="1"/>
    <row r="230" spans="1:16" hidden="1"/>
    <row r="231" spans="1:16" hidden="1">
      <c r="B231" s="282" t="s">
        <v>410</v>
      </c>
      <c r="K231" s="511" t="s">
        <v>411</v>
      </c>
      <c r="L231" s="511"/>
      <c r="M231" s="283"/>
    </row>
    <row r="232" spans="1:16" hidden="1">
      <c r="B232" s="280" t="s">
        <v>412</v>
      </c>
      <c r="K232" s="502" t="s">
        <v>413</v>
      </c>
      <c r="L232" s="502"/>
      <c r="M232" s="281"/>
    </row>
    <row r="233" spans="1:16" hidden="1"/>
    <row r="234" spans="1:16" hidden="1"/>
    <row r="235" spans="1:16" hidden="1">
      <c r="A235" s="188" t="e">
        <f>#REF!</f>
        <v>#REF!</v>
      </c>
      <c r="B235" s="192" t="e">
        <f>#REF!</f>
        <v>#REF!</v>
      </c>
      <c r="C235" s="188" t="e">
        <f>#REF!</f>
        <v>#REF!</v>
      </c>
      <c r="D235" s="188" t="e">
        <f>#REF!</f>
        <v>#REF!</v>
      </c>
      <c r="E235" s="188" t="e">
        <f>#REF!</f>
        <v>#REF!</v>
      </c>
      <c r="F235" s="268" t="e">
        <f>#REF!</f>
        <v>#REF!</v>
      </c>
      <c r="G235" s="268" t="e">
        <f t="shared" ref="G235:G245" si="46">ROUNDDOWN(F235,-3)</f>
        <v>#REF!</v>
      </c>
      <c r="H235" s="269" t="e">
        <f t="shared" ref="H235:H245" si="47">IF(L235="",G235*6%,G235*5%)</f>
        <v>#REF!</v>
      </c>
      <c r="I235" s="270" t="e">
        <f t="shared" ref="I235:I245" si="48">H235</f>
        <v>#REF!</v>
      </c>
      <c r="J235" s="271" t="e">
        <f>'[4]BULANAN PTKP BARU'!#REF!</f>
        <v>#REF!</v>
      </c>
      <c r="K235" s="191" t="e">
        <f t="shared" ref="K235:K245" si="49">IF(I235&lt;=J235,0,IF(I235&gt;J235,I235-J235))</f>
        <v>#REF!</v>
      </c>
      <c r="L235" s="272" t="s">
        <v>414</v>
      </c>
      <c r="M235" s="154" t="s">
        <v>415</v>
      </c>
      <c r="N235" s="198" t="s">
        <v>416</v>
      </c>
      <c r="O235" s="199"/>
      <c r="P235" s="273"/>
    </row>
    <row r="236" spans="1:16" hidden="1">
      <c r="A236" s="188" t="e">
        <f>#REF!</f>
        <v>#REF!</v>
      </c>
      <c r="B236" s="192" t="e">
        <f>#REF!</f>
        <v>#REF!</v>
      </c>
      <c r="C236" s="188" t="e">
        <f>#REF!</f>
        <v>#REF!</v>
      </c>
      <c r="D236" s="188" t="e">
        <f>#REF!</f>
        <v>#REF!</v>
      </c>
      <c r="E236" s="188" t="e">
        <f>#REF!</f>
        <v>#REF!</v>
      </c>
      <c r="F236" s="268" t="e">
        <f>#REF!</f>
        <v>#REF!</v>
      </c>
      <c r="G236" s="268" t="e">
        <f t="shared" si="46"/>
        <v>#REF!</v>
      </c>
      <c r="H236" s="269" t="e">
        <f t="shared" si="47"/>
        <v>#REF!</v>
      </c>
      <c r="I236" s="270" t="e">
        <f t="shared" si="48"/>
        <v>#REF!</v>
      </c>
      <c r="J236" s="271" t="e">
        <f>'[4]BULANAN PTKP BARU'!#REF!</f>
        <v>#REF!</v>
      </c>
      <c r="K236" s="191" t="e">
        <f t="shared" si="49"/>
        <v>#REF!</v>
      </c>
      <c r="L236" s="272" t="s">
        <v>417</v>
      </c>
      <c r="M236" s="154" t="s">
        <v>418</v>
      </c>
      <c r="N236" s="198" t="s">
        <v>419</v>
      </c>
      <c r="O236" s="199"/>
      <c r="P236" s="273"/>
    </row>
    <row r="237" spans="1:16" hidden="1">
      <c r="A237" s="188" t="e">
        <f>#REF!</f>
        <v>#REF!</v>
      </c>
      <c r="B237" s="192" t="e">
        <f>#REF!</f>
        <v>#REF!</v>
      </c>
      <c r="C237" s="188" t="e">
        <f>#REF!</f>
        <v>#REF!</v>
      </c>
      <c r="D237" s="188" t="e">
        <f>#REF!</f>
        <v>#REF!</v>
      </c>
      <c r="E237" s="188" t="e">
        <f>#REF!</f>
        <v>#REF!</v>
      </c>
      <c r="F237" s="268" t="e">
        <f>#REF!</f>
        <v>#REF!</v>
      </c>
      <c r="G237" s="268" t="e">
        <f t="shared" si="46"/>
        <v>#REF!</v>
      </c>
      <c r="H237" s="269" t="e">
        <f t="shared" si="47"/>
        <v>#REF!</v>
      </c>
      <c r="I237" s="270" t="e">
        <f t="shared" si="48"/>
        <v>#REF!</v>
      </c>
      <c r="J237" s="271" t="e">
        <f>'[4]BULANAN PTKP BARU'!#REF!</f>
        <v>#REF!</v>
      </c>
      <c r="K237" s="191" t="e">
        <f t="shared" si="49"/>
        <v>#REF!</v>
      </c>
      <c r="L237" s="272" t="s">
        <v>420</v>
      </c>
      <c r="M237" s="154" t="s">
        <v>421</v>
      </c>
      <c r="N237" s="198" t="s">
        <v>275</v>
      </c>
      <c r="O237" s="199"/>
      <c r="P237" s="273"/>
    </row>
    <row r="238" spans="1:16" hidden="1">
      <c r="A238" s="188" t="e">
        <f>#REF!</f>
        <v>#REF!</v>
      </c>
      <c r="B238" s="192" t="e">
        <f>#REF!</f>
        <v>#REF!</v>
      </c>
      <c r="C238" s="188" t="e">
        <f>#REF!</f>
        <v>#REF!</v>
      </c>
      <c r="D238" s="188" t="e">
        <f>#REF!</f>
        <v>#REF!</v>
      </c>
      <c r="E238" s="188" t="e">
        <f>#REF!</f>
        <v>#REF!</v>
      </c>
      <c r="F238" s="268" t="e">
        <f>#REF!</f>
        <v>#REF!</v>
      </c>
      <c r="G238" s="268" t="e">
        <f t="shared" si="46"/>
        <v>#REF!</v>
      </c>
      <c r="H238" s="269" t="e">
        <f t="shared" si="47"/>
        <v>#REF!</v>
      </c>
      <c r="I238" s="270" t="e">
        <f t="shared" si="48"/>
        <v>#REF!</v>
      </c>
      <c r="J238" s="271" t="e">
        <f>'[4]BULANAN PTKP BARU'!#REF!</f>
        <v>#REF!</v>
      </c>
      <c r="K238" s="191" t="e">
        <f t="shared" si="49"/>
        <v>#REF!</v>
      </c>
      <c r="L238" s="194"/>
      <c r="M238" s="154" t="s">
        <v>422</v>
      </c>
      <c r="N238" s="198" t="s">
        <v>298</v>
      </c>
      <c r="O238" s="199"/>
      <c r="P238" s="273"/>
    </row>
    <row r="239" spans="1:16" hidden="1">
      <c r="A239" s="188" t="e">
        <f>#REF!</f>
        <v>#REF!</v>
      </c>
      <c r="B239" s="192" t="e">
        <f>#REF!</f>
        <v>#REF!</v>
      </c>
      <c r="C239" s="188" t="e">
        <f>#REF!</f>
        <v>#REF!</v>
      </c>
      <c r="D239" s="188" t="e">
        <f>#REF!</f>
        <v>#REF!</v>
      </c>
      <c r="E239" s="188" t="e">
        <f>#REF!</f>
        <v>#REF!</v>
      </c>
      <c r="F239" s="268" t="e">
        <f>#REF!</f>
        <v>#REF!</v>
      </c>
      <c r="G239" s="268" t="e">
        <f t="shared" si="46"/>
        <v>#REF!</v>
      </c>
      <c r="H239" s="269" t="e">
        <f t="shared" si="47"/>
        <v>#REF!</v>
      </c>
      <c r="I239" s="270" t="e">
        <f t="shared" si="48"/>
        <v>#REF!</v>
      </c>
      <c r="J239" s="271" t="e">
        <f>'[4]BULANAN PTKP BARU'!#REF!</f>
        <v>#REF!</v>
      </c>
      <c r="K239" s="191" t="e">
        <f t="shared" si="49"/>
        <v>#REF!</v>
      </c>
      <c r="L239" s="272"/>
      <c r="M239" s="154" t="s">
        <v>423</v>
      </c>
      <c r="N239" s="198" t="s">
        <v>424</v>
      </c>
      <c r="O239" s="199"/>
      <c r="P239" s="273"/>
    </row>
    <row r="240" spans="1:16" hidden="1">
      <c r="A240" s="188" t="e">
        <f>#REF!</f>
        <v>#REF!</v>
      </c>
      <c r="B240" s="192" t="e">
        <f>#REF!</f>
        <v>#REF!</v>
      </c>
      <c r="C240" s="188" t="e">
        <f>#REF!</f>
        <v>#REF!</v>
      </c>
      <c r="D240" s="188" t="e">
        <f>#REF!</f>
        <v>#REF!</v>
      </c>
      <c r="E240" s="188" t="e">
        <f>#REF!</f>
        <v>#REF!</v>
      </c>
      <c r="F240" s="268" t="e">
        <f>#REF!</f>
        <v>#REF!</v>
      </c>
      <c r="G240" s="268" t="e">
        <f t="shared" si="46"/>
        <v>#REF!</v>
      </c>
      <c r="H240" s="269" t="e">
        <f t="shared" si="47"/>
        <v>#REF!</v>
      </c>
      <c r="I240" s="270" t="e">
        <f t="shared" si="48"/>
        <v>#REF!</v>
      </c>
      <c r="J240" s="271" t="e">
        <f>'[4]BULANAN PTKP BARU'!#REF!</f>
        <v>#REF!</v>
      </c>
      <c r="K240" s="191" t="e">
        <f t="shared" si="49"/>
        <v>#REF!</v>
      </c>
      <c r="L240" s="194" t="s">
        <v>425</v>
      </c>
      <c r="M240" s="154" t="s">
        <v>426</v>
      </c>
      <c r="N240" s="198" t="s">
        <v>275</v>
      </c>
      <c r="O240" s="199"/>
      <c r="P240" s="273"/>
    </row>
    <row r="241" spans="1:22" hidden="1">
      <c r="A241" s="188" t="e">
        <f>#REF!</f>
        <v>#REF!</v>
      </c>
      <c r="B241" s="192" t="e">
        <f>#REF!</f>
        <v>#REF!</v>
      </c>
      <c r="C241" s="188" t="e">
        <f>#REF!</f>
        <v>#REF!</v>
      </c>
      <c r="D241" s="188" t="e">
        <f>#REF!</f>
        <v>#REF!</v>
      </c>
      <c r="E241" s="188" t="e">
        <f>#REF!</f>
        <v>#REF!</v>
      </c>
      <c r="F241" s="268" t="e">
        <f>#REF!</f>
        <v>#REF!</v>
      </c>
      <c r="G241" s="268" t="e">
        <f t="shared" si="46"/>
        <v>#REF!</v>
      </c>
      <c r="H241" s="269" t="e">
        <f t="shared" si="47"/>
        <v>#REF!</v>
      </c>
      <c r="I241" s="270" t="e">
        <f t="shared" si="48"/>
        <v>#REF!</v>
      </c>
      <c r="J241" s="271" t="e">
        <f>'[4]BULANAN PTKP BARU'!#REF!</f>
        <v>#REF!</v>
      </c>
      <c r="K241" s="191" t="e">
        <f t="shared" si="49"/>
        <v>#REF!</v>
      </c>
      <c r="L241" s="194"/>
      <c r="M241" s="154" t="s">
        <v>427</v>
      </c>
      <c r="N241" s="198" t="s">
        <v>428</v>
      </c>
      <c r="O241" s="199"/>
      <c r="P241" s="273"/>
      <c r="S241" s="198"/>
    </row>
    <row r="242" spans="1:22" hidden="1">
      <c r="A242" s="188" t="e">
        <f>#REF!</f>
        <v>#REF!</v>
      </c>
      <c r="B242" s="192" t="e">
        <f>#REF!</f>
        <v>#REF!</v>
      </c>
      <c r="C242" s="188" t="e">
        <f>#REF!</f>
        <v>#REF!</v>
      </c>
      <c r="D242" s="188" t="e">
        <f>#REF!</f>
        <v>#REF!</v>
      </c>
      <c r="E242" s="188" t="e">
        <f>#REF!</f>
        <v>#REF!</v>
      </c>
      <c r="F242" s="268" t="e">
        <f>#REF!</f>
        <v>#REF!</v>
      </c>
      <c r="G242" s="268" t="e">
        <f t="shared" si="46"/>
        <v>#REF!</v>
      </c>
      <c r="H242" s="269" t="e">
        <f t="shared" si="47"/>
        <v>#REF!</v>
      </c>
      <c r="I242" s="270" t="e">
        <f t="shared" si="48"/>
        <v>#REF!</v>
      </c>
      <c r="J242" s="271" t="e">
        <f>'[4]BULANAN PTKP BARU'!#REF!</f>
        <v>#REF!</v>
      </c>
      <c r="K242" s="191" t="e">
        <f t="shared" si="49"/>
        <v>#REF!</v>
      </c>
      <c r="L242" s="201" t="s">
        <v>429</v>
      </c>
      <c r="M242" s="154" t="s">
        <v>430</v>
      </c>
      <c r="N242" s="198" t="s">
        <v>190</v>
      </c>
      <c r="O242" s="199"/>
      <c r="P242" s="273"/>
    </row>
    <row r="243" spans="1:22" hidden="1">
      <c r="A243" s="188" t="e">
        <f>#REF!</f>
        <v>#REF!</v>
      </c>
      <c r="B243" s="192" t="e">
        <f>#REF!</f>
        <v>#REF!</v>
      </c>
      <c r="C243" s="188" t="e">
        <f>#REF!</f>
        <v>#REF!</v>
      </c>
      <c r="D243" s="188" t="e">
        <f>#REF!</f>
        <v>#REF!</v>
      </c>
      <c r="E243" s="188" t="e">
        <f>#REF!</f>
        <v>#REF!</v>
      </c>
      <c r="F243" s="268" t="e">
        <f>#REF!</f>
        <v>#REF!</v>
      </c>
      <c r="G243" s="268" t="e">
        <f t="shared" si="46"/>
        <v>#REF!</v>
      </c>
      <c r="H243" s="269" t="e">
        <f t="shared" si="47"/>
        <v>#REF!</v>
      </c>
      <c r="I243" s="270" t="e">
        <f t="shared" si="48"/>
        <v>#REF!</v>
      </c>
      <c r="J243" s="271" t="e">
        <f>'[4]BULANAN PTKP BARU'!#REF!</f>
        <v>#REF!</v>
      </c>
      <c r="K243" s="191" t="e">
        <f t="shared" si="49"/>
        <v>#REF!</v>
      </c>
      <c r="L243" s="272" t="s">
        <v>431</v>
      </c>
      <c r="M243" s="154" t="s">
        <v>432</v>
      </c>
      <c r="N243" s="198" t="s">
        <v>433</v>
      </c>
      <c r="O243" s="199"/>
      <c r="P243" s="273"/>
    </row>
    <row r="244" spans="1:22" hidden="1">
      <c r="A244" s="188" t="e">
        <f>#REF!</f>
        <v>#REF!</v>
      </c>
      <c r="B244" s="192" t="e">
        <f>#REF!</f>
        <v>#REF!</v>
      </c>
      <c r="C244" s="188" t="e">
        <f>#REF!</f>
        <v>#REF!</v>
      </c>
      <c r="D244" s="188" t="e">
        <f>#REF!</f>
        <v>#REF!</v>
      </c>
      <c r="E244" s="188" t="e">
        <f>#REF!</f>
        <v>#REF!</v>
      </c>
      <c r="F244" s="268" t="e">
        <f>#REF!</f>
        <v>#REF!</v>
      </c>
      <c r="G244" s="268" t="e">
        <f t="shared" si="46"/>
        <v>#REF!</v>
      </c>
      <c r="H244" s="269" t="e">
        <f t="shared" si="47"/>
        <v>#REF!</v>
      </c>
      <c r="I244" s="270" t="e">
        <f t="shared" si="48"/>
        <v>#REF!</v>
      </c>
      <c r="J244" s="271" t="e">
        <f>'[4]BULANAN PTKP BARU'!#REF!</f>
        <v>#REF!</v>
      </c>
      <c r="K244" s="191" t="e">
        <f t="shared" si="49"/>
        <v>#REF!</v>
      </c>
      <c r="L244" s="272" t="s">
        <v>434</v>
      </c>
      <c r="M244" s="154" t="s">
        <v>435</v>
      </c>
      <c r="N244" s="198" t="s">
        <v>281</v>
      </c>
      <c r="O244" s="199"/>
      <c r="P244" s="273"/>
    </row>
    <row r="245" spans="1:22" hidden="1">
      <c r="A245" s="188" t="e">
        <f>#REF!</f>
        <v>#REF!</v>
      </c>
      <c r="B245" s="192" t="e">
        <f>#REF!</f>
        <v>#REF!</v>
      </c>
      <c r="C245" s="188" t="e">
        <f>#REF!</f>
        <v>#REF!</v>
      </c>
      <c r="D245" s="188" t="e">
        <f>#REF!</f>
        <v>#REF!</v>
      </c>
      <c r="E245" s="188" t="e">
        <f>#REF!</f>
        <v>#REF!</v>
      </c>
      <c r="F245" s="268" t="e">
        <f>#REF!</f>
        <v>#REF!</v>
      </c>
      <c r="G245" s="268" t="e">
        <f t="shared" si="46"/>
        <v>#REF!</v>
      </c>
      <c r="H245" s="269" t="e">
        <f t="shared" si="47"/>
        <v>#REF!</v>
      </c>
      <c r="I245" s="270" t="e">
        <f t="shared" si="48"/>
        <v>#REF!</v>
      </c>
      <c r="J245" s="271" t="e">
        <f>'[4]BULANAN PTKP BARU'!#REF!</f>
        <v>#REF!</v>
      </c>
      <c r="K245" s="191" t="e">
        <f t="shared" si="49"/>
        <v>#REF!</v>
      </c>
      <c r="L245" s="272" t="s">
        <v>436</v>
      </c>
      <c r="M245" s="154" t="s">
        <v>437</v>
      </c>
      <c r="N245" s="198" t="s">
        <v>438</v>
      </c>
      <c r="O245" s="199"/>
      <c r="P245" s="273"/>
    </row>
    <row r="248" spans="1:22">
      <c r="A248" s="188">
        <v>4</v>
      </c>
      <c r="B248" s="190" t="str">
        <f>+PERBULAN!B116</f>
        <v>BENNY SAPUTRA</v>
      </c>
      <c r="C248" s="190" t="str">
        <f>+PERBULAN!C116</f>
        <v>L</v>
      </c>
      <c r="D248" s="190" t="str">
        <f>+PERBULAN!D116</f>
        <v>K/1</v>
      </c>
      <c r="E248" s="258">
        <f>+PERBULAN!E116</f>
        <v>6</v>
      </c>
      <c r="F248" s="169">
        <f>+PERBULAN!R116</f>
        <v>32353734.359999996</v>
      </c>
      <c r="G248" s="189">
        <f>+PERBULAN!S116</f>
        <v>4063100</v>
      </c>
      <c r="H248" s="189">
        <f>3876600*0.84%*E248</f>
        <v>195380.63999999998</v>
      </c>
      <c r="I248" s="169">
        <f>+BPJS!O116</f>
        <v>942084</v>
      </c>
      <c r="J248" s="169">
        <f>+PERBULAN!T116</f>
        <v>200000</v>
      </c>
      <c r="K248" s="189"/>
      <c r="L248" s="189" t="e">
        <f>'[4]BULANAN PTKP BARU'!V11</f>
        <v>#REF!</v>
      </c>
      <c r="M248" s="169">
        <f>F248+G248+I248+J248+K248+H248</f>
        <v>37754299</v>
      </c>
      <c r="N248" s="169">
        <f>(3876600*2%)*E248</f>
        <v>465192</v>
      </c>
      <c r="O248" s="169">
        <f>3876600*1%*E248</f>
        <v>232596</v>
      </c>
      <c r="P248" s="169">
        <f>M248*5%</f>
        <v>1887714.9500000002</v>
      </c>
      <c r="Q248" s="169">
        <f>N248+P248+O248</f>
        <v>2585502.9500000002</v>
      </c>
      <c r="R248" s="169">
        <f>M248-Q248</f>
        <v>35168796.049999997</v>
      </c>
      <c r="S248" s="167">
        <f>IF(D248="TK/0",54000000,IF(D248="K/0",58500000,IF(D248="K/1",63000000,IF(D248="K/2",67500000,IF(D248="K/3",72000000)))))</f>
        <v>63000000</v>
      </c>
      <c r="T248" s="191">
        <f>IF(R248&lt;=S248,0,IF(R248&gt;S248,R248-S248))</f>
        <v>0</v>
      </c>
      <c r="U248" s="259">
        <f>F248-H248-I248</f>
        <v>31216269.719999995</v>
      </c>
      <c r="V248" s="260">
        <f>H248+I248</f>
        <v>1137464.6399999999</v>
      </c>
    </row>
    <row r="249" spans="1:22">
      <c r="A249" s="188">
        <v>49</v>
      </c>
      <c r="B249" s="190" t="str">
        <f>+PERBULAN!B117</f>
        <v>RINDI PRIANTO</v>
      </c>
      <c r="C249" s="190" t="str">
        <f>+PERBULAN!C117</f>
        <v>L</v>
      </c>
      <c r="D249" s="190" t="str">
        <f>+PERBULAN!D117</f>
        <v>K/1</v>
      </c>
      <c r="E249" s="258">
        <f>+PERBULAN!E117</f>
        <v>8</v>
      </c>
      <c r="F249" s="169">
        <f>+PERBULAN!R117</f>
        <v>38430350.879999995</v>
      </c>
      <c r="G249" s="189">
        <f>+PERBULAN!S117</f>
        <v>4040100</v>
      </c>
      <c r="H249" s="189">
        <f>+BPJS!O235</f>
        <v>260961.11999999997</v>
      </c>
      <c r="I249" s="169">
        <f>+BPJS!O117</f>
        <v>1248432</v>
      </c>
      <c r="J249" s="169">
        <f>+PERBULAN!T117</f>
        <v>200000</v>
      </c>
      <c r="K249" s="189"/>
      <c r="L249" s="189" t="e">
        <f>'[4]BULANAN PTKP BARU'!V58</f>
        <v>#REF!</v>
      </c>
      <c r="M249" s="169">
        <f>F249+G249+I249+J249+K249+H249</f>
        <v>44179843.999999993</v>
      </c>
      <c r="N249" s="169">
        <f>+'ASTEK-DIISI SMPAI DES'!O113</f>
        <v>621336</v>
      </c>
      <c r="O249" s="169">
        <f>+'ASTEK-DIISI SMPAI DES'!O229</f>
        <v>310668</v>
      </c>
      <c r="P249" s="169">
        <f>M249*5%</f>
        <v>2208992.1999999997</v>
      </c>
      <c r="Q249" s="169">
        <f>N249+P249+O249</f>
        <v>3140996.1999999997</v>
      </c>
      <c r="R249" s="169">
        <f>M249-Q249</f>
        <v>41038847.79999999</v>
      </c>
      <c r="S249" s="167">
        <f>IF(D249="TK/0",54000000,IF(D249="K/0",58500000,IF(D249="K/1",63000000,IF(D249="K/2",67500000,IF(D249="K/3",72000000)))))</f>
        <v>63000000</v>
      </c>
      <c r="T249" s="191">
        <f>IF(R249&lt;=S249,0,IF(R249&gt;S249,R249-S249))</f>
        <v>0</v>
      </c>
      <c r="U249" s="259">
        <f>F249-H249-I249</f>
        <v>36920957.759999998</v>
      </c>
      <c r="V249" s="260">
        <f>H249+I249</f>
        <v>1509393.1199999999</v>
      </c>
    </row>
    <row r="250" spans="1:22">
      <c r="A250" s="188">
        <v>51</v>
      </c>
      <c r="B250" s="190" t="str">
        <f>+PERBULAN!B118</f>
        <v>PUTRA ROMADHAN</v>
      </c>
      <c r="C250" s="190" t="str">
        <f>+PERBULAN!C118</f>
        <v>L</v>
      </c>
      <c r="D250" s="190" t="str">
        <f>+PERBULAN!D118</f>
        <v>K/2</v>
      </c>
      <c r="E250" s="258">
        <f>+PERBULAN!E118</f>
        <v>8</v>
      </c>
      <c r="F250" s="169">
        <f>+PERBULAN!R118</f>
        <v>37125680.479999997</v>
      </c>
      <c r="G250" s="189">
        <f>+PERBULAN!S118</f>
        <v>3369250</v>
      </c>
      <c r="H250" s="189">
        <f>+BPJS!O236</f>
        <v>260549.52</v>
      </c>
      <c r="I250" s="169">
        <f>+BPJS!O118</f>
        <v>1240812</v>
      </c>
      <c r="J250" s="169">
        <f>+PERBULAN!T118</f>
        <v>116667</v>
      </c>
      <c r="K250" s="189"/>
      <c r="L250" s="189" t="e">
        <f>'[4]BULANAN PTKP BARU'!V60</f>
        <v>#REF!</v>
      </c>
      <c r="M250" s="169">
        <f>F250+G250+I250+J250+K250+H250</f>
        <v>42112959</v>
      </c>
      <c r="N250" s="169">
        <f>+'ASTEK-DIISI SMPAI DES'!O114</f>
        <v>620356</v>
      </c>
      <c r="O250" s="169">
        <f>+'ASTEK-DIISI SMPAI DES'!O230</f>
        <v>310178</v>
      </c>
      <c r="P250" s="169">
        <f>M250*5%</f>
        <v>2105647.9500000002</v>
      </c>
      <c r="Q250" s="169">
        <f>N250+P250+O250</f>
        <v>3036181.95</v>
      </c>
      <c r="R250" s="169">
        <f>M250-Q250</f>
        <v>39076777.049999997</v>
      </c>
      <c r="S250" s="167">
        <f>IF(D250="TK/0",54000000,IF(D250="K/0",58500000,IF(D250="K/1",63000000,IF(D250="K/2",67500000,IF(D250="K/3",72000000)))))</f>
        <v>67500000</v>
      </c>
      <c r="T250" s="191">
        <f>IF(R250&lt;=S250,0,IF(R250&gt;S250,R250-S250))</f>
        <v>0</v>
      </c>
      <c r="U250" s="259">
        <f>F250-H250-I250</f>
        <v>35624318.959999993</v>
      </c>
      <c r="V250" s="260">
        <f>H250+I250</f>
        <v>1501361.52</v>
      </c>
    </row>
  </sheetData>
  <mergeCells count="31">
    <mergeCell ref="M113:M115"/>
    <mergeCell ref="N113:N115"/>
    <mergeCell ref="A222:D222"/>
    <mergeCell ref="K227:L227"/>
    <mergeCell ref="K231:L231"/>
    <mergeCell ref="E113:E115"/>
    <mergeCell ref="K232:L232"/>
    <mergeCell ref="G113:G115"/>
    <mergeCell ref="H113:H114"/>
    <mergeCell ref="I113:I115"/>
    <mergeCell ref="J113:J115"/>
    <mergeCell ref="K113:K115"/>
    <mergeCell ref="L113:L115"/>
    <mergeCell ref="A110:D110"/>
    <mergeCell ref="A113:A115"/>
    <mergeCell ref="B113:B115"/>
    <mergeCell ref="C113:C115"/>
    <mergeCell ref="D113:D115"/>
    <mergeCell ref="O4:R4"/>
    <mergeCell ref="F5:F6"/>
    <mergeCell ref="G5:G6"/>
    <mergeCell ref="I5:I6"/>
    <mergeCell ref="J5:J6"/>
    <mergeCell ref="K5:K6"/>
    <mergeCell ref="L5:L6"/>
    <mergeCell ref="F4:L4"/>
    <mergeCell ref="A4:A6"/>
    <mergeCell ref="B4:B6"/>
    <mergeCell ref="C4:C6"/>
    <mergeCell ref="D4:D6"/>
    <mergeCell ref="E4:E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0"/>
  <sheetViews>
    <sheetView workbookViewId="0">
      <pane xSplit="3" ySplit="1" topLeftCell="P59" activePane="bottomRight" state="frozen"/>
      <selection activeCell="N18" sqref="N18"/>
      <selection pane="topRight" activeCell="N18" sqref="N18"/>
      <selection pane="bottomLeft" activeCell="N18" sqref="N18"/>
      <selection pane="bottomRight" activeCell="N18" sqref="N18"/>
    </sheetView>
  </sheetViews>
  <sheetFormatPr defaultRowHeight="15"/>
  <cols>
    <col min="1" max="1" width="4" style="208" bestFit="1" customWidth="1"/>
    <col min="2" max="2" width="20.28515625" style="208" bestFit="1" customWidth="1"/>
    <col min="3" max="3" width="20.28515625" style="208" customWidth="1"/>
    <col min="4" max="4" width="10.85546875" style="208" customWidth="1"/>
    <col min="5" max="5" width="12" style="208" customWidth="1"/>
    <col min="6" max="7" width="12.28515625" style="208" customWidth="1"/>
    <col min="8" max="8" width="12.28515625" style="208" hidden="1" customWidth="1"/>
    <col min="9" max="9" width="11" style="208" customWidth="1"/>
    <col min="10" max="10" width="12" style="208" hidden="1" customWidth="1"/>
    <col min="11" max="11" width="10.42578125" style="208" customWidth="1"/>
    <col min="12" max="12" width="11.28515625" style="208" customWidth="1"/>
    <col min="13" max="13" width="10.42578125" style="208" customWidth="1"/>
    <col min="14" max="14" width="12" style="208" customWidth="1"/>
    <col min="15" max="15" width="10.28515625" style="208" customWidth="1"/>
    <col min="16" max="16" width="11" style="208" customWidth="1"/>
    <col min="17" max="17" width="11.7109375" style="208" customWidth="1"/>
    <col min="18" max="18" width="12.28515625" style="208" customWidth="1"/>
    <col min="19" max="19" width="9.140625" style="208" customWidth="1"/>
    <col min="20" max="20" width="11.85546875" style="208" customWidth="1"/>
    <col min="21" max="22" width="9.140625" style="208" customWidth="1"/>
    <col min="23" max="16384" width="9.140625" style="208"/>
  </cols>
  <sheetData>
    <row r="1" spans="1:22" ht="45">
      <c r="A1" s="512" t="s">
        <v>441</v>
      </c>
      <c r="B1" s="514" t="s">
        <v>442</v>
      </c>
      <c r="C1" s="516" t="s">
        <v>443</v>
      </c>
      <c r="D1" s="518" t="s">
        <v>460</v>
      </c>
      <c r="E1" s="518"/>
      <c r="F1" s="518"/>
      <c r="G1" s="518"/>
      <c r="H1" s="518"/>
      <c r="I1" s="518"/>
      <c r="J1" s="518"/>
      <c r="K1" s="518"/>
      <c r="L1" s="518"/>
      <c r="M1" s="518"/>
      <c r="N1" s="518"/>
      <c r="O1" s="518"/>
      <c r="P1" s="518"/>
      <c r="Q1" s="518"/>
      <c r="R1" s="208" t="s">
        <v>444</v>
      </c>
      <c r="S1" s="208" t="s">
        <v>445</v>
      </c>
      <c r="T1" s="208" t="s">
        <v>446</v>
      </c>
    </row>
    <row r="2" spans="1:22" ht="15.75" thickBot="1">
      <c r="A2" s="513"/>
      <c r="B2" s="515"/>
      <c r="C2" s="517"/>
      <c r="D2" s="221" t="s">
        <v>447</v>
      </c>
      <c r="E2" s="221" t="s">
        <v>448</v>
      </c>
      <c r="F2" s="221" t="s">
        <v>449</v>
      </c>
      <c r="G2" s="221" t="s">
        <v>450</v>
      </c>
      <c r="H2" s="221" t="s">
        <v>74</v>
      </c>
      <c r="I2" s="221" t="s">
        <v>451</v>
      </c>
      <c r="J2" s="221" t="s">
        <v>357</v>
      </c>
      <c r="K2" s="221" t="s">
        <v>452</v>
      </c>
      <c r="L2" s="221" t="s">
        <v>453</v>
      </c>
      <c r="M2" s="221" t="s">
        <v>454</v>
      </c>
      <c r="N2" s="221" t="s">
        <v>455</v>
      </c>
      <c r="O2" s="221" t="s">
        <v>456</v>
      </c>
      <c r="P2" s="291" t="s">
        <v>457</v>
      </c>
      <c r="Q2" s="221" t="s">
        <v>31</v>
      </c>
      <c r="R2" s="209"/>
    </row>
    <row r="3" spans="1:22">
      <c r="A3" s="208">
        <v>1</v>
      </c>
      <c r="B3" s="203" t="str">
        <f>+PERBULAN!B8</f>
        <v>SUDARMONO</v>
      </c>
      <c r="C3" s="210" t="s">
        <v>69</v>
      </c>
      <c r="D3" s="211">
        <v>75605</v>
      </c>
      <c r="E3" s="211">
        <v>76741</v>
      </c>
      <c r="F3" s="211">
        <v>223070</v>
      </c>
      <c r="G3" s="211">
        <v>73553</v>
      </c>
      <c r="H3" s="211"/>
      <c r="I3" s="211">
        <v>54711</v>
      </c>
      <c r="J3" s="211"/>
      <c r="K3" s="211">
        <v>33350</v>
      </c>
      <c r="L3" s="211">
        <v>73867</v>
      </c>
      <c r="M3" s="211">
        <v>73473</v>
      </c>
      <c r="N3" s="211">
        <v>33101</v>
      </c>
      <c r="O3" s="211">
        <v>16017</v>
      </c>
      <c r="P3" s="211">
        <v>33805</v>
      </c>
      <c r="Q3" s="211"/>
      <c r="R3" s="212">
        <f t="shared" ref="R3:R33" si="0">SUM(D3:Q3)</f>
        <v>767293</v>
      </c>
      <c r="S3" s="209">
        <v>0</v>
      </c>
      <c r="T3" s="212">
        <f>R3-S3</f>
        <v>767293</v>
      </c>
      <c r="V3" s="212">
        <f t="shared" ref="V3:V62" si="1">COUNT(D3:Q3)-COUNT(H3)-COUNT(J3)</f>
        <v>11</v>
      </c>
    </row>
    <row r="4" spans="1:22">
      <c r="A4" s="208">
        <v>2</v>
      </c>
      <c r="B4" s="203" t="str">
        <f>+PERBULAN!B9</f>
        <v>ARDIYANSA</v>
      </c>
      <c r="C4" s="351" t="s">
        <v>69</v>
      </c>
      <c r="D4" s="213">
        <v>115658</v>
      </c>
      <c r="E4" s="213">
        <v>65817</v>
      </c>
      <c r="F4" s="213">
        <v>389076</v>
      </c>
      <c r="G4" s="213">
        <v>90167</v>
      </c>
      <c r="H4" s="213"/>
      <c r="I4" s="213">
        <v>118479</v>
      </c>
      <c r="J4" s="213"/>
      <c r="K4" s="213">
        <v>65267</v>
      </c>
      <c r="L4" s="213">
        <v>92109</v>
      </c>
      <c r="M4" s="213">
        <v>89963</v>
      </c>
      <c r="N4" s="213">
        <v>67456</v>
      </c>
      <c r="O4" s="213">
        <v>112540</v>
      </c>
      <c r="P4" s="213">
        <v>88386</v>
      </c>
      <c r="Q4" s="213"/>
      <c r="R4" s="212">
        <f t="shared" si="0"/>
        <v>1294918</v>
      </c>
      <c r="S4" s="209">
        <v>0</v>
      </c>
      <c r="T4" s="212">
        <f t="shared" ref="T4:T8" si="2">R4-S4</f>
        <v>1294918</v>
      </c>
      <c r="V4" s="212">
        <f t="shared" si="1"/>
        <v>11</v>
      </c>
    </row>
    <row r="5" spans="1:22">
      <c r="A5" s="208">
        <v>3</v>
      </c>
      <c r="B5" s="203" t="str">
        <f>+PERBULAN!B10</f>
        <v>INDRA JAYA</v>
      </c>
      <c r="C5" s="352" t="s">
        <v>379</v>
      </c>
      <c r="D5" s="213">
        <v>54506</v>
      </c>
      <c r="E5" s="213">
        <v>0</v>
      </c>
      <c r="F5" s="213">
        <v>88277</v>
      </c>
      <c r="G5" s="213">
        <v>0</v>
      </c>
      <c r="H5" s="213"/>
      <c r="I5" s="213">
        <v>0</v>
      </c>
      <c r="J5" s="213"/>
      <c r="K5" s="213">
        <v>0</v>
      </c>
      <c r="L5" s="213">
        <v>0</v>
      </c>
      <c r="M5" s="213">
        <v>0</v>
      </c>
      <c r="N5" s="213">
        <v>0</v>
      </c>
      <c r="O5" s="213">
        <v>0</v>
      </c>
      <c r="P5" s="213">
        <v>0</v>
      </c>
      <c r="Q5" s="213"/>
      <c r="R5" s="212">
        <f t="shared" si="0"/>
        <v>142783</v>
      </c>
      <c r="S5" s="209">
        <v>0</v>
      </c>
      <c r="T5" s="212">
        <f>R5-S5</f>
        <v>142783</v>
      </c>
      <c r="V5" s="212">
        <f t="shared" si="1"/>
        <v>11</v>
      </c>
    </row>
    <row r="6" spans="1:22">
      <c r="A6" s="208">
        <v>4</v>
      </c>
      <c r="B6" s="203" t="str">
        <f>+PERBULAN!B11</f>
        <v>USPANDI</v>
      </c>
      <c r="C6" s="214" t="s">
        <v>381</v>
      </c>
      <c r="D6" s="213">
        <v>76728</v>
      </c>
      <c r="E6" s="213">
        <v>16159</v>
      </c>
      <c r="F6" s="213">
        <v>215710</v>
      </c>
      <c r="G6" s="213">
        <v>54745</v>
      </c>
      <c r="H6" s="213"/>
      <c r="I6" s="213">
        <v>53790</v>
      </c>
      <c r="J6" s="213"/>
      <c r="K6" s="213">
        <v>0</v>
      </c>
      <c r="L6" s="213">
        <v>52255</v>
      </c>
      <c r="M6" s="213">
        <v>0</v>
      </c>
      <c r="N6" s="213">
        <v>15794</v>
      </c>
      <c r="O6" s="213">
        <v>54525</v>
      </c>
      <c r="P6" s="213">
        <v>74087</v>
      </c>
      <c r="Q6" s="213"/>
      <c r="R6" s="212">
        <f t="shared" si="0"/>
        <v>613793</v>
      </c>
      <c r="S6" s="209">
        <v>0</v>
      </c>
      <c r="T6" s="212">
        <f t="shared" si="2"/>
        <v>613793</v>
      </c>
      <c r="V6" s="212">
        <f t="shared" si="1"/>
        <v>11</v>
      </c>
    </row>
    <row r="7" spans="1:22">
      <c r="A7" s="208">
        <v>5</v>
      </c>
      <c r="B7" s="203" t="str">
        <f>+PERBULAN!B12</f>
        <v>NOVI SUHAIDI</v>
      </c>
      <c r="C7" s="352" t="s">
        <v>406</v>
      </c>
      <c r="D7" s="213">
        <v>76194</v>
      </c>
      <c r="E7" s="213">
        <v>15956</v>
      </c>
      <c r="F7" s="213">
        <v>158596</v>
      </c>
      <c r="G7" s="213">
        <v>53091</v>
      </c>
      <c r="H7" s="213"/>
      <c r="I7" s="213">
        <v>34004</v>
      </c>
      <c r="J7" s="213"/>
      <c r="K7" s="213">
        <v>0</v>
      </c>
      <c r="L7" s="213">
        <v>33930</v>
      </c>
      <c r="M7" s="213">
        <v>0</v>
      </c>
      <c r="N7" s="213">
        <v>15889</v>
      </c>
      <c r="O7" s="213">
        <v>74352</v>
      </c>
      <c r="P7" s="213">
        <v>54354</v>
      </c>
      <c r="Q7" s="213"/>
      <c r="R7" s="212">
        <f t="shared" si="0"/>
        <v>516366</v>
      </c>
      <c r="S7" s="209">
        <v>0</v>
      </c>
      <c r="T7" s="212">
        <f t="shared" si="2"/>
        <v>516366</v>
      </c>
      <c r="V7" s="212">
        <f t="shared" si="1"/>
        <v>11</v>
      </c>
    </row>
    <row r="8" spans="1:22">
      <c r="A8" s="208">
        <v>6</v>
      </c>
      <c r="B8" s="203" t="str">
        <f>+PERBULAN!B13</f>
        <v>ROSLI</v>
      </c>
      <c r="C8" s="352" t="s">
        <v>382</v>
      </c>
      <c r="D8" s="213">
        <v>0</v>
      </c>
      <c r="E8" s="213">
        <v>0</v>
      </c>
      <c r="F8" s="213">
        <v>85116</v>
      </c>
      <c r="G8" s="213">
        <v>0</v>
      </c>
      <c r="H8" s="213"/>
      <c r="I8" s="213">
        <v>0</v>
      </c>
      <c r="J8" s="213"/>
      <c r="K8" s="213">
        <v>0</v>
      </c>
      <c r="L8" s="213">
        <v>0</v>
      </c>
      <c r="M8" s="213">
        <v>0</v>
      </c>
      <c r="N8" s="213">
        <v>0</v>
      </c>
      <c r="O8" s="213">
        <v>0</v>
      </c>
      <c r="P8" s="213">
        <v>0</v>
      </c>
      <c r="Q8" s="213"/>
      <c r="R8" s="212">
        <f t="shared" si="0"/>
        <v>85116</v>
      </c>
      <c r="S8" s="209">
        <v>0</v>
      </c>
      <c r="T8" s="212">
        <f t="shared" si="2"/>
        <v>85116</v>
      </c>
      <c r="V8" s="212">
        <f t="shared" si="1"/>
        <v>11</v>
      </c>
    </row>
    <row r="9" spans="1:22">
      <c r="A9" s="208">
        <v>7</v>
      </c>
      <c r="B9" s="203" t="str">
        <f>+PERBULAN!B14</f>
        <v>AMRIL</v>
      </c>
      <c r="C9" s="352" t="s">
        <v>383</v>
      </c>
      <c r="D9" s="213">
        <v>75201</v>
      </c>
      <c r="E9" s="213">
        <v>54537</v>
      </c>
      <c r="F9" s="213">
        <v>352351</v>
      </c>
      <c r="G9" s="213">
        <v>54155</v>
      </c>
      <c r="H9" s="213"/>
      <c r="I9" s="213">
        <v>88197</v>
      </c>
      <c r="J9" s="213"/>
      <c r="K9" s="213">
        <v>77758</v>
      </c>
      <c r="L9" s="213">
        <v>85251</v>
      </c>
      <c r="M9" s="213">
        <v>87106</v>
      </c>
      <c r="N9" s="213">
        <v>84311</v>
      </c>
      <c r="O9" s="213">
        <v>54695</v>
      </c>
      <c r="P9" s="213">
        <v>75883</v>
      </c>
      <c r="Q9" s="213"/>
      <c r="R9" s="212">
        <f t="shared" si="0"/>
        <v>1089445</v>
      </c>
      <c r="S9" s="209">
        <v>0</v>
      </c>
      <c r="T9" s="212">
        <f>R9-S9</f>
        <v>1089445</v>
      </c>
      <c r="V9" s="212">
        <f t="shared" si="1"/>
        <v>11</v>
      </c>
    </row>
    <row r="10" spans="1:22">
      <c r="A10" s="208">
        <v>8</v>
      </c>
      <c r="B10" s="203" t="str">
        <f>+PERBULAN!B15</f>
        <v>KARMILA</v>
      </c>
      <c r="C10" s="352" t="s">
        <v>384</v>
      </c>
      <c r="D10" s="213">
        <v>0</v>
      </c>
      <c r="E10" s="213">
        <v>0</v>
      </c>
      <c r="F10" s="213">
        <v>124548</v>
      </c>
      <c r="G10" s="213">
        <v>0</v>
      </c>
      <c r="H10" s="213"/>
      <c r="I10" s="213">
        <v>0</v>
      </c>
      <c r="J10" s="213"/>
      <c r="K10" s="213">
        <v>0</v>
      </c>
      <c r="L10" s="213">
        <v>0</v>
      </c>
      <c r="M10" s="213">
        <v>0</v>
      </c>
      <c r="N10" s="213">
        <v>0</v>
      </c>
      <c r="O10" s="213">
        <v>0</v>
      </c>
      <c r="P10" s="213">
        <v>0</v>
      </c>
      <c r="Q10" s="213"/>
      <c r="R10" s="212">
        <f t="shared" si="0"/>
        <v>124548</v>
      </c>
      <c r="S10" s="209">
        <v>0</v>
      </c>
      <c r="T10" s="212">
        <f>R10-S10</f>
        <v>124548</v>
      </c>
      <c r="V10" s="212">
        <f t="shared" si="1"/>
        <v>11</v>
      </c>
    </row>
    <row r="11" spans="1:22">
      <c r="A11" s="208">
        <v>9</v>
      </c>
      <c r="B11" s="203" t="str">
        <f>+PERBULAN!B16</f>
        <v>MARTUTI</v>
      </c>
      <c r="C11" s="214" t="s">
        <v>385</v>
      </c>
      <c r="D11" s="213">
        <v>0</v>
      </c>
      <c r="E11" s="213">
        <v>0</v>
      </c>
      <c r="F11" s="213">
        <v>124655</v>
      </c>
      <c r="G11" s="213">
        <v>0</v>
      </c>
      <c r="H11" s="213"/>
      <c r="I11" s="213">
        <v>0</v>
      </c>
      <c r="J11" s="213"/>
      <c r="K11" s="213">
        <v>0</v>
      </c>
      <c r="L11" s="213">
        <v>0</v>
      </c>
      <c r="M11" s="213">
        <v>0</v>
      </c>
      <c r="N11" s="213">
        <v>0</v>
      </c>
      <c r="O11" s="213">
        <v>0</v>
      </c>
      <c r="P11" s="213">
        <v>0</v>
      </c>
      <c r="Q11" s="213"/>
      <c r="R11" s="212">
        <f t="shared" si="0"/>
        <v>124655</v>
      </c>
      <c r="S11" s="209">
        <v>0</v>
      </c>
      <c r="T11" s="212">
        <f t="shared" ref="T11:T71" si="3">R11-S11</f>
        <v>124655</v>
      </c>
      <c r="V11" s="212">
        <f t="shared" si="1"/>
        <v>11</v>
      </c>
    </row>
    <row r="12" spans="1:22">
      <c r="A12" s="208">
        <v>10</v>
      </c>
      <c r="B12" s="203" t="str">
        <f>+PERBULAN!B17</f>
        <v>HARNIAWATI</v>
      </c>
      <c r="C12" s="215" t="s">
        <v>386</v>
      </c>
      <c r="D12" s="213">
        <v>0</v>
      </c>
      <c r="E12" s="213">
        <v>0</v>
      </c>
      <c r="F12" s="213">
        <v>124655</v>
      </c>
      <c r="G12" s="213">
        <v>0</v>
      </c>
      <c r="H12" s="213"/>
      <c r="I12" s="213">
        <v>0</v>
      </c>
      <c r="J12" s="213"/>
      <c r="K12" s="213">
        <v>0</v>
      </c>
      <c r="L12" s="213">
        <v>0</v>
      </c>
      <c r="M12" s="213">
        <v>0</v>
      </c>
      <c r="N12" s="213">
        <v>0</v>
      </c>
      <c r="O12" s="213">
        <v>0</v>
      </c>
      <c r="P12" s="213">
        <v>0</v>
      </c>
      <c r="Q12" s="213"/>
      <c r="R12" s="212">
        <f t="shared" si="0"/>
        <v>124655</v>
      </c>
      <c r="S12" s="209">
        <v>0</v>
      </c>
      <c r="T12" s="212">
        <f t="shared" si="3"/>
        <v>124655</v>
      </c>
      <c r="V12" s="212">
        <f t="shared" si="1"/>
        <v>11</v>
      </c>
    </row>
    <row r="13" spans="1:22">
      <c r="A13" s="208">
        <v>11</v>
      </c>
      <c r="B13" s="203" t="str">
        <f>+PERBULAN!B18</f>
        <v>MARYATI</v>
      </c>
      <c r="C13" s="215" t="s">
        <v>387</v>
      </c>
      <c r="D13" s="213">
        <v>0</v>
      </c>
      <c r="E13" s="213">
        <v>0</v>
      </c>
      <c r="F13" s="213">
        <v>124655</v>
      </c>
      <c r="G13" s="213">
        <v>0</v>
      </c>
      <c r="H13" s="213"/>
      <c r="I13" s="213">
        <v>0</v>
      </c>
      <c r="J13" s="213"/>
      <c r="K13" s="213">
        <v>0</v>
      </c>
      <c r="L13" s="213">
        <v>0</v>
      </c>
      <c r="M13" s="213">
        <v>0</v>
      </c>
      <c r="N13" s="213">
        <v>0</v>
      </c>
      <c r="O13" s="213">
        <v>0</v>
      </c>
      <c r="P13" s="213">
        <v>0</v>
      </c>
      <c r="Q13" s="213"/>
      <c r="R13" s="212">
        <f t="shared" si="0"/>
        <v>124655</v>
      </c>
      <c r="S13" s="209">
        <v>0</v>
      </c>
      <c r="T13" s="212">
        <f t="shared" si="3"/>
        <v>124655</v>
      </c>
      <c r="V13" s="212">
        <f t="shared" si="1"/>
        <v>11</v>
      </c>
    </row>
    <row r="14" spans="1:22">
      <c r="A14" s="208">
        <v>12</v>
      </c>
      <c r="B14" s="203" t="str">
        <f>+PERBULAN!B19</f>
        <v>KOPRIATI</v>
      </c>
      <c r="C14" s="215" t="s">
        <v>388</v>
      </c>
      <c r="D14" s="213">
        <v>0</v>
      </c>
      <c r="E14" s="213">
        <v>0</v>
      </c>
      <c r="F14" s="213">
        <v>123754</v>
      </c>
      <c r="G14" s="213">
        <v>0</v>
      </c>
      <c r="H14" s="213"/>
      <c r="I14" s="213">
        <v>0</v>
      </c>
      <c r="J14" s="213"/>
      <c r="K14" s="213">
        <v>0</v>
      </c>
      <c r="L14" s="213">
        <v>0</v>
      </c>
      <c r="M14" s="213">
        <v>0</v>
      </c>
      <c r="N14" s="213">
        <v>0</v>
      </c>
      <c r="O14" s="213">
        <v>0</v>
      </c>
      <c r="P14" s="213">
        <v>0</v>
      </c>
      <c r="Q14" s="213"/>
      <c r="R14" s="212">
        <f t="shared" si="0"/>
        <v>123754</v>
      </c>
      <c r="S14" s="209">
        <v>0</v>
      </c>
      <c r="T14" s="212">
        <f t="shared" si="3"/>
        <v>123754</v>
      </c>
      <c r="V14" s="212">
        <f t="shared" si="1"/>
        <v>11</v>
      </c>
    </row>
    <row r="15" spans="1:22">
      <c r="A15" s="208">
        <v>13</v>
      </c>
      <c r="B15" s="203" t="str">
        <f>+PERBULAN!B20</f>
        <v>ASNIATI</v>
      </c>
      <c r="C15" s="215" t="s">
        <v>389</v>
      </c>
      <c r="D15" s="213">
        <v>0</v>
      </c>
      <c r="E15" s="213">
        <v>0</v>
      </c>
      <c r="F15" s="213">
        <v>124548</v>
      </c>
      <c r="G15" s="213">
        <v>0</v>
      </c>
      <c r="H15" s="213"/>
      <c r="I15" s="213">
        <v>0</v>
      </c>
      <c r="J15" s="213"/>
      <c r="K15" s="213">
        <v>0</v>
      </c>
      <c r="L15" s="213">
        <v>0</v>
      </c>
      <c r="M15" s="213">
        <v>0</v>
      </c>
      <c r="N15" s="213">
        <v>0</v>
      </c>
      <c r="O15" s="213">
        <v>0</v>
      </c>
      <c r="P15" s="213">
        <v>0</v>
      </c>
      <c r="Q15" s="213"/>
      <c r="R15" s="212">
        <f t="shared" si="0"/>
        <v>124548</v>
      </c>
      <c r="S15" s="209">
        <v>0</v>
      </c>
      <c r="T15" s="212">
        <f t="shared" si="3"/>
        <v>124548</v>
      </c>
      <c r="V15" s="212">
        <f t="shared" si="1"/>
        <v>11</v>
      </c>
    </row>
    <row r="16" spans="1:22">
      <c r="A16" s="208">
        <v>14</v>
      </c>
      <c r="B16" s="203" t="str">
        <f>+PERBULAN!B21</f>
        <v>ANDIWATI</v>
      </c>
      <c r="C16" s="215" t="s">
        <v>390</v>
      </c>
      <c r="D16" s="213">
        <v>0</v>
      </c>
      <c r="E16" s="213">
        <v>0</v>
      </c>
      <c r="F16" s="213">
        <v>124548</v>
      </c>
      <c r="G16" s="213">
        <v>0</v>
      </c>
      <c r="H16" s="213"/>
      <c r="I16" s="213">
        <v>0</v>
      </c>
      <c r="J16" s="213"/>
      <c r="K16" s="213">
        <v>0</v>
      </c>
      <c r="L16" s="213">
        <v>0</v>
      </c>
      <c r="M16" s="213">
        <v>0</v>
      </c>
      <c r="N16" s="213">
        <v>0</v>
      </c>
      <c r="O16" s="213">
        <v>0</v>
      </c>
      <c r="P16" s="213">
        <v>0</v>
      </c>
      <c r="Q16" s="213"/>
      <c r="R16" s="212">
        <f t="shared" si="0"/>
        <v>124548</v>
      </c>
      <c r="S16" s="209">
        <v>0</v>
      </c>
      <c r="T16" s="212">
        <f t="shared" si="3"/>
        <v>124548</v>
      </c>
      <c r="V16" s="212">
        <f t="shared" si="1"/>
        <v>11</v>
      </c>
    </row>
    <row r="17" spans="1:22">
      <c r="A17" s="208">
        <v>15</v>
      </c>
      <c r="B17" s="203" t="str">
        <f>+PERBULAN!B22</f>
        <v>MARYANA.So</v>
      </c>
      <c r="C17" s="215" t="s">
        <v>391</v>
      </c>
      <c r="D17" s="213">
        <v>0</v>
      </c>
      <c r="E17" s="213">
        <v>0</v>
      </c>
      <c r="F17" s="213">
        <v>124548</v>
      </c>
      <c r="G17" s="213">
        <v>0</v>
      </c>
      <c r="H17" s="213"/>
      <c r="I17" s="213">
        <v>0</v>
      </c>
      <c r="J17" s="213"/>
      <c r="K17" s="213">
        <v>0</v>
      </c>
      <c r="L17" s="213">
        <v>0</v>
      </c>
      <c r="M17" s="213">
        <v>0</v>
      </c>
      <c r="N17" s="213">
        <v>0</v>
      </c>
      <c r="O17" s="213">
        <v>0</v>
      </c>
      <c r="P17" s="213">
        <v>0</v>
      </c>
      <c r="Q17" s="213"/>
      <c r="R17" s="212">
        <f t="shared" si="0"/>
        <v>124548</v>
      </c>
      <c r="S17" s="209">
        <v>0</v>
      </c>
      <c r="T17" s="212">
        <f t="shared" si="3"/>
        <v>124548</v>
      </c>
      <c r="V17" s="212">
        <f t="shared" si="1"/>
        <v>11</v>
      </c>
    </row>
    <row r="18" spans="1:22">
      <c r="A18" s="208">
        <v>16</v>
      </c>
      <c r="B18" s="203" t="str">
        <f>+PERBULAN!B23</f>
        <v>TUTI</v>
      </c>
      <c r="C18" s="215" t="s">
        <v>392</v>
      </c>
      <c r="D18" s="213">
        <v>0</v>
      </c>
      <c r="E18" s="213">
        <v>0</v>
      </c>
      <c r="F18" s="213">
        <v>124655</v>
      </c>
      <c r="G18" s="213">
        <v>0</v>
      </c>
      <c r="H18" s="213"/>
      <c r="I18" s="213">
        <v>0</v>
      </c>
      <c r="J18" s="213"/>
      <c r="K18" s="213">
        <v>0</v>
      </c>
      <c r="L18" s="213">
        <v>0</v>
      </c>
      <c r="M18" s="213">
        <v>0</v>
      </c>
      <c r="N18" s="213">
        <v>0</v>
      </c>
      <c r="O18" s="213">
        <v>0</v>
      </c>
      <c r="P18" s="213">
        <v>0</v>
      </c>
      <c r="Q18" s="213"/>
      <c r="R18" s="212">
        <f t="shared" si="0"/>
        <v>124655</v>
      </c>
      <c r="S18" s="209">
        <v>0</v>
      </c>
      <c r="T18" s="212">
        <f t="shared" si="3"/>
        <v>124655</v>
      </c>
      <c r="V18" s="212">
        <f t="shared" si="1"/>
        <v>11</v>
      </c>
    </row>
    <row r="19" spans="1:22">
      <c r="A19" s="208">
        <v>17</v>
      </c>
      <c r="B19" s="203" t="str">
        <f>+PERBULAN!B24</f>
        <v>AGUSTIANA</v>
      </c>
      <c r="C19" s="215" t="s">
        <v>393</v>
      </c>
      <c r="D19" s="213">
        <v>0</v>
      </c>
      <c r="E19" s="213">
        <v>0</v>
      </c>
      <c r="F19" s="213">
        <v>124655</v>
      </c>
      <c r="G19" s="213">
        <v>0</v>
      </c>
      <c r="H19" s="213"/>
      <c r="I19" s="213">
        <v>0</v>
      </c>
      <c r="J19" s="213"/>
      <c r="K19" s="213">
        <v>0</v>
      </c>
      <c r="L19" s="213">
        <v>0</v>
      </c>
      <c r="M19" s="213">
        <v>0</v>
      </c>
      <c r="N19" s="213">
        <v>0</v>
      </c>
      <c r="O19" s="213">
        <v>0</v>
      </c>
      <c r="P19" s="213">
        <v>0</v>
      </c>
      <c r="Q19" s="213"/>
      <c r="R19" s="212">
        <f t="shared" si="0"/>
        <v>124655</v>
      </c>
      <c r="S19" s="209">
        <v>0</v>
      </c>
      <c r="T19" s="212">
        <f t="shared" si="3"/>
        <v>124655</v>
      </c>
      <c r="V19" s="212">
        <f t="shared" si="1"/>
        <v>11</v>
      </c>
    </row>
    <row r="20" spans="1:22">
      <c r="A20" s="208">
        <v>18</v>
      </c>
      <c r="B20" s="203" t="str">
        <f>+PERBULAN!B25</f>
        <v>SISWANTO</v>
      </c>
      <c r="C20" s="215" t="s">
        <v>394</v>
      </c>
      <c r="D20" s="213">
        <v>0</v>
      </c>
      <c r="E20" s="213">
        <v>0</v>
      </c>
      <c r="F20" s="213">
        <v>126089</v>
      </c>
      <c r="G20" s="213">
        <v>0</v>
      </c>
      <c r="H20" s="213"/>
      <c r="I20" s="213">
        <v>0</v>
      </c>
      <c r="J20" s="213"/>
      <c r="K20" s="213">
        <v>0</v>
      </c>
      <c r="L20" s="213">
        <v>0</v>
      </c>
      <c r="M20" s="213">
        <v>0</v>
      </c>
      <c r="N20" s="213">
        <v>0</v>
      </c>
      <c r="O20" s="213">
        <v>0</v>
      </c>
      <c r="P20" s="213">
        <v>0</v>
      </c>
      <c r="Q20" s="213"/>
      <c r="R20" s="212">
        <f t="shared" si="0"/>
        <v>126089</v>
      </c>
      <c r="S20" s="209">
        <v>0</v>
      </c>
      <c r="T20" s="212">
        <f t="shared" si="3"/>
        <v>126089</v>
      </c>
      <c r="V20" s="212">
        <f t="shared" si="1"/>
        <v>11</v>
      </c>
    </row>
    <row r="21" spans="1:22">
      <c r="A21" s="208">
        <v>19</v>
      </c>
      <c r="B21" s="203" t="str">
        <f>+PERBULAN!B26</f>
        <v>SUNDARI</v>
      </c>
      <c r="C21" s="215" t="s">
        <v>69</v>
      </c>
      <c r="D21" s="213">
        <v>0</v>
      </c>
      <c r="E21" s="213">
        <v>0</v>
      </c>
      <c r="F21" s="213">
        <v>124027</v>
      </c>
      <c r="G21" s="213">
        <v>0</v>
      </c>
      <c r="H21" s="213"/>
      <c r="I21" s="213">
        <v>0</v>
      </c>
      <c r="J21" s="213"/>
      <c r="K21" s="213">
        <v>0</v>
      </c>
      <c r="L21" s="213">
        <v>0</v>
      </c>
      <c r="M21" s="213">
        <v>0</v>
      </c>
      <c r="N21" s="213">
        <v>0</v>
      </c>
      <c r="O21" s="213">
        <v>0</v>
      </c>
      <c r="P21" s="213">
        <v>0</v>
      </c>
      <c r="Q21" s="213"/>
      <c r="R21" s="212">
        <f t="shared" si="0"/>
        <v>124027</v>
      </c>
      <c r="S21" s="209">
        <v>0</v>
      </c>
      <c r="T21" s="212">
        <f t="shared" si="3"/>
        <v>124027</v>
      </c>
      <c r="V21" s="212">
        <f t="shared" si="1"/>
        <v>11</v>
      </c>
    </row>
    <row r="22" spans="1:22">
      <c r="A22" s="208">
        <v>20</v>
      </c>
      <c r="B22" s="203" t="str">
        <f>+PERBULAN!B27</f>
        <v>SURYATI</v>
      </c>
      <c r="C22" s="215" t="s">
        <v>395</v>
      </c>
      <c r="D22" s="213">
        <v>0</v>
      </c>
      <c r="E22" s="213">
        <v>0</v>
      </c>
      <c r="F22" s="213">
        <v>83874</v>
      </c>
      <c r="G22" s="213">
        <v>0</v>
      </c>
      <c r="H22" s="213"/>
      <c r="I22" s="213">
        <v>0</v>
      </c>
      <c r="J22" s="213"/>
      <c r="K22" s="213">
        <v>0</v>
      </c>
      <c r="L22" s="213">
        <v>0</v>
      </c>
      <c r="M22" s="213">
        <v>0</v>
      </c>
      <c r="N22" s="213">
        <v>0</v>
      </c>
      <c r="O22" s="213">
        <v>0</v>
      </c>
      <c r="P22" s="213">
        <v>0</v>
      </c>
      <c r="Q22" s="213"/>
      <c r="R22" s="212">
        <f t="shared" si="0"/>
        <v>83874</v>
      </c>
      <c r="S22" s="209">
        <v>0</v>
      </c>
      <c r="T22" s="212">
        <f t="shared" si="3"/>
        <v>83874</v>
      </c>
      <c r="V22" s="212">
        <f t="shared" si="1"/>
        <v>11</v>
      </c>
    </row>
    <row r="23" spans="1:22">
      <c r="A23" s="208">
        <v>21</v>
      </c>
      <c r="B23" s="203" t="str">
        <f>+PERBULAN!B28</f>
        <v>SANTI</v>
      </c>
      <c r="C23" s="215" t="s">
        <v>396</v>
      </c>
      <c r="D23" s="213">
        <v>0</v>
      </c>
      <c r="E23" s="213">
        <v>0</v>
      </c>
      <c r="F23" s="213">
        <v>125833</v>
      </c>
      <c r="G23" s="213">
        <v>0</v>
      </c>
      <c r="H23" s="213"/>
      <c r="I23" s="213">
        <v>0</v>
      </c>
      <c r="J23" s="213"/>
      <c r="K23" s="213">
        <v>0</v>
      </c>
      <c r="L23" s="213">
        <v>0</v>
      </c>
      <c r="M23" s="213">
        <v>0</v>
      </c>
      <c r="N23" s="213">
        <v>0</v>
      </c>
      <c r="O23" s="213">
        <v>0</v>
      </c>
      <c r="P23" s="213">
        <v>0</v>
      </c>
      <c r="Q23" s="213"/>
      <c r="R23" s="212">
        <f t="shared" si="0"/>
        <v>125833</v>
      </c>
      <c r="S23" s="209">
        <v>0</v>
      </c>
      <c r="T23" s="212">
        <f t="shared" si="3"/>
        <v>125833</v>
      </c>
      <c r="V23" s="212">
        <f t="shared" si="1"/>
        <v>11</v>
      </c>
    </row>
    <row r="24" spans="1:22">
      <c r="A24" s="208">
        <v>22</v>
      </c>
      <c r="B24" s="203" t="str">
        <f>+PERBULAN!B29</f>
        <v>HARYANI</v>
      </c>
      <c r="C24" s="353" t="s">
        <v>397</v>
      </c>
      <c r="D24" s="213">
        <v>0</v>
      </c>
      <c r="E24" s="213">
        <v>0</v>
      </c>
      <c r="F24" s="213">
        <v>126044</v>
      </c>
      <c r="G24" s="213">
        <v>0</v>
      </c>
      <c r="H24" s="213"/>
      <c r="I24" s="213">
        <v>0</v>
      </c>
      <c r="J24" s="213"/>
      <c r="K24" s="213">
        <v>0</v>
      </c>
      <c r="L24" s="213">
        <v>0</v>
      </c>
      <c r="M24" s="213">
        <v>0</v>
      </c>
      <c r="N24" s="213">
        <v>0</v>
      </c>
      <c r="O24" s="213">
        <v>0</v>
      </c>
      <c r="P24" s="213">
        <v>0</v>
      </c>
      <c r="Q24" s="213"/>
      <c r="R24" s="212">
        <f t="shared" si="0"/>
        <v>126044</v>
      </c>
      <c r="S24" s="209">
        <v>0</v>
      </c>
      <c r="T24" s="212">
        <f t="shared" si="3"/>
        <v>126044</v>
      </c>
      <c r="V24" s="212">
        <f t="shared" si="1"/>
        <v>11</v>
      </c>
    </row>
    <row r="25" spans="1:22">
      <c r="A25" s="208">
        <v>23</v>
      </c>
      <c r="B25" s="203" t="str">
        <f>+PERBULAN!B30</f>
        <v>SUWANDI</v>
      </c>
      <c r="C25" s="353" t="s">
        <v>398</v>
      </c>
      <c r="D25" s="213">
        <v>0</v>
      </c>
      <c r="E25" s="213">
        <v>0</v>
      </c>
      <c r="F25" s="213">
        <v>143194</v>
      </c>
      <c r="G25" s="213">
        <v>0</v>
      </c>
      <c r="H25" s="213"/>
      <c r="I25" s="213">
        <v>0</v>
      </c>
      <c r="J25" s="213"/>
      <c r="K25" s="213">
        <v>0</v>
      </c>
      <c r="L25" s="213">
        <v>0</v>
      </c>
      <c r="M25" s="213">
        <v>0</v>
      </c>
      <c r="N25" s="213">
        <v>0</v>
      </c>
      <c r="O25" s="213">
        <v>0</v>
      </c>
      <c r="P25" s="213">
        <v>0</v>
      </c>
      <c r="Q25" s="213"/>
      <c r="R25" s="212">
        <f t="shared" si="0"/>
        <v>143194</v>
      </c>
      <c r="S25" s="209">
        <v>0</v>
      </c>
      <c r="T25" s="212">
        <f t="shared" si="3"/>
        <v>143194</v>
      </c>
      <c r="V25" s="212">
        <f t="shared" si="1"/>
        <v>11</v>
      </c>
    </row>
    <row r="26" spans="1:22">
      <c r="A26" s="208">
        <v>24</v>
      </c>
      <c r="B26" s="203" t="str">
        <f>+PERBULAN!B31</f>
        <v>YUMNA M</v>
      </c>
      <c r="C26" s="353" t="s">
        <v>399</v>
      </c>
      <c r="D26" s="213">
        <v>0</v>
      </c>
      <c r="E26" s="213">
        <v>0</v>
      </c>
      <c r="F26" s="213">
        <v>122576</v>
      </c>
      <c r="G26" s="213">
        <v>0</v>
      </c>
      <c r="H26" s="213"/>
      <c r="I26" s="213">
        <v>0</v>
      </c>
      <c r="J26" s="213"/>
      <c r="K26" s="213">
        <v>0</v>
      </c>
      <c r="L26" s="213">
        <v>0</v>
      </c>
      <c r="M26" s="213">
        <v>0</v>
      </c>
      <c r="N26" s="213">
        <v>0</v>
      </c>
      <c r="O26" s="213">
        <v>0</v>
      </c>
      <c r="P26" s="213">
        <v>0</v>
      </c>
      <c r="Q26" s="213"/>
      <c r="R26" s="212">
        <f t="shared" si="0"/>
        <v>122576</v>
      </c>
      <c r="S26" s="209">
        <v>0</v>
      </c>
      <c r="T26" s="212">
        <f t="shared" si="3"/>
        <v>122576</v>
      </c>
      <c r="V26" s="212">
        <f t="shared" si="1"/>
        <v>11</v>
      </c>
    </row>
    <row r="27" spans="1:22">
      <c r="A27" s="208">
        <v>25</v>
      </c>
      <c r="B27" s="203" t="str">
        <f>+PERBULAN!B32</f>
        <v>ANDRES</v>
      </c>
      <c r="C27" s="214" t="s">
        <v>69</v>
      </c>
      <c r="D27" s="213">
        <v>0</v>
      </c>
      <c r="E27" s="213">
        <v>0</v>
      </c>
      <c r="F27" s="213">
        <v>83904</v>
      </c>
      <c r="G27" s="213">
        <v>0</v>
      </c>
      <c r="H27" s="213"/>
      <c r="I27" s="213">
        <v>0</v>
      </c>
      <c r="J27" s="213"/>
      <c r="K27" s="213">
        <v>0</v>
      </c>
      <c r="L27" s="213">
        <v>0</v>
      </c>
      <c r="M27" s="213">
        <v>0</v>
      </c>
      <c r="N27" s="213">
        <v>0</v>
      </c>
      <c r="O27" s="213">
        <v>0</v>
      </c>
      <c r="P27" s="213">
        <v>0</v>
      </c>
      <c r="Q27" s="213"/>
      <c r="R27" s="212">
        <f t="shared" si="0"/>
        <v>83904</v>
      </c>
      <c r="S27" s="209">
        <v>0</v>
      </c>
      <c r="T27" s="212">
        <f t="shared" si="3"/>
        <v>83904</v>
      </c>
      <c r="V27" s="212">
        <f t="shared" si="1"/>
        <v>11</v>
      </c>
    </row>
    <row r="28" spans="1:22">
      <c r="A28" s="208">
        <v>26</v>
      </c>
      <c r="B28" s="203" t="str">
        <f>+PERBULAN!B33</f>
        <v>SUDIAN</v>
      </c>
      <c r="C28" s="354" t="s">
        <v>69</v>
      </c>
      <c r="D28" s="213">
        <v>0</v>
      </c>
      <c r="E28" s="213">
        <v>0</v>
      </c>
      <c r="F28" s="213">
        <v>112718</v>
      </c>
      <c r="G28" s="213">
        <v>0</v>
      </c>
      <c r="H28" s="213"/>
      <c r="I28" s="213">
        <v>0</v>
      </c>
      <c r="J28" s="213"/>
      <c r="K28" s="213">
        <v>0</v>
      </c>
      <c r="L28" s="213">
        <v>0</v>
      </c>
      <c r="M28" s="213">
        <v>0</v>
      </c>
      <c r="N28" s="213">
        <v>0</v>
      </c>
      <c r="O28" s="213">
        <v>0</v>
      </c>
      <c r="P28" s="213">
        <v>0</v>
      </c>
      <c r="Q28" s="213"/>
      <c r="R28" s="212">
        <f t="shared" si="0"/>
        <v>112718</v>
      </c>
      <c r="S28" s="209">
        <v>0</v>
      </c>
      <c r="T28" s="212">
        <f t="shared" si="3"/>
        <v>112718</v>
      </c>
      <c r="V28" s="212">
        <f t="shared" si="1"/>
        <v>11</v>
      </c>
    </row>
    <row r="29" spans="1:22">
      <c r="A29" s="208">
        <v>27</v>
      </c>
      <c r="B29" s="203" t="str">
        <f>+PERBULAN!B34</f>
        <v>YUDA HERMAWAN</v>
      </c>
      <c r="C29" s="216" t="s">
        <v>524</v>
      </c>
      <c r="D29" s="213">
        <v>0</v>
      </c>
      <c r="E29" s="213">
        <v>0</v>
      </c>
      <c r="F29" s="213">
        <v>159358</v>
      </c>
      <c r="G29" s="213">
        <v>0</v>
      </c>
      <c r="H29" s="213"/>
      <c r="I29" s="213">
        <v>0</v>
      </c>
      <c r="J29" s="213"/>
      <c r="K29" s="213">
        <v>44906</v>
      </c>
      <c r="L29" s="213">
        <v>0</v>
      </c>
      <c r="M29" s="213">
        <v>0</v>
      </c>
      <c r="N29" s="213">
        <v>0</v>
      </c>
      <c r="O29" s="213">
        <v>28703</v>
      </c>
      <c r="P29" s="213">
        <v>13946</v>
      </c>
      <c r="Q29" s="213"/>
      <c r="R29" s="212">
        <f t="shared" si="0"/>
        <v>246913</v>
      </c>
      <c r="S29" s="209">
        <v>0</v>
      </c>
      <c r="T29" s="212">
        <f t="shared" si="3"/>
        <v>246913</v>
      </c>
      <c r="V29" s="212">
        <f t="shared" si="1"/>
        <v>11</v>
      </c>
    </row>
    <row r="30" spans="1:22">
      <c r="A30" s="208">
        <v>28</v>
      </c>
      <c r="B30" s="203" t="str">
        <f>+PERBULAN!B35</f>
        <v>SABIBI</v>
      </c>
      <c r="C30" s="215" t="s">
        <v>69</v>
      </c>
      <c r="D30" s="213">
        <v>16087</v>
      </c>
      <c r="E30" s="213">
        <v>0</v>
      </c>
      <c r="F30" s="213">
        <v>151316</v>
      </c>
      <c r="G30" s="213">
        <v>0</v>
      </c>
      <c r="H30" s="213"/>
      <c r="I30" s="213">
        <v>15972</v>
      </c>
      <c r="J30" s="213"/>
      <c r="K30" s="213">
        <v>33431</v>
      </c>
      <c r="L30" s="213">
        <v>0</v>
      </c>
      <c r="M30" s="213">
        <v>0</v>
      </c>
      <c r="N30" s="213">
        <v>15635</v>
      </c>
      <c r="O30" s="213">
        <v>15601</v>
      </c>
      <c r="P30" s="213">
        <v>0</v>
      </c>
      <c r="Q30" s="213"/>
      <c r="R30" s="212">
        <f t="shared" si="0"/>
        <v>248042</v>
      </c>
      <c r="S30" s="209">
        <v>0</v>
      </c>
      <c r="T30" s="212">
        <f t="shared" si="3"/>
        <v>248042</v>
      </c>
      <c r="V30" s="212">
        <f t="shared" si="1"/>
        <v>11</v>
      </c>
    </row>
    <row r="31" spans="1:22">
      <c r="A31" s="208">
        <v>29</v>
      </c>
      <c r="B31" s="203" t="str">
        <f>+PERBULAN!B36</f>
        <v>ADI SANJAYA</v>
      </c>
      <c r="C31" s="354" t="s">
        <v>69</v>
      </c>
      <c r="D31" s="213">
        <v>0</v>
      </c>
      <c r="E31" s="213">
        <v>0</v>
      </c>
      <c r="F31" s="213">
        <v>151047</v>
      </c>
      <c r="G31" s="213">
        <v>0</v>
      </c>
      <c r="H31" s="213"/>
      <c r="I31" s="213">
        <v>0</v>
      </c>
      <c r="J31" s="213"/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13"/>
      <c r="R31" s="212">
        <f t="shared" si="0"/>
        <v>151047</v>
      </c>
      <c r="S31" s="209">
        <v>0</v>
      </c>
      <c r="T31" s="212">
        <f t="shared" si="3"/>
        <v>151047</v>
      </c>
      <c r="V31" s="212">
        <f t="shared" si="1"/>
        <v>11</v>
      </c>
    </row>
    <row r="32" spans="1:22">
      <c r="A32" s="208">
        <v>30</v>
      </c>
      <c r="B32" s="203" t="str">
        <f>+PERBULAN!B37</f>
        <v>ANDI ( ASNA )</v>
      </c>
      <c r="C32" s="352" t="s">
        <v>69</v>
      </c>
      <c r="D32" s="213">
        <v>0</v>
      </c>
      <c r="E32" s="213">
        <v>0</v>
      </c>
      <c r="F32" s="213">
        <v>152870</v>
      </c>
      <c r="G32" s="213">
        <v>0</v>
      </c>
      <c r="H32" s="213"/>
      <c r="I32" s="213">
        <v>0</v>
      </c>
      <c r="J32" s="213"/>
      <c r="K32" s="213">
        <v>0</v>
      </c>
      <c r="L32" s="213">
        <v>0</v>
      </c>
      <c r="M32" s="213">
        <v>0</v>
      </c>
      <c r="N32" s="213">
        <v>15557</v>
      </c>
      <c r="O32" s="213">
        <v>0</v>
      </c>
      <c r="P32" s="213">
        <v>0</v>
      </c>
      <c r="Q32" s="213"/>
      <c r="R32" s="217">
        <f t="shared" si="0"/>
        <v>168427</v>
      </c>
      <c r="S32" s="217"/>
      <c r="T32" s="212">
        <f t="shared" si="3"/>
        <v>168427</v>
      </c>
      <c r="U32" s="217"/>
      <c r="V32" s="212">
        <f t="shared" si="1"/>
        <v>11</v>
      </c>
    </row>
    <row r="33" spans="1:22">
      <c r="A33" s="208">
        <v>31</v>
      </c>
      <c r="B33" s="203" t="str">
        <f>+PERBULAN!B38</f>
        <v>EFRIYONO</v>
      </c>
      <c r="C33" s="352" t="s">
        <v>69</v>
      </c>
      <c r="D33" s="213">
        <v>0</v>
      </c>
      <c r="E33" s="213">
        <v>0</v>
      </c>
      <c r="F33" s="213">
        <v>150068</v>
      </c>
      <c r="G33" s="213">
        <v>0</v>
      </c>
      <c r="H33" s="213"/>
      <c r="I33" s="213">
        <v>0</v>
      </c>
      <c r="J33" s="213"/>
      <c r="K33" s="213">
        <v>0</v>
      </c>
      <c r="L33" s="213">
        <v>0</v>
      </c>
      <c r="M33" s="213">
        <v>0</v>
      </c>
      <c r="N33" s="213">
        <v>0</v>
      </c>
      <c r="O33" s="213">
        <v>0</v>
      </c>
      <c r="P33" s="213">
        <v>0</v>
      </c>
      <c r="Q33" s="213"/>
      <c r="R33" s="212">
        <f t="shared" si="0"/>
        <v>150068</v>
      </c>
      <c r="S33" s="209">
        <v>0</v>
      </c>
      <c r="T33" s="212">
        <f t="shared" si="3"/>
        <v>150068</v>
      </c>
      <c r="V33" s="212">
        <f t="shared" si="1"/>
        <v>11</v>
      </c>
    </row>
    <row r="34" spans="1:22">
      <c r="A34" s="208">
        <v>32</v>
      </c>
      <c r="B34" s="203" t="str">
        <f>+PERBULAN!B39</f>
        <v>ERI HANDRAYANI</v>
      </c>
      <c r="C34" s="355" t="s">
        <v>69</v>
      </c>
      <c r="D34" s="213">
        <v>0</v>
      </c>
      <c r="E34" s="213">
        <v>0</v>
      </c>
      <c r="F34" s="213">
        <v>151051</v>
      </c>
      <c r="G34" s="213">
        <v>0</v>
      </c>
      <c r="H34" s="213"/>
      <c r="I34" s="213">
        <v>0</v>
      </c>
      <c r="J34" s="213"/>
      <c r="K34" s="213">
        <v>0</v>
      </c>
      <c r="L34" s="213">
        <v>0</v>
      </c>
      <c r="M34" s="213">
        <v>0</v>
      </c>
      <c r="N34" s="213">
        <v>0</v>
      </c>
      <c r="O34" s="213">
        <v>0</v>
      </c>
      <c r="P34" s="213">
        <v>0</v>
      </c>
      <c r="Q34" s="213"/>
      <c r="R34" s="212">
        <f t="shared" ref="R34:R78" si="4">SUM(D34:Q34)</f>
        <v>151051</v>
      </c>
      <c r="S34" s="209">
        <v>0</v>
      </c>
      <c r="T34" s="212">
        <f t="shared" si="3"/>
        <v>151051</v>
      </c>
      <c r="V34" s="212">
        <f t="shared" si="1"/>
        <v>11</v>
      </c>
    </row>
    <row r="35" spans="1:22">
      <c r="A35" s="208">
        <v>33</v>
      </c>
      <c r="B35" s="203" t="str">
        <f>+PERBULAN!B40</f>
        <v>FERBI H</v>
      </c>
      <c r="C35" s="352" t="s">
        <v>69</v>
      </c>
      <c r="D35" s="213">
        <v>0</v>
      </c>
      <c r="E35" s="213">
        <v>0</v>
      </c>
      <c r="F35" s="213">
        <v>168514</v>
      </c>
      <c r="G35" s="213">
        <v>0</v>
      </c>
      <c r="H35" s="213"/>
      <c r="I35" s="213">
        <v>0</v>
      </c>
      <c r="J35" s="213"/>
      <c r="K35" s="213">
        <v>13990</v>
      </c>
      <c r="L35" s="213">
        <v>0</v>
      </c>
      <c r="M35" s="213">
        <v>0</v>
      </c>
      <c r="N35" s="213">
        <v>0</v>
      </c>
      <c r="O35" s="213">
        <v>0</v>
      </c>
      <c r="P35" s="213">
        <v>0</v>
      </c>
      <c r="Q35" s="213"/>
      <c r="R35" s="212">
        <f t="shared" si="4"/>
        <v>182504</v>
      </c>
      <c r="S35" s="209">
        <v>0</v>
      </c>
      <c r="T35" s="212">
        <f t="shared" si="3"/>
        <v>182504</v>
      </c>
      <c r="V35" s="212">
        <f t="shared" si="1"/>
        <v>11</v>
      </c>
    </row>
    <row r="36" spans="1:22">
      <c r="A36" s="208">
        <v>34</v>
      </c>
      <c r="B36" s="203" t="str">
        <f>+PERBULAN!B41</f>
        <v>HAIDI</v>
      </c>
      <c r="C36" s="352" t="s">
        <v>69</v>
      </c>
      <c r="D36" s="213">
        <v>0</v>
      </c>
      <c r="E36" s="213">
        <v>0</v>
      </c>
      <c r="F36" s="213">
        <v>150114</v>
      </c>
      <c r="G36" s="213">
        <v>0</v>
      </c>
      <c r="H36" s="213"/>
      <c r="I36" s="213">
        <v>0</v>
      </c>
      <c r="J36" s="213"/>
      <c r="K36" s="213">
        <v>0</v>
      </c>
      <c r="L36" s="213">
        <v>0</v>
      </c>
      <c r="M36" s="213">
        <v>0</v>
      </c>
      <c r="N36" s="213">
        <v>0</v>
      </c>
      <c r="O36" s="213">
        <v>0</v>
      </c>
      <c r="P36" s="213">
        <v>0</v>
      </c>
      <c r="Q36" s="213"/>
      <c r="R36" s="212">
        <f t="shared" si="4"/>
        <v>150114</v>
      </c>
      <c r="S36" s="209">
        <v>0</v>
      </c>
      <c r="T36" s="212">
        <f t="shared" si="3"/>
        <v>150114</v>
      </c>
      <c r="V36" s="212">
        <f t="shared" si="1"/>
        <v>11</v>
      </c>
    </row>
    <row r="37" spans="1:22">
      <c r="A37" s="208">
        <v>35</v>
      </c>
      <c r="B37" s="203" t="str">
        <f>+PERBULAN!B42</f>
        <v>IRHAS</v>
      </c>
      <c r="C37" s="356" t="s">
        <v>69</v>
      </c>
      <c r="D37" s="213">
        <v>0</v>
      </c>
      <c r="E37" s="213">
        <v>0</v>
      </c>
      <c r="F37" s="213">
        <v>144615</v>
      </c>
      <c r="G37" s="213">
        <v>0</v>
      </c>
      <c r="H37" s="213"/>
      <c r="I37" s="213">
        <v>0</v>
      </c>
      <c r="J37" s="213"/>
      <c r="K37" s="213">
        <v>0</v>
      </c>
      <c r="L37" s="213">
        <v>0</v>
      </c>
      <c r="M37" s="213">
        <v>0</v>
      </c>
      <c r="N37" s="213">
        <v>0</v>
      </c>
      <c r="O37" s="213">
        <v>0</v>
      </c>
      <c r="P37" s="213">
        <v>0</v>
      </c>
      <c r="Q37" s="213"/>
      <c r="R37" s="212">
        <f t="shared" si="4"/>
        <v>144615</v>
      </c>
      <c r="S37" s="209">
        <v>0</v>
      </c>
      <c r="T37" s="212">
        <f t="shared" si="3"/>
        <v>144615</v>
      </c>
      <c r="V37" s="212">
        <f t="shared" si="1"/>
        <v>11</v>
      </c>
    </row>
    <row r="38" spans="1:22">
      <c r="A38" s="208">
        <v>36</v>
      </c>
      <c r="B38" s="203" t="str">
        <f>+PERBULAN!B43</f>
        <v>YANUAR</v>
      </c>
      <c r="C38" s="356" t="s">
        <v>69</v>
      </c>
      <c r="D38" s="213">
        <v>0</v>
      </c>
      <c r="E38" s="213">
        <v>0</v>
      </c>
      <c r="F38" s="213">
        <v>149121</v>
      </c>
      <c r="G38" s="213">
        <v>0</v>
      </c>
      <c r="H38" s="213"/>
      <c r="I38" s="213">
        <v>0</v>
      </c>
      <c r="J38" s="213"/>
      <c r="K38" s="213">
        <v>0</v>
      </c>
      <c r="L38" s="213">
        <v>0</v>
      </c>
      <c r="M38" s="213">
        <v>0</v>
      </c>
      <c r="N38" s="213">
        <v>0</v>
      </c>
      <c r="O38" s="213">
        <v>0</v>
      </c>
      <c r="P38" s="213">
        <v>0</v>
      </c>
      <c r="Q38" s="213"/>
      <c r="R38" s="212">
        <f t="shared" si="4"/>
        <v>149121</v>
      </c>
      <c r="S38" s="209">
        <v>0</v>
      </c>
      <c r="T38" s="212">
        <f t="shared" si="3"/>
        <v>149121</v>
      </c>
      <c r="V38" s="212">
        <f t="shared" si="1"/>
        <v>11</v>
      </c>
    </row>
    <row r="39" spans="1:22">
      <c r="A39" s="208">
        <v>37</v>
      </c>
      <c r="B39" s="203" t="str">
        <f>+PERBULAN!B44</f>
        <v>SEVENDRI</v>
      </c>
      <c r="C39" s="354" t="s">
        <v>69</v>
      </c>
      <c r="D39" s="213">
        <v>0</v>
      </c>
      <c r="E39" s="213">
        <v>0</v>
      </c>
      <c r="F39" s="213">
        <v>152686</v>
      </c>
      <c r="G39" s="213">
        <v>0</v>
      </c>
      <c r="H39" s="213"/>
      <c r="I39" s="213">
        <v>0</v>
      </c>
      <c r="J39" s="213"/>
      <c r="K39" s="213">
        <v>0</v>
      </c>
      <c r="L39" s="213">
        <v>0</v>
      </c>
      <c r="M39" s="213">
        <v>0</v>
      </c>
      <c r="N39" s="213">
        <v>0</v>
      </c>
      <c r="O39" s="213">
        <v>0</v>
      </c>
      <c r="P39" s="213">
        <v>0</v>
      </c>
      <c r="Q39" s="213"/>
      <c r="R39" s="212">
        <f t="shared" si="4"/>
        <v>152686</v>
      </c>
      <c r="S39" s="209">
        <v>0</v>
      </c>
      <c r="T39" s="212">
        <f t="shared" si="3"/>
        <v>152686</v>
      </c>
      <c r="V39" s="212">
        <f t="shared" si="1"/>
        <v>11</v>
      </c>
    </row>
    <row r="40" spans="1:22">
      <c r="A40" s="208">
        <v>38</v>
      </c>
      <c r="B40" s="203" t="str">
        <f>+PERBULAN!B45</f>
        <v>PURGANDI</v>
      </c>
      <c r="C40" s="352" t="s">
        <v>69</v>
      </c>
      <c r="D40" s="213">
        <v>0</v>
      </c>
      <c r="E40" s="213">
        <v>0</v>
      </c>
      <c r="F40" s="213">
        <v>198052</v>
      </c>
      <c r="G40" s="213">
        <v>0</v>
      </c>
      <c r="H40" s="213"/>
      <c r="I40" s="213">
        <v>0</v>
      </c>
      <c r="J40" s="213"/>
      <c r="K40" s="213">
        <v>29218</v>
      </c>
      <c r="L40" s="213">
        <v>0</v>
      </c>
      <c r="M40" s="213">
        <v>0</v>
      </c>
      <c r="N40" s="213">
        <v>13842</v>
      </c>
      <c r="O40" s="213">
        <v>0</v>
      </c>
      <c r="P40" s="213">
        <v>0</v>
      </c>
      <c r="Q40" s="213"/>
      <c r="R40" s="212">
        <f t="shared" si="4"/>
        <v>241112</v>
      </c>
      <c r="S40" s="209">
        <v>0</v>
      </c>
      <c r="T40" s="212">
        <f t="shared" si="3"/>
        <v>241112</v>
      </c>
      <c r="V40" s="212">
        <f t="shared" si="1"/>
        <v>11</v>
      </c>
    </row>
    <row r="41" spans="1:22">
      <c r="A41" s="208">
        <v>39</v>
      </c>
      <c r="B41" s="203" t="str">
        <f>+PERBULAN!B46</f>
        <v>RICKI PUTRA</v>
      </c>
      <c r="C41" s="357" t="s">
        <v>69</v>
      </c>
      <c r="D41" s="213">
        <v>0</v>
      </c>
      <c r="E41" s="213">
        <v>0</v>
      </c>
      <c r="F41" s="213">
        <v>226368</v>
      </c>
      <c r="G41" s="213">
        <v>0</v>
      </c>
      <c r="H41" s="213"/>
      <c r="I41" s="213">
        <v>13571</v>
      </c>
      <c r="J41" s="213"/>
      <c r="K41" s="213">
        <v>45083</v>
      </c>
      <c r="L41" s="213">
        <v>0</v>
      </c>
      <c r="M41" s="213">
        <v>0</v>
      </c>
      <c r="N41" s="213">
        <v>29393</v>
      </c>
      <c r="O41" s="213">
        <v>0</v>
      </c>
      <c r="P41" s="213">
        <v>0</v>
      </c>
      <c r="Q41" s="213"/>
      <c r="R41" s="212">
        <f t="shared" si="4"/>
        <v>314415</v>
      </c>
      <c r="S41" s="209">
        <v>0</v>
      </c>
      <c r="T41" s="212">
        <f t="shared" si="3"/>
        <v>314415</v>
      </c>
      <c r="V41" s="212">
        <f t="shared" si="1"/>
        <v>11</v>
      </c>
    </row>
    <row r="42" spans="1:22">
      <c r="A42" s="208">
        <v>40</v>
      </c>
      <c r="B42" s="203" t="str">
        <f>+PERBULAN!B47</f>
        <v>ROLAND AGUSTA</v>
      </c>
      <c r="C42" s="352" t="s">
        <v>69</v>
      </c>
      <c r="D42" s="213">
        <v>0</v>
      </c>
      <c r="E42" s="213">
        <v>0</v>
      </c>
      <c r="F42" s="213">
        <v>154426</v>
      </c>
      <c r="G42" s="213">
        <v>0</v>
      </c>
      <c r="H42" s="213"/>
      <c r="I42" s="213">
        <v>0</v>
      </c>
      <c r="J42" s="213"/>
      <c r="K42" s="213">
        <v>34127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13"/>
      <c r="R42" s="212">
        <f t="shared" si="4"/>
        <v>188553</v>
      </c>
      <c r="S42" s="209">
        <v>0</v>
      </c>
      <c r="T42" s="212">
        <f t="shared" si="3"/>
        <v>188553</v>
      </c>
      <c r="V42" s="212">
        <f t="shared" si="1"/>
        <v>11</v>
      </c>
    </row>
    <row r="43" spans="1:22">
      <c r="A43" s="208">
        <v>41</v>
      </c>
      <c r="B43" s="203" t="str">
        <f>+PERBULAN!B48</f>
        <v>SAHDAN</v>
      </c>
      <c r="C43" s="354" t="s">
        <v>69</v>
      </c>
      <c r="D43" s="213">
        <v>0</v>
      </c>
      <c r="E43" s="213">
        <v>0</v>
      </c>
      <c r="F43" s="213">
        <v>168759</v>
      </c>
      <c r="G43" s="213">
        <v>0</v>
      </c>
      <c r="H43" s="213"/>
      <c r="I43" s="213">
        <v>0</v>
      </c>
      <c r="J43" s="213"/>
      <c r="K43" s="213">
        <v>46091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13"/>
      <c r="R43" s="212">
        <f t="shared" si="4"/>
        <v>214850</v>
      </c>
      <c r="S43" s="209">
        <v>0</v>
      </c>
      <c r="T43" s="212">
        <f t="shared" si="3"/>
        <v>214850</v>
      </c>
      <c r="V43" s="212">
        <f t="shared" si="1"/>
        <v>11</v>
      </c>
    </row>
    <row r="44" spans="1:22">
      <c r="A44" s="208">
        <v>42</v>
      </c>
      <c r="B44" s="203" t="str">
        <f>+PERBULAN!B49</f>
        <v>YOPIE ,T</v>
      </c>
      <c r="C44" s="352" t="s">
        <v>69</v>
      </c>
      <c r="D44" s="213">
        <v>0</v>
      </c>
      <c r="E44" s="213">
        <v>0</v>
      </c>
      <c r="F44" s="213">
        <v>148194</v>
      </c>
      <c r="G44" s="213">
        <v>0</v>
      </c>
      <c r="H44" s="213"/>
      <c r="I44" s="213">
        <v>0</v>
      </c>
      <c r="J44" s="213"/>
      <c r="K44" s="213">
        <v>15508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13"/>
      <c r="R44" s="212">
        <f t="shared" si="4"/>
        <v>163702</v>
      </c>
      <c r="S44" s="209">
        <v>0</v>
      </c>
      <c r="T44" s="212">
        <f t="shared" si="3"/>
        <v>163702</v>
      </c>
      <c r="V44" s="212">
        <f t="shared" si="1"/>
        <v>11</v>
      </c>
    </row>
    <row r="45" spans="1:22">
      <c r="A45" s="208">
        <v>43</v>
      </c>
      <c r="B45" s="203" t="str">
        <f>+PERBULAN!B50</f>
        <v>ELYANDI</v>
      </c>
      <c r="C45" s="352" t="s">
        <v>69</v>
      </c>
      <c r="D45" s="213">
        <v>0</v>
      </c>
      <c r="E45" s="213">
        <v>0</v>
      </c>
      <c r="F45" s="213">
        <v>193034</v>
      </c>
      <c r="G45" s="213">
        <v>0</v>
      </c>
      <c r="H45" s="213"/>
      <c r="I45" s="213">
        <v>0</v>
      </c>
      <c r="J45" s="213"/>
      <c r="K45" s="213">
        <v>29421</v>
      </c>
      <c r="L45" s="213">
        <v>0</v>
      </c>
      <c r="M45" s="213">
        <v>0</v>
      </c>
      <c r="N45" s="213">
        <v>13918</v>
      </c>
      <c r="O45" s="213">
        <v>0</v>
      </c>
      <c r="P45" s="213">
        <v>0</v>
      </c>
      <c r="Q45" s="213"/>
      <c r="R45" s="212">
        <f t="shared" si="4"/>
        <v>236373</v>
      </c>
      <c r="S45" s="209">
        <v>0</v>
      </c>
      <c r="T45" s="212">
        <f t="shared" si="3"/>
        <v>236373</v>
      </c>
      <c r="V45" s="212">
        <f t="shared" si="1"/>
        <v>11</v>
      </c>
    </row>
    <row r="46" spans="1:22">
      <c r="A46" s="208">
        <v>44</v>
      </c>
      <c r="B46" s="203" t="str">
        <f>+PERBULAN!B51</f>
        <v>ALI MAS DESI</v>
      </c>
      <c r="C46" s="357" t="s">
        <v>69</v>
      </c>
      <c r="D46" s="213">
        <v>0</v>
      </c>
      <c r="E46" s="213">
        <v>0</v>
      </c>
      <c r="F46" s="213">
        <v>154828</v>
      </c>
      <c r="G46" s="213">
        <v>0</v>
      </c>
      <c r="H46" s="213"/>
      <c r="I46" s="213">
        <v>0</v>
      </c>
      <c r="J46" s="213"/>
      <c r="K46" s="213">
        <v>15714</v>
      </c>
      <c r="L46" s="213">
        <v>0</v>
      </c>
      <c r="M46" s="213">
        <v>0</v>
      </c>
      <c r="N46" s="213">
        <v>0</v>
      </c>
      <c r="O46" s="213">
        <v>0</v>
      </c>
      <c r="P46" s="213">
        <v>0</v>
      </c>
      <c r="Q46" s="213"/>
      <c r="R46" s="212">
        <f t="shared" si="4"/>
        <v>170542</v>
      </c>
      <c r="S46" s="209">
        <v>0</v>
      </c>
      <c r="T46" s="212">
        <f t="shared" si="3"/>
        <v>170542</v>
      </c>
      <c r="V46" s="212">
        <f t="shared" si="1"/>
        <v>11</v>
      </c>
    </row>
    <row r="47" spans="1:22">
      <c r="A47" s="208">
        <v>45</v>
      </c>
      <c r="B47" s="203" t="str">
        <f>+PERBULAN!B52</f>
        <v>HARYANTO</v>
      </c>
      <c r="C47" s="357" t="s">
        <v>402</v>
      </c>
      <c r="D47" s="213">
        <v>0</v>
      </c>
      <c r="E47" s="213">
        <v>0</v>
      </c>
      <c r="F47" s="213">
        <v>167666</v>
      </c>
      <c r="G47" s="213">
        <v>0</v>
      </c>
      <c r="H47" s="213"/>
      <c r="I47" s="213">
        <v>0</v>
      </c>
      <c r="J47" s="213"/>
      <c r="K47" s="213">
        <v>29401</v>
      </c>
      <c r="L47" s="213">
        <v>0</v>
      </c>
      <c r="M47" s="213">
        <v>0</v>
      </c>
      <c r="N47" s="213">
        <v>0</v>
      </c>
      <c r="O47" s="213">
        <v>0</v>
      </c>
      <c r="P47" s="213">
        <v>0</v>
      </c>
      <c r="Q47" s="213"/>
      <c r="R47" s="212">
        <f t="shared" si="4"/>
        <v>197067</v>
      </c>
      <c r="S47" s="209">
        <v>0</v>
      </c>
      <c r="T47" s="212">
        <f t="shared" si="3"/>
        <v>197067</v>
      </c>
      <c r="V47" s="212">
        <f t="shared" si="1"/>
        <v>11</v>
      </c>
    </row>
    <row r="48" spans="1:22">
      <c r="A48" s="208">
        <v>46</v>
      </c>
      <c r="B48" s="203" t="str">
        <f>+PERBULAN!B53</f>
        <v>ROSMANSYAH</v>
      </c>
      <c r="C48" s="357" t="s">
        <v>69</v>
      </c>
      <c r="D48" s="213">
        <v>0</v>
      </c>
      <c r="E48" s="213">
        <v>0</v>
      </c>
      <c r="F48" s="213">
        <v>196319</v>
      </c>
      <c r="G48" s="213">
        <v>0</v>
      </c>
      <c r="H48" s="213"/>
      <c r="I48" s="213">
        <v>0</v>
      </c>
      <c r="J48" s="213"/>
      <c r="K48" s="213">
        <v>29336</v>
      </c>
      <c r="L48" s="213">
        <v>0</v>
      </c>
      <c r="M48" s="213">
        <v>0</v>
      </c>
      <c r="N48" s="213">
        <v>28899</v>
      </c>
      <c r="O48" s="213">
        <v>0</v>
      </c>
      <c r="P48" s="213">
        <v>0</v>
      </c>
      <c r="Q48" s="213"/>
      <c r="R48" s="212">
        <f t="shared" si="4"/>
        <v>254554</v>
      </c>
      <c r="S48" s="209">
        <v>0</v>
      </c>
      <c r="T48" s="212">
        <f t="shared" si="3"/>
        <v>254554</v>
      </c>
      <c r="V48" s="212">
        <f t="shared" si="1"/>
        <v>11</v>
      </c>
    </row>
    <row r="49" spans="1:22">
      <c r="A49" s="208">
        <v>47</v>
      </c>
      <c r="B49" s="203" t="str">
        <f>+PERBULAN!B54</f>
        <v>KAMALUDIN</v>
      </c>
      <c r="C49" s="352" t="s">
        <v>69</v>
      </c>
      <c r="D49" s="213">
        <v>0</v>
      </c>
      <c r="E49" s="213">
        <v>0</v>
      </c>
      <c r="F49" s="213">
        <v>146413</v>
      </c>
      <c r="G49" s="213">
        <v>0</v>
      </c>
      <c r="H49" s="213"/>
      <c r="I49" s="213">
        <v>0</v>
      </c>
      <c r="J49" s="213"/>
      <c r="K49" s="213">
        <v>0</v>
      </c>
      <c r="L49" s="213">
        <v>0</v>
      </c>
      <c r="M49" s="213">
        <v>0</v>
      </c>
      <c r="N49" s="213">
        <v>0</v>
      </c>
      <c r="O49" s="213">
        <v>0</v>
      </c>
      <c r="P49" s="213">
        <v>0</v>
      </c>
      <c r="Q49" s="213"/>
      <c r="R49" s="212">
        <f t="shared" si="4"/>
        <v>146413</v>
      </c>
      <c r="S49" s="209">
        <v>0</v>
      </c>
      <c r="T49" s="212">
        <f t="shared" si="3"/>
        <v>146413</v>
      </c>
      <c r="V49" s="212">
        <f t="shared" si="1"/>
        <v>11</v>
      </c>
    </row>
    <row r="50" spans="1:22">
      <c r="A50" s="208">
        <v>48</v>
      </c>
      <c r="B50" s="203" t="str">
        <f>+PERBULAN!B55</f>
        <v>AZRI DONA</v>
      </c>
      <c r="C50" s="355" t="s">
        <v>404</v>
      </c>
      <c r="D50" s="213">
        <v>0</v>
      </c>
      <c r="E50" s="213">
        <v>0</v>
      </c>
      <c r="F50" s="213">
        <v>149821</v>
      </c>
      <c r="G50" s="213">
        <v>0</v>
      </c>
      <c r="H50" s="213"/>
      <c r="I50" s="213">
        <v>0</v>
      </c>
      <c r="J50" s="213"/>
      <c r="K50" s="213">
        <v>0</v>
      </c>
      <c r="L50" s="213">
        <v>0</v>
      </c>
      <c r="M50" s="213">
        <v>0</v>
      </c>
      <c r="N50" s="213">
        <v>0</v>
      </c>
      <c r="O50" s="213">
        <v>0</v>
      </c>
      <c r="P50" s="213">
        <v>0</v>
      </c>
      <c r="Q50" s="213"/>
      <c r="R50" s="212">
        <f t="shared" si="4"/>
        <v>149821</v>
      </c>
      <c r="S50" s="209">
        <v>0</v>
      </c>
      <c r="T50" s="212">
        <f t="shared" si="3"/>
        <v>149821</v>
      </c>
      <c r="V50" s="212">
        <f t="shared" si="1"/>
        <v>11</v>
      </c>
    </row>
    <row r="51" spans="1:22">
      <c r="A51" s="208">
        <v>49</v>
      </c>
      <c r="B51" s="203" t="str">
        <f>+PERBULAN!B56</f>
        <v>HALIK</v>
      </c>
      <c r="C51" s="354" t="s">
        <v>69</v>
      </c>
      <c r="D51" s="213">
        <v>0</v>
      </c>
      <c r="E51" s="213">
        <v>0</v>
      </c>
      <c r="F51" s="213">
        <v>153936</v>
      </c>
      <c r="G51" s="213">
        <v>0</v>
      </c>
      <c r="H51" s="213"/>
      <c r="I51" s="213">
        <v>0</v>
      </c>
      <c r="J51" s="213"/>
      <c r="K51" s="213">
        <v>15985</v>
      </c>
      <c r="L51" s="213">
        <v>0</v>
      </c>
      <c r="M51" s="213">
        <v>0</v>
      </c>
      <c r="N51" s="213">
        <v>34043</v>
      </c>
      <c r="O51" s="213">
        <v>0</v>
      </c>
      <c r="P51" s="213">
        <v>0</v>
      </c>
      <c r="Q51" s="213"/>
      <c r="R51" s="212">
        <f t="shared" si="4"/>
        <v>203964</v>
      </c>
      <c r="S51" s="209">
        <v>0</v>
      </c>
      <c r="T51" s="212">
        <f t="shared" si="3"/>
        <v>203964</v>
      </c>
      <c r="V51" s="212">
        <f t="shared" si="1"/>
        <v>11</v>
      </c>
    </row>
    <row r="52" spans="1:22">
      <c r="A52" s="208">
        <v>50</v>
      </c>
      <c r="B52" s="203" t="str">
        <f>+PERBULAN!B57</f>
        <v>KARTONO</v>
      </c>
      <c r="C52" s="355" t="s">
        <v>69</v>
      </c>
      <c r="D52" s="213">
        <v>0</v>
      </c>
      <c r="E52" s="213">
        <v>0</v>
      </c>
      <c r="F52" s="213">
        <v>84632</v>
      </c>
      <c r="G52" s="213">
        <v>0</v>
      </c>
      <c r="H52" s="213"/>
      <c r="I52" s="213">
        <v>0</v>
      </c>
      <c r="J52" s="213"/>
      <c r="K52" s="213">
        <v>0</v>
      </c>
      <c r="L52" s="213">
        <v>0</v>
      </c>
      <c r="M52" s="213">
        <v>0</v>
      </c>
      <c r="N52" s="213">
        <v>0</v>
      </c>
      <c r="O52" s="213">
        <v>0</v>
      </c>
      <c r="P52" s="213">
        <v>0</v>
      </c>
      <c r="Q52" s="213"/>
      <c r="R52" s="212">
        <f t="shared" si="4"/>
        <v>84632</v>
      </c>
      <c r="S52" s="209">
        <v>0</v>
      </c>
      <c r="T52" s="212">
        <f t="shared" si="3"/>
        <v>84632</v>
      </c>
      <c r="V52" s="212">
        <f t="shared" si="1"/>
        <v>11</v>
      </c>
    </row>
    <row r="53" spans="1:22">
      <c r="A53" s="208">
        <v>51</v>
      </c>
      <c r="B53" s="203" t="str">
        <f>+PERBULAN!B58</f>
        <v>LALU MANAR HADI</v>
      </c>
      <c r="C53" s="214" t="s">
        <v>69</v>
      </c>
      <c r="D53" s="213">
        <v>29110</v>
      </c>
      <c r="E53" s="213">
        <v>0</v>
      </c>
      <c r="F53" s="213">
        <v>128024</v>
      </c>
      <c r="G53" s="213">
        <v>63657</v>
      </c>
      <c r="H53" s="213"/>
      <c r="I53" s="213">
        <v>45198</v>
      </c>
      <c r="J53" s="213"/>
      <c r="K53" s="213">
        <v>66975</v>
      </c>
      <c r="L53" s="213">
        <v>0</v>
      </c>
      <c r="M53" s="213">
        <v>45803</v>
      </c>
      <c r="N53" s="213">
        <v>86990</v>
      </c>
      <c r="O53" s="213">
        <v>91758</v>
      </c>
      <c r="P53" s="213">
        <v>84610</v>
      </c>
      <c r="Q53" s="213"/>
      <c r="R53" s="212">
        <f t="shared" si="4"/>
        <v>642125</v>
      </c>
      <c r="S53" s="209">
        <v>0</v>
      </c>
      <c r="T53" s="212">
        <f t="shared" si="3"/>
        <v>642125</v>
      </c>
      <c r="V53" s="212">
        <f t="shared" si="1"/>
        <v>11</v>
      </c>
    </row>
    <row r="54" spans="1:22">
      <c r="A54" s="208">
        <v>52</v>
      </c>
      <c r="B54" s="203" t="str">
        <f>+PERBULAN!B59</f>
        <v>ANHAR</v>
      </c>
      <c r="C54" s="214" t="s">
        <v>69</v>
      </c>
      <c r="D54" s="213">
        <v>0</v>
      </c>
      <c r="E54" s="213">
        <v>0</v>
      </c>
      <c r="F54" s="213">
        <v>52775</v>
      </c>
      <c r="G54" s="213">
        <v>0</v>
      </c>
      <c r="H54" s="213"/>
      <c r="I54" s="213">
        <v>0</v>
      </c>
      <c r="J54" s="213"/>
      <c r="K54" s="213">
        <v>15742</v>
      </c>
      <c r="L54" s="213">
        <v>0</v>
      </c>
      <c r="M54" s="213">
        <v>0</v>
      </c>
      <c r="N54" s="213">
        <v>0</v>
      </c>
      <c r="O54" s="213">
        <v>0</v>
      </c>
      <c r="P54" s="213">
        <v>0</v>
      </c>
      <c r="Q54" s="213"/>
      <c r="R54" s="212">
        <f t="shared" si="4"/>
        <v>68517</v>
      </c>
      <c r="S54" s="209">
        <v>0</v>
      </c>
      <c r="T54" s="212">
        <f t="shared" si="3"/>
        <v>68517</v>
      </c>
      <c r="V54" s="212">
        <f t="shared" si="1"/>
        <v>11</v>
      </c>
    </row>
    <row r="55" spans="1:22">
      <c r="A55" s="208">
        <v>53</v>
      </c>
      <c r="B55" s="361" t="str">
        <f>+PERBULAN!B60</f>
        <v>IRPAN SAMSUDIN</v>
      </c>
      <c r="C55" s="362" t="s">
        <v>69</v>
      </c>
      <c r="D55" s="363">
        <v>0</v>
      </c>
      <c r="E55" s="363">
        <v>0</v>
      </c>
      <c r="F55" s="363">
        <v>66108</v>
      </c>
      <c r="G55" s="363">
        <v>0</v>
      </c>
      <c r="H55" s="363"/>
      <c r="I55" s="363">
        <v>0</v>
      </c>
      <c r="J55" s="363"/>
      <c r="K55" s="363">
        <v>0</v>
      </c>
      <c r="L55" s="363">
        <v>0</v>
      </c>
      <c r="M55" s="363"/>
      <c r="N55" s="363"/>
      <c r="O55" s="363"/>
      <c r="P55" s="363"/>
      <c r="Q55" s="363"/>
      <c r="R55" s="364">
        <f t="shared" si="4"/>
        <v>66108</v>
      </c>
      <c r="S55" s="365">
        <v>0</v>
      </c>
      <c r="T55" s="364">
        <f t="shared" si="3"/>
        <v>66108</v>
      </c>
      <c r="U55" s="360"/>
      <c r="V55" s="364">
        <f t="shared" si="1"/>
        <v>7</v>
      </c>
    </row>
    <row r="56" spans="1:22">
      <c r="A56" s="208">
        <v>54</v>
      </c>
      <c r="B56" s="203" t="str">
        <f>+PERBULAN!B61</f>
        <v>ADI . JP</v>
      </c>
      <c r="C56" s="214" t="s">
        <v>405</v>
      </c>
      <c r="D56" s="213">
        <v>0</v>
      </c>
      <c r="E56" s="213">
        <v>0</v>
      </c>
      <c r="F56" s="213">
        <v>85885</v>
      </c>
      <c r="G56" s="213">
        <v>0</v>
      </c>
      <c r="H56" s="213"/>
      <c r="I56" s="213">
        <v>0</v>
      </c>
      <c r="J56" s="213"/>
      <c r="K56" s="213">
        <v>0</v>
      </c>
      <c r="L56" s="213">
        <v>0</v>
      </c>
      <c r="M56" s="213">
        <v>0</v>
      </c>
      <c r="N56" s="213">
        <v>0</v>
      </c>
      <c r="O56" s="213">
        <v>0</v>
      </c>
      <c r="P56" s="213">
        <v>0</v>
      </c>
      <c r="Q56" s="213"/>
      <c r="R56" s="212">
        <f t="shared" si="4"/>
        <v>85885</v>
      </c>
      <c r="S56" s="209">
        <v>0</v>
      </c>
      <c r="T56" s="212">
        <f t="shared" si="3"/>
        <v>85885</v>
      </c>
      <c r="V56" s="212">
        <f t="shared" si="1"/>
        <v>11</v>
      </c>
    </row>
    <row r="57" spans="1:22">
      <c r="A57" s="208">
        <v>55</v>
      </c>
      <c r="B57" s="203" t="str">
        <f>+PERBULAN!B62</f>
        <v>RUDI</v>
      </c>
      <c r="C57" s="214" t="s">
        <v>69</v>
      </c>
      <c r="D57" s="213">
        <v>0</v>
      </c>
      <c r="E57" s="213">
        <v>0</v>
      </c>
      <c r="F57" s="213">
        <v>145757</v>
      </c>
      <c r="G57" s="213">
        <v>0</v>
      </c>
      <c r="H57" s="213"/>
      <c r="I57" s="213">
        <v>0</v>
      </c>
      <c r="J57" s="213"/>
      <c r="K57" s="213">
        <v>0</v>
      </c>
      <c r="L57" s="213">
        <v>0</v>
      </c>
      <c r="M57" s="213">
        <v>0</v>
      </c>
      <c r="N57" s="213">
        <v>0</v>
      </c>
      <c r="O57" s="213">
        <v>0</v>
      </c>
      <c r="P57" s="213">
        <v>0</v>
      </c>
      <c r="Q57" s="213"/>
      <c r="R57" s="212">
        <f t="shared" si="4"/>
        <v>145757</v>
      </c>
      <c r="S57" s="209">
        <v>0</v>
      </c>
      <c r="T57" s="212">
        <f t="shared" si="3"/>
        <v>145757</v>
      </c>
      <c r="V57" s="212">
        <f t="shared" si="1"/>
        <v>11</v>
      </c>
    </row>
    <row r="58" spans="1:22">
      <c r="A58" s="208">
        <v>56</v>
      </c>
      <c r="B58" s="203" t="str">
        <f>+PERBULAN!B63</f>
        <v>SUDIANTO</v>
      </c>
      <c r="C58" s="214" t="s">
        <v>69</v>
      </c>
      <c r="D58" s="213">
        <v>0</v>
      </c>
      <c r="E58" s="213">
        <v>0</v>
      </c>
      <c r="F58" s="213">
        <v>166895</v>
      </c>
      <c r="G58" s="213">
        <v>0</v>
      </c>
      <c r="H58" s="213"/>
      <c r="I58" s="213">
        <v>0</v>
      </c>
      <c r="J58" s="213"/>
      <c r="K58" s="213">
        <v>13922</v>
      </c>
      <c r="L58" s="213">
        <v>0</v>
      </c>
      <c r="M58" s="213">
        <v>0</v>
      </c>
      <c r="N58" s="213">
        <v>13619</v>
      </c>
      <c r="O58" s="213">
        <v>0</v>
      </c>
      <c r="P58" s="213">
        <v>0</v>
      </c>
      <c r="Q58" s="213"/>
      <c r="R58" s="212">
        <f t="shared" si="4"/>
        <v>194436</v>
      </c>
      <c r="S58" s="209">
        <v>0</v>
      </c>
      <c r="T58" s="212">
        <f t="shared" si="3"/>
        <v>194436</v>
      </c>
      <c r="V58" s="212">
        <f t="shared" si="1"/>
        <v>11</v>
      </c>
    </row>
    <row r="59" spans="1:22">
      <c r="A59" s="208">
        <v>57</v>
      </c>
      <c r="B59" s="203" t="str">
        <f>+PERBULAN!B64</f>
        <v>SALEH</v>
      </c>
      <c r="C59" s="214" t="s">
        <v>69</v>
      </c>
      <c r="D59" s="213">
        <v>0</v>
      </c>
      <c r="E59" s="213">
        <v>0</v>
      </c>
      <c r="F59" s="213">
        <v>193896</v>
      </c>
      <c r="G59" s="213">
        <v>0</v>
      </c>
      <c r="H59" s="213"/>
      <c r="I59" s="213">
        <v>0</v>
      </c>
      <c r="J59" s="213"/>
      <c r="K59" s="213">
        <v>14069</v>
      </c>
      <c r="L59" s="213">
        <v>0</v>
      </c>
      <c r="M59" s="213">
        <v>0</v>
      </c>
      <c r="N59" s="213">
        <v>13833</v>
      </c>
      <c r="O59" s="213">
        <v>0</v>
      </c>
      <c r="P59" s="213">
        <v>0</v>
      </c>
      <c r="Q59" s="213"/>
      <c r="R59" s="212">
        <f t="shared" si="4"/>
        <v>221798</v>
      </c>
      <c r="S59" s="209">
        <v>0</v>
      </c>
      <c r="T59" s="212">
        <f t="shared" si="3"/>
        <v>221798</v>
      </c>
      <c r="V59" s="212">
        <f t="shared" si="1"/>
        <v>11</v>
      </c>
    </row>
    <row r="60" spans="1:22">
      <c r="A60" s="208">
        <v>58</v>
      </c>
      <c r="B60" s="203" t="str">
        <f>+PERBULAN!B65</f>
        <v>ANDRIANSYAH</v>
      </c>
      <c r="C60" s="214" t="s">
        <v>69</v>
      </c>
      <c r="D60" s="213">
        <v>0</v>
      </c>
      <c r="E60" s="213">
        <v>0</v>
      </c>
      <c r="F60" s="213">
        <v>146880</v>
      </c>
      <c r="G60" s="213">
        <v>0</v>
      </c>
      <c r="H60" s="213"/>
      <c r="I60" s="213">
        <v>0</v>
      </c>
      <c r="J60" s="213"/>
      <c r="K60" s="213">
        <v>0</v>
      </c>
      <c r="L60" s="213">
        <v>0</v>
      </c>
      <c r="M60" s="213">
        <v>0</v>
      </c>
      <c r="N60" s="213">
        <v>0</v>
      </c>
      <c r="O60" s="213">
        <v>0</v>
      </c>
      <c r="P60" s="213">
        <v>0</v>
      </c>
      <c r="Q60" s="213"/>
      <c r="R60" s="212">
        <f t="shared" si="4"/>
        <v>146880</v>
      </c>
      <c r="S60" s="209">
        <v>0</v>
      </c>
      <c r="T60" s="212">
        <f t="shared" si="3"/>
        <v>146880</v>
      </c>
      <c r="V60" s="212">
        <f t="shared" si="1"/>
        <v>11</v>
      </c>
    </row>
    <row r="61" spans="1:22">
      <c r="A61" s="208">
        <v>59</v>
      </c>
      <c r="B61" s="203" t="str">
        <f>+PERBULAN!B66</f>
        <v>HENDRI</v>
      </c>
      <c r="C61" s="352" t="s">
        <v>69</v>
      </c>
      <c r="D61" s="213">
        <v>0</v>
      </c>
      <c r="E61" s="213">
        <v>0</v>
      </c>
      <c r="F61" s="213">
        <v>144838</v>
      </c>
      <c r="G61" s="213">
        <v>0</v>
      </c>
      <c r="H61" s="213"/>
      <c r="I61" s="213">
        <v>0</v>
      </c>
      <c r="J61" s="213"/>
      <c r="K61" s="213">
        <v>0</v>
      </c>
      <c r="L61" s="213">
        <v>0</v>
      </c>
      <c r="M61" s="213">
        <v>0</v>
      </c>
      <c r="N61" s="213">
        <v>0</v>
      </c>
      <c r="O61" s="213">
        <v>0</v>
      </c>
      <c r="P61" s="213">
        <v>0</v>
      </c>
      <c r="Q61" s="213"/>
      <c r="R61" s="212">
        <f t="shared" si="4"/>
        <v>144838</v>
      </c>
      <c r="S61" s="209">
        <v>0</v>
      </c>
      <c r="T61" s="212">
        <f t="shared" si="3"/>
        <v>144838</v>
      </c>
      <c r="V61" s="212">
        <f t="shared" si="1"/>
        <v>11</v>
      </c>
    </row>
    <row r="62" spans="1:22">
      <c r="A62" s="208">
        <v>60</v>
      </c>
      <c r="B62" s="203" t="str">
        <f>+PERBULAN!B67</f>
        <v>POPPY ADEYANTI</v>
      </c>
      <c r="C62" s="214" t="s">
        <v>525</v>
      </c>
      <c r="D62" s="213">
        <v>0</v>
      </c>
      <c r="E62" s="213">
        <v>0</v>
      </c>
      <c r="F62" s="213">
        <v>158798</v>
      </c>
      <c r="G62" s="213">
        <v>0</v>
      </c>
      <c r="H62" s="213"/>
      <c r="I62" s="213">
        <v>28505</v>
      </c>
      <c r="J62" s="213"/>
      <c r="K62" s="213">
        <v>65629</v>
      </c>
      <c r="L62" s="213">
        <v>0</v>
      </c>
      <c r="M62" s="213">
        <v>29605</v>
      </c>
      <c r="N62" s="213">
        <v>0</v>
      </c>
      <c r="O62" s="213">
        <v>0</v>
      </c>
      <c r="P62" s="213">
        <v>0</v>
      </c>
      <c r="Q62" s="213"/>
      <c r="R62" s="212">
        <f t="shared" si="4"/>
        <v>282537</v>
      </c>
      <c r="S62" s="209">
        <v>0</v>
      </c>
      <c r="T62" s="212">
        <f t="shared" si="3"/>
        <v>282537</v>
      </c>
      <c r="V62" s="212">
        <f t="shared" si="1"/>
        <v>11</v>
      </c>
    </row>
    <row r="63" spans="1:22">
      <c r="A63" s="208">
        <v>61</v>
      </c>
      <c r="B63" s="203" t="str">
        <f>+PERBULAN!B68</f>
        <v>HARYADI</v>
      </c>
      <c r="C63" s="214" t="s">
        <v>69</v>
      </c>
      <c r="D63" s="213">
        <v>0</v>
      </c>
      <c r="E63" s="213">
        <v>0</v>
      </c>
      <c r="F63" s="213">
        <v>84027</v>
      </c>
      <c r="G63" s="213">
        <v>0</v>
      </c>
      <c r="H63" s="213"/>
      <c r="I63" s="213">
        <v>0</v>
      </c>
      <c r="J63" s="213"/>
      <c r="K63" s="213">
        <v>0</v>
      </c>
      <c r="L63" s="213">
        <v>0</v>
      </c>
      <c r="M63" s="213">
        <v>0</v>
      </c>
      <c r="N63" s="213">
        <v>0</v>
      </c>
      <c r="O63" s="213">
        <v>0</v>
      </c>
      <c r="P63" s="213">
        <v>0</v>
      </c>
      <c r="Q63" s="213"/>
      <c r="R63" s="212">
        <f t="shared" si="4"/>
        <v>84027</v>
      </c>
      <c r="S63" s="209">
        <v>0</v>
      </c>
      <c r="T63" s="212">
        <f t="shared" si="3"/>
        <v>84027</v>
      </c>
      <c r="V63" s="212">
        <f t="shared" ref="V63:V78" si="5">COUNT(D63:Q63)-COUNT(H63)-COUNT(J63)</f>
        <v>11</v>
      </c>
    </row>
    <row r="64" spans="1:22">
      <c r="A64" s="208">
        <v>62</v>
      </c>
      <c r="B64" s="203">
        <f>+PERBULAN!B69</f>
        <v>0</v>
      </c>
      <c r="C64" s="206"/>
      <c r="D64" s="213"/>
      <c r="E64" s="213"/>
      <c r="F64" s="213"/>
      <c r="G64" s="213"/>
      <c r="H64" s="213"/>
      <c r="I64" s="213"/>
      <c r="J64" s="213"/>
      <c r="K64" s="213"/>
      <c r="L64" s="213"/>
      <c r="M64" s="213"/>
      <c r="N64" s="213"/>
      <c r="O64" s="213"/>
      <c r="P64" s="213"/>
      <c r="Q64" s="213"/>
      <c r="R64" s="212">
        <f t="shared" si="4"/>
        <v>0</v>
      </c>
      <c r="S64" s="209">
        <v>0</v>
      </c>
      <c r="T64" s="212">
        <f t="shared" si="3"/>
        <v>0</v>
      </c>
      <c r="V64" s="212">
        <f t="shared" si="5"/>
        <v>0</v>
      </c>
    </row>
    <row r="65" spans="1:22">
      <c r="A65" s="208">
        <v>63</v>
      </c>
      <c r="B65" s="203">
        <f>+PERBULAN!B70</f>
        <v>0</v>
      </c>
      <c r="C65" s="206"/>
      <c r="D65" s="213"/>
      <c r="E65" s="213"/>
      <c r="F65" s="213"/>
      <c r="G65" s="213"/>
      <c r="H65" s="213"/>
      <c r="I65" s="213"/>
      <c r="J65" s="213"/>
      <c r="K65" s="213"/>
      <c r="L65" s="213"/>
      <c r="M65" s="213"/>
      <c r="N65" s="213"/>
      <c r="O65" s="213"/>
      <c r="P65" s="213"/>
      <c r="Q65" s="213"/>
      <c r="R65" s="212">
        <f t="shared" si="4"/>
        <v>0</v>
      </c>
      <c r="S65" s="209">
        <v>0</v>
      </c>
      <c r="T65" s="212">
        <f t="shared" si="3"/>
        <v>0</v>
      </c>
      <c r="V65" s="212">
        <f t="shared" si="5"/>
        <v>0</v>
      </c>
    </row>
    <row r="66" spans="1:22">
      <c r="A66" s="208">
        <v>64</v>
      </c>
      <c r="B66" s="203">
        <f>+PERBULAN!B71</f>
        <v>0</v>
      </c>
      <c r="C66" s="206"/>
      <c r="D66" s="213"/>
      <c r="E66" s="213"/>
      <c r="F66" s="213"/>
      <c r="G66" s="213"/>
      <c r="H66" s="213"/>
      <c r="I66" s="213"/>
      <c r="J66" s="213"/>
      <c r="K66" s="213"/>
      <c r="L66" s="213"/>
      <c r="M66" s="213"/>
      <c r="N66" s="213"/>
      <c r="O66" s="213"/>
      <c r="P66" s="213"/>
      <c r="Q66" s="213"/>
      <c r="R66" s="212">
        <f t="shared" si="4"/>
        <v>0</v>
      </c>
      <c r="S66" s="209">
        <v>0</v>
      </c>
      <c r="T66" s="212">
        <f t="shared" si="3"/>
        <v>0</v>
      </c>
      <c r="V66" s="212">
        <f t="shared" si="5"/>
        <v>0</v>
      </c>
    </row>
    <row r="67" spans="1:22">
      <c r="A67" s="208">
        <v>65</v>
      </c>
      <c r="B67" s="203">
        <f>+PERBULAN!B72</f>
        <v>0</v>
      </c>
      <c r="C67" s="206"/>
      <c r="D67" s="213"/>
      <c r="E67" s="213"/>
      <c r="F67" s="213"/>
      <c r="G67" s="213"/>
      <c r="H67" s="213"/>
      <c r="I67" s="213"/>
      <c r="J67" s="213"/>
      <c r="K67" s="213"/>
      <c r="L67" s="213"/>
      <c r="M67" s="213"/>
      <c r="N67" s="213"/>
      <c r="O67" s="213"/>
      <c r="P67" s="213"/>
      <c r="Q67" s="213"/>
      <c r="R67" s="212">
        <f t="shared" si="4"/>
        <v>0</v>
      </c>
      <c r="S67" s="209">
        <v>0</v>
      </c>
      <c r="T67" s="212">
        <f t="shared" si="3"/>
        <v>0</v>
      </c>
      <c r="V67" s="212">
        <f t="shared" si="5"/>
        <v>0</v>
      </c>
    </row>
    <row r="68" spans="1:22">
      <c r="A68" s="208">
        <v>66</v>
      </c>
      <c r="B68" s="203">
        <f>+PERBULAN!B73</f>
        <v>0</v>
      </c>
      <c r="C68" s="206"/>
      <c r="D68" s="213"/>
      <c r="E68" s="213"/>
      <c r="F68" s="213"/>
      <c r="G68" s="213"/>
      <c r="H68" s="213"/>
      <c r="I68" s="213"/>
      <c r="J68" s="213"/>
      <c r="K68" s="213"/>
      <c r="L68" s="213"/>
      <c r="M68" s="213"/>
      <c r="N68" s="213"/>
      <c r="O68" s="213"/>
      <c r="P68" s="213"/>
      <c r="Q68" s="213"/>
      <c r="R68" s="212">
        <f t="shared" si="4"/>
        <v>0</v>
      </c>
      <c r="S68" s="209">
        <v>0</v>
      </c>
      <c r="T68" s="212">
        <f t="shared" si="3"/>
        <v>0</v>
      </c>
      <c r="V68" s="212">
        <f t="shared" si="5"/>
        <v>0</v>
      </c>
    </row>
    <row r="69" spans="1:22">
      <c r="A69" s="208">
        <v>67</v>
      </c>
      <c r="B69" s="203">
        <f>+PERBULAN!B74</f>
        <v>0</v>
      </c>
      <c r="C69" s="206"/>
      <c r="D69" s="213"/>
      <c r="E69" s="213"/>
      <c r="F69" s="213"/>
      <c r="G69" s="213"/>
      <c r="H69" s="213"/>
      <c r="I69" s="213"/>
      <c r="J69" s="213"/>
      <c r="K69" s="213"/>
      <c r="L69" s="213"/>
      <c r="M69" s="213"/>
      <c r="N69" s="213"/>
      <c r="O69" s="213"/>
      <c r="P69" s="213"/>
      <c r="Q69" s="213"/>
      <c r="R69" s="212">
        <f t="shared" si="4"/>
        <v>0</v>
      </c>
      <c r="S69" s="209">
        <v>0</v>
      </c>
      <c r="T69" s="212">
        <f t="shared" si="3"/>
        <v>0</v>
      </c>
      <c r="V69" s="212">
        <f t="shared" si="5"/>
        <v>0</v>
      </c>
    </row>
    <row r="70" spans="1:22">
      <c r="A70" s="208">
        <v>68</v>
      </c>
      <c r="B70" s="203">
        <f>+PERBULAN!B75</f>
        <v>0</v>
      </c>
      <c r="C70" s="206"/>
      <c r="D70" s="213"/>
      <c r="E70" s="213"/>
      <c r="F70" s="213"/>
      <c r="G70" s="213"/>
      <c r="H70" s="213"/>
      <c r="I70" s="213"/>
      <c r="J70" s="213"/>
      <c r="K70" s="213"/>
      <c r="L70" s="213"/>
      <c r="M70" s="213"/>
      <c r="N70" s="213"/>
      <c r="O70" s="213"/>
      <c r="P70" s="213"/>
      <c r="Q70" s="213"/>
      <c r="R70" s="212">
        <f t="shared" si="4"/>
        <v>0</v>
      </c>
      <c r="S70" s="209">
        <v>0</v>
      </c>
      <c r="T70" s="212">
        <f t="shared" si="3"/>
        <v>0</v>
      </c>
      <c r="V70" s="212">
        <f t="shared" si="5"/>
        <v>0</v>
      </c>
    </row>
    <row r="71" spans="1:22">
      <c r="A71" s="208">
        <v>69</v>
      </c>
      <c r="B71" s="203">
        <f>+PERBULAN!B76</f>
        <v>0</v>
      </c>
      <c r="C71" s="218"/>
      <c r="D71" s="213"/>
      <c r="E71" s="213"/>
      <c r="F71" s="213"/>
      <c r="G71" s="213"/>
      <c r="H71" s="213"/>
      <c r="I71" s="213"/>
      <c r="J71" s="213"/>
      <c r="K71" s="213"/>
      <c r="L71" s="213"/>
      <c r="M71" s="213"/>
      <c r="N71" s="213"/>
      <c r="O71" s="213"/>
      <c r="P71" s="213"/>
      <c r="Q71" s="213"/>
      <c r="R71" s="212">
        <f t="shared" si="4"/>
        <v>0</v>
      </c>
      <c r="S71" s="209">
        <v>0</v>
      </c>
      <c r="T71" s="212">
        <f t="shared" si="3"/>
        <v>0</v>
      </c>
      <c r="V71" s="212">
        <f t="shared" si="5"/>
        <v>0</v>
      </c>
    </row>
    <row r="72" spans="1:22">
      <c r="A72" s="208">
        <v>70</v>
      </c>
      <c r="B72" s="203">
        <f>+PERBULAN!B77</f>
        <v>0</v>
      </c>
      <c r="C72" s="218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2">
        <f t="shared" si="4"/>
        <v>0</v>
      </c>
      <c r="S72" s="209">
        <v>0</v>
      </c>
      <c r="T72" s="212">
        <f t="shared" ref="T72:T78" si="6">R72-S72</f>
        <v>0</v>
      </c>
      <c r="V72" s="212">
        <f t="shared" si="5"/>
        <v>0</v>
      </c>
    </row>
    <row r="73" spans="1:22">
      <c r="A73" s="208">
        <v>71</v>
      </c>
      <c r="B73" s="203">
        <f>+PERBULAN!B78</f>
        <v>0</v>
      </c>
      <c r="C73" s="218"/>
      <c r="D73" s="213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2">
        <f t="shared" si="4"/>
        <v>0</v>
      </c>
      <c r="S73" s="209">
        <v>0</v>
      </c>
      <c r="T73" s="212">
        <f t="shared" si="6"/>
        <v>0</v>
      </c>
      <c r="V73" s="212">
        <f t="shared" si="5"/>
        <v>0</v>
      </c>
    </row>
    <row r="74" spans="1:22">
      <c r="A74" s="208">
        <v>72</v>
      </c>
      <c r="B74" s="203">
        <f>+PERBULAN!B79</f>
        <v>0</v>
      </c>
      <c r="C74" s="218"/>
      <c r="D74" s="213"/>
      <c r="E74" s="213"/>
      <c r="F74" s="213"/>
      <c r="G74" s="213"/>
      <c r="H74" s="213"/>
      <c r="I74" s="213"/>
      <c r="J74" s="213"/>
      <c r="K74" s="213"/>
      <c r="L74" s="213"/>
      <c r="M74" s="213"/>
      <c r="N74" s="213"/>
      <c r="O74" s="213"/>
      <c r="P74" s="213"/>
      <c r="Q74" s="213"/>
      <c r="R74" s="212">
        <f t="shared" si="4"/>
        <v>0</v>
      </c>
      <c r="S74" s="209">
        <v>0</v>
      </c>
      <c r="T74" s="212">
        <f t="shared" si="6"/>
        <v>0</v>
      </c>
      <c r="V74" s="212">
        <f t="shared" si="5"/>
        <v>0</v>
      </c>
    </row>
    <row r="75" spans="1:22">
      <c r="A75" s="208">
        <v>73</v>
      </c>
      <c r="B75" s="203">
        <f>+PERBULAN!B80</f>
        <v>0</v>
      </c>
      <c r="C75" s="218"/>
      <c r="D75" s="213"/>
      <c r="E75" s="213"/>
      <c r="F75" s="213"/>
      <c r="G75" s="213"/>
      <c r="H75" s="213"/>
      <c r="I75" s="213"/>
      <c r="J75" s="213"/>
      <c r="K75" s="213"/>
      <c r="L75" s="213"/>
      <c r="M75" s="213"/>
      <c r="N75" s="213"/>
      <c r="O75" s="213"/>
      <c r="P75" s="213"/>
      <c r="Q75" s="213"/>
      <c r="R75" s="212">
        <f t="shared" si="4"/>
        <v>0</v>
      </c>
      <c r="S75" s="209">
        <v>0</v>
      </c>
      <c r="T75" s="212">
        <f t="shared" si="6"/>
        <v>0</v>
      </c>
      <c r="V75" s="212">
        <f t="shared" si="5"/>
        <v>0</v>
      </c>
    </row>
    <row r="76" spans="1:22">
      <c r="A76" s="208">
        <v>74</v>
      </c>
      <c r="B76" s="203">
        <f>+PERBULAN!B81</f>
        <v>0</v>
      </c>
      <c r="C76" s="219"/>
      <c r="D76" s="213"/>
      <c r="E76" s="213"/>
      <c r="F76" s="213"/>
      <c r="G76" s="213"/>
      <c r="H76" s="213"/>
      <c r="I76" s="213"/>
      <c r="J76" s="213"/>
      <c r="K76" s="213"/>
      <c r="L76" s="213"/>
      <c r="M76" s="213"/>
      <c r="N76" s="213"/>
      <c r="O76" s="213"/>
      <c r="P76" s="213"/>
      <c r="Q76" s="213"/>
      <c r="R76" s="212">
        <f t="shared" si="4"/>
        <v>0</v>
      </c>
      <c r="S76" s="209">
        <v>0</v>
      </c>
      <c r="T76" s="212">
        <f t="shared" si="6"/>
        <v>0</v>
      </c>
      <c r="V76" s="212">
        <f t="shared" si="5"/>
        <v>0</v>
      </c>
    </row>
    <row r="77" spans="1:22">
      <c r="A77" s="208">
        <v>75</v>
      </c>
      <c r="B77" s="203">
        <f>+PERBULAN!B82</f>
        <v>0</v>
      </c>
      <c r="C77" s="207"/>
      <c r="D77" s="213"/>
      <c r="E77" s="213"/>
      <c r="F77" s="213"/>
      <c r="G77" s="213"/>
      <c r="H77" s="213"/>
      <c r="I77" s="213"/>
      <c r="J77" s="213"/>
      <c r="K77" s="213"/>
      <c r="L77" s="213"/>
      <c r="M77" s="213"/>
      <c r="N77" s="213"/>
      <c r="O77" s="213"/>
      <c r="P77" s="213"/>
      <c r="Q77" s="213"/>
      <c r="R77" s="212">
        <f t="shared" si="4"/>
        <v>0</v>
      </c>
      <c r="S77" s="209">
        <v>0</v>
      </c>
      <c r="T77" s="212">
        <f t="shared" si="6"/>
        <v>0</v>
      </c>
      <c r="V77" s="212">
        <f t="shared" si="5"/>
        <v>0</v>
      </c>
    </row>
    <row r="78" spans="1:22">
      <c r="A78" s="208">
        <v>76</v>
      </c>
      <c r="B78" s="203">
        <f>+PERBULAN!B83</f>
        <v>0</v>
      </c>
      <c r="C78" s="207"/>
      <c r="D78" s="213"/>
      <c r="E78" s="213"/>
      <c r="F78" s="213"/>
      <c r="G78" s="213"/>
      <c r="H78" s="213"/>
      <c r="I78" s="213"/>
      <c r="J78" s="213"/>
      <c r="K78" s="213"/>
      <c r="L78" s="213"/>
      <c r="M78" s="213"/>
      <c r="N78" s="213"/>
      <c r="O78" s="213"/>
      <c r="P78" s="213"/>
      <c r="Q78" s="213"/>
      <c r="R78" s="212">
        <f t="shared" si="4"/>
        <v>0</v>
      </c>
      <c r="S78" s="209">
        <v>0</v>
      </c>
      <c r="T78" s="212">
        <f t="shared" si="6"/>
        <v>0</v>
      </c>
      <c r="V78" s="212">
        <f t="shared" si="5"/>
        <v>0</v>
      </c>
    </row>
    <row r="79" spans="1:22" ht="18" customHeight="1">
      <c r="B79" s="220" t="s">
        <v>440</v>
      </c>
      <c r="C79" s="220"/>
      <c r="D79" s="220">
        <f t="shared" ref="D79:Q79" si="7">SUM(D3:D78)</f>
        <v>519089</v>
      </c>
      <c r="E79" s="220">
        <f t="shared" si="7"/>
        <v>229210</v>
      </c>
      <c r="F79" s="220">
        <f t="shared" si="7"/>
        <v>9002767</v>
      </c>
      <c r="G79" s="220">
        <f t="shared" si="7"/>
        <v>389368</v>
      </c>
      <c r="H79" s="220">
        <f t="shared" si="7"/>
        <v>0</v>
      </c>
      <c r="I79" s="220">
        <f t="shared" si="7"/>
        <v>452427</v>
      </c>
      <c r="J79" s="220">
        <f t="shared" si="7"/>
        <v>0</v>
      </c>
      <c r="K79" s="220">
        <f t="shared" si="7"/>
        <v>734923</v>
      </c>
      <c r="L79" s="220">
        <f t="shared" si="7"/>
        <v>337412</v>
      </c>
      <c r="M79" s="220">
        <f t="shared" si="7"/>
        <v>325950</v>
      </c>
      <c r="N79" s="220">
        <f t="shared" si="7"/>
        <v>482280</v>
      </c>
      <c r="O79" s="220">
        <f t="shared" si="7"/>
        <v>448191</v>
      </c>
      <c r="P79" s="220">
        <f t="shared" si="7"/>
        <v>425071</v>
      </c>
      <c r="Q79" s="220">
        <f t="shared" si="7"/>
        <v>0</v>
      </c>
    </row>
    <row r="80" spans="1:22">
      <c r="R80" s="212">
        <f>SUM(R3:R78)</f>
        <v>13346688</v>
      </c>
      <c r="S80" s="212">
        <f>SUM(S3:S78)</f>
        <v>0</v>
      </c>
      <c r="T80" s="212">
        <f>SUM(T3:T78)</f>
        <v>13346688</v>
      </c>
      <c r="U80" s="212">
        <f>SUM(U3:U78)</f>
        <v>0</v>
      </c>
      <c r="V80" s="212">
        <f>SUM(V3:V78)</f>
        <v>667</v>
      </c>
    </row>
    <row r="81" spans="1:22">
      <c r="D81" s="208">
        <f>COUNT(D3:D78)</f>
        <v>61</v>
      </c>
      <c r="E81" s="208">
        <f t="shared" ref="E81:Q81" si="8">COUNT(E3:E78)</f>
        <v>61</v>
      </c>
      <c r="F81" s="208">
        <f t="shared" si="8"/>
        <v>61</v>
      </c>
      <c r="G81" s="208">
        <f t="shared" si="8"/>
        <v>61</v>
      </c>
      <c r="H81" s="208">
        <f t="shared" si="8"/>
        <v>0</v>
      </c>
      <c r="I81" s="208">
        <f t="shared" si="8"/>
        <v>61</v>
      </c>
      <c r="J81" s="208">
        <f t="shared" si="8"/>
        <v>0</v>
      </c>
      <c r="K81" s="208">
        <f t="shared" si="8"/>
        <v>61</v>
      </c>
      <c r="L81" s="208">
        <f t="shared" si="8"/>
        <v>61</v>
      </c>
      <c r="M81" s="208">
        <f t="shared" si="8"/>
        <v>60</v>
      </c>
      <c r="N81" s="208">
        <f>COUNT(N3:N78)</f>
        <v>60</v>
      </c>
      <c r="O81" s="208">
        <f>COUNT(O3:O78)</f>
        <v>60</v>
      </c>
      <c r="P81" s="208">
        <f t="shared" si="8"/>
        <v>60</v>
      </c>
      <c r="Q81" s="208">
        <f t="shared" si="8"/>
        <v>0</v>
      </c>
    </row>
    <row r="84" spans="1:22">
      <c r="R84" s="212"/>
    </row>
    <row r="87" spans="1:22">
      <c r="A87" s="208">
        <v>48</v>
      </c>
      <c r="B87" s="204" t="s">
        <v>197</v>
      </c>
      <c r="C87" s="205" t="s">
        <v>401</v>
      </c>
      <c r="D87" s="213">
        <v>0</v>
      </c>
      <c r="E87" s="213">
        <v>0</v>
      </c>
      <c r="F87" s="213">
        <v>141008</v>
      </c>
      <c r="G87" s="213">
        <v>0</v>
      </c>
      <c r="H87" s="213"/>
      <c r="I87" s="213">
        <v>0</v>
      </c>
      <c r="J87" s="213"/>
      <c r="K87" s="213">
        <v>0</v>
      </c>
      <c r="L87" s="213">
        <v>0</v>
      </c>
      <c r="M87" s="213">
        <v>0</v>
      </c>
      <c r="N87" s="213">
        <v>0</v>
      </c>
      <c r="O87" s="213">
        <v>0</v>
      </c>
      <c r="P87" s="213">
        <v>0</v>
      </c>
      <c r="Q87" s="213"/>
      <c r="R87" s="212">
        <f>SUM(D87:Q87)</f>
        <v>141008</v>
      </c>
      <c r="S87" s="209">
        <v>0</v>
      </c>
      <c r="T87" s="212">
        <f>R87-S87</f>
        <v>141008</v>
      </c>
      <c r="V87" s="212">
        <f>COUNT(D87:Q87)-COUNT(H87)-COUNT(J87)</f>
        <v>11</v>
      </c>
    </row>
    <row r="88" spans="1:22">
      <c r="A88" s="208">
        <v>4</v>
      </c>
      <c r="B88" s="203" t="str">
        <f>+PERBULAN!B116</f>
        <v>BENNY SAPUTRA</v>
      </c>
      <c r="C88" s="214" t="s">
        <v>380</v>
      </c>
      <c r="D88" s="213">
        <v>32587</v>
      </c>
      <c r="E88" s="213">
        <v>0</v>
      </c>
      <c r="F88" s="213">
        <v>89082</v>
      </c>
      <c r="G88" s="213">
        <v>0</v>
      </c>
      <c r="H88" s="213"/>
      <c r="I88" s="213">
        <v>0</v>
      </c>
      <c r="J88" s="213"/>
      <c r="K88" s="213">
        <v>32552</v>
      </c>
      <c r="L88" s="213"/>
      <c r="M88" s="213"/>
      <c r="N88" s="213"/>
      <c r="O88" s="213"/>
      <c r="P88" s="213"/>
      <c r="Q88" s="213"/>
      <c r="R88" s="212">
        <f>SUM(D88:Q88)</f>
        <v>154221</v>
      </c>
      <c r="S88" s="209">
        <v>0</v>
      </c>
      <c r="T88" s="212">
        <f>R88-S88</f>
        <v>154221</v>
      </c>
      <c r="V88" s="212">
        <f>COUNT(D88:Q88)-COUNT(H88)-COUNT(J88)</f>
        <v>6</v>
      </c>
    </row>
    <row r="89" spans="1:22">
      <c r="A89" s="208">
        <v>49</v>
      </c>
      <c r="B89" s="203" t="str">
        <f>+PERBULAN!B117</f>
        <v>RINDI PRIANTO</v>
      </c>
      <c r="C89" s="352" t="s">
        <v>69</v>
      </c>
      <c r="D89" s="213">
        <v>0</v>
      </c>
      <c r="E89" s="213">
        <v>0</v>
      </c>
      <c r="F89" s="213">
        <v>147181</v>
      </c>
      <c r="G89" s="213">
        <v>0</v>
      </c>
      <c r="H89" s="213"/>
      <c r="I89" s="213">
        <v>0</v>
      </c>
      <c r="J89" s="213"/>
      <c r="K89" s="213">
        <v>0</v>
      </c>
      <c r="L89" s="213">
        <v>0</v>
      </c>
      <c r="M89" s="213">
        <v>0</v>
      </c>
      <c r="N89" s="213"/>
      <c r="O89" s="213"/>
      <c r="P89" s="213"/>
      <c r="Q89" s="213"/>
      <c r="R89" s="212">
        <f>SUM(D89:Q89)</f>
        <v>147181</v>
      </c>
      <c r="S89" s="209">
        <v>0</v>
      </c>
      <c r="T89" s="212">
        <f>R89-S89</f>
        <v>147181</v>
      </c>
      <c r="V89" s="212">
        <f>COUNT(D89:Q89)-COUNT(H89)-COUNT(J89)</f>
        <v>8</v>
      </c>
    </row>
    <row r="90" spans="1:22">
      <c r="A90" s="208">
        <v>51</v>
      </c>
      <c r="B90" s="203" t="str">
        <f>+PERBULAN!B118</f>
        <v>PUTRA ROMADHAN</v>
      </c>
      <c r="C90" s="356" t="s">
        <v>69</v>
      </c>
      <c r="D90" s="213">
        <v>0</v>
      </c>
      <c r="E90" s="213">
        <v>0</v>
      </c>
      <c r="F90" s="213">
        <v>86312</v>
      </c>
      <c r="G90" s="213">
        <v>0</v>
      </c>
      <c r="H90" s="213"/>
      <c r="I90" s="213">
        <v>0</v>
      </c>
      <c r="J90" s="213"/>
      <c r="K90" s="213">
        <v>0</v>
      </c>
      <c r="L90" s="213">
        <v>0</v>
      </c>
      <c r="M90" s="213">
        <v>0</v>
      </c>
      <c r="N90" s="213"/>
      <c r="O90" s="213"/>
      <c r="P90" s="213"/>
      <c r="Q90" s="213"/>
      <c r="R90" s="212">
        <f>SUM(D90:Q90)</f>
        <v>86312</v>
      </c>
      <c r="S90" s="209">
        <v>0</v>
      </c>
      <c r="T90" s="212">
        <f>R90-S90</f>
        <v>86312</v>
      </c>
      <c r="V90" s="212">
        <f>COUNT(D90:Q90)-COUNT(H90)-COUNT(J90)</f>
        <v>8</v>
      </c>
    </row>
  </sheetData>
  <mergeCells count="4">
    <mergeCell ref="A1:A2"/>
    <mergeCell ref="B1:B2"/>
    <mergeCell ref="C1:C2"/>
    <mergeCell ref="D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36"/>
  <sheetViews>
    <sheetView topLeftCell="A166" workbookViewId="0">
      <pane xSplit="2" topLeftCell="M1" activePane="topRight" state="frozen"/>
      <selection activeCell="N18" sqref="N18"/>
      <selection pane="topRight" activeCell="N18" sqref="N18"/>
    </sheetView>
  </sheetViews>
  <sheetFormatPr defaultRowHeight="15"/>
  <cols>
    <col min="1" max="1" width="9.140625" style="154"/>
    <col min="2" max="2" width="23.140625" style="154" bestFit="1" customWidth="1"/>
    <col min="3" max="3" width="15" style="154" customWidth="1"/>
    <col min="4" max="5" width="13.42578125" style="154" customWidth="1"/>
    <col min="6" max="6" width="14.7109375" style="154" customWidth="1"/>
    <col min="7" max="7" width="16.42578125" style="154" customWidth="1"/>
    <col min="8" max="8" width="15" style="154" customWidth="1"/>
    <col min="9" max="14" width="12.42578125" style="154" customWidth="1"/>
    <col min="15" max="15" width="14" style="154" customWidth="1"/>
    <col min="16" max="16" width="15.28515625" style="154" customWidth="1"/>
    <col min="17" max="16384" width="9.140625" style="154"/>
  </cols>
  <sheetData>
    <row r="1" spans="1:15">
      <c r="A1" s="245" t="s">
        <v>323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</row>
    <row r="2" spans="1:15">
      <c r="A2" s="245" t="s">
        <v>439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</row>
    <row r="3" spans="1:1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</row>
    <row r="4" spans="1:15">
      <c r="A4" s="484" t="s">
        <v>0</v>
      </c>
      <c r="B4" s="484" t="s">
        <v>324</v>
      </c>
      <c r="C4" s="499" t="s">
        <v>327</v>
      </c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</row>
    <row r="5" spans="1:15">
      <c r="A5" s="485"/>
      <c r="B5" s="485"/>
      <c r="C5" s="519" t="s">
        <v>328</v>
      </c>
      <c r="D5" s="519" t="s">
        <v>329</v>
      </c>
      <c r="E5" s="519" t="s">
        <v>330</v>
      </c>
      <c r="F5" s="519" t="s">
        <v>331</v>
      </c>
      <c r="G5" s="519" t="s">
        <v>332</v>
      </c>
      <c r="H5" s="519" t="s">
        <v>333</v>
      </c>
      <c r="I5" s="519" t="s">
        <v>334</v>
      </c>
      <c r="J5" s="519" t="s">
        <v>335</v>
      </c>
      <c r="K5" s="519" t="s">
        <v>336</v>
      </c>
      <c r="L5" s="519" t="s">
        <v>337</v>
      </c>
      <c r="M5" s="519" t="s">
        <v>338</v>
      </c>
      <c r="N5" s="519" t="s">
        <v>339</v>
      </c>
      <c r="O5" s="503" t="s">
        <v>440</v>
      </c>
    </row>
    <row r="6" spans="1:15">
      <c r="A6" s="486"/>
      <c r="B6" s="486"/>
      <c r="C6" s="520"/>
      <c r="D6" s="520"/>
      <c r="E6" s="520"/>
      <c r="F6" s="520"/>
      <c r="G6" s="520"/>
      <c r="H6" s="520"/>
      <c r="I6" s="520"/>
      <c r="J6" s="520"/>
      <c r="K6" s="520"/>
      <c r="L6" s="520"/>
      <c r="M6" s="520"/>
      <c r="N6" s="520"/>
      <c r="O6" s="504"/>
    </row>
    <row r="7" spans="1:15">
      <c r="A7" s="521" t="s">
        <v>351</v>
      </c>
      <c r="B7" s="522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188"/>
    </row>
    <row r="8" spans="1:15">
      <c r="A8" s="188">
        <f>'[4]BULANAN PTKP BARU'!A8</f>
        <v>1</v>
      </c>
      <c r="B8" s="192" t="str">
        <f>+PERBULAN!B8</f>
        <v>SUDARMONO</v>
      </c>
      <c r="C8" s="202">
        <v>157084</v>
      </c>
      <c r="D8" s="202">
        <v>157084</v>
      </c>
      <c r="E8" s="202">
        <v>157084</v>
      </c>
      <c r="F8" s="202">
        <v>157084</v>
      </c>
      <c r="G8" s="202">
        <v>157084</v>
      </c>
      <c r="H8" s="202">
        <v>157084</v>
      </c>
      <c r="I8" s="202">
        <v>157224</v>
      </c>
      <c r="J8" s="202">
        <v>157224</v>
      </c>
      <c r="K8" s="202">
        <v>157224</v>
      </c>
      <c r="L8" s="202">
        <v>157224</v>
      </c>
      <c r="M8" s="202">
        <v>157224</v>
      </c>
      <c r="N8" s="202"/>
      <c r="O8" s="226">
        <f>SUM(C8:N8)</f>
        <v>1728624</v>
      </c>
    </row>
    <row r="9" spans="1:15">
      <c r="A9" s="188">
        <f>'[4]BULANAN PTKP BARU'!A9</f>
        <v>2</v>
      </c>
      <c r="B9" s="192" t="str">
        <f>+PERBULAN!B9</f>
        <v>ARDIYANSA</v>
      </c>
      <c r="C9" s="202">
        <v>156264</v>
      </c>
      <c r="D9" s="202">
        <v>156264</v>
      </c>
      <c r="E9" s="202">
        <v>156264</v>
      </c>
      <c r="F9" s="202">
        <v>156264</v>
      </c>
      <c r="G9" s="202">
        <v>156264</v>
      </c>
      <c r="H9" s="202">
        <v>156264</v>
      </c>
      <c r="I9" s="202">
        <v>156264</v>
      </c>
      <c r="J9" s="202">
        <v>156384</v>
      </c>
      <c r="K9" s="202">
        <v>156384</v>
      </c>
      <c r="L9" s="202">
        <v>156384</v>
      </c>
      <c r="M9" s="202">
        <v>156384</v>
      </c>
      <c r="N9" s="202"/>
      <c r="O9" s="226">
        <f t="shared" ref="O9:O68" si="0">SUM(C9:N9)</f>
        <v>1719384</v>
      </c>
    </row>
    <row r="10" spans="1:15" ht="16.5" customHeight="1">
      <c r="A10" s="188">
        <f>'[4]BULANAN PTKP BARU'!A10</f>
        <v>3</v>
      </c>
      <c r="B10" s="192" t="str">
        <f>+PERBULAN!B10</f>
        <v>INDRA JAYA</v>
      </c>
      <c r="C10" s="202">
        <v>156944</v>
      </c>
      <c r="D10" s="202">
        <v>156944</v>
      </c>
      <c r="E10" s="202">
        <v>156944</v>
      </c>
      <c r="F10" s="202">
        <v>156944</v>
      </c>
      <c r="G10" s="202">
        <v>156944</v>
      </c>
      <c r="H10" s="202">
        <v>157084</v>
      </c>
      <c r="I10" s="202">
        <v>157084</v>
      </c>
      <c r="J10" s="202">
        <v>157084</v>
      </c>
      <c r="K10" s="202">
        <v>157084</v>
      </c>
      <c r="L10" s="202">
        <v>157084</v>
      </c>
      <c r="M10" s="202">
        <v>157084</v>
      </c>
      <c r="N10" s="202"/>
      <c r="O10" s="226">
        <f t="shared" si="0"/>
        <v>1727224</v>
      </c>
    </row>
    <row r="11" spans="1:15">
      <c r="A11" s="188">
        <f>'[4]BULANAN PTKP BARU'!A11</f>
        <v>4</v>
      </c>
      <c r="B11" s="192" t="str">
        <f>+PERBULAN!B11</f>
        <v>USPANDI</v>
      </c>
      <c r="C11" s="202">
        <v>157504</v>
      </c>
      <c r="D11" s="202">
        <v>158484</v>
      </c>
      <c r="E11" s="202">
        <v>158484</v>
      </c>
      <c r="F11" s="202">
        <v>158484</v>
      </c>
      <c r="G11" s="202">
        <v>158484</v>
      </c>
      <c r="H11" s="202">
        <v>158484</v>
      </c>
      <c r="I11" s="202">
        <v>158484</v>
      </c>
      <c r="J11" s="202">
        <v>158484</v>
      </c>
      <c r="K11" s="202">
        <v>158484</v>
      </c>
      <c r="L11" s="202">
        <v>158484</v>
      </c>
      <c r="M11" s="202">
        <v>158484</v>
      </c>
      <c r="N11" s="202"/>
      <c r="O11" s="226">
        <f t="shared" si="0"/>
        <v>1742344</v>
      </c>
    </row>
    <row r="12" spans="1:15">
      <c r="A12" s="188">
        <f>'[4]BULANAN PTKP BARU'!A12</f>
        <v>5</v>
      </c>
      <c r="B12" s="192" t="str">
        <f>+PERBULAN!B12</f>
        <v>NOVI SUHAIDI</v>
      </c>
      <c r="C12" s="202">
        <v>156804</v>
      </c>
      <c r="D12" s="202">
        <v>156804</v>
      </c>
      <c r="E12" s="202">
        <v>156944</v>
      </c>
      <c r="F12" s="202">
        <v>156944</v>
      </c>
      <c r="G12" s="202">
        <v>156944</v>
      </c>
      <c r="H12" s="202">
        <v>156944</v>
      </c>
      <c r="I12" s="202">
        <v>156944</v>
      </c>
      <c r="J12" s="202">
        <v>156944</v>
      </c>
      <c r="K12" s="202">
        <v>156944</v>
      </c>
      <c r="L12" s="202">
        <v>157084</v>
      </c>
      <c r="M12" s="202">
        <v>157084</v>
      </c>
      <c r="N12" s="202"/>
      <c r="O12" s="226">
        <f t="shared" si="0"/>
        <v>1726384</v>
      </c>
    </row>
    <row r="13" spans="1:15">
      <c r="A13" s="188">
        <f>'[4]BULANAN PTKP BARU'!A13</f>
        <v>6</v>
      </c>
      <c r="B13" s="192" t="str">
        <f>+PERBULAN!B13</f>
        <v>ROSLI</v>
      </c>
      <c r="C13" s="202">
        <v>157084</v>
      </c>
      <c r="D13" s="202">
        <v>157084</v>
      </c>
      <c r="E13" s="202">
        <v>157084</v>
      </c>
      <c r="F13" s="202">
        <v>157084</v>
      </c>
      <c r="G13" s="202">
        <v>157084</v>
      </c>
      <c r="H13" s="202">
        <v>157224</v>
      </c>
      <c r="I13" s="202">
        <v>157224</v>
      </c>
      <c r="J13" s="202">
        <v>157224</v>
      </c>
      <c r="K13" s="202">
        <v>157224</v>
      </c>
      <c r="L13" s="202">
        <v>157224</v>
      </c>
      <c r="M13" s="202">
        <v>157224</v>
      </c>
      <c r="N13" s="202"/>
      <c r="O13" s="226">
        <f t="shared" si="0"/>
        <v>1728764</v>
      </c>
    </row>
    <row r="14" spans="1:15">
      <c r="A14" s="188">
        <f>'[4]BULANAN PTKP BARU'!A14</f>
        <v>7</v>
      </c>
      <c r="B14" s="192" t="str">
        <f>+PERBULAN!B14</f>
        <v>AMRIL</v>
      </c>
      <c r="C14" s="202">
        <v>156944</v>
      </c>
      <c r="D14" s="202">
        <v>156944</v>
      </c>
      <c r="E14" s="202">
        <v>156944</v>
      </c>
      <c r="F14" s="202">
        <v>156944</v>
      </c>
      <c r="G14" s="202">
        <v>156944</v>
      </c>
      <c r="H14" s="202">
        <v>157084</v>
      </c>
      <c r="I14" s="202">
        <v>157084</v>
      </c>
      <c r="J14" s="202">
        <v>157084</v>
      </c>
      <c r="K14" s="202">
        <v>157084</v>
      </c>
      <c r="L14" s="202">
        <v>157084</v>
      </c>
      <c r="M14" s="202">
        <v>157084</v>
      </c>
      <c r="N14" s="202"/>
      <c r="O14" s="226">
        <f t="shared" si="0"/>
        <v>1727224</v>
      </c>
    </row>
    <row r="15" spans="1:15">
      <c r="A15" s="188">
        <f>'[4]BULANAN PTKP BARU'!A15</f>
        <v>8</v>
      </c>
      <c r="B15" s="192" t="str">
        <f>+PERBULAN!B15</f>
        <v>KARMILA</v>
      </c>
      <c r="C15" s="202">
        <v>156944</v>
      </c>
      <c r="D15" s="202">
        <v>156944</v>
      </c>
      <c r="E15" s="202">
        <v>156944</v>
      </c>
      <c r="F15" s="202">
        <v>156944</v>
      </c>
      <c r="G15" s="202">
        <v>157084</v>
      </c>
      <c r="H15" s="202">
        <v>157084</v>
      </c>
      <c r="I15" s="202">
        <v>157084</v>
      </c>
      <c r="J15" s="202">
        <v>157084</v>
      </c>
      <c r="K15" s="202">
        <v>157084</v>
      </c>
      <c r="L15" s="202">
        <v>157084</v>
      </c>
      <c r="M15" s="202">
        <v>157084</v>
      </c>
      <c r="N15" s="202"/>
      <c r="O15" s="226">
        <f t="shared" si="0"/>
        <v>1727364</v>
      </c>
    </row>
    <row r="16" spans="1:15">
      <c r="A16" s="188">
        <f>'[4]BULANAN PTKP BARU'!A16</f>
        <v>9</v>
      </c>
      <c r="B16" s="192" t="str">
        <f>+PERBULAN!B16</f>
        <v>MARTUTI</v>
      </c>
      <c r="C16" s="202">
        <v>157084</v>
      </c>
      <c r="D16" s="202">
        <v>157084</v>
      </c>
      <c r="E16" s="202">
        <v>157084</v>
      </c>
      <c r="F16" s="202">
        <v>157084</v>
      </c>
      <c r="G16" s="202">
        <v>157084</v>
      </c>
      <c r="H16" s="202">
        <v>157084</v>
      </c>
      <c r="I16" s="202">
        <v>157084</v>
      </c>
      <c r="J16" s="202">
        <v>157084</v>
      </c>
      <c r="K16" s="202">
        <v>157084</v>
      </c>
      <c r="L16" s="202">
        <v>157084</v>
      </c>
      <c r="M16" s="202">
        <v>157224</v>
      </c>
      <c r="N16" s="202"/>
      <c r="O16" s="226">
        <f t="shared" si="0"/>
        <v>1728064</v>
      </c>
    </row>
    <row r="17" spans="1:15">
      <c r="A17" s="188">
        <f>'[4]BULANAN PTKP BARU'!A17</f>
        <v>10</v>
      </c>
      <c r="B17" s="192" t="str">
        <f>+PERBULAN!B17</f>
        <v>HARNIAWATI</v>
      </c>
      <c r="C17" s="202">
        <v>157084</v>
      </c>
      <c r="D17" s="202">
        <v>157084</v>
      </c>
      <c r="E17" s="202">
        <v>157084</v>
      </c>
      <c r="F17" s="202">
        <v>157084</v>
      </c>
      <c r="G17" s="202">
        <v>157084</v>
      </c>
      <c r="H17" s="202">
        <v>157084</v>
      </c>
      <c r="I17" s="202">
        <v>157084</v>
      </c>
      <c r="J17" s="202">
        <v>157084</v>
      </c>
      <c r="K17" s="202">
        <v>157084</v>
      </c>
      <c r="L17" s="202">
        <v>157084</v>
      </c>
      <c r="M17" s="202">
        <v>157224</v>
      </c>
      <c r="N17" s="202"/>
      <c r="O17" s="226">
        <f t="shared" si="0"/>
        <v>1728064</v>
      </c>
    </row>
    <row r="18" spans="1:15">
      <c r="A18" s="188">
        <f>'[4]BULANAN PTKP BARU'!A18</f>
        <v>11</v>
      </c>
      <c r="B18" s="192" t="str">
        <f>+PERBULAN!B18</f>
        <v>MARYATI</v>
      </c>
      <c r="C18" s="202">
        <v>157084</v>
      </c>
      <c r="D18" s="202">
        <v>157084</v>
      </c>
      <c r="E18" s="202">
        <v>157084</v>
      </c>
      <c r="F18" s="202">
        <v>157084</v>
      </c>
      <c r="G18" s="202">
        <v>157084</v>
      </c>
      <c r="H18" s="202">
        <v>157084</v>
      </c>
      <c r="I18" s="202">
        <v>157224</v>
      </c>
      <c r="J18" s="202">
        <v>157224</v>
      </c>
      <c r="K18" s="202">
        <v>157224</v>
      </c>
      <c r="L18" s="202">
        <v>157224</v>
      </c>
      <c r="M18" s="202">
        <v>157224</v>
      </c>
      <c r="N18" s="202"/>
      <c r="O18" s="226">
        <f t="shared" si="0"/>
        <v>1728624</v>
      </c>
    </row>
    <row r="19" spans="1:15">
      <c r="A19" s="188">
        <f>'[4]BULANAN PTKP BARU'!A19</f>
        <v>12</v>
      </c>
      <c r="B19" s="192" t="str">
        <f>+PERBULAN!B19</f>
        <v>KOPRIATI</v>
      </c>
      <c r="C19" s="202">
        <v>157504</v>
      </c>
      <c r="D19" s="202">
        <v>158484</v>
      </c>
      <c r="E19" s="202">
        <v>158484</v>
      </c>
      <c r="F19" s="202">
        <v>158484</v>
      </c>
      <c r="G19" s="202">
        <v>158484</v>
      </c>
      <c r="H19" s="202">
        <v>158484</v>
      </c>
      <c r="I19" s="202">
        <v>158484</v>
      </c>
      <c r="J19" s="202">
        <v>158484</v>
      </c>
      <c r="K19" s="202">
        <v>158484</v>
      </c>
      <c r="L19" s="202">
        <v>158484</v>
      </c>
      <c r="M19" s="202">
        <v>158484</v>
      </c>
      <c r="N19" s="202"/>
      <c r="O19" s="226">
        <f t="shared" si="0"/>
        <v>1742344</v>
      </c>
    </row>
    <row r="20" spans="1:15">
      <c r="A20" s="188">
        <f>'[4]BULANAN PTKP BARU'!A20</f>
        <v>13</v>
      </c>
      <c r="B20" s="192" t="str">
        <f>+PERBULAN!B20</f>
        <v>ASNIATI</v>
      </c>
      <c r="C20" s="202">
        <v>156944</v>
      </c>
      <c r="D20" s="202">
        <v>156944</v>
      </c>
      <c r="E20" s="202">
        <v>156944</v>
      </c>
      <c r="F20" s="202">
        <v>156944</v>
      </c>
      <c r="G20" s="202">
        <v>156944</v>
      </c>
      <c r="H20" s="202">
        <v>157084</v>
      </c>
      <c r="I20" s="202">
        <v>157084</v>
      </c>
      <c r="J20" s="202">
        <v>157084</v>
      </c>
      <c r="K20" s="202">
        <v>157084</v>
      </c>
      <c r="L20" s="202">
        <v>157084</v>
      </c>
      <c r="M20" s="202">
        <v>157084</v>
      </c>
      <c r="N20" s="202"/>
      <c r="O20" s="226">
        <f t="shared" si="0"/>
        <v>1727224</v>
      </c>
    </row>
    <row r="21" spans="1:15">
      <c r="A21" s="188">
        <f>'[4]BULANAN PTKP BARU'!A21</f>
        <v>14</v>
      </c>
      <c r="B21" s="192" t="str">
        <f>+PERBULAN!B21</f>
        <v>ANDIWATI</v>
      </c>
      <c r="C21" s="202">
        <v>156944</v>
      </c>
      <c r="D21" s="202">
        <v>156944</v>
      </c>
      <c r="E21" s="202">
        <v>156944</v>
      </c>
      <c r="F21" s="202">
        <v>156944</v>
      </c>
      <c r="G21" s="202">
        <v>156944</v>
      </c>
      <c r="H21" s="202">
        <v>156944</v>
      </c>
      <c r="I21" s="202">
        <v>156944</v>
      </c>
      <c r="J21" s="202">
        <v>156944</v>
      </c>
      <c r="K21" s="202">
        <v>157084</v>
      </c>
      <c r="L21" s="202">
        <v>157084</v>
      </c>
      <c r="M21" s="202">
        <v>157084</v>
      </c>
      <c r="N21" s="202"/>
      <c r="O21" s="226">
        <f t="shared" si="0"/>
        <v>1726804</v>
      </c>
    </row>
    <row r="22" spans="1:15">
      <c r="A22" s="188">
        <f>'[4]BULANAN PTKP BARU'!A22</f>
        <v>15</v>
      </c>
      <c r="B22" s="192" t="str">
        <f>+PERBULAN!B22</f>
        <v>MARYANA.So</v>
      </c>
      <c r="C22" s="202">
        <v>156944</v>
      </c>
      <c r="D22" s="202">
        <v>156944</v>
      </c>
      <c r="E22" s="202">
        <v>156944</v>
      </c>
      <c r="F22" s="202">
        <v>156944</v>
      </c>
      <c r="G22" s="202">
        <v>156944</v>
      </c>
      <c r="H22" s="202">
        <v>157084</v>
      </c>
      <c r="I22" s="202">
        <v>157084</v>
      </c>
      <c r="J22" s="202">
        <v>157084</v>
      </c>
      <c r="K22" s="202">
        <v>157084</v>
      </c>
      <c r="L22" s="202">
        <v>157084</v>
      </c>
      <c r="M22" s="202">
        <v>157084</v>
      </c>
      <c r="N22" s="202"/>
      <c r="O22" s="226">
        <f t="shared" si="0"/>
        <v>1727224</v>
      </c>
    </row>
    <row r="23" spans="1:15">
      <c r="A23" s="188">
        <f>'[4]BULANAN PTKP BARU'!A23</f>
        <v>16</v>
      </c>
      <c r="B23" s="192" t="str">
        <f>+PERBULAN!B23</f>
        <v>TUTI</v>
      </c>
      <c r="C23" s="202">
        <v>157084</v>
      </c>
      <c r="D23" s="202">
        <v>157084</v>
      </c>
      <c r="E23" s="202">
        <v>157084</v>
      </c>
      <c r="F23" s="202">
        <v>157224</v>
      </c>
      <c r="G23" s="202">
        <v>157224</v>
      </c>
      <c r="H23" s="202">
        <v>157224</v>
      </c>
      <c r="I23" s="202">
        <v>157224</v>
      </c>
      <c r="J23" s="202">
        <v>157224</v>
      </c>
      <c r="K23" s="202">
        <v>157224</v>
      </c>
      <c r="L23" s="202">
        <v>157224</v>
      </c>
      <c r="M23" s="202">
        <v>157224</v>
      </c>
      <c r="N23" s="202"/>
      <c r="O23" s="226">
        <f t="shared" si="0"/>
        <v>1729044</v>
      </c>
    </row>
    <row r="24" spans="1:15">
      <c r="A24" s="188">
        <f>'[4]BULANAN PTKP BARU'!A24</f>
        <v>17</v>
      </c>
      <c r="B24" s="192" t="str">
        <f>+PERBULAN!B24</f>
        <v>AGUSTIANA</v>
      </c>
      <c r="C24" s="202">
        <v>157084</v>
      </c>
      <c r="D24" s="202">
        <v>157084</v>
      </c>
      <c r="E24" s="202">
        <v>157084</v>
      </c>
      <c r="F24" s="202">
        <v>157084</v>
      </c>
      <c r="G24" s="202">
        <v>157084</v>
      </c>
      <c r="H24" s="202">
        <v>157084</v>
      </c>
      <c r="I24" s="202">
        <v>157084</v>
      </c>
      <c r="J24" s="202">
        <v>157224</v>
      </c>
      <c r="K24" s="202">
        <v>157224</v>
      </c>
      <c r="L24" s="202">
        <v>157224</v>
      </c>
      <c r="M24" s="202">
        <v>157224</v>
      </c>
      <c r="N24" s="202"/>
      <c r="O24" s="226">
        <f t="shared" si="0"/>
        <v>1728484</v>
      </c>
    </row>
    <row r="25" spans="1:15">
      <c r="A25" s="188">
        <f>'[4]BULANAN PTKP BARU'!A25</f>
        <v>18</v>
      </c>
      <c r="B25" s="192" t="str">
        <f>+PERBULAN!B25</f>
        <v>SISWANTO</v>
      </c>
      <c r="C25" s="202">
        <v>157224</v>
      </c>
      <c r="D25" s="202">
        <v>157224</v>
      </c>
      <c r="E25" s="202">
        <v>157224</v>
      </c>
      <c r="F25" s="202">
        <v>157224</v>
      </c>
      <c r="G25" s="202">
        <v>157224</v>
      </c>
      <c r="H25" s="202">
        <v>157224</v>
      </c>
      <c r="I25" s="202">
        <v>157224</v>
      </c>
      <c r="J25" s="202">
        <v>157224</v>
      </c>
      <c r="K25" s="202">
        <v>157364</v>
      </c>
      <c r="L25" s="202">
        <v>157364</v>
      </c>
      <c r="M25" s="202">
        <v>157364</v>
      </c>
      <c r="N25" s="202"/>
      <c r="O25" s="226">
        <f t="shared" si="0"/>
        <v>1729884</v>
      </c>
    </row>
    <row r="26" spans="1:15">
      <c r="A26" s="188">
        <f>'[4]BULANAN PTKP BARU'!A26</f>
        <v>19</v>
      </c>
      <c r="B26" s="192" t="str">
        <f>+PERBULAN!B26</f>
        <v>SUNDARI</v>
      </c>
      <c r="C26" s="202">
        <v>156264</v>
      </c>
      <c r="D26" s="202">
        <v>156264</v>
      </c>
      <c r="E26" s="202">
        <v>156264</v>
      </c>
      <c r="F26" s="202">
        <v>156264</v>
      </c>
      <c r="G26" s="202">
        <v>156264</v>
      </c>
      <c r="H26" s="202">
        <v>156264</v>
      </c>
      <c r="I26" s="202">
        <v>156384</v>
      </c>
      <c r="J26" s="202">
        <v>156384</v>
      </c>
      <c r="K26" s="202">
        <v>156384</v>
      </c>
      <c r="L26" s="202">
        <v>156384</v>
      </c>
      <c r="M26" s="202">
        <v>156384</v>
      </c>
      <c r="N26" s="202"/>
      <c r="O26" s="226">
        <f t="shared" si="0"/>
        <v>1719504</v>
      </c>
    </row>
    <row r="27" spans="1:15">
      <c r="A27" s="188">
        <f>'[4]BULANAN PTKP BARU'!A27</f>
        <v>20</v>
      </c>
      <c r="B27" s="192" t="str">
        <f>+PERBULAN!B27</f>
        <v>SURYATI</v>
      </c>
      <c r="C27" s="202">
        <v>156264</v>
      </c>
      <c r="D27" s="202">
        <v>156264</v>
      </c>
      <c r="E27" s="202">
        <v>156264</v>
      </c>
      <c r="F27" s="202">
        <v>156264</v>
      </c>
      <c r="G27" s="202">
        <v>156264</v>
      </c>
      <c r="H27" s="202">
        <v>156264</v>
      </c>
      <c r="I27" s="202">
        <v>156384</v>
      </c>
      <c r="J27" s="202">
        <v>156384</v>
      </c>
      <c r="K27" s="202">
        <v>156384</v>
      </c>
      <c r="L27" s="202">
        <v>156384</v>
      </c>
      <c r="M27" s="202">
        <v>156384</v>
      </c>
      <c r="N27" s="202"/>
      <c r="O27" s="226">
        <f t="shared" si="0"/>
        <v>1719504</v>
      </c>
    </row>
    <row r="28" spans="1:15">
      <c r="A28" s="188">
        <f>'[4]BULANAN PTKP BARU'!A28</f>
        <v>21</v>
      </c>
      <c r="B28" s="192" t="str">
        <f>+PERBULAN!B28</f>
        <v>SANTI</v>
      </c>
      <c r="C28" s="202">
        <v>157504</v>
      </c>
      <c r="D28" s="202">
        <v>158624</v>
      </c>
      <c r="E28" s="202">
        <v>158624</v>
      </c>
      <c r="F28" s="202">
        <v>158624</v>
      </c>
      <c r="G28" s="202">
        <v>158624</v>
      </c>
      <c r="H28" s="202">
        <v>158624</v>
      </c>
      <c r="I28" s="202">
        <v>158624</v>
      </c>
      <c r="J28" s="202">
        <v>158624</v>
      </c>
      <c r="K28" s="202">
        <v>158624</v>
      </c>
      <c r="L28" s="202">
        <v>158624</v>
      </c>
      <c r="M28" s="202">
        <v>158624</v>
      </c>
      <c r="N28" s="202"/>
      <c r="O28" s="226">
        <f t="shared" si="0"/>
        <v>1743744</v>
      </c>
    </row>
    <row r="29" spans="1:15">
      <c r="A29" s="188">
        <f>'[4]BULANAN PTKP BARU'!A29</f>
        <v>22</v>
      </c>
      <c r="B29" s="192" t="str">
        <f>+PERBULAN!B29</f>
        <v>HARYANI</v>
      </c>
      <c r="C29" s="202">
        <v>157224</v>
      </c>
      <c r="D29" s="202">
        <v>157224</v>
      </c>
      <c r="E29" s="202">
        <v>157224</v>
      </c>
      <c r="F29" s="202">
        <v>157224</v>
      </c>
      <c r="G29" s="202">
        <v>157224</v>
      </c>
      <c r="H29" s="202">
        <v>157224</v>
      </c>
      <c r="I29" s="202">
        <v>157224</v>
      </c>
      <c r="J29" s="202">
        <v>157224</v>
      </c>
      <c r="K29" s="202">
        <v>157224</v>
      </c>
      <c r="L29" s="202">
        <v>157364</v>
      </c>
      <c r="M29" s="202">
        <v>157364</v>
      </c>
      <c r="N29" s="202"/>
      <c r="O29" s="226">
        <f t="shared" si="0"/>
        <v>1729744</v>
      </c>
    </row>
    <row r="30" spans="1:15">
      <c r="A30" s="188">
        <f>'[4]BULANAN PTKP BARU'!A30</f>
        <v>23</v>
      </c>
      <c r="B30" s="192" t="str">
        <f>+PERBULAN!B30</f>
        <v>SUWANDI</v>
      </c>
      <c r="C30" s="202">
        <v>177880</v>
      </c>
      <c r="D30" s="202">
        <v>178020</v>
      </c>
      <c r="E30" s="202">
        <v>178020</v>
      </c>
      <c r="F30" s="202">
        <v>178020</v>
      </c>
      <c r="G30" s="202">
        <v>178020</v>
      </c>
      <c r="H30" s="202">
        <v>178020</v>
      </c>
      <c r="I30" s="202">
        <v>178020</v>
      </c>
      <c r="J30" s="202">
        <v>178020</v>
      </c>
      <c r="K30" s="202">
        <v>178020</v>
      </c>
      <c r="L30" s="202">
        <v>178020</v>
      </c>
      <c r="M30" s="202">
        <v>178020</v>
      </c>
      <c r="N30" s="202"/>
      <c r="O30" s="226">
        <f t="shared" si="0"/>
        <v>1958080</v>
      </c>
    </row>
    <row r="31" spans="1:15">
      <c r="A31" s="188">
        <f>'[4]BULANAN PTKP BARU'!A31</f>
        <v>24</v>
      </c>
      <c r="B31" s="192" t="str">
        <f>+PERBULAN!B31</f>
        <v>YUMNA M</v>
      </c>
      <c r="C31" s="202">
        <v>156944</v>
      </c>
      <c r="D31" s="202">
        <v>156944</v>
      </c>
      <c r="E31" s="202">
        <v>156944</v>
      </c>
      <c r="F31" s="202">
        <v>156944</v>
      </c>
      <c r="G31" s="202">
        <v>156944</v>
      </c>
      <c r="H31" s="202">
        <v>156944</v>
      </c>
      <c r="I31" s="202">
        <v>157084</v>
      </c>
      <c r="J31" s="202">
        <v>157084</v>
      </c>
      <c r="K31" s="202">
        <v>157084</v>
      </c>
      <c r="L31" s="202">
        <v>157084</v>
      </c>
      <c r="M31" s="202">
        <v>157084</v>
      </c>
      <c r="N31" s="202"/>
      <c r="O31" s="226">
        <f t="shared" si="0"/>
        <v>1727084</v>
      </c>
    </row>
    <row r="32" spans="1:15">
      <c r="A32" s="188">
        <f>'[4]BULANAN PTKP BARU'!A32</f>
        <v>25</v>
      </c>
      <c r="B32" s="192" t="str">
        <f>+PERBULAN!B32</f>
        <v>ANDRES</v>
      </c>
      <c r="C32" s="202">
        <v>155784</v>
      </c>
      <c r="D32" s="202">
        <v>155784</v>
      </c>
      <c r="E32" s="202">
        <v>155784</v>
      </c>
      <c r="F32" s="202">
        <v>155784</v>
      </c>
      <c r="G32" s="202">
        <v>155784</v>
      </c>
      <c r="H32" s="202">
        <v>155904</v>
      </c>
      <c r="I32" s="202">
        <v>155904</v>
      </c>
      <c r="J32" s="202">
        <v>155904</v>
      </c>
      <c r="K32" s="202">
        <v>155904</v>
      </c>
      <c r="L32" s="202">
        <v>155904</v>
      </c>
      <c r="M32" s="202">
        <v>155904</v>
      </c>
      <c r="N32" s="202"/>
      <c r="O32" s="226">
        <f t="shared" si="0"/>
        <v>1714344</v>
      </c>
    </row>
    <row r="33" spans="1:17">
      <c r="A33" s="188">
        <f>'[4]BULANAN PTKP BARU'!A33</f>
        <v>26</v>
      </c>
      <c r="B33" s="192" t="str">
        <f>+PERBULAN!B33</f>
        <v>SUDIAN</v>
      </c>
      <c r="C33" s="202">
        <v>155064</v>
      </c>
      <c r="D33" s="202">
        <v>155064</v>
      </c>
      <c r="E33" s="202">
        <v>155064</v>
      </c>
      <c r="F33" s="202">
        <v>155064</v>
      </c>
      <c r="G33" s="202">
        <v>155064</v>
      </c>
      <c r="H33" s="202">
        <v>155164</v>
      </c>
      <c r="I33" s="202">
        <v>155164</v>
      </c>
      <c r="J33" s="202">
        <v>155164</v>
      </c>
      <c r="K33" s="202">
        <v>155164</v>
      </c>
      <c r="L33" s="202">
        <v>155164</v>
      </c>
      <c r="M33" s="202">
        <v>155164</v>
      </c>
      <c r="N33" s="202"/>
      <c r="O33" s="226">
        <f t="shared" si="0"/>
        <v>1706304</v>
      </c>
    </row>
    <row r="34" spans="1:17">
      <c r="A34" s="188">
        <f>'[4]BULANAN PTKP BARU'!A34</f>
        <v>27</v>
      </c>
      <c r="B34" s="192" t="str">
        <f>+PERBULAN!B34</f>
        <v>YUDA HERMAWAN</v>
      </c>
      <c r="C34" s="202">
        <v>155164</v>
      </c>
      <c r="D34" s="202">
        <v>155164</v>
      </c>
      <c r="E34" s="202">
        <v>155164</v>
      </c>
      <c r="F34" s="202">
        <v>155164</v>
      </c>
      <c r="G34" s="202">
        <v>155164</v>
      </c>
      <c r="H34" s="202">
        <v>155264</v>
      </c>
      <c r="I34" s="202">
        <v>155264</v>
      </c>
      <c r="J34" s="202">
        <v>155264</v>
      </c>
      <c r="K34" s="202">
        <v>155264</v>
      </c>
      <c r="L34" s="202">
        <v>155264</v>
      </c>
      <c r="M34" s="202">
        <v>155264</v>
      </c>
      <c r="N34" s="202"/>
      <c r="O34" s="226">
        <f t="shared" si="0"/>
        <v>1707404</v>
      </c>
    </row>
    <row r="35" spans="1:17">
      <c r="A35" s="188">
        <f>'[4]BULANAN PTKP BARU'!A35</f>
        <v>28</v>
      </c>
      <c r="B35" s="192" t="str">
        <f>+PERBULAN!B35</f>
        <v>SABIBI</v>
      </c>
      <c r="C35" s="202">
        <v>155904</v>
      </c>
      <c r="D35" s="202">
        <v>155904</v>
      </c>
      <c r="E35" s="202">
        <v>156024</v>
      </c>
      <c r="F35" s="202">
        <v>156024</v>
      </c>
      <c r="G35" s="202">
        <v>156024</v>
      </c>
      <c r="H35" s="202">
        <v>156024</v>
      </c>
      <c r="I35" s="202">
        <v>156024</v>
      </c>
      <c r="J35" s="202">
        <v>156024</v>
      </c>
      <c r="K35" s="202">
        <v>156144</v>
      </c>
      <c r="L35" s="202">
        <v>156144</v>
      </c>
      <c r="M35" s="202">
        <v>156144</v>
      </c>
      <c r="N35" s="202"/>
      <c r="O35" s="226">
        <f t="shared" si="0"/>
        <v>1716384</v>
      </c>
      <c r="Q35" s="202"/>
    </row>
    <row r="36" spans="1:17">
      <c r="A36" s="188">
        <f>'[4]BULANAN PTKP BARU'!A36</f>
        <v>29</v>
      </c>
      <c r="B36" s="192" t="str">
        <f>+PERBULAN!B36</f>
        <v>ADI SANJAYA</v>
      </c>
      <c r="C36" s="202">
        <v>156024</v>
      </c>
      <c r="D36" s="202">
        <v>156024</v>
      </c>
      <c r="E36" s="202">
        <v>156024</v>
      </c>
      <c r="F36" s="202">
        <v>156024</v>
      </c>
      <c r="G36" s="202">
        <v>156024</v>
      </c>
      <c r="H36" s="202">
        <v>156024</v>
      </c>
      <c r="I36" s="202">
        <v>156024</v>
      </c>
      <c r="J36" s="202">
        <v>156024</v>
      </c>
      <c r="K36" s="202">
        <v>156024</v>
      </c>
      <c r="L36" s="202">
        <v>156024</v>
      </c>
      <c r="M36" s="202">
        <v>156144</v>
      </c>
      <c r="N36" s="202"/>
      <c r="O36" s="226">
        <f t="shared" si="0"/>
        <v>1716384</v>
      </c>
    </row>
    <row r="37" spans="1:17">
      <c r="A37" s="188">
        <f>'[4]BULANAN PTKP BARU'!A37</f>
        <v>30</v>
      </c>
      <c r="B37" s="192" t="str">
        <f>+PERBULAN!B37</f>
        <v>ANDI ( ASNA )</v>
      </c>
      <c r="C37" s="202">
        <v>156024</v>
      </c>
      <c r="D37" s="202">
        <v>156024</v>
      </c>
      <c r="E37" s="202">
        <v>156024</v>
      </c>
      <c r="F37" s="202">
        <v>156024</v>
      </c>
      <c r="G37" s="202">
        <v>156024</v>
      </c>
      <c r="H37" s="202">
        <v>156024</v>
      </c>
      <c r="I37" s="202">
        <v>156024</v>
      </c>
      <c r="J37" s="202">
        <v>156024</v>
      </c>
      <c r="K37" s="202">
        <v>156024</v>
      </c>
      <c r="L37" s="202">
        <v>156024</v>
      </c>
      <c r="M37" s="202">
        <v>156024</v>
      </c>
      <c r="N37" s="202"/>
      <c r="O37" s="226">
        <f t="shared" si="0"/>
        <v>1716264</v>
      </c>
    </row>
    <row r="38" spans="1:17">
      <c r="A38" s="188">
        <f>'[4]BULANAN PTKP BARU'!A38</f>
        <v>31</v>
      </c>
      <c r="B38" s="192" t="str">
        <f>+PERBULAN!B38</f>
        <v>EFRIYONO</v>
      </c>
      <c r="C38" s="202">
        <v>156024</v>
      </c>
      <c r="D38" s="202">
        <v>156024</v>
      </c>
      <c r="E38" s="202">
        <v>156024</v>
      </c>
      <c r="F38" s="202">
        <v>156144</v>
      </c>
      <c r="G38" s="202">
        <v>156144</v>
      </c>
      <c r="H38" s="202">
        <v>156144</v>
      </c>
      <c r="I38" s="202">
        <v>156144</v>
      </c>
      <c r="J38" s="202">
        <v>156144</v>
      </c>
      <c r="K38" s="202">
        <v>156144</v>
      </c>
      <c r="L38" s="202">
        <v>156144</v>
      </c>
      <c r="M38" s="202">
        <v>156144</v>
      </c>
      <c r="N38" s="202"/>
      <c r="O38" s="226">
        <f t="shared" si="0"/>
        <v>1717224</v>
      </c>
    </row>
    <row r="39" spans="1:17">
      <c r="A39" s="188">
        <f>'[4]BULANAN PTKP BARU'!A39</f>
        <v>32</v>
      </c>
      <c r="B39" s="192" t="str">
        <f>+PERBULAN!B39</f>
        <v>ERI HANDRAYANI</v>
      </c>
      <c r="C39" s="202">
        <v>156024</v>
      </c>
      <c r="D39" s="202">
        <v>156024</v>
      </c>
      <c r="E39" s="202">
        <v>156024</v>
      </c>
      <c r="F39" s="202">
        <v>156144</v>
      </c>
      <c r="G39" s="202">
        <v>156144</v>
      </c>
      <c r="H39" s="202">
        <v>156144</v>
      </c>
      <c r="I39" s="202">
        <v>156144</v>
      </c>
      <c r="J39" s="202">
        <v>156144</v>
      </c>
      <c r="K39" s="202">
        <v>156144</v>
      </c>
      <c r="L39" s="202">
        <v>156144</v>
      </c>
      <c r="M39" s="202">
        <v>156144</v>
      </c>
      <c r="N39" s="202"/>
      <c r="O39" s="226">
        <f t="shared" si="0"/>
        <v>1717224</v>
      </c>
    </row>
    <row r="40" spans="1:17">
      <c r="A40" s="188">
        <f>'[4]BULANAN PTKP BARU'!A40</f>
        <v>33</v>
      </c>
      <c r="B40" s="192" t="str">
        <f>+PERBULAN!B40</f>
        <v>FERBI H</v>
      </c>
      <c r="C40" s="202">
        <v>156024</v>
      </c>
      <c r="D40" s="202">
        <v>156024</v>
      </c>
      <c r="E40" s="202">
        <v>156024</v>
      </c>
      <c r="F40" s="202">
        <v>156024</v>
      </c>
      <c r="G40" s="202">
        <v>156024</v>
      </c>
      <c r="H40" s="202">
        <v>156024</v>
      </c>
      <c r="I40" s="202">
        <v>156024</v>
      </c>
      <c r="J40" s="202">
        <v>156024</v>
      </c>
      <c r="K40" s="202">
        <v>156144</v>
      </c>
      <c r="L40" s="202">
        <v>156144</v>
      </c>
      <c r="M40" s="202">
        <v>156144</v>
      </c>
      <c r="N40" s="202"/>
      <c r="O40" s="226">
        <f t="shared" si="0"/>
        <v>1716624</v>
      </c>
    </row>
    <row r="41" spans="1:17">
      <c r="A41" s="188">
        <f>'[4]BULANAN PTKP BARU'!A41</f>
        <v>34</v>
      </c>
      <c r="B41" s="192" t="str">
        <f>+PERBULAN!B41</f>
        <v>HAIDI</v>
      </c>
      <c r="C41" s="202">
        <v>155904</v>
      </c>
      <c r="D41" s="202">
        <v>155904</v>
      </c>
      <c r="E41" s="202">
        <v>155904</v>
      </c>
      <c r="F41" s="202">
        <v>155904</v>
      </c>
      <c r="G41" s="202">
        <v>155904</v>
      </c>
      <c r="H41" s="202">
        <v>155904</v>
      </c>
      <c r="I41" s="202">
        <v>155904</v>
      </c>
      <c r="J41" s="202">
        <v>155904</v>
      </c>
      <c r="K41" s="202">
        <v>155904</v>
      </c>
      <c r="L41" s="202">
        <v>156024</v>
      </c>
      <c r="M41" s="202">
        <v>156024</v>
      </c>
      <c r="N41" s="202"/>
      <c r="O41" s="226">
        <f t="shared" si="0"/>
        <v>1715184</v>
      </c>
    </row>
    <row r="42" spans="1:17">
      <c r="A42" s="188">
        <f>'[4]BULANAN PTKP BARU'!A42</f>
        <v>35</v>
      </c>
      <c r="B42" s="192" t="str">
        <f>+PERBULAN!B42</f>
        <v>IRHAS</v>
      </c>
      <c r="C42" s="202">
        <v>155784</v>
      </c>
      <c r="D42" s="202">
        <v>155784</v>
      </c>
      <c r="E42" s="202">
        <v>155784</v>
      </c>
      <c r="F42" s="202">
        <v>155784</v>
      </c>
      <c r="G42" s="202">
        <v>155904</v>
      </c>
      <c r="H42" s="202">
        <v>155904</v>
      </c>
      <c r="I42" s="202">
        <v>155904</v>
      </c>
      <c r="J42" s="202">
        <v>155904</v>
      </c>
      <c r="K42" s="202">
        <v>155904</v>
      </c>
      <c r="L42" s="202">
        <v>155904</v>
      </c>
      <c r="M42" s="202">
        <v>155904</v>
      </c>
      <c r="N42" s="202"/>
      <c r="O42" s="226">
        <f t="shared" si="0"/>
        <v>1714464</v>
      </c>
    </row>
    <row r="43" spans="1:17">
      <c r="A43" s="188">
        <f>'[4]BULANAN PTKP BARU'!A43</f>
        <v>36</v>
      </c>
      <c r="B43" s="192" t="str">
        <f>+PERBULAN!B43</f>
        <v>YANUAR</v>
      </c>
      <c r="C43" s="202">
        <v>156264</v>
      </c>
      <c r="D43" s="202">
        <v>156264</v>
      </c>
      <c r="E43" s="202">
        <v>156264</v>
      </c>
      <c r="F43" s="202">
        <v>156264</v>
      </c>
      <c r="G43" s="202">
        <v>156264</v>
      </c>
      <c r="H43" s="202">
        <v>156264</v>
      </c>
      <c r="I43" s="202">
        <v>156264</v>
      </c>
      <c r="J43" s="202">
        <v>156264</v>
      </c>
      <c r="K43" s="202">
        <v>156384</v>
      </c>
      <c r="L43" s="202">
        <v>156384</v>
      </c>
      <c r="M43" s="202">
        <v>156384</v>
      </c>
      <c r="N43" s="202"/>
      <c r="O43" s="226">
        <f t="shared" si="0"/>
        <v>1719264</v>
      </c>
    </row>
    <row r="44" spans="1:17">
      <c r="A44" s="188">
        <f>'[4]BULANAN PTKP BARU'!A44</f>
        <v>37</v>
      </c>
      <c r="B44" s="192" t="str">
        <f>+PERBULAN!B44</f>
        <v>SEVENDRI</v>
      </c>
      <c r="C44" s="202">
        <v>155904</v>
      </c>
      <c r="D44" s="202">
        <v>155904</v>
      </c>
      <c r="E44" s="202">
        <v>156024</v>
      </c>
      <c r="F44" s="202">
        <v>156024</v>
      </c>
      <c r="G44" s="202">
        <v>156024</v>
      </c>
      <c r="H44" s="202">
        <v>156024</v>
      </c>
      <c r="I44" s="202">
        <v>156144</v>
      </c>
      <c r="J44" s="202">
        <v>156144</v>
      </c>
      <c r="K44" s="202">
        <v>156144</v>
      </c>
      <c r="L44" s="202">
        <v>156144</v>
      </c>
      <c r="M44" s="202">
        <v>156144</v>
      </c>
      <c r="N44" s="202"/>
      <c r="O44" s="226">
        <f t="shared" si="0"/>
        <v>1716624</v>
      </c>
    </row>
    <row r="45" spans="1:17">
      <c r="A45" s="188">
        <f>'[4]BULANAN PTKP BARU'!A45</f>
        <v>38</v>
      </c>
      <c r="B45" s="192" t="str">
        <f>+PERBULAN!B45</f>
        <v>PURGANDI</v>
      </c>
      <c r="C45" s="202">
        <v>156024</v>
      </c>
      <c r="D45" s="202">
        <v>156024</v>
      </c>
      <c r="E45" s="202">
        <v>156024</v>
      </c>
      <c r="F45" s="202">
        <v>156144</v>
      </c>
      <c r="G45" s="202">
        <v>156144</v>
      </c>
      <c r="H45" s="202">
        <v>156144</v>
      </c>
      <c r="I45" s="202">
        <v>156144</v>
      </c>
      <c r="J45" s="202">
        <v>156144</v>
      </c>
      <c r="K45" s="202">
        <v>156144</v>
      </c>
      <c r="L45" s="202">
        <v>156144</v>
      </c>
      <c r="M45" s="202">
        <v>156144</v>
      </c>
      <c r="N45" s="202"/>
      <c r="O45" s="226">
        <f t="shared" si="0"/>
        <v>1717224</v>
      </c>
    </row>
    <row r="46" spans="1:17">
      <c r="A46" s="188">
        <f>'[4]BULANAN PTKP BARU'!A46</f>
        <v>39</v>
      </c>
      <c r="B46" s="192" t="str">
        <f>+PERBULAN!B46</f>
        <v>RICKI PUTRA</v>
      </c>
      <c r="C46" s="202">
        <v>156024</v>
      </c>
      <c r="D46" s="202">
        <v>156024</v>
      </c>
      <c r="E46" s="202">
        <v>156024</v>
      </c>
      <c r="F46" s="202">
        <v>156024</v>
      </c>
      <c r="G46" s="202">
        <v>156024</v>
      </c>
      <c r="H46" s="202">
        <v>156024</v>
      </c>
      <c r="I46" s="202">
        <v>156024</v>
      </c>
      <c r="J46" s="202">
        <v>156024</v>
      </c>
      <c r="K46" s="202">
        <v>156024</v>
      </c>
      <c r="L46" s="202">
        <v>156024</v>
      </c>
      <c r="M46" s="202">
        <v>156024</v>
      </c>
      <c r="N46" s="202"/>
      <c r="O46" s="226">
        <f t="shared" si="0"/>
        <v>1716264</v>
      </c>
    </row>
    <row r="47" spans="1:17">
      <c r="A47" s="188">
        <f>'[4]BULANAN PTKP BARU'!A47</f>
        <v>40</v>
      </c>
      <c r="B47" s="192" t="str">
        <f>+PERBULAN!B47</f>
        <v>ROLAND AGUSTA</v>
      </c>
      <c r="C47" s="202">
        <v>155784</v>
      </c>
      <c r="D47" s="202">
        <v>155784</v>
      </c>
      <c r="E47" s="202">
        <v>155784</v>
      </c>
      <c r="F47" s="202">
        <v>155784</v>
      </c>
      <c r="G47" s="202">
        <v>155784</v>
      </c>
      <c r="H47" s="202">
        <v>155904</v>
      </c>
      <c r="I47" s="202">
        <v>155904</v>
      </c>
      <c r="J47" s="202">
        <v>155904</v>
      </c>
      <c r="K47" s="202">
        <v>155904</v>
      </c>
      <c r="L47" s="202">
        <v>155904</v>
      </c>
      <c r="M47" s="202">
        <v>155904</v>
      </c>
      <c r="N47" s="202"/>
      <c r="O47" s="226">
        <f t="shared" si="0"/>
        <v>1714344</v>
      </c>
    </row>
    <row r="48" spans="1:17">
      <c r="A48" s="188">
        <f>'[4]BULANAN PTKP BARU'!A48</f>
        <v>41</v>
      </c>
      <c r="B48" s="192" t="str">
        <f>+PERBULAN!B48</f>
        <v>SAHDAN</v>
      </c>
      <c r="C48" s="202">
        <v>156024</v>
      </c>
      <c r="D48" s="202">
        <v>156024</v>
      </c>
      <c r="E48" s="202">
        <v>156024</v>
      </c>
      <c r="F48" s="202">
        <v>156024</v>
      </c>
      <c r="G48" s="202">
        <v>156024</v>
      </c>
      <c r="H48" s="202">
        <v>156144</v>
      </c>
      <c r="I48" s="202">
        <v>156144</v>
      </c>
      <c r="J48" s="202">
        <v>156144</v>
      </c>
      <c r="K48" s="202">
        <v>156144</v>
      </c>
      <c r="L48" s="202">
        <v>156144</v>
      </c>
      <c r="M48" s="202">
        <v>156144</v>
      </c>
      <c r="N48" s="202"/>
      <c r="O48" s="226">
        <f t="shared" si="0"/>
        <v>1716984</v>
      </c>
    </row>
    <row r="49" spans="1:15">
      <c r="A49" s="188">
        <f>'[4]BULANAN PTKP BARU'!A49</f>
        <v>42</v>
      </c>
      <c r="B49" s="192" t="str">
        <f>+PERBULAN!B49</f>
        <v>YOPIE ,T</v>
      </c>
      <c r="C49" s="202">
        <v>156024</v>
      </c>
      <c r="D49" s="202">
        <v>156024</v>
      </c>
      <c r="E49" s="202">
        <v>156024</v>
      </c>
      <c r="F49" s="202">
        <v>156144</v>
      </c>
      <c r="G49" s="202">
        <v>156144</v>
      </c>
      <c r="H49" s="202">
        <v>156144</v>
      </c>
      <c r="I49" s="202">
        <v>156144</v>
      </c>
      <c r="J49" s="202">
        <v>156144</v>
      </c>
      <c r="K49" s="202">
        <v>156144</v>
      </c>
      <c r="L49" s="202">
        <v>156144</v>
      </c>
      <c r="M49" s="202">
        <v>156144</v>
      </c>
      <c r="N49" s="202"/>
      <c r="O49" s="226">
        <f t="shared" si="0"/>
        <v>1717224</v>
      </c>
    </row>
    <row r="50" spans="1:15">
      <c r="A50" s="188">
        <f>'[4]BULANAN PTKP BARU'!A50</f>
        <v>43</v>
      </c>
      <c r="B50" s="192" t="str">
        <f>+PERBULAN!B50</f>
        <v>ELYANDI</v>
      </c>
      <c r="C50" s="202">
        <v>155464</v>
      </c>
      <c r="D50" s="202">
        <v>155464</v>
      </c>
      <c r="E50" s="202">
        <v>155464</v>
      </c>
      <c r="F50" s="202">
        <v>155464</v>
      </c>
      <c r="G50" s="202">
        <v>155464</v>
      </c>
      <c r="H50" s="202">
        <v>155464</v>
      </c>
      <c r="I50" s="202">
        <v>155464</v>
      </c>
      <c r="J50" s="202">
        <v>155564</v>
      </c>
      <c r="K50" s="202">
        <v>155564</v>
      </c>
      <c r="L50" s="202">
        <v>155564</v>
      </c>
      <c r="M50" s="202">
        <v>155564</v>
      </c>
      <c r="N50" s="202"/>
      <c r="O50" s="226">
        <f t="shared" si="0"/>
        <v>1710504</v>
      </c>
    </row>
    <row r="51" spans="1:15">
      <c r="A51" s="188">
        <f>'[4]BULANAN PTKP BARU'!A51</f>
        <v>44</v>
      </c>
      <c r="B51" s="192" t="str">
        <f>+PERBULAN!B51</f>
        <v>ALI MAS DESI</v>
      </c>
      <c r="C51" s="202">
        <v>155264</v>
      </c>
      <c r="D51" s="202">
        <v>155264</v>
      </c>
      <c r="E51" s="202">
        <v>155264</v>
      </c>
      <c r="F51" s="202">
        <v>155264</v>
      </c>
      <c r="G51" s="202">
        <v>155264</v>
      </c>
      <c r="H51" s="202">
        <v>155364</v>
      </c>
      <c r="I51" s="202">
        <v>155364</v>
      </c>
      <c r="J51" s="202">
        <v>155364</v>
      </c>
      <c r="K51" s="202">
        <v>155364</v>
      </c>
      <c r="L51" s="202">
        <v>155364</v>
      </c>
      <c r="M51" s="202">
        <v>155364</v>
      </c>
      <c r="N51" s="202"/>
      <c r="O51" s="226">
        <f t="shared" si="0"/>
        <v>1708504</v>
      </c>
    </row>
    <row r="52" spans="1:15">
      <c r="A52" s="188">
        <f>'[4]BULANAN PTKP BARU'!A52</f>
        <v>45</v>
      </c>
      <c r="B52" s="192" t="str">
        <f>+PERBULAN!B52</f>
        <v>HARYANTO</v>
      </c>
      <c r="C52" s="202">
        <v>155904</v>
      </c>
      <c r="D52" s="202">
        <v>155904</v>
      </c>
      <c r="E52" s="202">
        <v>156024</v>
      </c>
      <c r="F52" s="202">
        <v>156024</v>
      </c>
      <c r="G52" s="202">
        <v>156024</v>
      </c>
      <c r="H52" s="202">
        <v>156024</v>
      </c>
      <c r="I52" s="202">
        <v>156024</v>
      </c>
      <c r="J52" s="202">
        <v>156024</v>
      </c>
      <c r="K52" s="202">
        <v>156144</v>
      </c>
      <c r="L52" s="202">
        <v>156144</v>
      </c>
      <c r="M52" s="202">
        <v>156144</v>
      </c>
      <c r="N52" s="202"/>
      <c r="O52" s="226">
        <f t="shared" si="0"/>
        <v>1716384</v>
      </c>
    </row>
    <row r="53" spans="1:15">
      <c r="A53" s="188">
        <f>'[4]BULANAN PTKP BARU'!A53</f>
        <v>46</v>
      </c>
      <c r="B53" s="192" t="str">
        <f>+PERBULAN!B53</f>
        <v>ROSMANSYAH</v>
      </c>
      <c r="C53" s="202">
        <v>155904</v>
      </c>
      <c r="D53" s="202">
        <v>155904</v>
      </c>
      <c r="E53" s="202">
        <v>155904</v>
      </c>
      <c r="F53" s="202">
        <v>155904</v>
      </c>
      <c r="G53" s="202">
        <v>155904</v>
      </c>
      <c r="H53" s="202">
        <v>155904</v>
      </c>
      <c r="I53" s="202">
        <v>155904</v>
      </c>
      <c r="J53" s="202">
        <v>155904</v>
      </c>
      <c r="K53" s="202">
        <v>155904</v>
      </c>
      <c r="L53" s="202">
        <v>155904</v>
      </c>
      <c r="M53" s="202">
        <v>155904</v>
      </c>
      <c r="N53" s="202"/>
      <c r="O53" s="226">
        <f t="shared" si="0"/>
        <v>1714944</v>
      </c>
    </row>
    <row r="54" spans="1:15">
      <c r="A54" s="188">
        <f>'[4]BULANAN PTKP BARU'!A54</f>
        <v>47</v>
      </c>
      <c r="B54" s="192" t="str">
        <f>+PERBULAN!B54</f>
        <v>KAMALUDIN</v>
      </c>
      <c r="C54" s="202">
        <v>155784</v>
      </c>
      <c r="D54" s="202">
        <v>155784</v>
      </c>
      <c r="E54" s="202">
        <v>155904</v>
      </c>
      <c r="F54" s="202">
        <v>155904</v>
      </c>
      <c r="G54" s="202">
        <v>155904</v>
      </c>
      <c r="H54" s="202">
        <v>155904</v>
      </c>
      <c r="I54" s="202">
        <v>155904</v>
      </c>
      <c r="J54" s="202">
        <v>155904</v>
      </c>
      <c r="K54" s="202">
        <v>155904</v>
      </c>
      <c r="L54" s="202">
        <v>155904</v>
      </c>
      <c r="M54" s="202">
        <v>155904</v>
      </c>
      <c r="N54" s="202"/>
      <c r="O54" s="226">
        <f t="shared" si="0"/>
        <v>1714704</v>
      </c>
    </row>
    <row r="55" spans="1:15">
      <c r="A55" s="188">
        <f>'[4]BULANAN PTKP BARU'!A55</f>
        <v>48</v>
      </c>
      <c r="B55" s="192" t="str">
        <f>+PERBULAN!B55</f>
        <v>AZRI DONA</v>
      </c>
      <c r="C55" s="202">
        <v>156024</v>
      </c>
      <c r="D55" s="202">
        <v>156024</v>
      </c>
      <c r="E55" s="202">
        <v>156024</v>
      </c>
      <c r="F55" s="202">
        <v>156024</v>
      </c>
      <c r="G55" s="202">
        <v>156024</v>
      </c>
      <c r="H55" s="202">
        <v>156024</v>
      </c>
      <c r="I55" s="202">
        <v>156024</v>
      </c>
      <c r="J55" s="202">
        <v>156144</v>
      </c>
      <c r="K55" s="202">
        <v>156144</v>
      </c>
      <c r="L55" s="202">
        <v>156144</v>
      </c>
      <c r="M55" s="202">
        <v>156144</v>
      </c>
      <c r="N55" s="202"/>
      <c r="O55" s="226">
        <f t="shared" si="0"/>
        <v>1716744</v>
      </c>
    </row>
    <row r="56" spans="1:15">
      <c r="A56" s="188">
        <f>'[4]BULANAN PTKP BARU'!A56</f>
        <v>49</v>
      </c>
      <c r="B56" s="192" t="str">
        <f>+PERBULAN!B56</f>
        <v>HALIK</v>
      </c>
      <c r="C56" s="202">
        <v>155164</v>
      </c>
      <c r="D56" s="202">
        <v>155164</v>
      </c>
      <c r="E56" s="202">
        <v>155164</v>
      </c>
      <c r="F56" s="202">
        <v>155164</v>
      </c>
      <c r="G56" s="202">
        <v>155164</v>
      </c>
      <c r="H56" s="202">
        <v>155264</v>
      </c>
      <c r="I56" s="202">
        <v>155264</v>
      </c>
      <c r="J56" s="202">
        <v>155264</v>
      </c>
      <c r="K56" s="202">
        <v>155264</v>
      </c>
      <c r="L56" s="202">
        <v>155264</v>
      </c>
      <c r="M56" s="202">
        <v>155264</v>
      </c>
      <c r="N56" s="202"/>
      <c r="O56" s="226">
        <f t="shared" si="0"/>
        <v>1707404</v>
      </c>
    </row>
    <row r="57" spans="1:15">
      <c r="A57" s="188">
        <f>'[4]BULANAN PTKP BARU'!A57</f>
        <v>50</v>
      </c>
      <c r="B57" s="192" t="str">
        <f>+PERBULAN!B57</f>
        <v>KARTONO</v>
      </c>
      <c r="C57" s="202">
        <v>155064</v>
      </c>
      <c r="D57" s="202">
        <v>155064</v>
      </c>
      <c r="E57" s="202">
        <v>155064</v>
      </c>
      <c r="F57" s="202">
        <v>155064</v>
      </c>
      <c r="G57" s="202">
        <v>155064</v>
      </c>
      <c r="H57" s="202">
        <v>155064</v>
      </c>
      <c r="I57" s="202">
        <v>155164</v>
      </c>
      <c r="J57" s="202">
        <v>155164</v>
      </c>
      <c r="K57" s="202">
        <v>155164</v>
      </c>
      <c r="L57" s="202">
        <v>155164</v>
      </c>
      <c r="M57" s="202">
        <v>155164</v>
      </c>
      <c r="N57" s="202"/>
      <c r="O57" s="226">
        <f t="shared" si="0"/>
        <v>1706204</v>
      </c>
    </row>
    <row r="58" spans="1:15">
      <c r="A58" s="188">
        <f>'[4]BULANAN PTKP BARU'!A58</f>
        <v>51</v>
      </c>
      <c r="B58" s="192" t="str">
        <f>+PERBULAN!B58</f>
        <v>LALU MANAR HADI</v>
      </c>
      <c r="C58" s="202">
        <v>155064</v>
      </c>
      <c r="D58" s="202">
        <v>155064</v>
      </c>
      <c r="E58" s="202">
        <v>155064</v>
      </c>
      <c r="F58" s="202">
        <v>155064</v>
      </c>
      <c r="G58" s="202">
        <v>155064</v>
      </c>
      <c r="H58" s="202">
        <v>155064</v>
      </c>
      <c r="I58" s="202">
        <v>155064</v>
      </c>
      <c r="J58" s="202">
        <v>155064</v>
      </c>
      <c r="K58" s="202">
        <v>155164</v>
      </c>
      <c r="L58" s="202">
        <v>155164</v>
      </c>
      <c r="M58" s="202">
        <v>155164</v>
      </c>
      <c r="N58" s="202"/>
      <c r="O58" s="226">
        <f t="shared" si="0"/>
        <v>1706004</v>
      </c>
    </row>
    <row r="59" spans="1:15">
      <c r="A59" s="188">
        <f>'[4]BULANAN PTKP BARU'!A59</f>
        <v>52</v>
      </c>
      <c r="B59" s="192" t="str">
        <f>+PERBULAN!B59</f>
        <v>ANHAR</v>
      </c>
      <c r="C59" s="202">
        <v>155064</v>
      </c>
      <c r="D59" s="202">
        <v>155064</v>
      </c>
      <c r="E59" s="202">
        <v>155064</v>
      </c>
      <c r="F59" s="202">
        <v>155064</v>
      </c>
      <c r="G59" s="202">
        <v>155064</v>
      </c>
      <c r="H59" s="202">
        <v>155064</v>
      </c>
      <c r="I59" s="202">
        <v>155064</v>
      </c>
      <c r="J59" s="202">
        <v>155064</v>
      </c>
      <c r="K59" s="202">
        <v>155064</v>
      </c>
      <c r="L59" s="202">
        <v>155064</v>
      </c>
      <c r="M59" s="202">
        <v>155064</v>
      </c>
      <c r="N59" s="202"/>
      <c r="O59" s="226">
        <f t="shared" si="0"/>
        <v>1705704</v>
      </c>
    </row>
    <row r="60" spans="1:15">
      <c r="A60" s="188">
        <f>'[4]BULANAN PTKP BARU'!A60</f>
        <v>53</v>
      </c>
      <c r="B60" s="192" t="str">
        <f>+PERBULAN!B60</f>
        <v>IRPAN SAMSUDIN</v>
      </c>
      <c r="C60" s="202">
        <v>155064</v>
      </c>
      <c r="D60" s="202">
        <v>155064</v>
      </c>
      <c r="E60" s="202">
        <v>155064</v>
      </c>
      <c r="F60" s="202">
        <v>155064</v>
      </c>
      <c r="G60" s="202">
        <v>155064</v>
      </c>
      <c r="H60" s="202">
        <v>155064</v>
      </c>
      <c r="I60" s="202">
        <v>155064</v>
      </c>
      <c r="J60" s="366"/>
      <c r="K60" s="366"/>
      <c r="L60" s="366"/>
      <c r="M60" s="366"/>
      <c r="N60" s="366"/>
      <c r="O60" s="226">
        <f t="shared" si="0"/>
        <v>1085448</v>
      </c>
    </row>
    <row r="61" spans="1:15">
      <c r="A61" s="188">
        <f>'[4]BULANAN PTKP BARU'!A61</f>
        <v>54</v>
      </c>
      <c r="B61" s="192" t="str">
        <f>+PERBULAN!B61</f>
        <v>ADI . JP</v>
      </c>
      <c r="C61" s="202">
        <v>157084</v>
      </c>
      <c r="D61" s="202">
        <v>157084</v>
      </c>
      <c r="E61" s="202">
        <v>156944</v>
      </c>
      <c r="F61" s="202">
        <v>156944</v>
      </c>
      <c r="G61" s="202">
        <v>156944</v>
      </c>
      <c r="H61" s="202">
        <v>156944</v>
      </c>
      <c r="I61" s="202">
        <v>157244</v>
      </c>
      <c r="J61" s="202">
        <v>157244</v>
      </c>
      <c r="K61" s="202">
        <v>157244</v>
      </c>
      <c r="L61" s="202">
        <v>157244</v>
      </c>
      <c r="M61" s="202">
        <v>157244</v>
      </c>
      <c r="N61" s="202"/>
      <c r="O61" s="226">
        <f t="shared" si="0"/>
        <v>1728164</v>
      </c>
    </row>
    <row r="62" spans="1:15">
      <c r="A62" s="188">
        <f>'[4]BULANAN PTKP BARU'!A62</f>
        <v>55</v>
      </c>
      <c r="B62" s="192" t="str">
        <f>+PERBULAN!B62</f>
        <v>RUDI</v>
      </c>
      <c r="C62" s="202">
        <v>156024</v>
      </c>
      <c r="D62" s="202">
        <v>156024</v>
      </c>
      <c r="E62" s="202">
        <v>156024</v>
      </c>
      <c r="F62" s="202">
        <v>156144</v>
      </c>
      <c r="G62" s="202">
        <v>156144</v>
      </c>
      <c r="H62" s="202">
        <v>156144</v>
      </c>
      <c r="I62" s="202">
        <v>156144</v>
      </c>
      <c r="J62" s="202">
        <v>156144</v>
      </c>
      <c r="K62" s="202">
        <v>156144</v>
      </c>
      <c r="L62" s="202">
        <v>156144</v>
      </c>
      <c r="M62" s="202">
        <v>156144</v>
      </c>
      <c r="N62" s="202"/>
      <c r="O62" s="226">
        <f t="shared" si="0"/>
        <v>1717224</v>
      </c>
    </row>
    <row r="63" spans="1:15">
      <c r="A63" s="188">
        <f>'[4]BULANAN PTKP BARU'!A63</f>
        <v>56</v>
      </c>
      <c r="B63" s="192" t="str">
        <f>+PERBULAN!B63</f>
        <v>SUDIANTO</v>
      </c>
      <c r="C63" s="202">
        <v>156024</v>
      </c>
      <c r="D63" s="202">
        <v>156024</v>
      </c>
      <c r="E63" s="202">
        <v>156024</v>
      </c>
      <c r="F63" s="202">
        <v>156144</v>
      </c>
      <c r="G63" s="202">
        <v>156144</v>
      </c>
      <c r="H63" s="202">
        <v>156144</v>
      </c>
      <c r="I63" s="202">
        <v>156144</v>
      </c>
      <c r="J63" s="202">
        <v>156144</v>
      </c>
      <c r="K63" s="202">
        <v>156144</v>
      </c>
      <c r="L63" s="202">
        <v>156144</v>
      </c>
      <c r="M63" s="202">
        <v>156144</v>
      </c>
      <c r="N63" s="202"/>
      <c r="O63" s="226">
        <f t="shared" si="0"/>
        <v>1717224</v>
      </c>
    </row>
    <row r="64" spans="1:15">
      <c r="A64" s="188">
        <f>'[4]BULANAN PTKP BARU'!A64</f>
        <v>57</v>
      </c>
      <c r="B64" s="192" t="str">
        <f>+PERBULAN!B64</f>
        <v>SALEH</v>
      </c>
      <c r="C64" s="202">
        <v>156024</v>
      </c>
      <c r="D64" s="202">
        <v>156024</v>
      </c>
      <c r="E64" s="202">
        <v>156024</v>
      </c>
      <c r="F64" s="202">
        <v>156144</v>
      </c>
      <c r="G64" s="202">
        <v>156144</v>
      </c>
      <c r="H64" s="202">
        <v>156144</v>
      </c>
      <c r="I64" s="202">
        <v>156144</v>
      </c>
      <c r="J64" s="202">
        <v>156144</v>
      </c>
      <c r="K64" s="202">
        <v>156144</v>
      </c>
      <c r="L64" s="202">
        <v>156144</v>
      </c>
      <c r="M64" s="202">
        <v>156144</v>
      </c>
      <c r="N64" s="202"/>
      <c r="O64" s="226">
        <f t="shared" si="0"/>
        <v>1717224</v>
      </c>
    </row>
    <row r="65" spans="1:15">
      <c r="A65" s="188">
        <f>'[4]BULANAN PTKP BARU'!A65</f>
        <v>58</v>
      </c>
      <c r="B65" s="192" t="str">
        <f>+PERBULAN!B65</f>
        <v>ANDRIANSYAH</v>
      </c>
      <c r="C65" s="202">
        <v>156024</v>
      </c>
      <c r="D65" s="202">
        <v>156024</v>
      </c>
      <c r="E65" s="202">
        <v>156024</v>
      </c>
      <c r="F65" s="202">
        <v>156144</v>
      </c>
      <c r="G65" s="202">
        <v>156144</v>
      </c>
      <c r="H65" s="202">
        <v>156144</v>
      </c>
      <c r="I65" s="202">
        <v>156144</v>
      </c>
      <c r="J65" s="202">
        <v>156144</v>
      </c>
      <c r="K65" s="202">
        <v>156144</v>
      </c>
      <c r="L65" s="202">
        <v>156144</v>
      </c>
      <c r="M65" s="202">
        <v>156144</v>
      </c>
      <c r="N65" s="202"/>
      <c r="O65" s="226">
        <f t="shared" si="0"/>
        <v>1717224</v>
      </c>
    </row>
    <row r="66" spans="1:15">
      <c r="A66" s="188">
        <f>'[4]BULANAN PTKP BARU'!A66</f>
        <v>59</v>
      </c>
      <c r="B66" s="192" t="str">
        <f>+PERBULAN!B66</f>
        <v>HENDRI</v>
      </c>
      <c r="C66" s="202">
        <v>156024</v>
      </c>
      <c r="D66" s="202">
        <v>156024</v>
      </c>
      <c r="E66" s="202">
        <v>156024</v>
      </c>
      <c r="F66" s="202">
        <v>156144</v>
      </c>
      <c r="G66" s="202">
        <v>156144</v>
      </c>
      <c r="H66" s="202">
        <v>156144</v>
      </c>
      <c r="I66" s="202">
        <v>156144</v>
      </c>
      <c r="J66" s="202">
        <v>156144</v>
      </c>
      <c r="K66" s="202">
        <v>156144</v>
      </c>
      <c r="L66" s="202">
        <v>156144</v>
      </c>
      <c r="M66" s="202">
        <v>156144</v>
      </c>
      <c r="N66" s="202"/>
      <c r="O66" s="226">
        <f t="shared" si="0"/>
        <v>1717224</v>
      </c>
    </row>
    <row r="67" spans="1:15">
      <c r="A67" s="188">
        <f>'[4]BULANAN PTKP BARU'!A67</f>
        <v>60</v>
      </c>
      <c r="B67" s="192" t="str">
        <f>+PERBULAN!B67</f>
        <v>POPPY ADEYANTI</v>
      </c>
      <c r="C67" s="202">
        <v>156264</v>
      </c>
      <c r="D67" s="202">
        <v>156264</v>
      </c>
      <c r="E67" s="202">
        <v>156264</v>
      </c>
      <c r="F67" s="202">
        <v>156264</v>
      </c>
      <c r="G67" s="202">
        <v>156264</v>
      </c>
      <c r="H67" s="202">
        <v>156264</v>
      </c>
      <c r="I67" s="202">
        <v>156384</v>
      </c>
      <c r="J67" s="202">
        <v>156384</v>
      </c>
      <c r="K67" s="202">
        <v>156384</v>
      </c>
      <c r="L67" s="202">
        <v>156384</v>
      </c>
      <c r="M67" s="202">
        <v>156384</v>
      </c>
      <c r="N67" s="202"/>
      <c r="O67" s="226">
        <f t="shared" si="0"/>
        <v>1719504</v>
      </c>
    </row>
    <row r="68" spans="1:15">
      <c r="A68" s="188">
        <f>'[4]BULANAN PTKP BARU'!A68</f>
        <v>61</v>
      </c>
      <c r="B68" s="192" t="str">
        <f>+PERBULAN!B68</f>
        <v>HARYADI</v>
      </c>
      <c r="C68" s="202">
        <v>156024</v>
      </c>
      <c r="D68" s="202">
        <v>156024</v>
      </c>
      <c r="E68" s="202">
        <v>156024</v>
      </c>
      <c r="F68" s="202">
        <v>156024</v>
      </c>
      <c r="G68" s="202">
        <v>156024</v>
      </c>
      <c r="H68" s="202">
        <v>156024</v>
      </c>
      <c r="I68" s="202">
        <v>156144</v>
      </c>
      <c r="J68" s="202">
        <v>156144</v>
      </c>
      <c r="K68" s="202">
        <v>156144</v>
      </c>
      <c r="L68" s="202">
        <v>156144</v>
      </c>
      <c r="M68" s="202">
        <v>156144</v>
      </c>
      <c r="N68" s="202"/>
      <c r="O68" s="226">
        <f t="shared" si="0"/>
        <v>1716864</v>
      </c>
    </row>
    <row r="69" spans="1:15">
      <c r="A69" s="188">
        <f>'[4]BULANAN PTKP BARU'!A69</f>
        <v>62</v>
      </c>
      <c r="B69" s="192">
        <f>+PERBULAN!B69</f>
        <v>0</v>
      </c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26">
        <f t="shared" ref="O69:O109" si="1">SUM(C69:N69)</f>
        <v>0</v>
      </c>
    </row>
    <row r="70" spans="1:15">
      <c r="A70" s="188">
        <f>'[4]BULANAN PTKP BARU'!A70</f>
        <v>63</v>
      </c>
      <c r="B70" s="192">
        <f>+PERBULAN!B70</f>
        <v>0</v>
      </c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26">
        <f t="shared" si="1"/>
        <v>0</v>
      </c>
    </row>
    <row r="71" spans="1:15">
      <c r="A71" s="188">
        <f>'[4]BULANAN PTKP BARU'!A71</f>
        <v>64</v>
      </c>
      <c r="B71" s="192">
        <f>+PERBULAN!B71</f>
        <v>0</v>
      </c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26">
        <f t="shared" si="1"/>
        <v>0</v>
      </c>
    </row>
    <row r="72" spans="1:15">
      <c r="A72" s="188">
        <f>'[4]BULANAN PTKP BARU'!A72</f>
        <v>65</v>
      </c>
      <c r="B72" s="192">
        <f>+PERBULAN!B72</f>
        <v>0</v>
      </c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26">
        <f t="shared" si="1"/>
        <v>0</v>
      </c>
    </row>
    <row r="73" spans="1:15">
      <c r="A73" s="188">
        <f>'[4]BULANAN PTKP BARU'!A73</f>
        <v>66</v>
      </c>
      <c r="B73" s="192">
        <f>+PERBULAN!B73</f>
        <v>0</v>
      </c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26">
        <f t="shared" si="1"/>
        <v>0</v>
      </c>
    </row>
    <row r="74" spans="1:15">
      <c r="A74" s="188">
        <f>'[4]BULANAN PTKP BARU'!A74</f>
        <v>67</v>
      </c>
      <c r="B74" s="192">
        <f>+PERBULAN!B74</f>
        <v>0</v>
      </c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26">
        <f t="shared" si="1"/>
        <v>0</v>
      </c>
    </row>
    <row r="75" spans="1:15">
      <c r="A75" s="188">
        <f>'[4]BULANAN PTKP BARU'!A75</f>
        <v>68</v>
      </c>
      <c r="B75" s="192">
        <f>+PERBULAN!B75</f>
        <v>0</v>
      </c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26">
        <f t="shared" si="1"/>
        <v>0</v>
      </c>
    </row>
    <row r="76" spans="1:15">
      <c r="A76" s="188">
        <f>'[4]BULANAN PTKP BARU'!A76</f>
        <v>69</v>
      </c>
      <c r="B76" s="192">
        <f>+PERBULAN!B76</f>
        <v>0</v>
      </c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26">
        <f t="shared" si="1"/>
        <v>0</v>
      </c>
    </row>
    <row r="77" spans="1:15">
      <c r="A77" s="188">
        <f>'[4]BULANAN PTKP BARU'!A77</f>
        <v>70</v>
      </c>
      <c r="B77" s="192">
        <f>+PERBULAN!B77</f>
        <v>0</v>
      </c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26">
        <f t="shared" si="1"/>
        <v>0</v>
      </c>
    </row>
    <row r="78" spans="1:15">
      <c r="A78" s="188">
        <f>'[4]BULANAN PTKP BARU'!A78</f>
        <v>71</v>
      </c>
      <c r="B78" s="192">
        <f>+PERBULAN!B78</f>
        <v>0</v>
      </c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26">
        <f t="shared" si="1"/>
        <v>0</v>
      </c>
    </row>
    <row r="79" spans="1:15">
      <c r="A79" s="188">
        <f>'[4]BULANAN PTKP BARU'!A79</f>
        <v>72</v>
      </c>
      <c r="B79" s="192">
        <f>+PERBULAN!B79</f>
        <v>0</v>
      </c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26">
        <f t="shared" si="1"/>
        <v>0</v>
      </c>
    </row>
    <row r="80" spans="1:15">
      <c r="A80" s="188">
        <f>'[4]BULANAN PTKP BARU'!A80</f>
        <v>73</v>
      </c>
      <c r="B80" s="192">
        <f>+PERBULAN!B80</f>
        <v>0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26">
        <f t="shared" si="1"/>
        <v>0</v>
      </c>
    </row>
    <row r="81" spans="1:15">
      <c r="A81" s="188">
        <f>'[4]BULANAN PTKP BARU'!A81</f>
        <v>74</v>
      </c>
      <c r="B81" s="192">
        <f>+PERBULAN!B81</f>
        <v>0</v>
      </c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26">
        <f t="shared" si="1"/>
        <v>0</v>
      </c>
    </row>
    <row r="82" spans="1:15">
      <c r="A82" s="188">
        <f>'[4]BULANAN PTKP BARU'!A82</f>
        <v>75</v>
      </c>
      <c r="B82" s="192">
        <f>+PERBULAN!B82</f>
        <v>0</v>
      </c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26">
        <f t="shared" si="1"/>
        <v>0</v>
      </c>
    </row>
    <row r="83" spans="1:15">
      <c r="A83" s="188">
        <f>'[4]BULANAN PTKP BARU'!A83</f>
        <v>76</v>
      </c>
      <c r="B83" s="192">
        <f>+PERBULAN!B83</f>
        <v>0</v>
      </c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26">
        <f t="shared" si="1"/>
        <v>0</v>
      </c>
    </row>
    <row r="84" spans="1:15">
      <c r="A84" s="188">
        <f>'[4]BULANAN PTKP BARU'!A84</f>
        <v>77</v>
      </c>
      <c r="B84" s="192">
        <f>+PERBULAN!B84</f>
        <v>0</v>
      </c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26">
        <f t="shared" si="1"/>
        <v>0</v>
      </c>
    </row>
    <row r="85" spans="1:15">
      <c r="A85" s="188">
        <f>'[4]BULANAN PTKP BARU'!A85</f>
        <v>78</v>
      </c>
      <c r="B85" s="192">
        <f>+PERBULAN!B85</f>
        <v>0</v>
      </c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26">
        <f t="shared" si="1"/>
        <v>0</v>
      </c>
    </row>
    <row r="86" spans="1:15">
      <c r="A86" s="188">
        <f>'[4]BULANAN PTKP BARU'!A86</f>
        <v>79</v>
      </c>
      <c r="B86" s="192">
        <f>+PERBULAN!B86</f>
        <v>0</v>
      </c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26">
        <f t="shared" si="1"/>
        <v>0</v>
      </c>
    </row>
    <row r="87" spans="1:15">
      <c r="A87" s="188">
        <f>'[4]BULANAN PTKP BARU'!A87</f>
        <v>80</v>
      </c>
      <c r="B87" s="192">
        <f>+PERBULAN!B87</f>
        <v>0</v>
      </c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26">
        <f t="shared" si="1"/>
        <v>0</v>
      </c>
    </row>
    <row r="88" spans="1:15">
      <c r="A88" s="188">
        <f>'[4]BULANAN PTKP BARU'!A88</f>
        <v>81</v>
      </c>
      <c r="B88" s="192">
        <f>+PERBULAN!B88</f>
        <v>0</v>
      </c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26">
        <f t="shared" si="1"/>
        <v>0</v>
      </c>
    </row>
    <row r="89" spans="1:15">
      <c r="A89" s="188">
        <f>'[4]BULANAN PTKP BARU'!A89</f>
        <v>82</v>
      </c>
      <c r="B89" s="192">
        <f>+PERBULAN!B89</f>
        <v>0</v>
      </c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26">
        <f t="shared" si="1"/>
        <v>0</v>
      </c>
    </row>
    <row r="90" spans="1:15">
      <c r="A90" s="188">
        <f>'[4]BULANAN PTKP BARU'!A90</f>
        <v>83</v>
      </c>
      <c r="B90" s="192">
        <f>+PERBULAN!B90</f>
        <v>0</v>
      </c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26">
        <f t="shared" si="1"/>
        <v>0</v>
      </c>
    </row>
    <row r="91" spans="1:15">
      <c r="A91" s="188">
        <f>'[4]BULANAN PTKP BARU'!A91</f>
        <v>84</v>
      </c>
      <c r="B91" s="192">
        <f>+PERBULAN!B91</f>
        <v>0</v>
      </c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26">
        <f t="shared" si="1"/>
        <v>0</v>
      </c>
    </row>
    <row r="92" spans="1:15">
      <c r="A92" s="188">
        <f>'[4]BULANAN PTKP BARU'!A92</f>
        <v>85</v>
      </c>
      <c r="B92" s="192">
        <f>+PERBULAN!B92</f>
        <v>0</v>
      </c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26">
        <f t="shared" si="1"/>
        <v>0</v>
      </c>
    </row>
    <row r="93" spans="1:15">
      <c r="A93" s="188">
        <f>'[4]BULANAN PTKP BARU'!A93</f>
        <v>86</v>
      </c>
      <c r="B93" s="192">
        <f>+PERBULAN!B93</f>
        <v>0</v>
      </c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26">
        <f t="shared" si="1"/>
        <v>0</v>
      </c>
    </row>
    <row r="94" spans="1:15">
      <c r="A94" s="188">
        <f>'[4]BULANAN PTKP BARU'!A94</f>
        <v>87</v>
      </c>
      <c r="B94" s="192">
        <f>+PERBULAN!B94</f>
        <v>0</v>
      </c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26">
        <f t="shared" si="1"/>
        <v>0</v>
      </c>
    </row>
    <row r="95" spans="1:15">
      <c r="A95" s="188">
        <f>'[4]BULANAN PTKP BARU'!A95</f>
        <v>88</v>
      </c>
      <c r="B95" s="192">
        <f>+PERBULAN!B95</f>
        <v>0</v>
      </c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26">
        <f t="shared" si="1"/>
        <v>0</v>
      </c>
    </row>
    <row r="96" spans="1:15">
      <c r="A96" s="188">
        <f>'[4]BULANAN PTKP BARU'!A96</f>
        <v>89</v>
      </c>
      <c r="B96" s="192">
        <f>+PERBULAN!B96</f>
        <v>0</v>
      </c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26">
        <f t="shared" si="1"/>
        <v>0</v>
      </c>
    </row>
    <row r="97" spans="1:15">
      <c r="A97" s="188">
        <f>'[4]BULANAN PTKP BARU'!A97</f>
        <v>90</v>
      </c>
      <c r="B97" s="192">
        <f>+PERBULAN!B97</f>
        <v>0</v>
      </c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26">
        <f t="shared" si="1"/>
        <v>0</v>
      </c>
    </row>
    <row r="98" spans="1:15">
      <c r="A98" s="188">
        <f>'[4]BULANAN PTKP BARU'!A98</f>
        <v>91</v>
      </c>
      <c r="B98" s="192">
        <f>+PERBULAN!B98</f>
        <v>0</v>
      </c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26">
        <f t="shared" si="1"/>
        <v>0</v>
      </c>
    </row>
    <row r="99" spans="1:15">
      <c r="A99" s="188">
        <f>'[4]BULANAN PTKP BARU'!A99</f>
        <v>92</v>
      </c>
      <c r="B99" s="192">
        <f>+PERBULAN!B99</f>
        <v>0</v>
      </c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26">
        <f t="shared" si="1"/>
        <v>0</v>
      </c>
    </row>
    <row r="100" spans="1:15">
      <c r="A100" s="188">
        <f>'[4]BULANAN PTKP BARU'!A100</f>
        <v>93</v>
      </c>
      <c r="B100" s="192">
        <f>+PERBULAN!B100</f>
        <v>0</v>
      </c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26">
        <f t="shared" si="1"/>
        <v>0</v>
      </c>
    </row>
    <row r="101" spans="1:15">
      <c r="A101" s="188">
        <f>'[4]BULANAN PTKP BARU'!A101</f>
        <v>94</v>
      </c>
      <c r="B101" s="192">
        <f>+PERBULAN!B101</f>
        <v>0</v>
      </c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26">
        <f t="shared" si="1"/>
        <v>0</v>
      </c>
    </row>
    <row r="102" spans="1:15">
      <c r="A102" s="188">
        <f>'[4]BULANAN PTKP BARU'!A102</f>
        <v>95</v>
      </c>
      <c r="B102" s="192">
        <f>+PERBULAN!B102</f>
        <v>0</v>
      </c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26">
        <f t="shared" si="1"/>
        <v>0</v>
      </c>
    </row>
    <row r="103" spans="1:15">
      <c r="A103" s="188">
        <f>'[4]BULANAN PTKP BARU'!A103</f>
        <v>96</v>
      </c>
      <c r="B103" s="192">
        <f>+PERBULAN!B103</f>
        <v>0</v>
      </c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26">
        <f t="shared" si="1"/>
        <v>0</v>
      </c>
    </row>
    <row r="104" spans="1:15">
      <c r="A104" s="188">
        <f>'[4]BULANAN PTKP BARU'!A104</f>
        <v>97</v>
      </c>
      <c r="B104" s="192">
        <f>+PERBULAN!B104</f>
        <v>0</v>
      </c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26">
        <f t="shared" si="1"/>
        <v>0</v>
      </c>
    </row>
    <row r="105" spans="1:15">
      <c r="A105" s="188">
        <f>'[4]BULANAN PTKP BARU'!A105</f>
        <v>98</v>
      </c>
      <c r="B105" s="192">
        <f>+PERBULAN!B105</f>
        <v>0</v>
      </c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26">
        <f t="shared" si="1"/>
        <v>0</v>
      </c>
    </row>
    <row r="106" spans="1:15">
      <c r="A106" s="188">
        <f>'[4]BULANAN PTKP BARU'!A106</f>
        <v>99</v>
      </c>
      <c r="B106" s="192">
        <f>+PERBULAN!B106</f>
        <v>0</v>
      </c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26">
        <f t="shared" si="1"/>
        <v>0</v>
      </c>
    </row>
    <row r="107" spans="1:15">
      <c r="A107" s="188">
        <f>'[4]BULANAN PTKP BARU'!A107</f>
        <v>100</v>
      </c>
      <c r="B107" s="192">
        <f>+PERBULAN!B107</f>
        <v>0</v>
      </c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26">
        <f t="shared" si="1"/>
        <v>0</v>
      </c>
    </row>
    <row r="108" spans="1:15">
      <c r="A108" s="188">
        <f>'[4]BULANAN PTKP BARU'!A108</f>
        <v>101</v>
      </c>
      <c r="B108" s="192">
        <f>+PERBULAN!B108</f>
        <v>0</v>
      </c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26">
        <f t="shared" si="1"/>
        <v>0</v>
      </c>
    </row>
    <row r="109" spans="1:15">
      <c r="A109" s="188">
        <f>'[4]BULANAN PTKP BARU'!A109</f>
        <v>102</v>
      </c>
      <c r="B109" s="192">
        <f>+PERBULAN!B109</f>
        <v>0</v>
      </c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26">
        <f t="shared" si="1"/>
        <v>0</v>
      </c>
    </row>
    <row r="110" spans="1:15">
      <c r="A110" s="508" t="s">
        <v>349</v>
      </c>
      <c r="B110" s="510"/>
      <c r="C110" s="285">
        <f t="shared" ref="C110:O110" si="2">SUM(C8:C109)</f>
        <v>9553660</v>
      </c>
      <c r="D110" s="285">
        <f t="shared" si="2"/>
        <v>9556880</v>
      </c>
      <c r="E110" s="285">
        <f t="shared" si="2"/>
        <v>9557360</v>
      </c>
      <c r="F110" s="285">
        <f t="shared" si="2"/>
        <v>9558580</v>
      </c>
      <c r="G110" s="285">
        <f t="shared" si="2"/>
        <v>9558840</v>
      </c>
      <c r="H110" s="285">
        <f t="shared" si="2"/>
        <v>9560300</v>
      </c>
      <c r="I110" s="285">
        <f t="shared" si="2"/>
        <v>9561720</v>
      </c>
      <c r="J110" s="285">
        <f t="shared" si="2"/>
        <v>9407136</v>
      </c>
      <c r="K110" s="285">
        <f t="shared" si="2"/>
        <v>9407996</v>
      </c>
      <c r="L110" s="285">
        <f t="shared" si="2"/>
        <v>9408396</v>
      </c>
      <c r="M110" s="285">
        <f t="shared" si="2"/>
        <v>9408796</v>
      </c>
      <c r="N110" s="285">
        <f t="shared" si="2"/>
        <v>0</v>
      </c>
      <c r="O110" s="285">
        <f t="shared" si="2"/>
        <v>104539664</v>
      </c>
    </row>
    <row r="111" spans="1:15">
      <c r="A111" s="286"/>
      <c r="B111" s="287"/>
      <c r="C111" s="288"/>
      <c r="D111" s="286"/>
      <c r="E111" s="286"/>
      <c r="F111" s="289"/>
      <c r="G111" s="286"/>
      <c r="H111" s="286"/>
      <c r="I111" s="286"/>
      <c r="J111" s="286"/>
      <c r="K111" s="286"/>
      <c r="L111" s="246"/>
      <c r="M111" s="245"/>
      <c r="N111" s="290"/>
      <c r="O111" s="245"/>
    </row>
    <row r="112" spans="1:15">
      <c r="H112" s="259"/>
      <c r="L112" s="259"/>
      <c r="M112" s="259"/>
    </row>
    <row r="113" spans="1:15">
      <c r="I113" s="259"/>
    </row>
    <row r="116" spans="1:15">
      <c r="A116" s="188">
        <f>'[4]BULANAN PTKP BARU'!A11</f>
        <v>4</v>
      </c>
      <c r="B116" s="192" t="str">
        <f>+PERBULAN!B116</f>
        <v>BENNY SAPUTRA</v>
      </c>
      <c r="C116" s="202">
        <v>156944</v>
      </c>
      <c r="D116" s="202">
        <v>156944</v>
      </c>
      <c r="E116" s="202">
        <v>156944</v>
      </c>
      <c r="F116" s="202">
        <v>157084</v>
      </c>
      <c r="G116" s="202">
        <v>157084</v>
      </c>
      <c r="H116" s="202">
        <v>157084</v>
      </c>
      <c r="I116" s="202"/>
      <c r="J116" s="202"/>
      <c r="K116" s="202"/>
      <c r="L116" s="202"/>
      <c r="M116" s="202"/>
      <c r="N116" s="202"/>
      <c r="O116" s="226">
        <f>SUM(C116:N116)</f>
        <v>942084</v>
      </c>
    </row>
    <row r="117" spans="1:15">
      <c r="A117" s="188">
        <f>'[4]BULANAN PTKP BARU'!A56</f>
        <v>49</v>
      </c>
      <c r="B117" s="192" t="str">
        <f>+PERBULAN!B117</f>
        <v>RINDI PRIANTO</v>
      </c>
      <c r="C117" s="202">
        <v>156024</v>
      </c>
      <c r="D117" s="202">
        <v>156024</v>
      </c>
      <c r="E117" s="202">
        <v>156024</v>
      </c>
      <c r="F117" s="202">
        <v>156024</v>
      </c>
      <c r="G117" s="202">
        <v>156024</v>
      </c>
      <c r="H117" s="202">
        <v>156024</v>
      </c>
      <c r="I117" s="202">
        <v>156144</v>
      </c>
      <c r="J117" s="202">
        <v>156144</v>
      </c>
      <c r="K117" s="202"/>
      <c r="L117" s="202"/>
      <c r="M117" s="202"/>
      <c r="N117" s="202"/>
      <c r="O117" s="226">
        <f>SUM(C117:N117)</f>
        <v>1248432</v>
      </c>
    </row>
    <row r="118" spans="1:15">
      <c r="A118" s="188">
        <f>'[4]BULANAN PTKP BARU'!A58</f>
        <v>51</v>
      </c>
      <c r="B118" s="192" t="str">
        <f>+PERBULAN!B118</f>
        <v>PUTRA ROMADHAN</v>
      </c>
      <c r="C118" s="202">
        <v>155064</v>
      </c>
      <c r="D118" s="202">
        <v>155064</v>
      </c>
      <c r="E118" s="202">
        <v>155064</v>
      </c>
      <c r="F118" s="202">
        <v>155064</v>
      </c>
      <c r="G118" s="202">
        <v>155064</v>
      </c>
      <c r="H118" s="202">
        <v>155164</v>
      </c>
      <c r="I118" s="202">
        <v>155164</v>
      </c>
      <c r="J118" s="202">
        <v>155164</v>
      </c>
      <c r="K118" s="202"/>
      <c r="L118" s="202"/>
      <c r="M118" s="202"/>
      <c r="N118" s="202"/>
      <c r="O118" s="226">
        <f>SUM(C118:N118)</f>
        <v>1240812</v>
      </c>
    </row>
    <row r="122" spans="1:15">
      <c r="A122" s="245" t="s">
        <v>323</v>
      </c>
      <c r="B122" s="245"/>
      <c r="C122" s="245"/>
      <c r="D122" s="245"/>
      <c r="E122" s="245"/>
      <c r="F122" s="245"/>
      <c r="G122" s="245"/>
      <c r="H122" s="245"/>
      <c r="I122" s="245"/>
      <c r="J122" s="245"/>
      <c r="K122" s="245"/>
      <c r="L122" s="245"/>
      <c r="M122" s="245"/>
      <c r="N122" s="245"/>
      <c r="O122" s="245"/>
    </row>
    <row r="123" spans="1:15">
      <c r="A123" s="245" t="s">
        <v>545</v>
      </c>
      <c r="B123" s="245"/>
      <c r="C123" s="245"/>
      <c r="D123" s="245"/>
      <c r="E123" s="245"/>
      <c r="F123" s="245"/>
      <c r="G123" s="245"/>
      <c r="H123" s="245"/>
      <c r="I123" s="245"/>
      <c r="J123" s="245"/>
      <c r="K123" s="245"/>
      <c r="L123" s="245"/>
      <c r="M123" s="245"/>
      <c r="N123" s="245"/>
      <c r="O123" s="245"/>
    </row>
    <row r="124" spans="1:15">
      <c r="A124" s="245"/>
      <c r="B124" s="245"/>
      <c r="C124" s="245"/>
      <c r="D124" s="245"/>
      <c r="E124" s="245"/>
      <c r="F124" s="245"/>
      <c r="G124" s="245"/>
      <c r="H124" s="245"/>
      <c r="I124" s="245"/>
      <c r="J124" s="245"/>
      <c r="K124" s="245"/>
      <c r="L124" s="245"/>
      <c r="M124" s="245"/>
      <c r="N124" s="245"/>
      <c r="O124" s="245"/>
    </row>
    <row r="125" spans="1:15">
      <c r="A125" s="484" t="s">
        <v>0</v>
      </c>
      <c r="B125" s="484" t="s">
        <v>324</v>
      </c>
      <c r="C125" s="499" t="s">
        <v>327</v>
      </c>
      <c r="D125" s="499"/>
      <c r="E125" s="499"/>
      <c r="F125" s="499"/>
      <c r="G125" s="499"/>
      <c r="H125" s="499"/>
      <c r="I125" s="499"/>
      <c r="J125" s="499"/>
      <c r="K125" s="499"/>
      <c r="L125" s="499"/>
      <c r="M125" s="499"/>
      <c r="N125" s="499"/>
      <c r="O125" s="499"/>
    </row>
    <row r="126" spans="1:15">
      <c r="A126" s="485"/>
      <c r="B126" s="485"/>
      <c r="C126" s="519" t="s">
        <v>328</v>
      </c>
      <c r="D126" s="519" t="s">
        <v>329</v>
      </c>
      <c r="E126" s="519" t="s">
        <v>330</v>
      </c>
      <c r="F126" s="519" t="s">
        <v>331</v>
      </c>
      <c r="G126" s="519" t="s">
        <v>332</v>
      </c>
      <c r="H126" s="519" t="s">
        <v>333</v>
      </c>
      <c r="I126" s="519" t="s">
        <v>334</v>
      </c>
      <c r="J126" s="519" t="s">
        <v>335</v>
      </c>
      <c r="K126" s="519" t="s">
        <v>336</v>
      </c>
      <c r="L126" s="519" t="s">
        <v>337</v>
      </c>
      <c r="M126" s="519" t="s">
        <v>338</v>
      </c>
      <c r="N126" s="519" t="s">
        <v>339</v>
      </c>
      <c r="O126" s="503" t="s">
        <v>440</v>
      </c>
    </row>
    <row r="127" spans="1:15">
      <c r="A127" s="486"/>
      <c r="B127" s="486"/>
      <c r="C127" s="520"/>
      <c r="D127" s="520"/>
      <c r="E127" s="520"/>
      <c r="F127" s="520"/>
      <c r="G127" s="520"/>
      <c r="H127" s="520"/>
      <c r="I127" s="520"/>
      <c r="J127" s="520"/>
      <c r="K127" s="520"/>
      <c r="L127" s="520"/>
      <c r="M127" s="520"/>
      <c r="N127" s="520"/>
      <c r="O127" s="504"/>
    </row>
    <row r="128" spans="1:15">
      <c r="A128" s="521" t="s">
        <v>351</v>
      </c>
      <c r="B128" s="522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188"/>
    </row>
    <row r="129" spans="1:15">
      <c r="A129" s="188">
        <v>1</v>
      </c>
      <c r="B129" s="192" t="str">
        <f t="shared" ref="B129:B160" si="3">+B8</f>
        <v>SUDARMONO</v>
      </c>
      <c r="C129" s="202">
        <f>3876600*0.84%</f>
        <v>32563.439999999999</v>
      </c>
      <c r="D129" s="202">
        <f t="shared" ref="D129:H144" si="4">3876600*0.84%</f>
        <v>32563.439999999999</v>
      </c>
      <c r="E129" s="202">
        <f t="shared" si="4"/>
        <v>32563.439999999999</v>
      </c>
      <c r="F129" s="202">
        <f t="shared" si="4"/>
        <v>32563.439999999999</v>
      </c>
      <c r="G129" s="202">
        <f t="shared" si="4"/>
        <v>32563.439999999999</v>
      </c>
      <c r="H129" s="202">
        <f t="shared" si="4"/>
        <v>32563.439999999999</v>
      </c>
      <c r="I129" s="202">
        <v>33017.040000000001</v>
      </c>
      <c r="J129" s="202">
        <v>33017.040000000001</v>
      </c>
      <c r="K129" s="202">
        <v>33017.040000000001</v>
      </c>
      <c r="L129" s="202">
        <v>33017.040000000001</v>
      </c>
      <c r="M129" s="202">
        <v>33017.040000000001</v>
      </c>
      <c r="N129" s="202"/>
      <c r="O129" s="226">
        <f>SUM(C129:N129)</f>
        <v>360465.83999999997</v>
      </c>
    </row>
    <row r="130" spans="1:15">
      <c r="A130" s="188">
        <v>2</v>
      </c>
      <c r="B130" s="192" t="str">
        <f t="shared" si="3"/>
        <v>ARDIYANSA</v>
      </c>
      <c r="C130" s="202">
        <f t="shared" ref="C130:H145" si="5">3876600*0.84%</f>
        <v>32563.439999999999</v>
      </c>
      <c r="D130" s="202">
        <f t="shared" si="4"/>
        <v>32563.439999999999</v>
      </c>
      <c r="E130" s="202">
        <f t="shared" si="4"/>
        <v>32563.439999999999</v>
      </c>
      <c r="F130" s="202">
        <f t="shared" si="4"/>
        <v>32563.439999999999</v>
      </c>
      <c r="G130" s="202">
        <f t="shared" si="4"/>
        <v>32563.439999999999</v>
      </c>
      <c r="H130" s="202">
        <f t="shared" si="4"/>
        <v>32563.439999999999</v>
      </c>
      <c r="I130" s="202">
        <v>32815.439999999995</v>
      </c>
      <c r="J130" s="202">
        <v>32840.639999999999</v>
      </c>
      <c r="K130" s="202">
        <v>32840.639999999999</v>
      </c>
      <c r="L130" s="202">
        <v>32840.639999999999</v>
      </c>
      <c r="M130" s="202">
        <v>32840.639999999999</v>
      </c>
      <c r="N130" s="202"/>
      <c r="O130" s="226">
        <f t="shared" ref="O130:O191" si="6">SUM(C130:N130)</f>
        <v>359558.64</v>
      </c>
    </row>
    <row r="131" spans="1:15">
      <c r="A131" s="188">
        <v>3</v>
      </c>
      <c r="B131" s="192" t="str">
        <f t="shared" si="3"/>
        <v>INDRA JAYA</v>
      </c>
      <c r="C131" s="202">
        <f t="shared" si="5"/>
        <v>32563.439999999999</v>
      </c>
      <c r="D131" s="202">
        <f t="shared" si="4"/>
        <v>32563.439999999999</v>
      </c>
      <c r="E131" s="202">
        <f t="shared" si="4"/>
        <v>32563.439999999999</v>
      </c>
      <c r="F131" s="202">
        <f t="shared" si="4"/>
        <v>32563.439999999999</v>
      </c>
      <c r="G131" s="202">
        <f t="shared" si="4"/>
        <v>32563.439999999999</v>
      </c>
      <c r="H131" s="202">
        <f t="shared" si="4"/>
        <v>32563.439999999999</v>
      </c>
      <c r="I131" s="202">
        <v>32987.64</v>
      </c>
      <c r="J131" s="202">
        <v>32987.64</v>
      </c>
      <c r="K131" s="202">
        <v>32987.64</v>
      </c>
      <c r="L131" s="202">
        <v>32987.64</v>
      </c>
      <c r="M131" s="202">
        <v>32987.64</v>
      </c>
      <c r="N131" s="202"/>
      <c r="O131" s="226">
        <f t="shared" si="6"/>
        <v>360318.84</v>
      </c>
    </row>
    <row r="132" spans="1:15">
      <c r="A132" s="188">
        <v>4</v>
      </c>
      <c r="B132" s="192" t="str">
        <f t="shared" si="3"/>
        <v>USPANDI</v>
      </c>
      <c r="C132" s="202">
        <f t="shared" si="5"/>
        <v>32563.439999999999</v>
      </c>
      <c r="D132" s="202">
        <f t="shared" si="4"/>
        <v>32563.439999999999</v>
      </c>
      <c r="E132" s="202">
        <f t="shared" si="4"/>
        <v>32563.439999999999</v>
      </c>
      <c r="F132" s="202">
        <f t="shared" si="4"/>
        <v>32563.439999999999</v>
      </c>
      <c r="G132" s="202">
        <f t="shared" si="4"/>
        <v>32563.439999999999</v>
      </c>
      <c r="H132" s="202">
        <f t="shared" si="4"/>
        <v>32563.439999999999</v>
      </c>
      <c r="I132" s="202">
        <v>33281.64</v>
      </c>
      <c r="J132" s="202">
        <v>33281.64</v>
      </c>
      <c r="K132" s="202">
        <v>33281.64</v>
      </c>
      <c r="L132" s="202">
        <v>33281.64</v>
      </c>
      <c r="M132" s="202">
        <v>33281.64</v>
      </c>
      <c r="N132" s="202"/>
      <c r="O132" s="226">
        <f t="shared" si="6"/>
        <v>361788.84</v>
      </c>
    </row>
    <row r="133" spans="1:15">
      <c r="A133" s="188">
        <v>5</v>
      </c>
      <c r="B133" s="192" t="str">
        <f t="shared" si="3"/>
        <v>NOVI SUHAIDI</v>
      </c>
      <c r="C133" s="202">
        <f t="shared" si="5"/>
        <v>32563.439999999999</v>
      </c>
      <c r="D133" s="202">
        <f t="shared" si="4"/>
        <v>32563.439999999999</v>
      </c>
      <c r="E133" s="202">
        <f t="shared" si="4"/>
        <v>32563.439999999999</v>
      </c>
      <c r="F133" s="202">
        <f t="shared" si="4"/>
        <v>32563.439999999999</v>
      </c>
      <c r="G133" s="202">
        <f t="shared" si="4"/>
        <v>32563.439999999999</v>
      </c>
      <c r="H133" s="202">
        <f t="shared" si="4"/>
        <v>32563.439999999999</v>
      </c>
      <c r="I133" s="202">
        <v>32958.239999999998</v>
      </c>
      <c r="J133" s="202">
        <v>32958.239999999998</v>
      </c>
      <c r="K133" s="202">
        <v>32958.239999999998</v>
      </c>
      <c r="L133" s="202">
        <v>32987.64</v>
      </c>
      <c r="M133" s="202">
        <v>32987.64</v>
      </c>
      <c r="N133" s="202"/>
      <c r="O133" s="226">
        <f t="shared" si="6"/>
        <v>360230.64</v>
      </c>
    </row>
    <row r="134" spans="1:15">
      <c r="A134" s="188">
        <v>6</v>
      </c>
      <c r="B134" s="192" t="str">
        <f t="shared" si="3"/>
        <v>ROSLI</v>
      </c>
      <c r="C134" s="202">
        <f t="shared" si="5"/>
        <v>32563.439999999999</v>
      </c>
      <c r="D134" s="202">
        <f t="shared" si="4"/>
        <v>32563.439999999999</v>
      </c>
      <c r="E134" s="202">
        <f t="shared" si="4"/>
        <v>32563.439999999999</v>
      </c>
      <c r="F134" s="202">
        <f t="shared" si="4"/>
        <v>32563.439999999999</v>
      </c>
      <c r="G134" s="202">
        <f t="shared" si="4"/>
        <v>32563.439999999999</v>
      </c>
      <c r="H134" s="202">
        <f t="shared" si="4"/>
        <v>32563.439999999999</v>
      </c>
      <c r="I134" s="202">
        <v>33017.040000000001</v>
      </c>
      <c r="J134" s="202">
        <v>33017.040000000001</v>
      </c>
      <c r="K134" s="202">
        <v>33017.040000000001</v>
      </c>
      <c r="L134" s="202">
        <v>33017.040000000001</v>
      </c>
      <c r="M134" s="202">
        <v>33017.040000000001</v>
      </c>
      <c r="N134" s="202"/>
      <c r="O134" s="226">
        <f t="shared" si="6"/>
        <v>360465.83999999997</v>
      </c>
    </row>
    <row r="135" spans="1:15">
      <c r="A135" s="188">
        <v>7</v>
      </c>
      <c r="B135" s="192" t="str">
        <f t="shared" si="3"/>
        <v>AMRIL</v>
      </c>
      <c r="C135" s="202">
        <f t="shared" si="5"/>
        <v>32563.439999999999</v>
      </c>
      <c r="D135" s="202">
        <f t="shared" si="4"/>
        <v>32563.439999999999</v>
      </c>
      <c r="E135" s="202">
        <f t="shared" si="4"/>
        <v>32563.439999999999</v>
      </c>
      <c r="F135" s="202">
        <f t="shared" si="4"/>
        <v>32563.439999999999</v>
      </c>
      <c r="G135" s="202">
        <f t="shared" si="4"/>
        <v>32563.439999999999</v>
      </c>
      <c r="H135" s="202">
        <f t="shared" si="4"/>
        <v>32563.439999999999</v>
      </c>
      <c r="I135" s="202">
        <v>32987.64</v>
      </c>
      <c r="J135" s="202">
        <v>32987.64</v>
      </c>
      <c r="K135" s="202">
        <v>32987.64</v>
      </c>
      <c r="L135" s="202">
        <v>32987.64</v>
      </c>
      <c r="M135" s="202">
        <v>32987.64</v>
      </c>
      <c r="N135" s="202"/>
      <c r="O135" s="226">
        <f t="shared" si="6"/>
        <v>360318.84</v>
      </c>
    </row>
    <row r="136" spans="1:15">
      <c r="A136" s="188">
        <v>8</v>
      </c>
      <c r="B136" s="192" t="str">
        <f t="shared" si="3"/>
        <v>KARMILA</v>
      </c>
      <c r="C136" s="202">
        <f t="shared" si="5"/>
        <v>32563.439999999999</v>
      </c>
      <c r="D136" s="202">
        <f t="shared" si="4"/>
        <v>32563.439999999999</v>
      </c>
      <c r="E136" s="202">
        <f t="shared" si="4"/>
        <v>32563.439999999999</v>
      </c>
      <c r="F136" s="202">
        <f t="shared" si="4"/>
        <v>32563.439999999999</v>
      </c>
      <c r="G136" s="202">
        <f t="shared" si="4"/>
        <v>32563.439999999999</v>
      </c>
      <c r="H136" s="202">
        <f t="shared" si="4"/>
        <v>32563.439999999999</v>
      </c>
      <c r="I136" s="202">
        <v>32987.64</v>
      </c>
      <c r="J136" s="202">
        <v>32987.64</v>
      </c>
      <c r="K136" s="202">
        <v>32987.64</v>
      </c>
      <c r="L136" s="202">
        <v>32987.64</v>
      </c>
      <c r="M136" s="202">
        <v>32987.64</v>
      </c>
      <c r="N136" s="202"/>
      <c r="O136" s="226">
        <f t="shared" si="6"/>
        <v>360318.84</v>
      </c>
    </row>
    <row r="137" spans="1:15">
      <c r="A137" s="188">
        <v>9</v>
      </c>
      <c r="B137" s="192" t="str">
        <f t="shared" si="3"/>
        <v>MARTUTI</v>
      </c>
      <c r="C137" s="202">
        <f t="shared" si="5"/>
        <v>32563.439999999999</v>
      </c>
      <c r="D137" s="202">
        <f t="shared" si="4"/>
        <v>32563.439999999999</v>
      </c>
      <c r="E137" s="202">
        <f t="shared" si="4"/>
        <v>32563.439999999999</v>
      </c>
      <c r="F137" s="202">
        <f t="shared" si="4"/>
        <v>32563.439999999999</v>
      </c>
      <c r="G137" s="202">
        <f t="shared" si="4"/>
        <v>32563.439999999999</v>
      </c>
      <c r="H137" s="202">
        <f t="shared" si="4"/>
        <v>32563.439999999999</v>
      </c>
      <c r="I137" s="202">
        <v>32987.64</v>
      </c>
      <c r="J137" s="202">
        <v>32987.64</v>
      </c>
      <c r="K137" s="202">
        <v>32987.64</v>
      </c>
      <c r="L137" s="202">
        <v>32987.64</v>
      </c>
      <c r="M137" s="202">
        <v>33017.040000000001</v>
      </c>
      <c r="N137" s="202"/>
      <c r="O137" s="226">
        <f t="shared" si="6"/>
        <v>360348.24</v>
      </c>
    </row>
    <row r="138" spans="1:15">
      <c r="A138" s="188">
        <v>10</v>
      </c>
      <c r="B138" s="192" t="str">
        <f t="shared" si="3"/>
        <v>HARNIAWATI</v>
      </c>
      <c r="C138" s="202">
        <f t="shared" si="5"/>
        <v>32563.439999999999</v>
      </c>
      <c r="D138" s="202">
        <f t="shared" si="4"/>
        <v>32563.439999999999</v>
      </c>
      <c r="E138" s="202">
        <f t="shared" si="4"/>
        <v>32563.439999999999</v>
      </c>
      <c r="F138" s="202">
        <f t="shared" si="4"/>
        <v>32563.439999999999</v>
      </c>
      <c r="G138" s="202">
        <f t="shared" si="4"/>
        <v>32563.439999999999</v>
      </c>
      <c r="H138" s="202">
        <f t="shared" si="4"/>
        <v>32563.439999999999</v>
      </c>
      <c r="I138" s="202">
        <v>32987.64</v>
      </c>
      <c r="J138" s="202">
        <v>32987.64</v>
      </c>
      <c r="K138" s="202">
        <v>32987.64</v>
      </c>
      <c r="L138" s="202">
        <v>32987.64</v>
      </c>
      <c r="M138" s="202">
        <v>33017.040000000001</v>
      </c>
      <c r="N138" s="202"/>
      <c r="O138" s="226">
        <f t="shared" si="6"/>
        <v>360348.24</v>
      </c>
    </row>
    <row r="139" spans="1:15">
      <c r="A139" s="188">
        <v>11</v>
      </c>
      <c r="B139" s="192" t="str">
        <f t="shared" si="3"/>
        <v>MARYATI</v>
      </c>
      <c r="C139" s="202">
        <f t="shared" si="5"/>
        <v>32563.439999999999</v>
      </c>
      <c r="D139" s="202">
        <f t="shared" si="4"/>
        <v>32563.439999999999</v>
      </c>
      <c r="E139" s="202">
        <f t="shared" si="4"/>
        <v>32563.439999999999</v>
      </c>
      <c r="F139" s="202">
        <f t="shared" si="4"/>
        <v>32563.439999999999</v>
      </c>
      <c r="G139" s="202">
        <f t="shared" si="4"/>
        <v>32563.439999999999</v>
      </c>
      <c r="H139" s="202">
        <f t="shared" si="4"/>
        <v>32563.439999999999</v>
      </c>
      <c r="I139" s="202">
        <v>33017.040000000001</v>
      </c>
      <c r="J139" s="202">
        <v>33017.040000000001</v>
      </c>
      <c r="K139" s="202">
        <v>33017.040000000001</v>
      </c>
      <c r="L139" s="202">
        <v>33017.040000000001</v>
      </c>
      <c r="M139" s="202">
        <v>33017.040000000001</v>
      </c>
      <c r="N139" s="202"/>
      <c r="O139" s="226">
        <f t="shared" si="6"/>
        <v>360465.83999999997</v>
      </c>
    </row>
    <row r="140" spans="1:15">
      <c r="A140" s="188">
        <v>12</v>
      </c>
      <c r="B140" s="192" t="str">
        <f t="shared" si="3"/>
        <v>KOPRIATI</v>
      </c>
      <c r="C140" s="202">
        <f t="shared" si="5"/>
        <v>32563.439999999999</v>
      </c>
      <c r="D140" s="202">
        <f t="shared" si="4"/>
        <v>32563.439999999999</v>
      </c>
      <c r="E140" s="202">
        <f t="shared" si="4"/>
        <v>32563.439999999999</v>
      </c>
      <c r="F140" s="202">
        <f t="shared" si="4"/>
        <v>32563.439999999999</v>
      </c>
      <c r="G140" s="202">
        <f t="shared" si="4"/>
        <v>32563.439999999999</v>
      </c>
      <c r="H140" s="202">
        <f t="shared" si="4"/>
        <v>32563.439999999999</v>
      </c>
      <c r="I140" s="202">
        <v>33281.64</v>
      </c>
      <c r="J140" s="202">
        <v>33281.64</v>
      </c>
      <c r="K140" s="202">
        <v>33281.64</v>
      </c>
      <c r="L140" s="202">
        <v>33281.64</v>
      </c>
      <c r="M140" s="202">
        <v>33281.64</v>
      </c>
      <c r="N140" s="202"/>
      <c r="O140" s="226">
        <f t="shared" si="6"/>
        <v>361788.84</v>
      </c>
    </row>
    <row r="141" spans="1:15">
      <c r="A141" s="188">
        <v>13</v>
      </c>
      <c r="B141" s="192" t="str">
        <f t="shared" si="3"/>
        <v>ASNIATI</v>
      </c>
      <c r="C141" s="202">
        <f t="shared" si="5"/>
        <v>32563.439999999999</v>
      </c>
      <c r="D141" s="202">
        <f t="shared" si="4"/>
        <v>32563.439999999999</v>
      </c>
      <c r="E141" s="202">
        <f t="shared" si="4"/>
        <v>32563.439999999999</v>
      </c>
      <c r="F141" s="202">
        <f t="shared" si="4"/>
        <v>32563.439999999999</v>
      </c>
      <c r="G141" s="202">
        <f t="shared" si="4"/>
        <v>32563.439999999999</v>
      </c>
      <c r="H141" s="202">
        <f t="shared" si="4"/>
        <v>32563.439999999999</v>
      </c>
      <c r="I141" s="202">
        <v>32987.64</v>
      </c>
      <c r="J141" s="202">
        <v>32987.64</v>
      </c>
      <c r="K141" s="202">
        <v>32987.64</v>
      </c>
      <c r="L141" s="202">
        <v>32987.64</v>
      </c>
      <c r="M141" s="202">
        <v>32987.64</v>
      </c>
      <c r="N141" s="202"/>
      <c r="O141" s="226">
        <f t="shared" si="6"/>
        <v>360318.84</v>
      </c>
    </row>
    <row r="142" spans="1:15">
      <c r="A142" s="188">
        <v>14</v>
      </c>
      <c r="B142" s="192" t="str">
        <f t="shared" si="3"/>
        <v>ANDIWATI</v>
      </c>
      <c r="C142" s="202">
        <f t="shared" si="5"/>
        <v>32563.439999999999</v>
      </c>
      <c r="D142" s="202">
        <f t="shared" si="4"/>
        <v>32563.439999999999</v>
      </c>
      <c r="E142" s="202">
        <f t="shared" si="4"/>
        <v>32563.439999999999</v>
      </c>
      <c r="F142" s="202">
        <f t="shared" si="4"/>
        <v>32563.439999999999</v>
      </c>
      <c r="G142" s="202">
        <f t="shared" si="4"/>
        <v>32563.439999999999</v>
      </c>
      <c r="H142" s="202">
        <f t="shared" si="4"/>
        <v>32563.439999999999</v>
      </c>
      <c r="I142" s="202">
        <v>32958.239999999998</v>
      </c>
      <c r="J142" s="202">
        <v>32958.239999999998</v>
      </c>
      <c r="K142" s="202">
        <v>32987.64</v>
      </c>
      <c r="L142" s="202">
        <v>32987.64</v>
      </c>
      <c r="M142" s="202">
        <v>32987.64</v>
      </c>
      <c r="N142" s="202"/>
      <c r="O142" s="226">
        <f t="shared" si="6"/>
        <v>360260.04</v>
      </c>
    </row>
    <row r="143" spans="1:15">
      <c r="A143" s="188">
        <v>15</v>
      </c>
      <c r="B143" s="192" t="str">
        <f t="shared" si="3"/>
        <v>MARYANA.So</v>
      </c>
      <c r="C143" s="202">
        <f t="shared" si="5"/>
        <v>32563.439999999999</v>
      </c>
      <c r="D143" s="202">
        <f t="shared" si="4"/>
        <v>32563.439999999999</v>
      </c>
      <c r="E143" s="202">
        <f t="shared" si="4"/>
        <v>32563.439999999999</v>
      </c>
      <c r="F143" s="202">
        <f t="shared" si="4"/>
        <v>32563.439999999999</v>
      </c>
      <c r="G143" s="202">
        <f t="shared" si="4"/>
        <v>32563.439999999999</v>
      </c>
      <c r="H143" s="202">
        <f t="shared" si="4"/>
        <v>32563.439999999999</v>
      </c>
      <c r="I143" s="202">
        <v>32987.64</v>
      </c>
      <c r="J143" s="202">
        <v>32987.64</v>
      </c>
      <c r="K143" s="202">
        <v>32987.64</v>
      </c>
      <c r="L143" s="202">
        <v>32987.64</v>
      </c>
      <c r="M143" s="202">
        <v>32987.64</v>
      </c>
      <c r="N143" s="202"/>
      <c r="O143" s="226">
        <f t="shared" si="6"/>
        <v>360318.84</v>
      </c>
    </row>
    <row r="144" spans="1:15">
      <c r="A144" s="188">
        <v>16</v>
      </c>
      <c r="B144" s="192" t="str">
        <f t="shared" si="3"/>
        <v>TUTI</v>
      </c>
      <c r="C144" s="202">
        <f t="shared" si="5"/>
        <v>32563.439999999999</v>
      </c>
      <c r="D144" s="202">
        <f t="shared" si="4"/>
        <v>32563.439999999999</v>
      </c>
      <c r="E144" s="202">
        <f t="shared" si="4"/>
        <v>32563.439999999999</v>
      </c>
      <c r="F144" s="202">
        <f t="shared" si="4"/>
        <v>32563.439999999999</v>
      </c>
      <c r="G144" s="202">
        <f t="shared" si="4"/>
        <v>32563.439999999999</v>
      </c>
      <c r="H144" s="202">
        <f t="shared" si="4"/>
        <v>32563.439999999999</v>
      </c>
      <c r="I144" s="202">
        <v>33017.040000000001</v>
      </c>
      <c r="J144" s="202">
        <v>33017.040000000001</v>
      </c>
      <c r="K144" s="202">
        <v>33017.040000000001</v>
      </c>
      <c r="L144" s="202">
        <v>33017.040000000001</v>
      </c>
      <c r="M144" s="202">
        <v>33017.040000000001</v>
      </c>
      <c r="N144" s="202"/>
      <c r="O144" s="226">
        <f t="shared" si="6"/>
        <v>360465.83999999997</v>
      </c>
    </row>
    <row r="145" spans="1:15">
      <c r="A145" s="188">
        <v>17</v>
      </c>
      <c r="B145" s="192" t="str">
        <f t="shared" si="3"/>
        <v>AGUSTIANA</v>
      </c>
      <c r="C145" s="202">
        <f t="shared" si="5"/>
        <v>32563.439999999999</v>
      </c>
      <c r="D145" s="202">
        <f t="shared" si="5"/>
        <v>32563.439999999999</v>
      </c>
      <c r="E145" s="202">
        <f t="shared" si="5"/>
        <v>32563.439999999999</v>
      </c>
      <c r="F145" s="202">
        <f t="shared" si="5"/>
        <v>32563.439999999999</v>
      </c>
      <c r="G145" s="202">
        <f t="shared" si="5"/>
        <v>32563.439999999999</v>
      </c>
      <c r="H145" s="202">
        <f t="shared" si="5"/>
        <v>32563.439999999999</v>
      </c>
      <c r="I145" s="202">
        <v>32987.64</v>
      </c>
      <c r="J145" s="202">
        <v>33017.040000000001</v>
      </c>
      <c r="K145" s="202">
        <v>33017.040000000001</v>
      </c>
      <c r="L145" s="202">
        <v>33017.040000000001</v>
      </c>
      <c r="M145" s="202">
        <v>33017.040000000001</v>
      </c>
      <c r="N145" s="202"/>
      <c r="O145" s="226">
        <f t="shared" si="6"/>
        <v>360436.43999999994</v>
      </c>
    </row>
    <row r="146" spans="1:15">
      <c r="A146" s="188">
        <v>18</v>
      </c>
      <c r="B146" s="192" t="str">
        <f t="shared" si="3"/>
        <v>SISWANTO</v>
      </c>
      <c r="C146" s="202">
        <f t="shared" ref="C146:H161" si="7">3876600*0.84%</f>
        <v>32563.439999999999</v>
      </c>
      <c r="D146" s="202">
        <f t="shared" si="7"/>
        <v>32563.439999999999</v>
      </c>
      <c r="E146" s="202">
        <f t="shared" si="7"/>
        <v>32563.439999999999</v>
      </c>
      <c r="F146" s="202">
        <f t="shared" si="7"/>
        <v>32563.439999999999</v>
      </c>
      <c r="G146" s="202">
        <f t="shared" si="7"/>
        <v>32563.439999999999</v>
      </c>
      <c r="H146" s="202">
        <f t="shared" si="7"/>
        <v>32563.439999999999</v>
      </c>
      <c r="I146" s="202">
        <v>33017.040000000001</v>
      </c>
      <c r="J146" s="202">
        <v>33017.040000000001</v>
      </c>
      <c r="K146" s="202">
        <v>33046.439999999995</v>
      </c>
      <c r="L146" s="202">
        <v>33046.439999999995</v>
      </c>
      <c r="M146" s="202">
        <v>33046.439999999995</v>
      </c>
      <c r="N146" s="202"/>
      <c r="O146" s="226">
        <f t="shared" si="6"/>
        <v>360554.04</v>
      </c>
    </row>
    <row r="147" spans="1:15">
      <c r="A147" s="188">
        <v>19</v>
      </c>
      <c r="B147" s="192" t="str">
        <f t="shared" si="3"/>
        <v>SUNDARI</v>
      </c>
      <c r="C147" s="202">
        <f t="shared" si="7"/>
        <v>32563.439999999999</v>
      </c>
      <c r="D147" s="202">
        <f t="shared" si="7"/>
        <v>32563.439999999999</v>
      </c>
      <c r="E147" s="202">
        <f t="shared" si="7"/>
        <v>32563.439999999999</v>
      </c>
      <c r="F147" s="202">
        <f t="shared" si="7"/>
        <v>32563.439999999999</v>
      </c>
      <c r="G147" s="202">
        <f t="shared" si="7"/>
        <v>32563.439999999999</v>
      </c>
      <c r="H147" s="202">
        <f t="shared" si="7"/>
        <v>32563.439999999999</v>
      </c>
      <c r="I147" s="202">
        <v>32840.639999999999</v>
      </c>
      <c r="J147" s="202">
        <v>32840.639999999999</v>
      </c>
      <c r="K147" s="202">
        <v>32840.639999999999</v>
      </c>
      <c r="L147" s="202">
        <v>32840.639999999999</v>
      </c>
      <c r="M147" s="202">
        <v>32840.639999999999</v>
      </c>
      <c r="N147" s="202"/>
      <c r="O147" s="226">
        <f t="shared" si="6"/>
        <v>359583.84</v>
      </c>
    </row>
    <row r="148" spans="1:15">
      <c r="A148" s="188">
        <v>20</v>
      </c>
      <c r="B148" s="192" t="str">
        <f t="shared" si="3"/>
        <v>SURYATI</v>
      </c>
      <c r="C148" s="202">
        <f t="shared" si="7"/>
        <v>32563.439999999999</v>
      </c>
      <c r="D148" s="202">
        <f t="shared" si="7"/>
        <v>32563.439999999999</v>
      </c>
      <c r="E148" s="202">
        <f t="shared" si="7"/>
        <v>32563.439999999999</v>
      </c>
      <c r="F148" s="202">
        <f t="shared" si="7"/>
        <v>32563.439999999999</v>
      </c>
      <c r="G148" s="202">
        <f t="shared" si="7"/>
        <v>32563.439999999999</v>
      </c>
      <c r="H148" s="202">
        <f t="shared" si="7"/>
        <v>32563.439999999999</v>
      </c>
      <c r="I148" s="202">
        <v>32840.639999999999</v>
      </c>
      <c r="J148" s="202">
        <v>32840.639999999999</v>
      </c>
      <c r="K148" s="202">
        <v>32840.639999999999</v>
      </c>
      <c r="L148" s="202">
        <v>32840.639999999999</v>
      </c>
      <c r="M148" s="202">
        <v>32840.639999999999</v>
      </c>
      <c r="N148" s="202"/>
      <c r="O148" s="226">
        <f t="shared" si="6"/>
        <v>359583.84</v>
      </c>
    </row>
    <row r="149" spans="1:15">
      <c r="A149" s="188">
        <v>21</v>
      </c>
      <c r="B149" s="192" t="str">
        <f t="shared" si="3"/>
        <v>SANTI</v>
      </c>
      <c r="C149" s="202">
        <f t="shared" si="7"/>
        <v>32563.439999999999</v>
      </c>
      <c r="D149" s="202">
        <f t="shared" si="7"/>
        <v>32563.439999999999</v>
      </c>
      <c r="E149" s="202">
        <f t="shared" si="7"/>
        <v>32563.439999999999</v>
      </c>
      <c r="F149" s="202">
        <f t="shared" si="7"/>
        <v>32563.439999999999</v>
      </c>
      <c r="G149" s="202">
        <f t="shared" si="7"/>
        <v>32563.439999999999</v>
      </c>
      <c r="H149" s="202">
        <f t="shared" si="7"/>
        <v>32563.439999999999</v>
      </c>
      <c r="I149" s="202">
        <v>33311.040000000001</v>
      </c>
      <c r="J149" s="202">
        <v>33311.040000000001</v>
      </c>
      <c r="K149" s="202">
        <v>33311.040000000001</v>
      </c>
      <c r="L149" s="202">
        <v>33311.040000000001</v>
      </c>
      <c r="M149" s="202">
        <v>33311.040000000001</v>
      </c>
      <c r="N149" s="202"/>
      <c r="O149" s="226">
        <f t="shared" si="6"/>
        <v>361935.83999999997</v>
      </c>
    </row>
    <row r="150" spans="1:15">
      <c r="A150" s="188">
        <v>22</v>
      </c>
      <c r="B150" s="192" t="str">
        <f t="shared" si="3"/>
        <v>HARYANI</v>
      </c>
      <c r="C150" s="202">
        <f t="shared" si="7"/>
        <v>32563.439999999999</v>
      </c>
      <c r="D150" s="202">
        <f t="shared" si="7"/>
        <v>32563.439999999999</v>
      </c>
      <c r="E150" s="202">
        <f t="shared" si="7"/>
        <v>32563.439999999999</v>
      </c>
      <c r="F150" s="202">
        <f t="shared" si="7"/>
        <v>32563.439999999999</v>
      </c>
      <c r="G150" s="202">
        <f t="shared" si="7"/>
        <v>32563.439999999999</v>
      </c>
      <c r="H150" s="202">
        <f t="shared" si="7"/>
        <v>32563.439999999999</v>
      </c>
      <c r="I150" s="202">
        <v>33017.040000000001</v>
      </c>
      <c r="J150" s="202">
        <v>33017.040000000001</v>
      </c>
      <c r="K150" s="202">
        <v>33017.040000000001</v>
      </c>
      <c r="L150" s="202">
        <v>33046.439999999995</v>
      </c>
      <c r="M150" s="202">
        <v>33046.439999999995</v>
      </c>
      <c r="N150" s="202"/>
      <c r="O150" s="226">
        <f t="shared" si="6"/>
        <v>360524.64</v>
      </c>
    </row>
    <row r="151" spans="1:15">
      <c r="A151" s="188">
        <v>23</v>
      </c>
      <c r="B151" s="192" t="str">
        <f t="shared" si="3"/>
        <v>SUWANDI</v>
      </c>
      <c r="C151" s="202">
        <f>4400000*0.84%</f>
        <v>36960</v>
      </c>
      <c r="D151" s="202">
        <f t="shared" ref="D151:H151" si="8">4400000*0.84%</f>
        <v>36960</v>
      </c>
      <c r="E151" s="202">
        <f t="shared" si="8"/>
        <v>36960</v>
      </c>
      <c r="F151" s="202">
        <f t="shared" si="8"/>
        <v>36960</v>
      </c>
      <c r="G151" s="202">
        <f t="shared" si="8"/>
        <v>36960</v>
      </c>
      <c r="H151" s="202">
        <f t="shared" si="8"/>
        <v>36960</v>
      </c>
      <c r="I151" s="202">
        <v>37384.199999999997</v>
      </c>
      <c r="J151" s="202">
        <v>37384.199999999997</v>
      </c>
      <c r="K151" s="202">
        <v>37384.199999999997</v>
      </c>
      <c r="L151" s="202">
        <v>37384.199999999997</v>
      </c>
      <c r="M151" s="202">
        <v>37384.199999999997</v>
      </c>
      <c r="N151" s="202"/>
      <c r="O151" s="226">
        <f t="shared" si="6"/>
        <v>408681.00000000006</v>
      </c>
    </row>
    <row r="152" spans="1:15">
      <c r="A152" s="188">
        <v>24</v>
      </c>
      <c r="B152" s="192" t="str">
        <f t="shared" si="3"/>
        <v>YUMNA M</v>
      </c>
      <c r="C152" s="202">
        <f t="shared" si="7"/>
        <v>32563.439999999999</v>
      </c>
      <c r="D152" s="202">
        <f t="shared" si="7"/>
        <v>32563.439999999999</v>
      </c>
      <c r="E152" s="202">
        <f t="shared" si="7"/>
        <v>32563.439999999999</v>
      </c>
      <c r="F152" s="202">
        <f t="shared" si="7"/>
        <v>32563.439999999999</v>
      </c>
      <c r="G152" s="202">
        <f t="shared" si="7"/>
        <v>32563.439999999999</v>
      </c>
      <c r="H152" s="202">
        <f t="shared" si="7"/>
        <v>32563.439999999999</v>
      </c>
      <c r="I152" s="202">
        <v>32987.64</v>
      </c>
      <c r="J152" s="202">
        <v>32987.64</v>
      </c>
      <c r="K152" s="202">
        <v>32987.64</v>
      </c>
      <c r="L152" s="202">
        <v>32987.64</v>
      </c>
      <c r="M152" s="202">
        <v>32987.64</v>
      </c>
      <c r="N152" s="202"/>
      <c r="O152" s="226">
        <f t="shared" si="6"/>
        <v>360318.84</v>
      </c>
    </row>
    <row r="153" spans="1:15">
      <c r="A153" s="188">
        <v>25</v>
      </c>
      <c r="B153" s="192" t="str">
        <f t="shared" si="3"/>
        <v>ANDRES</v>
      </c>
      <c r="C153" s="202">
        <f t="shared" si="7"/>
        <v>32563.439999999999</v>
      </c>
      <c r="D153" s="202">
        <f t="shared" si="7"/>
        <v>32563.439999999999</v>
      </c>
      <c r="E153" s="202">
        <f t="shared" si="7"/>
        <v>32563.439999999999</v>
      </c>
      <c r="F153" s="202">
        <f t="shared" si="7"/>
        <v>32563.439999999999</v>
      </c>
      <c r="G153" s="202">
        <f t="shared" si="7"/>
        <v>32563.439999999999</v>
      </c>
      <c r="H153" s="202">
        <f t="shared" si="7"/>
        <v>32563.439999999999</v>
      </c>
      <c r="I153" s="202">
        <v>32739.839999999997</v>
      </c>
      <c r="J153" s="202">
        <v>32739.839999999997</v>
      </c>
      <c r="K153" s="202">
        <v>32739.839999999997</v>
      </c>
      <c r="L153" s="202">
        <v>32739.839999999997</v>
      </c>
      <c r="M153" s="202">
        <v>32739.839999999997</v>
      </c>
      <c r="N153" s="202"/>
      <c r="O153" s="226">
        <f t="shared" si="6"/>
        <v>359079.83999999997</v>
      </c>
    </row>
    <row r="154" spans="1:15">
      <c r="A154" s="188">
        <v>26</v>
      </c>
      <c r="B154" s="192" t="str">
        <f t="shared" si="3"/>
        <v>SUDIAN</v>
      </c>
      <c r="C154" s="202">
        <f t="shared" si="7"/>
        <v>32563.439999999999</v>
      </c>
      <c r="D154" s="202">
        <f t="shared" si="7"/>
        <v>32563.439999999999</v>
      </c>
      <c r="E154" s="202">
        <f t="shared" si="7"/>
        <v>32563.439999999999</v>
      </c>
      <c r="F154" s="202">
        <f t="shared" si="7"/>
        <v>32563.439999999999</v>
      </c>
      <c r="G154" s="202">
        <f t="shared" si="7"/>
        <v>32563.439999999999</v>
      </c>
      <c r="H154" s="202">
        <f t="shared" si="7"/>
        <v>32563.439999999999</v>
      </c>
      <c r="I154" s="202">
        <v>32584.44</v>
      </c>
      <c r="J154" s="202">
        <v>32584.44</v>
      </c>
      <c r="K154" s="202">
        <v>32584.44</v>
      </c>
      <c r="L154" s="202">
        <v>32584.44</v>
      </c>
      <c r="M154" s="202">
        <v>32584.44</v>
      </c>
      <c r="N154" s="202"/>
      <c r="O154" s="226">
        <f t="shared" si="6"/>
        <v>358302.83999999997</v>
      </c>
    </row>
    <row r="155" spans="1:15">
      <c r="A155" s="188">
        <v>27</v>
      </c>
      <c r="B155" s="192" t="str">
        <f t="shared" si="3"/>
        <v>YUDA HERMAWAN</v>
      </c>
      <c r="C155" s="202">
        <f t="shared" si="7"/>
        <v>32563.439999999999</v>
      </c>
      <c r="D155" s="202">
        <f t="shared" si="7"/>
        <v>32563.439999999999</v>
      </c>
      <c r="E155" s="202">
        <f t="shared" si="7"/>
        <v>32563.439999999999</v>
      </c>
      <c r="F155" s="202">
        <f t="shared" si="7"/>
        <v>32563.439999999999</v>
      </c>
      <c r="G155" s="202">
        <f t="shared" si="7"/>
        <v>32563.439999999999</v>
      </c>
      <c r="H155" s="202">
        <f t="shared" si="7"/>
        <v>32563.439999999999</v>
      </c>
      <c r="I155" s="202">
        <v>32605.439999999999</v>
      </c>
      <c r="J155" s="202">
        <v>32605.439999999999</v>
      </c>
      <c r="K155" s="202">
        <v>32605.439999999999</v>
      </c>
      <c r="L155" s="202">
        <v>32605.439999999999</v>
      </c>
      <c r="M155" s="202">
        <v>32605.439999999999</v>
      </c>
      <c r="N155" s="202"/>
      <c r="O155" s="226">
        <f t="shared" si="6"/>
        <v>358407.83999999997</v>
      </c>
    </row>
    <row r="156" spans="1:15">
      <c r="A156" s="188">
        <v>28</v>
      </c>
      <c r="B156" s="192" t="str">
        <f t="shared" si="3"/>
        <v>SABIBI</v>
      </c>
      <c r="C156" s="202">
        <f t="shared" si="7"/>
        <v>32563.439999999999</v>
      </c>
      <c r="D156" s="202">
        <f t="shared" si="7"/>
        <v>32563.439999999999</v>
      </c>
      <c r="E156" s="202">
        <f t="shared" si="7"/>
        <v>32563.439999999999</v>
      </c>
      <c r="F156" s="202">
        <f t="shared" si="7"/>
        <v>32563.439999999999</v>
      </c>
      <c r="G156" s="202">
        <f t="shared" si="7"/>
        <v>32563.439999999999</v>
      </c>
      <c r="H156" s="202">
        <f t="shared" si="7"/>
        <v>32563.439999999999</v>
      </c>
      <c r="I156" s="202">
        <v>32765.039999999997</v>
      </c>
      <c r="J156" s="202">
        <v>32765.039999999997</v>
      </c>
      <c r="K156" s="202">
        <v>32790.239999999998</v>
      </c>
      <c r="L156" s="202">
        <v>32790.239999999998</v>
      </c>
      <c r="M156" s="202">
        <v>32790.239999999998</v>
      </c>
      <c r="N156" s="202"/>
      <c r="O156" s="226">
        <f t="shared" si="6"/>
        <v>359281.44</v>
      </c>
    </row>
    <row r="157" spans="1:15">
      <c r="A157" s="188">
        <v>29</v>
      </c>
      <c r="B157" s="192" t="str">
        <f t="shared" si="3"/>
        <v>ADI SANJAYA</v>
      </c>
      <c r="C157" s="202">
        <f t="shared" si="7"/>
        <v>32563.439999999999</v>
      </c>
      <c r="D157" s="202">
        <f t="shared" si="7"/>
        <v>32563.439999999999</v>
      </c>
      <c r="E157" s="202">
        <f t="shared" si="7"/>
        <v>32563.439999999999</v>
      </c>
      <c r="F157" s="202">
        <f t="shared" si="7"/>
        <v>32563.439999999999</v>
      </c>
      <c r="G157" s="202">
        <f t="shared" si="7"/>
        <v>32563.439999999999</v>
      </c>
      <c r="H157" s="202">
        <f t="shared" si="7"/>
        <v>32563.439999999999</v>
      </c>
      <c r="I157" s="202">
        <v>32765.039999999997</v>
      </c>
      <c r="J157" s="202">
        <v>32765.039999999997</v>
      </c>
      <c r="K157" s="202">
        <v>32765.039999999997</v>
      </c>
      <c r="L157" s="202">
        <v>32765.039999999997</v>
      </c>
      <c r="M157" s="202">
        <v>32790.239999999998</v>
      </c>
      <c r="N157" s="202"/>
      <c r="O157" s="226">
        <f t="shared" si="6"/>
        <v>359231.04</v>
      </c>
    </row>
    <row r="158" spans="1:15">
      <c r="A158" s="188">
        <v>30</v>
      </c>
      <c r="B158" s="192" t="str">
        <f t="shared" si="3"/>
        <v>ANDI ( ASNA )</v>
      </c>
      <c r="C158" s="202">
        <f t="shared" si="7"/>
        <v>32563.439999999999</v>
      </c>
      <c r="D158" s="202">
        <f t="shared" si="7"/>
        <v>32563.439999999999</v>
      </c>
      <c r="E158" s="202">
        <f t="shared" si="7"/>
        <v>32563.439999999999</v>
      </c>
      <c r="F158" s="202">
        <f t="shared" si="7"/>
        <v>32563.439999999999</v>
      </c>
      <c r="G158" s="202">
        <f t="shared" si="7"/>
        <v>32563.439999999999</v>
      </c>
      <c r="H158" s="202">
        <f t="shared" si="7"/>
        <v>32563.439999999999</v>
      </c>
      <c r="I158" s="202">
        <v>32765.039999999997</v>
      </c>
      <c r="J158" s="202">
        <v>32765.039999999997</v>
      </c>
      <c r="K158" s="202">
        <v>32765.039999999997</v>
      </c>
      <c r="L158" s="202">
        <v>32765.039999999997</v>
      </c>
      <c r="M158" s="202">
        <v>32765.039999999997</v>
      </c>
      <c r="N158" s="202"/>
      <c r="O158" s="226">
        <f t="shared" si="6"/>
        <v>359205.83999999997</v>
      </c>
    </row>
    <row r="159" spans="1:15">
      <c r="A159" s="188">
        <v>31</v>
      </c>
      <c r="B159" s="192" t="str">
        <f t="shared" si="3"/>
        <v>EFRIYONO</v>
      </c>
      <c r="C159" s="202">
        <f t="shared" si="7"/>
        <v>32563.439999999999</v>
      </c>
      <c r="D159" s="202">
        <f t="shared" si="7"/>
        <v>32563.439999999999</v>
      </c>
      <c r="E159" s="202">
        <f t="shared" si="7"/>
        <v>32563.439999999999</v>
      </c>
      <c r="F159" s="202">
        <f t="shared" si="7"/>
        <v>32563.439999999999</v>
      </c>
      <c r="G159" s="202">
        <f t="shared" si="7"/>
        <v>32563.439999999999</v>
      </c>
      <c r="H159" s="202">
        <f t="shared" si="7"/>
        <v>32563.439999999999</v>
      </c>
      <c r="I159" s="202">
        <v>32790.239999999998</v>
      </c>
      <c r="J159" s="202">
        <v>32790.239999999998</v>
      </c>
      <c r="K159" s="202">
        <v>32790.239999999998</v>
      </c>
      <c r="L159" s="202">
        <v>32790.239999999998</v>
      </c>
      <c r="M159" s="202">
        <v>32790.239999999998</v>
      </c>
      <c r="N159" s="202"/>
      <c r="O159" s="226">
        <f t="shared" si="6"/>
        <v>359331.83999999997</v>
      </c>
    </row>
    <row r="160" spans="1:15">
      <c r="A160" s="188">
        <v>32</v>
      </c>
      <c r="B160" s="192" t="str">
        <f t="shared" si="3"/>
        <v>ERI HANDRAYANI</v>
      </c>
      <c r="C160" s="202">
        <f t="shared" si="7"/>
        <v>32563.439999999999</v>
      </c>
      <c r="D160" s="202">
        <f t="shared" si="7"/>
        <v>32563.439999999999</v>
      </c>
      <c r="E160" s="202">
        <f t="shared" si="7"/>
        <v>32563.439999999999</v>
      </c>
      <c r="F160" s="202">
        <f t="shared" si="7"/>
        <v>32563.439999999999</v>
      </c>
      <c r="G160" s="202">
        <f t="shared" si="7"/>
        <v>32563.439999999999</v>
      </c>
      <c r="H160" s="202">
        <f t="shared" si="7"/>
        <v>32563.439999999999</v>
      </c>
      <c r="I160" s="202">
        <v>32790.239999999998</v>
      </c>
      <c r="J160" s="202">
        <v>32790.239999999998</v>
      </c>
      <c r="K160" s="202">
        <v>32790.239999999998</v>
      </c>
      <c r="L160" s="202">
        <v>32790.239999999998</v>
      </c>
      <c r="M160" s="202">
        <v>32790.239999999998</v>
      </c>
      <c r="N160" s="202"/>
      <c r="O160" s="226">
        <f t="shared" si="6"/>
        <v>359331.83999999997</v>
      </c>
    </row>
    <row r="161" spans="1:15">
      <c r="A161" s="188">
        <v>33</v>
      </c>
      <c r="B161" s="192" t="str">
        <f t="shared" ref="B161:B192" si="9">+B40</f>
        <v>FERBI H</v>
      </c>
      <c r="C161" s="202">
        <f t="shared" si="7"/>
        <v>32563.439999999999</v>
      </c>
      <c r="D161" s="202">
        <f t="shared" si="7"/>
        <v>32563.439999999999</v>
      </c>
      <c r="E161" s="202">
        <f t="shared" si="7"/>
        <v>32563.439999999999</v>
      </c>
      <c r="F161" s="202">
        <f t="shared" si="7"/>
        <v>32563.439999999999</v>
      </c>
      <c r="G161" s="202">
        <f t="shared" si="7"/>
        <v>32563.439999999999</v>
      </c>
      <c r="H161" s="202">
        <f t="shared" si="7"/>
        <v>32563.439999999999</v>
      </c>
      <c r="I161" s="202">
        <v>32765.039999999997</v>
      </c>
      <c r="J161" s="202">
        <v>32765.039999999997</v>
      </c>
      <c r="K161" s="202">
        <v>32790.239999999998</v>
      </c>
      <c r="L161" s="202">
        <v>32790.239999999998</v>
      </c>
      <c r="M161" s="202">
        <v>32790.239999999998</v>
      </c>
      <c r="N161" s="202"/>
      <c r="O161" s="226">
        <f t="shared" si="6"/>
        <v>359281.44</v>
      </c>
    </row>
    <row r="162" spans="1:15">
      <c r="A162" s="188">
        <v>34</v>
      </c>
      <c r="B162" s="192" t="str">
        <f t="shared" si="9"/>
        <v>HAIDI</v>
      </c>
      <c r="C162" s="202">
        <f t="shared" ref="C162:H235" si="10">3876600*0.84%</f>
        <v>32563.439999999999</v>
      </c>
      <c r="D162" s="202">
        <f t="shared" si="10"/>
        <v>32563.439999999999</v>
      </c>
      <c r="E162" s="202">
        <f t="shared" si="10"/>
        <v>32563.439999999999</v>
      </c>
      <c r="F162" s="202">
        <f t="shared" si="10"/>
        <v>32563.439999999999</v>
      </c>
      <c r="G162" s="202">
        <f t="shared" si="10"/>
        <v>32563.439999999999</v>
      </c>
      <c r="H162" s="202">
        <f t="shared" si="10"/>
        <v>32563.439999999999</v>
      </c>
      <c r="I162" s="202">
        <v>32739.839999999997</v>
      </c>
      <c r="J162" s="202">
        <v>32739.839999999997</v>
      </c>
      <c r="K162" s="202">
        <v>32739.839999999997</v>
      </c>
      <c r="L162" s="202">
        <v>32765.039999999997</v>
      </c>
      <c r="M162" s="202">
        <v>32765.039999999997</v>
      </c>
      <c r="N162" s="202"/>
      <c r="O162" s="226">
        <f t="shared" si="6"/>
        <v>359130.23999999993</v>
      </c>
    </row>
    <row r="163" spans="1:15">
      <c r="A163" s="188">
        <v>35</v>
      </c>
      <c r="B163" s="192" t="str">
        <f t="shared" si="9"/>
        <v>IRHAS</v>
      </c>
      <c r="C163" s="202">
        <f t="shared" si="10"/>
        <v>32563.439999999999</v>
      </c>
      <c r="D163" s="202">
        <f t="shared" si="10"/>
        <v>32563.439999999999</v>
      </c>
      <c r="E163" s="202">
        <f t="shared" si="10"/>
        <v>32563.439999999999</v>
      </c>
      <c r="F163" s="202">
        <f t="shared" si="10"/>
        <v>32563.439999999999</v>
      </c>
      <c r="G163" s="202">
        <f t="shared" si="10"/>
        <v>32563.439999999999</v>
      </c>
      <c r="H163" s="202">
        <f t="shared" si="10"/>
        <v>32563.439999999999</v>
      </c>
      <c r="I163" s="202">
        <v>32739.839999999997</v>
      </c>
      <c r="J163" s="202">
        <v>32739.839999999997</v>
      </c>
      <c r="K163" s="202">
        <v>32739.839999999997</v>
      </c>
      <c r="L163" s="202">
        <v>32739.839999999997</v>
      </c>
      <c r="M163" s="202">
        <v>32739.839999999997</v>
      </c>
      <c r="N163" s="202"/>
      <c r="O163" s="226">
        <f t="shared" si="6"/>
        <v>359079.83999999997</v>
      </c>
    </row>
    <row r="164" spans="1:15">
      <c r="A164" s="188">
        <v>36</v>
      </c>
      <c r="B164" s="192" t="str">
        <f t="shared" si="9"/>
        <v>YANUAR</v>
      </c>
      <c r="C164" s="202">
        <f t="shared" si="10"/>
        <v>32563.439999999999</v>
      </c>
      <c r="D164" s="202">
        <f t="shared" si="10"/>
        <v>32563.439999999999</v>
      </c>
      <c r="E164" s="202">
        <f t="shared" si="10"/>
        <v>32563.439999999999</v>
      </c>
      <c r="F164" s="202">
        <f t="shared" si="10"/>
        <v>32563.439999999999</v>
      </c>
      <c r="G164" s="202">
        <f t="shared" si="10"/>
        <v>32563.439999999999</v>
      </c>
      <c r="H164" s="202">
        <f t="shared" si="10"/>
        <v>32563.439999999999</v>
      </c>
      <c r="I164" s="202">
        <v>32815.439999999995</v>
      </c>
      <c r="J164" s="202">
        <v>32815.439999999995</v>
      </c>
      <c r="K164" s="202">
        <v>32840.639999999999</v>
      </c>
      <c r="L164" s="202">
        <v>32840.639999999999</v>
      </c>
      <c r="M164" s="202">
        <v>32840.639999999999</v>
      </c>
      <c r="N164" s="202"/>
      <c r="O164" s="226">
        <f t="shared" si="6"/>
        <v>359533.44</v>
      </c>
    </row>
    <row r="165" spans="1:15">
      <c r="A165" s="188">
        <v>37</v>
      </c>
      <c r="B165" s="192" t="str">
        <f t="shared" si="9"/>
        <v>SEVENDRI</v>
      </c>
      <c r="C165" s="202">
        <f t="shared" si="10"/>
        <v>32563.439999999999</v>
      </c>
      <c r="D165" s="202">
        <f t="shared" si="10"/>
        <v>32563.439999999999</v>
      </c>
      <c r="E165" s="202">
        <f t="shared" si="10"/>
        <v>32563.439999999999</v>
      </c>
      <c r="F165" s="202">
        <f t="shared" si="10"/>
        <v>32563.439999999999</v>
      </c>
      <c r="G165" s="202">
        <f t="shared" si="10"/>
        <v>32563.439999999999</v>
      </c>
      <c r="H165" s="202">
        <f t="shared" si="10"/>
        <v>32563.439999999999</v>
      </c>
      <c r="I165" s="202">
        <v>32790.239999999998</v>
      </c>
      <c r="J165" s="202">
        <v>32790.239999999998</v>
      </c>
      <c r="K165" s="202">
        <v>32790.239999999998</v>
      </c>
      <c r="L165" s="202">
        <v>32790.239999999998</v>
      </c>
      <c r="M165" s="202">
        <v>32790.239999999998</v>
      </c>
      <c r="N165" s="202"/>
      <c r="O165" s="226">
        <f t="shared" si="6"/>
        <v>359331.83999999997</v>
      </c>
    </row>
    <row r="166" spans="1:15">
      <c r="A166" s="188">
        <v>38</v>
      </c>
      <c r="B166" s="192" t="str">
        <f t="shared" si="9"/>
        <v>PURGANDI</v>
      </c>
      <c r="C166" s="202">
        <f t="shared" si="10"/>
        <v>32563.439999999999</v>
      </c>
      <c r="D166" s="202">
        <f t="shared" si="10"/>
        <v>32563.439999999999</v>
      </c>
      <c r="E166" s="202">
        <f t="shared" si="10"/>
        <v>32563.439999999999</v>
      </c>
      <c r="F166" s="202">
        <f t="shared" si="10"/>
        <v>32563.439999999999</v>
      </c>
      <c r="G166" s="202">
        <f t="shared" si="10"/>
        <v>32563.439999999999</v>
      </c>
      <c r="H166" s="202">
        <f t="shared" si="10"/>
        <v>32563.439999999999</v>
      </c>
      <c r="I166" s="202">
        <v>32790.239999999998</v>
      </c>
      <c r="J166" s="202">
        <v>32790.239999999998</v>
      </c>
      <c r="K166" s="202">
        <v>32790.239999999998</v>
      </c>
      <c r="L166" s="202">
        <v>32790.239999999998</v>
      </c>
      <c r="M166" s="202">
        <v>32790.239999999998</v>
      </c>
      <c r="N166" s="202"/>
      <c r="O166" s="226">
        <f t="shared" si="6"/>
        <v>359331.83999999997</v>
      </c>
    </row>
    <row r="167" spans="1:15">
      <c r="A167" s="188">
        <v>39</v>
      </c>
      <c r="B167" s="192" t="str">
        <f t="shared" si="9"/>
        <v>RICKI PUTRA</v>
      </c>
      <c r="C167" s="202">
        <f t="shared" si="10"/>
        <v>32563.439999999999</v>
      </c>
      <c r="D167" s="202">
        <f t="shared" si="10"/>
        <v>32563.439999999999</v>
      </c>
      <c r="E167" s="202">
        <f t="shared" si="10"/>
        <v>32563.439999999999</v>
      </c>
      <c r="F167" s="202">
        <f t="shared" si="10"/>
        <v>32563.439999999999</v>
      </c>
      <c r="G167" s="202">
        <f t="shared" si="10"/>
        <v>32563.439999999999</v>
      </c>
      <c r="H167" s="202">
        <f t="shared" si="10"/>
        <v>32563.439999999999</v>
      </c>
      <c r="I167" s="202">
        <v>32765.039999999997</v>
      </c>
      <c r="J167" s="202">
        <v>32765.039999999997</v>
      </c>
      <c r="K167" s="202">
        <v>32765.039999999997</v>
      </c>
      <c r="L167" s="202">
        <v>32765.039999999997</v>
      </c>
      <c r="M167" s="202">
        <v>32765.039999999997</v>
      </c>
      <c r="N167" s="202"/>
      <c r="O167" s="226">
        <f t="shared" si="6"/>
        <v>359205.83999999997</v>
      </c>
    </row>
    <row r="168" spans="1:15">
      <c r="A168" s="188">
        <v>40</v>
      </c>
      <c r="B168" s="192" t="str">
        <f t="shared" si="9"/>
        <v>ROLAND AGUSTA</v>
      </c>
      <c r="C168" s="202">
        <f t="shared" si="10"/>
        <v>32563.439999999999</v>
      </c>
      <c r="D168" s="202">
        <f t="shared" si="10"/>
        <v>32563.439999999999</v>
      </c>
      <c r="E168" s="202">
        <f t="shared" si="10"/>
        <v>32563.439999999999</v>
      </c>
      <c r="F168" s="202">
        <f t="shared" si="10"/>
        <v>32563.439999999999</v>
      </c>
      <c r="G168" s="202">
        <f t="shared" si="10"/>
        <v>32563.439999999999</v>
      </c>
      <c r="H168" s="202">
        <f t="shared" si="10"/>
        <v>32563.439999999999</v>
      </c>
      <c r="I168" s="202">
        <v>32739.839999999997</v>
      </c>
      <c r="J168" s="202">
        <v>32739.839999999997</v>
      </c>
      <c r="K168" s="202">
        <v>32739.839999999997</v>
      </c>
      <c r="L168" s="202">
        <v>32739.839999999997</v>
      </c>
      <c r="M168" s="202">
        <v>32739.839999999997</v>
      </c>
      <c r="N168" s="202"/>
      <c r="O168" s="226">
        <f t="shared" si="6"/>
        <v>359079.83999999997</v>
      </c>
    </row>
    <row r="169" spans="1:15">
      <c r="A169" s="188">
        <v>41</v>
      </c>
      <c r="B169" s="192" t="str">
        <f t="shared" si="9"/>
        <v>SAHDAN</v>
      </c>
      <c r="C169" s="202">
        <f t="shared" si="10"/>
        <v>32563.439999999999</v>
      </c>
      <c r="D169" s="202">
        <f t="shared" si="10"/>
        <v>32563.439999999999</v>
      </c>
      <c r="E169" s="202">
        <f t="shared" si="10"/>
        <v>32563.439999999999</v>
      </c>
      <c r="F169" s="202">
        <f t="shared" si="10"/>
        <v>32563.439999999999</v>
      </c>
      <c r="G169" s="202">
        <f t="shared" si="10"/>
        <v>32563.439999999999</v>
      </c>
      <c r="H169" s="202">
        <f t="shared" si="10"/>
        <v>32563.439999999999</v>
      </c>
      <c r="I169" s="202">
        <v>32790.239999999998</v>
      </c>
      <c r="J169" s="202">
        <v>32790.239999999998</v>
      </c>
      <c r="K169" s="202">
        <v>32790.239999999998</v>
      </c>
      <c r="L169" s="202">
        <v>32790.239999999998</v>
      </c>
      <c r="M169" s="202">
        <v>32790.239999999998</v>
      </c>
      <c r="N169" s="202"/>
      <c r="O169" s="226">
        <f t="shared" si="6"/>
        <v>359331.83999999997</v>
      </c>
    </row>
    <row r="170" spans="1:15">
      <c r="A170" s="188">
        <v>42</v>
      </c>
      <c r="B170" s="192" t="str">
        <f t="shared" si="9"/>
        <v>YOPIE ,T</v>
      </c>
      <c r="C170" s="202">
        <f t="shared" si="10"/>
        <v>32563.439999999999</v>
      </c>
      <c r="D170" s="202">
        <f t="shared" si="10"/>
        <v>32563.439999999999</v>
      </c>
      <c r="E170" s="202">
        <f t="shared" si="10"/>
        <v>32563.439999999999</v>
      </c>
      <c r="F170" s="202">
        <f t="shared" si="10"/>
        <v>32563.439999999999</v>
      </c>
      <c r="G170" s="202">
        <f t="shared" si="10"/>
        <v>32563.439999999999</v>
      </c>
      <c r="H170" s="202">
        <f t="shared" si="10"/>
        <v>32563.439999999999</v>
      </c>
      <c r="I170" s="202">
        <v>32790.239999999998</v>
      </c>
      <c r="J170" s="202">
        <v>32790.239999999998</v>
      </c>
      <c r="K170" s="202">
        <v>32790.239999999998</v>
      </c>
      <c r="L170" s="202">
        <v>32790.239999999998</v>
      </c>
      <c r="M170" s="202">
        <v>32790.239999999998</v>
      </c>
      <c r="N170" s="202"/>
      <c r="O170" s="226">
        <f t="shared" si="6"/>
        <v>359331.83999999997</v>
      </c>
    </row>
    <row r="171" spans="1:15">
      <c r="A171" s="188">
        <v>43</v>
      </c>
      <c r="B171" s="192" t="str">
        <f t="shared" si="9"/>
        <v>ELYANDI</v>
      </c>
      <c r="C171" s="202">
        <f t="shared" si="10"/>
        <v>32563.439999999999</v>
      </c>
      <c r="D171" s="202">
        <f t="shared" si="10"/>
        <v>32563.439999999999</v>
      </c>
      <c r="E171" s="202">
        <f t="shared" si="10"/>
        <v>32563.439999999999</v>
      </c>
      <c r="F171" s="202">
        <f t="shared" si="10"/>
        <v>32563.439999999999</v>
      </c>
      <c r="G171" s="202">
        <f t="shared" si="10"/>
        <v>32563.439999999999</v>
      </c>
      <c r="H171" s="202">
        <f t="shared" si="10"/>
        <v>32563.439999999999</v>
      </c>
      <c r="I171" s="202">
        <v>32647.439999999999</v>
      </c>
      <c r="J171" s="202">
        <v>32668.44</v>
      </c>
      <c r="K171" s="202">
        <v>32668.44</v>
      </c>
      <c r="L171" s="202">
        <v>32668.44</v>
      </c>
      <c r="M171" s="202">
        <v>32668.44</v>
      </c>
      <c r="N171" s="202"/>
      <c r="O171" s="226">
        <f t="shared" si="6"/>
        <v>358701.83999999997</v>
      </c>
    </row>
    <row r="172" spans="1:15">
      <c r="A172" s="188">
        <v>44</v>
      </c>
      <c r="B172" s="192" t="str">
        <f t="shared" si="9"/>
        <v>ALI MAS DESI</v>
      </c>
      <c r="C172" s="202">
        <f t="shared" si="10"/>
        <v>32563.439999999999</v>
      </c>
      <c r="D172" s="202">
        <f t="shared" si="10"/>
        <v>32563.439999999999</v>
      </c>
      <c r="E172" s="202">
        <f t="shared" si="10"/>
        <v>32563.439999999999</v>
      </c>
      <c r="F172" s="202">
        <f t="shared" si="10"/>
        <v>32563.439999999999</v>
      </c>
      <c r="G172" s="202">
        <f t="shared" si="10"/>
        <v>32563.439999999999</v>
      </c>
      <c r="H172" s="202">
        <f t="shared" si="10"/>
        <v>32563.439999999999</v>
      </c>
      <c r="I172" s="202">
        <v>32626.44</v>
      </c>
      <c r="J172" s="202">
        <v>32626.44</v>
      </c>
      <c r="K172" s="202">
        <v>32626.44</v>
      </c>
      <c r="L172" s="202">
        <v>32626.44</v>
      </c>
      <c r="M172" s="202">
        <v>32626.44</v>
      </c>
      <c r="N172" s="202"/>
      <c r="O172" s="226">
        <f t="shared" si="6"/>
        <v>358512.83999999997</v>
      </c>
    </row>
    <row r="173" spans="1:15">
      <c r="A173" s="188">
        <v>45</v>
      </c>
      <c r="B173" s="192" t="str">
        <f t="shared" si="9"/>
        <v>HARYANTO</v>
      </c>
      <c r="C173" s="202">
        <f t="shared" si="10"/>
        <v>32563.439999999999</v>
      </c>
      <c r="D173" s="202">
        <f t="shared" si="10"/>
        <v>32563.439999999999</v>
      </c>
      <c r="E173" s="202">
        <f t="shared" si="10"/>
        <v>32563.439999999999</v>
      </c>
      <c r="F173" s="202">
        <f t="shared" si="10"/>
        <v>32563.439999999999</v>
      </c>
      <c r="G173" s="202">
        <f t="shared" si="10"/>
        <v>32563.439999999999</v>
      </c>
      <c r="H173" s="202">
        <f t="shared" si="10"/>
        <v>32563.439999999999</v>
      </c>
      <c r="I173" s="202">
        <v>32765.039999999997</v>
      </c>
      <c r="J173" s="202">
        <v>32765.039999999997</v>
      </c>
      <c r="K173" s="202">
        <v>32790.239999999998</v>
      </c>
      <c r="L173" s="202">
        <v>32790.239999999998</v>
      </c>
      <c r="M173" s="202">
        <v>32790.239999999998</v>
      </c>
      <c r="N173" s="202"/>
      <c r="O173" s="226">
        <f t="shared" si="6"/>
        <v>359281.44</v>
      </c>
    </row>
    <row r="174" spans="1:15">
      <c r="A174" s="188">
        <v>46</v>
      </c>
      <c r="B174" s="192" t="str">
        <f t="shared" si="9"/>
        <v>ROSMANSYAH</v>
      </c>
      <c r="C174" s="202">
        <f t="shared" si="10"/>
        <v>32563.439999999999</v>
      </c>
      <c r="D174" s="202">
        <f t="shared" si="10"/>
        <v>32563.439999999999</v>
      </c>
      <c r="E174" s="202">
        <f t="shared" si="10"/>
        <v>32563.439999999999</v>
      </c>
      <c r="F174" s="202">
        <f t="shared" si="10"/>
        <v>32563.439999999999</v>
      </c>
      <c r="G174" s="202">
        <f t="shared" si="10"/>
        <v>32563.439999999999</v>
      </c>
      <c r="H174" s="202">
        <f t="shared" si="10"/>
        <v>32563.439999999999</v>
      </c>
      <c r="I174" s="202">
        <v>32739.839999999997</v>
      </c>
      <c r="J174" s="202">
        <v>32739.839999999997</v>
      </c>
      <c r="K174" s="202">
        <v>32739.839999999997</v>
      </c>
      <c r="L174" s="202">
        <v>32739.839999999997</v>
      </c>
      <c r="M174" s="202">
        <v>32739.839999999997</v>
      </c>
      <c r="N174" s="202"/>
      <c r="O174" s="226">
        <f t="shared" si="6"/>
        <v>359079.83999999997</v>
      </c>
    </row>
    <row r="175" spans="1:15">
      <c r="A175" s="188">
        <v>47</v>
      </c>
      <c r="B175" s="192" t="str">
        <f t="shared" si="9"/>
        <v>KAMALUDIN</v>
      </c>
      <c r="C175" s="202">
        <f t="shared" si="10"/>
        <v>32563.439999999999</v>
      </c>
      <c r="D175" s="202">
        <f t="shared" si="10"/>
        <v>32563.439999999999</v>
      </c>
      <c r="E175" s="202">
        <f t="shared" si="10"/>
        <v>32563.439999999999</v>
      </c>
      <c r="F175" s="202">
        <f t="shared" si="10"/>
        <v>32563.439999999999</v>
      </c>
      <c r="G175" s="202">
        <f t="shared" si="10"/>
        <v>32563.439999999999</v>
      </c>
      <c r="H175" s="202">
        <f t="shared" si="10"/>
        <v>32563.439999999999</v>
      </c>
      <c r="I175" s="202">
        <v>32739.839999999997</v>
      </c>
      <c r="J175" s="202">
        <v>32739.839999999997</v>
      </c>
      <c r="K175" s="202">
        <v>32739.839999999997</v>
      </c>
      <c r="L175" s="202">
        <v>32739.839999999997</v>
      </c>
      <c r="M175" s="202">
        <v>32739.839999999997</v>
      </c>
      <c r="N175" s="202"/>
      <c r="O175" s="226">
        <f t="shared" si="6"/>
        <v>359079.83999999997</v>
      </c>
    </row>
    <row r="176" spans="1:15">
      <c r="A176" s="188">
        <v>48</v>
      </c>
      <c r="B176" s="192" t="str">
        <f t="shared" si="9"/>
        <v>AZRI DONA</v>
      </c>
      <c r="C176" s="202">
        <f t="shared" si="10"/>
        <v>32563.439999999999</v>
      </c>
      <c r="D176" s="202">
        <f t="shared" si="10"/>
        <v>32563.439999999999</v>
      </c>
      <c r="E176" s="202">
        <f t="shared" si="10"/>
        <v>32563.439999999999</v>
      </c>
      <c r="F176" s="202">
        <f t="shared" si="10"/>
        <v>32563.439999999999</v>
      </c>
      <c r="G176" s="202">
        <f t="shared" si="10"/>
        <v>32563.439999999999</v>
      </c>
      <c r="H176" s="202">
        <f t="shared" si="10"/>
        <v>32563.439999999999</v>
      </c>
      <c r="I176" s="202">
        <v>32765.039999999997</v>
      </c>
      <c r="J176" s="202">
        <v>32790.239999999998</v>
      </c>
      <c r="K176" s="202">
        <v>32790.239999999998</v>
      </c>
      <c r="L176" s="202">
        <v>32790.239999999998</v>
      </c>
      <c r="M176" s="202">
        <v>32790.239999999998</v>
      </c>
      <c r="N176" s="202"/>
      <c r="O176" s="226">
        <f t="shared" si="6"/>
        <v>359306.63999999996</v>
      </c>
    </row>
    <row r="177" spans="1:15">
      <c r="A177" s="188">
        <v>49</v>
      </c>
      <c r="B177" s="192" t="str">
        <f t="shared" si="9"/>
        <v>HALIK</v>
      </c>
      <c r="C177" s="202">
        <f t="shared" ref="C177:H236" si="11">3876600*0.84%</f>
        <v>32563.439999999999</v>
      </c>
      <c r="D177" s="202">
        <f t="shared" si="11"/>
        <v>32563.439999999999</v>
      </c>
      <c r="E177" s="202">
        <f t="shared" si="11"/>
        <v>32563.439999999999</v>
      </c>
      <c r="F177" s="202">
        <f t="shared" si="11"/>
        <v>32563.439999999999</v>
      </c>
      <c r="G177" s="202">
        <f t="shared" si="11"/>
        <v>32563.439999999999</v>
      </c>
      <c r="H177" s="202">
        <f t="shared" si="11"/>
        <v>32563.439999999999</v>
      </c>
      <c r="I177" s="202">
        <v>32605.439999999999</v>
      </c>
      <c r="J177" s="202">
        <v>32605.439999999999</v>
      </c>
      <c r="K177" s="202">
        <v>32605.439999999999</v>
      </c>
      <c r="L177" s="202">
        <v>32605.439999999999</v>
      </c>
      <c r="M177" s="202">
        <v>32605.439999999999</v>
      </c>
      <c r="N177" s="202"/>
      <c r="O177" s="226">
        <f t="shared" si="6"/>
        <v>358407.83999999997</v>
      </c>
    </row>
    <row r="178" spans="1:15">
      <c r="A178" s="188">
        <v>50</v>
      </c>
      <c r="B178" s="192" t="str">
        <f t="shared" si="9"/>
        <v>KARTONO</v>
      </c>
      <c r="C178" s="202">
        <f t="shared" si="11"/>
        <v>32563.439999999999</v>
      </c>
      <c r="D178" s="202">
        <f t="shared" si="11"/>
        <v>32563.439999999999</v>
      </c>
      <c r="E178" s="202">
        <f t="shared" si="11"/>
        <v>32563.439999999999</v>
      </c>
      <c r="F178" s="202">
        <f t="shared" si="11"/>
        <v>32563.439999999999</v>
      </c>
      <c r="G178" s="202">
        <f t="shared" si="11"/>
        <v>32563.439999999999</v>
      </c>
      <c r="H178" s="202">
        <f t="shared" si="11"/>
        <v>32563.439999999999</v>
      </c>
      <c r="I178" s="202">
        <v>32584.44</v>
      </c>
      <c r="J178" s="202">
        <v>32584.44</v>
      </c>
      <c r="K178" s="202">
        <v>32584.44</v>
      </c>
      <c r="L178" s="202">
        <v>32584.44</v>
      </c>
      <c r="M178" s="202">
        <v>32584.44</v>
      </c>
      <c r="N178" s="202"/>
      <c r="O178" s="226">
        <f t="shared" si="6"/>
        <v>358302.83999999997</v>
      </c>
    </row>
    <row r="179" spans="1:15">
      <c r="A179" s="188">
        <v>51</v>
      </c>
      <c r="B179" s="192" t="str">
        <f t="shared" si="9"/>
        <v>LALU MANAR HADI</v>
      </c>
      <c r="C179" s="202">
        <f t="shared" si="11"/>
        <v>32563.439999999999</v>
      </c>
      <c r="D179" s="202">
        <f t="shared" si="11"/>
        <v>32563.439999999999</v>
      </c>
      <c r="E179" s="202">
        <f t="shared" si="11"/>
        <v>32563.439999999999</v>
      </c>
      <c r="F179" s="202">
        <f t="shared" si="11"/>
        <v>32563.439999999999</v>
      </c>
      <c r="G179" s="202">
        <f t="shared" si="11"/>
        <v>32563.439999999999</v>
      </c>
      <c r="H179" s="202">
        <f t="shared" si="11"/>
        <v>32563.439999999999</v>
      </c>
      <c r="I179" s="202">
        <v>32563.439999999999</v>
      </c>
      <c r="J179" s="202">
        <v>32563.439999999999</v>
      </c>
      <c r="K179" s="202">
        <v>32584.44</v>
      </c>
      <c r="L179" s="202">
        <v>32584.44</v>
      </c>
      <c r="M179" s="202">
        <v>32584.44</v>
      </c>
      <c r="N179" s="202"/>
      <c r="O179" s="226">
        <f t="shared" si="6"/>
        <v>358260.83999999997</v>
      </c>
    </row>
    <row r="180" spans="1:15">
      <c r="A180" s="188">
        <v>52</v>
      </c>
      <c r="B180" s="192" t="str">
        <f t="shared" si="9"/>
        <v>ANHAR</v>
      </c>
      <c r="C180" s="202">
        <f t="shared" si="11"/>
        <v>32563.439999999999</v>
      </c>
      <c r="D180" s="202">
        <f t="shared" si="11"/>
        <v>32563.439999999999</v>
      </c>
      <c r="E180" s="202">
        <f t="shared" si="11"/>
        <v>32563.439999999999</v>
      </c>
      <c r="F180" s="202">
        <f t="shared" si="11"/>
        <v>32563.439999999999</v>
      </c>
      <c r="G180" s="202">
        <f t="shared" si="11"/>
        <v>32563.439999999999</v>
      </c>
      <c r="H180" s="202">
        <f t="shared" si="11"/>
        <v>32563.439999999999</v>
      </c>
      <c r="I180" s="202">
        <v>32563.439999999999</v>
      </c>
      <c r="J180" s="202">
        <v>32563.439999999999</v>
      </c>
      <c r="K180" s="202">
        <v>32563.439999999999</v>
      </c>
      <c r="L180" s="202">
        <v>32563.439999999999</v>
      </c>
      <c r="M180" s="202">
        <v>32563.439999999999</v>
      </c>
      <c r="N180" s="202"/>
      <c r="O180" s="226">
        <f t="shared" si="6"/>
        <v>358197.83999999997</v>
      </c>
    </row>
    <row r="181" spans="1:15">
      <c r="A181" s="188">
        <v>53</v>
      </c>
      <c r="B181" s="192" t="str">
        <f t="shared" si="9"/>
        <v>IRPAN SAMSUDIN</v>
      </c>
      <c r="C181" s="202">
        <f t="shared" si="11"/>
        <v>32563.439999999999</v>
      </c>
      <c r="D181" s="202">
        <f t="shared" si="11"/>
        <v>32563.439999999999</v>
      </c>
      <c r="E181" s="202">
        <f t="shared" si="11"/>
        <v>32563.439999999999</v>
      </c>
      <c r="F181" s="202">
        <f t="shared" si="11"/>
        <v>32563.439999999999</v>
      </c>
      <c r="G181" s="202">
        <f t="shared" si="11"/>
        <v>32563.439999999999</v>
      </c>
      <c r="H181" s="202">
        <f t="shared" si="11"/>
        <v>32563.439999999999</v>
      </c>
      <c r="I181" s="202">
        <v>32563.439999999999</v>
      </c>
      <c r="J181" s="366"/>
      <c r="K181" s="366"/>
      <c r="L181" s="366"/>
      <c r="M181" s="366"/>
      <c r="N181" s="366"/>
      <c r="O181" s="226">
        <f t="shared" si="6"/>
        <v>227944.08</v>
      </c>
    </row>
    <row r="182" spans="1:15">
      <c r="A182" s="188">
        <v>54</v>
      </c>
      <c r="B182" s="192" t="str">
        <f t="shared" si="9"/>
        <v>ADI . JP</v>
      </c>
      <c r="C182" s="202">
        <f t="shared" si="11"/>
        <v>32563.439999999999</v>
      </c>
      <c r="D182" s="202">
        <f t="shared" si="11"/>
        <v>32563.439999999999</v>
      </c>
      <c r="E182" s="202">
        <f t="shared" si="11"/>
        <v>32563.439999999999</v>
      </c>
      <c r="F182" s="202">
        <f t="shared" si="11"/>
        <v>32563.439999999999</v>
      </c>
      <c r="G182" s="202">
        <f t="shared" si="11"/>
        <v>32563.439999999999</v>
      </c>
      <c r="H182" s="202">
        <f t="shared" si="11"/>
        <v>32563.439999999999</v>
      </c>
      <c r="I182" s="202">
        <v>33021.24</v>
      </c>
      <c r="J182" s="202">
        <v>33021.24</v>
      </c>
      <c r="K182" s="202">
        <v>33021.24</v>
      </c>
      <c r="L182" s="202">
        <v>33021.24</v>
      </c>
      <c r="M182" s="202">
        <v>33021.24</v>
      </c>
      <c r="N182" s="202"/>
      <c r="O182" s="226">
        <f t="shared" si="6"/>
        <v>360486.83999999997</v>
      </c>
    </row>
    <row r="183" spans="1:15">
      <c r="A183" s="188">
        <v>55</v>
      </c>
      <c r="B183" s="192" t="str">
        <f t="shared" si="9"/>
        <v>RUDI</v>
      </c>
      <c r="C183" s="202">
        <f t="shared" si="11"/>
        <v>32563.439999999999</v>
      </c>
      <c r="D183" s="202">
        <f t="shared" si="11"/>
        <v>32563.439999999999</v>
      </c>
      <c r="E183" s="202">
        <f t="shared" si="11"/>
        <v>32563.439999999999</v>
      </c>
      <c r="F183" s="202">
        <f t="shared" si="11"/>
        <v>32563.439999999999</v>
      </c>
      <c r="G183" s="202">
        <f t="shared" si="11"/>
        <v>32563.439999999999</v>
      </c>
      <c r="H183" s="202">
        <f t="shared" si="11"/>
        <v>32563.439999999999</v>
      </c>
      <c r="I183" s="202">
        <v>32790.239999999998</v>
      </c>
      <c r="J183" s="202">
        <v>32790.239999999998</v>
      </c>
      <c r="K183" s="202">
        <v>32790.239999999998</v>
      </c>
      <c r="L183" s="202">
        <v>32790.239999999998</v>
      </c>
      <c r="M183" s="202">
        <v>32790.239999999998</v>
      </c>
      <c r="N183" s="202"/>
      <c r="O183" s="226">
        <f t="shared" si="6"/>
        <v>359331.83999999997</v>
      </c>
    </row>
    <row r="184" spans="1:15">
      <c r="A184" s="188">
        <v>56</v>
      </c>
      <c r="B184" s="192" t="str">
        <f t="shared" si="9"/>
        <v>SUDIANTO</v>
      </c>
      <c r="C184" s="202">
        <f t="shared" si="11"/>
        <v>32563.439999999999</v>
      </c>
      <c r="D184" s="202">
        <f t="shared" si="11"/>
        <v>32563.439999999999</v>
      </c>
      <c r="E184" s="202">
        <f t="shared" si="11"/>
        <v>32563.439999999999</v>
      </c>
      <c r="F184" s="202">
        <f t="shared" si="11"/>
        <v>32563.439999999999</v>
      </c>
      <c r="G184" s="202">
        <f t="shared" si="11"/>
        <v>32563.439999999999</v>
      </c>
      <c r="H184" s="202">
        <f t="shared" si="11"/>
        <v>32563.439999999999</v>
      </c>
      <c r="I184" s="202">
        <v>32790.239999999998</v>
      </c>
      <c r="J184" s="202">
        <v>32790.239999999998</v>
      </c>
      <c r="K184" s="202">
        <v>32790.239999999998</v>
      </c>
      <c r="L184" s="202">
        <v>32790.239999999998</v>
      </c>
      <c r="M184" s="202">
        <v>32790.239999999998</v>
      </c>
      <c r="N184" s="202"/>
      <c r="O184" s="226">
        <f t="shared" si="6"/>
        <v>359331.83999999997</v>
      </c>
    </row>
    <row r="185" spans="1:15">
      <c r="A185" s="188">
        <v>57</v>
      </c>
      <c r="B185" s="192" t="str">
        <f t="shared" si="9"/>
        <v>SALEH</v>
      </c>
      <c r="C185" s="202">
        <f t="shared" si="11"/>
        <v>32563.439999999999</v>
      </c>
      <c r="D185" s="202">
        <f t="shared" si="11"/>
        <v>32563.439999999999</v>
      </c>
      <c r="E185" s="202">
        <f t="shared" si="11"/>
        <v>32563.439999999999</v>
      </c>
      <c r="F185" s="202">
        <f t="shared" si="11"/>
        <v>32563.439999999999</v>
      </c>
      <c r="G185" s="202">
        <f t="shared" si="11"/>
        <v>32563.439999999999</v>
      </c>
      <c r="H185" s="202">
        <f t="shared" si="11"/>
        <v>32563.439999999999</v>
      </c>
      <c r="I185" s="202">
        <v>32790.239999999998</v>
      </c>
      <c r="J185" s="202">
        <v>32790.239999999998</v>
      </c>
      <c r="K185" s="202">
        <v>32790.239999999998</v>
      </c>
      <c r="L185" s="202">
        <v>32790.239999999998</v>
      </c>
      <c r="M185" s="202">
        <v>32790.239999999998</v>
      </c>
      <c r="N185" s="202"/>
      <c r="O185" s="226">
        <f t="shared" si="6"/>
        <v>359331.83999999997</v>
      </c>
    </row>
    <row r="186" spans="1:15">
      <c r="A186" s="188">
        <v>58</v>
      </c>
      <c r="B186" s="192" t="str">
        <f t="shared" si="9"/>
        <v>ANDRIANSYAH</v>
      </c>
      <c r="C186" s="202">
        <f t="shared" si="11"/>
        <v>32563.439999999999</v>
      </c>
      <c r="D186" s="202">
        <f t="shared" si="11"/>
        <v>32563.439999999999</v>
      </c>
      <c r="E186" s="202">
        <f t="shared" si="11"/>
        <v>32563.439999999999</v>
      </c>
      <c r="F186" s="202">
        <f t="shared" si="11"/>
        <v>32563.439999999999</v>
      </c>
      <c r="G186" s="202">
        <f t="shared" si="11"/>
        <v>32563.439999999999</v>
      </c>
      <c r="H186" s="202">
        <f t="shared" si="11"/>
        <v>32563.439999999999</v>
      </c>
      <c r="I186" s="202">
        <v>32790.239999999998</v>
      </c>
      <c r="J186" s="202">
        <v>32790.239999999998</v>
      </c>
      <c r="K186" s="202">
        <v>32790.239999999998</v>
      </c>
      <c r="L186" s="202">
        <v>32790.239999999998</v>
      </c>
      <c r="M186" s="202">
        <v>32790.239999999998</v>
      </c>
      <c r="N186" s="202"/>
      <c r="O186" s="226">
        <f t="shared" si="6"/>
        <v>359331.83999999997</v>
      </c>
    </row>
    <row r="187" spans="1:15">
      <c r="A187" s="188">
        <v>59</v>
      </c>
      <c r="B187" s="192" t="str">
        <f t="shared" si="9"/>
        <v>HENDRI</v>
      </c>
      <c r="C187" s="202">
        <f t="shared" si="11"/>
        <v>32563.439999999999</v>
      </c>
      <c r="D187" s="202">
        <f t="shared" si="11"/>
        <v>32563.439999999999</v>
      </c>
      <c r="E187" s="202">
        <f t="shared" si="11"/>
        <v>32563.439999999999</v>
      </c>
      <c r="F187" s="202">
        <f t="shared" si="11"/>
        <v>32563.439999999999</v>
      </c>
      <c r="G187" s="202">
        <f t="shared" si="11"/>
        <v>32563.439999999999</v>
      </c>
      <c r="H187" s="202">
        <f t="shared" si="11"/>
        <v>32563.439999999999</v>
      </c>
      <c r="I187" s="202">
        <v>32790.239999999998</v>
      </c>
      <c r="J187" s="202">
        <v>32790.239999999998</v>
      </c>
      <c r="K187" s="202">
        <v>32790.239999999998</v>
      </c>
      <c r="L187" s="202">
        <v>32790.239999999998</v>
      </c>
      <c r="M187" s="202">
        <v>32790.239999999998</v>
      </c>
      <c r="N187" s="202"/>
      <c r="O187" s="226">
        <f t="shared" si="6"/>
        <v>359331.83999999997</v>
      </c>
    </row>
    <row r="188" spans="1:15">
      <c r="A188" s="188">
        <v>60</v>
      </c>
      <c r="B188" s="192" t="str">
        <f t="shared" si="9"/>
        <v>POPPY ADEYANTI</v>
      </c>
      <c r="C188" s="202">
        <f t="shared" si="11"/>
        <v>32563.439999999999</v>
      </c>
      <c r="D188" s="202">
        <f t="shared" si="11"/>
        <v>32563.439999999999</v>
      </c>
      <c r="E188" s="202">
        <f t="shared" si="11"/>
        <v>32563.439999999999</v>
      </c>
      <c r="F188" s="202">
        <f t="shared" si="11"/>
        <v>32563.439999999999</v>
      </c>
      <c r="G188" s="202">
        <f t="shared" si="11"/>
        <v>32563.439999999999</v>
      </c>
      <c r="H188" s="202">
        <f t="shared" si="11"/>
        <v>32563.439999999999</v>
      </c>
      <c r="I188" s="202">
        <v>32840.639999999999</v>
      </c>
      <c r="J188" s="202">
        <v>32840.639999999999</v>
      </c>
      <c r="K188" s="202">
        <v>32840.639999999999</v>
      </c>
      <c r="L188" s="202">
        <v>32840.639999999999</v>
      </c>
      <c r="M188" s="202">
        <v>32840.639999999999</v>
      </c>
      <c r="N188" s="202"/>
      <c r="O188" s="226">
        <f t="shared" si="6"/>
        <v>359583.84</v>
      </c>
    </row>
    <row r="189" spans="1:15">
      <c r="A189" s="188">
        <v>61</v>
      </c>
      <c r="B189" s="192" t="str">
        <f t="shared" si="9"/>
        <v>HARYADI</v>
      </c>
      <c r="C189" s="202">
        <f t="shared" si="11"/>
        <v>32563.439999999999</v>
      </c>
      <c r="D189" s="202">
        <f t="shared" si="11"/>
        <v>32563.439999999999</v>
      </c>
      <c r="E189" s="202">
        <f t="shared" si="11"/>
        <v>32563.439999999999</v>
      </c>
      <c r="F189" s="202">
        <f t="shared" si="11"/>
        <v>32563.439999999999</v>
      </c>
      <c r="G189" s="202">
        <f t="shared" si="11"/>
        <v>32563.439999999999</v>
      </c>
      <c r="H189" s="202">
        <f t="shared" si="11"/>
        <v>32563.439999999999</v>
      </c>
      <c r="I189" s="202">
        <v>32790.239999999998</v>
      </c>
      <c r="J189" s="202">
        <v>32790.239999999998</v>
      </c>
      <c r="K189" s="202">
        <v>32790.239999999998</v>
      </c>
      <c r="L189" s="202">
        <v>32790.239999999998</v>
      </c>
      <c r="M189" s="202">
        <v>32790.239999999998</v>
      </c>
      <c r="N189" s="202"/>
      <c r="O189" s="226">
        <f t="shared" si="6"/>
        <v>359331.83999999997</v>
      </c>
    </row>
    <row r="190" spans="1:15">
      <c r="A190" s="188">
        <v>62</v>
      </c>
      <c r="B190" s="192">
        <f t="shared" si="9"/>
        <v>0</v>
      </c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26">
        <f t="shared" si="6"/>
        <v>0</v>
      </c>
    </row>
    <row r="191" spans="1:15">
      <c r="A191" s="188">
        <v>63</v>
      </c>
      <c r="B191" s="192">
        <f t="shared" si="9"/>
        <v>0</v>
      </c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26">
        <f t="shared" si="6"/>
        <v>0</v>
      </c>
    </row>
    <row r="192" spans="1:15">
      <c r="A192" s="188">
        <v>64</v>
      </c>
      <c r="B192" s="192">
        <f t="shared" si="9"/>
        <v>0</v>
      </c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26">
        <f t="shared" ref="O192:O230" si="12">SUM(C192:N192)</f>
        <v>0</v>
      </c>
    </row>
    <row r="193" spans="1:15">
      <c r="A193" s="188">
        <v>65</v>
      </c>
      <c r="B193" s="192">
        <f t="shared" ref="B193:B224" si="13">+B72</f>
        <v>0</v>
      </c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26">
        <f t="shared" si="12"/>
        <v>0</v>
      </c>
    </row>
    <row r="194" spans="1:15">
      <c r="A194" s="188">
        <v>66</v>
      </c>
      <c r="B194" s="192">
        <f t="shared" si="13"/>
        <v>0</v>
      </c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26">
        <f t="shared" si="12"/>
        <v>0</v>
      </c>
    </row>
    <row r="195" spans="1:15">
      <c r="A195" s="188">
        <v>67</v>
      </c>
      <c r="B195" s="192">
        <f t="shared" si="13"/>
        <v>0</v>
      </c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26">
        <f t="shared" si="12"/>
        <v>0</v>
      </c>
    </row>
    <row r="196" spans="1:15">
      <c r="A196" s="188">
        <v>68</v>
      </c>
      <c r="B196" s="192">
        <f t="shared" si="13"/>
        <v>0</v>
      </c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26">
        <f t="shared" si="12"/>
        <v>0</v>
      </c>
    </row>
    <row r="197" spans="1:15">
      <c r="A197" s="188">
        <v>69</v>
      </c>
      <c r="B197" s="192">
        <f t="shared" si="13"/>
        <v>0</v>
      </c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26">
        <f t="shared" si="12"/>
        <v>0</v>
      </c>
    </row>
    <row r="198" spans="1:15">
      <c r="A198" s="188">
        <v>70</v>
      </c>
      <c r="B198" s="192">
        <f t="shared" si="13"/>
        <v>0</v>
      </c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26">
        <f t="shared" si="12"/>
        <v>0</v>
      </c>
    </row>
    <row r="199" spans="1:15">
      <c r="A199" s="188">
        <v>71</v>
      </c>
      <c r="B199" s="192">
        <f t="shared" si="13"/>
        <v>0</v>
      </c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26">
        <f t="shared" si="12"/>
        <v>0</v>
      </c>
    </row>
    <row r="200" spans="1:15">
      <c r="A200" s="188">
        <v>72</v>
      </c>
      <c r="B200" s="192">
        <f t="shared" si="13"/>
        <v>0</v>
      </c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26">
        <f t="shared" si="12"/>
        <v>0</v>
      </c>
    </row>
    <row r="201" spans="1:15">
      <c r="A201" s="188">
        <v>73</v>
      </c>
      <c r="B201" s="192">
        <f t="shared" si="13"/>
        <v>0</v>
      </c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26">
        <f t="shared" si="12"/>
        <v>0</v>
      </c>
    </row>
    <row r="202" spans="1:15">
      <c r="A202" s="188">
        <v>74</v>
      </c>
      <c r="B202" s="192">
        <f t="shared" si="13"/>
        <v>0</v>
      </c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26">
        <f t="shared" si="12"/>
        <v>0</v>
      </c>
    </row>
    <row r="203" spans="1:15">
      <c r="A203" s="188">
        <v>75</v>
      </c>
      <c r="B203" s="192">
        <f t="shared" si="13"/>
        <v>0</v>
      </c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26">
        <f t="shared" si="12"/>
        <v>0</v>
      </c>
    </row>
    <row r="204" spans="1:15">
      <c r="A204" s="188">
        <v>76</v>
      </c>
      <c r="B204" s="192">
        <f t="shared" si="13"/>
        <v>0</v>
      </c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26">
        <f t="shared" si="12"/>
        <v>0</v>
      </c>
    </row>
    <row r="205" spans="1:15">
      <c r="A205" s="188">
        <v>77</v>
      </c>
      <c r="B205" s="192">
        <f t="shared" si="13"/>
        <v>0</v>
      </c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26">
        <f t="shared" si="12"/>
        <v>0</v>
      </c>
    </row>
    <row r="206" spans="1:15">
      <c r="A206" s="188">
        <v>78</v>
      </c>
      <c r="B206" s="192">
        <f t="shared" si="13"/>
        <v>0</v>
      </c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26">
        <f t="shared" si="12"/>
        <v>0</v>
      </c>
    </row>
    <row r="207" spans="1:15">
      <c r="A207" s="188">
        <v>79</v>
      </c>
      <c r="B207" s="192">
        <f t="shared" si="13"/>
        <v>0</v>
      </c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26">
        <f t="shared" si="12"/>
        <v>0</v>
      </c>
    </row>
    <row r="208" spans="1:15">
      <c r="A208" s="188">
        <v>80</v>
      </c>
      <c r="B208" s="192">
        <f t="shared" si="13"/>
        <v>0</v>
      </c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26">
        <f t="shared" si="12"/>
        <v>0</v>
      </c>
    </row>
    <row r="209" spans="1:15">
      <c r="A209" s="188">
        <v>81</v>
      </c>
      <c r="B209" s="192">
        <f t="shared" si="13"/>
        <v>0</v>
      </c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26">
        <f t="shared" si="12"/>
        <v>0</v>
      </c>
    </row>
    <row r="210" spans="1:15">
      <c r="A210" s="188">
        <v>82</v>
      </c>
      <c r="B210" s="192">
        <f t="shared" si="13"/>
        <v>0</v>
      </c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26">
        <f t="shared" si="12"/>
        <v>0</v>
      </c>
    </row>
    <row r="211" spans="1:15">
      <c r="A211" s="188">
        <v>83</v>
      </c>
      <c r="B211" s="192">
        <f t="shared" si="13"/>
        <v>0</v>
      </c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26">
        <f t="shared" si="12"/>
        <v>0</v>
      </c>
    </row>
    <row r="212" spans="1:15">
      <c r="A212" s="188">
        <v>84</v>
      </c>
      <c r="B212" s="192">
        <f t="shared" si="13"/>
        <v>0</v>
      </c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26">
        <f t="shared" si="12"/>
        <v>0</v>
      </c>
    </row>
    <row r="213" spans="1:15">
      <c r="A213" s="188">
        <v>85</v>
      </c>
      <c r="B213" s="192">
        <f t="shared" si="13"/>
        <v>0</v>
      </c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26">
        <f t="shared" si="12"/>
        <v>0</v>
      </c>
    </row>
    <row r="214" spans="1:15">
      <c r="A214" s="188">
        <v>86</v>
      </c>
      <c r="B214" s="192">
        <f t="shared" si="13"/>
        <v>0</v>
      </c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26">
        <f t="shared" si="12"/>
        <v>0</v>
      </c>
    </row>
    <row r="215" spans="1:15">
      <c r="A215" s="188">
        <v>87</v>
      </c>
      <c r="B215" s="192">
        <f t="shared" si="13"/>
        <v>0</v>
      </c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26">
        <f t="shared" si="12"/>
        <v>0</v>
      </c>
    </row>
    <row r="216" spans="1:15">
      <c r="A216" s="188">
        <v>88</v>
      </c>
      <c r="B216" s="192">
        <f t="shared" si="13"/>
        <v>0</v>
      </c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26">
        <f t="shared" si="12"/>
        <v>0</v>
      </c>
    </row>
    <row r="217" spans="1:15">
      <c r="A217" s="188">
        <v>89</v>
      </c>
      <c r="B217" s="192">
        <f t="shared" si="13"/>
        <v>0</v>
      </c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26">
        <f t="shared" si="12"/>
        <v>0</v>
      </c>
    </row>
    <row r="218" spans="1:15">
      <c r="A218" s="188">
        <v>90</v>
      </c>
      <c r="B218" s="192">
        <f t="shared" si="13"/>
        <v>0</v>
      </c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26">
        <f t="shared" si="12"/>
        <v>0</v>
      </c>
    </row>
    <row r="219" spans="1:15">
      <c r="A219" s="188">
        <v>91</v>
      </c>
      <c r="B219" s="192">
        <f t="shared" si="13"/>
        <v>0</v>
      </c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26">
        <f t="shared" si="12"/>
        <v>0</v>
      </c>
    </row>
    <row r="220" spans="1:15">
      <c r="A220" s="188">
        <v>92</v>
      </c>
      <c r="B220" s="192">
        <f t="shared" si="13"/>
        <v>0</v>
      </c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26">
        <f t="shared" si="12"/>
        <v>0</v>
      </c>
    </row>
    <row r="221" spans="1:15">
      <c r="A221" s="188">
        <v>93</v>
      </c>
      <c r="B221" s="192">
        <f t="shared" si="13"/>
        <v>0</v>
      </c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26">
        <f t="shared" si="12"/>
        <v>0</v>
      </c>
    </row>
    <row r="222" spans="1:15">
      <c r="A222" s="188">
        <v>94</v>
      </c>
      <c r="B222" s="192">
        <f t="shared" si="13"/>
        <v>0</v>
      </c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26">
        <f t="shared" si="12"/>
        <v>0</v>
      </c>
    </row>
    <row r="223" spans="1:15">
      <c r="A223" s="188">
        <v>95</v>
      </c>
      <c r="B223" s="192">
        <f t="shared" si="13"/>
        <v>0</v>
      </c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26">
        <f t="shared" si="12"/>
        <v>0</v>
      </c>
    </row>
    <row r="224" spans="1:15">
      <c r="A224" s="188">
        <v>96</v>
      </c>
      <c r="B224" s="192">
        <f t="shared" si="13"/>
        <v>0</v>
      </c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26">
        <f t="shared" si="12"/>
        <v>0</v>
      </c>
    </row>
    <row r="225" spans="1:15">
      <c r="A225" s="188">
        <v>97</v>
      </c>
      <c r="B225" s="192">
        <f t="shared" ref="B225:B230" si="14">+B104</f>
        <v>0</v>
      </c>
      <c r="C225" s="202"/>
      <c r="D225" s="202"/>
      <c r="E225" s="202"/>
      <c r="F225" s="202"/>
      <c r="G225" s="202"/>
      <c r="H225" s="202"/>
      <c r="I225" s="202"/>
      <c r="J225" s="202"/>
      <c r="K225" s="202"/>
      <c r="L225" s="202"/>
      <c r="M225" s="202"/>
      <c r="N225" s="202"/>
      <c r="O225" s="226">
        <f t="shared" si="12"/>
        <v>0</v>
      </c>
    </row>
    <row r="226" spans="1:15">
      <c r="A226" s="188">
        <v>98</v>
      </c>
      <c r="B226" s="192">
        <f t="shared" si="14"/>
        <v>0</v>
      </c>
      <c r="C226" s="202"/>
      <c r="D226" s="202"/>
      <c r="E226" s="202"/>
      <c r="F226" s="202"/>
      <c r="G226" s="202"/>
      <c r="H226" s="202"/>
      <c r="I226" s="202"/>
      <c r="J226" s="202"/>
      <c r="K226" s="202"/>
      <c r="L226" s="202"/>
      <c r="M226" s="202"/>
      <c r="N226" s="202"/>
      <c r="O226" s="226">
        <f t="shared" si="12"/>
        <v>0</v>
      </c>
    </row>
    <row r="227" spans="1:15">
      <c r="A227" s="188">
        <v>99</v>
      </c>
      <c r="B227" s="192">
        <f t="shared" si="14"/>
        <v>0</v>
      </c>
      <c r="C227" s="202"/>
      <c r="D227" s="202"/>
      <c r="E227" s="202"/>
      <c r="F227" s="202"/>
      <c r="G227" s="202"/>
      <c r="H227" s="202"/>
      <c r="I227" s="202"/>
      <c r="J227" s="202"/>
      <c r="K227" s="202"/>
      <c r="L227" s="202"/>
      <c r="M227" s="202"/>
      <c r="N227" s="202"/>
      <c r="O227" s="226">
        <f t="shared" si="12"/>
        <v>0</v>
      </c>
    </row>
    <row r="228" spans="1:15">
      <c r="A228" s="188">
        <v>100</v>
      </c>
      <c r="B228" s="192">
        <f t="shared" si="14"/>
        <v>0</v>
      </c>
      <c r="C228" s="202"/>
      <c r="D228" s="202"/>
      <c r="E228" s="202"/>
      <c r="F228" s="202"/>
      <c r="G228" s="202"/>
      <c r="H228" s="202"/>
      <c r="I228" s="202"/>
      <c r="J228" s="202"/>
      <c r="K228" s="202"/>
      <c r="L228" s="202"/>
      <c r="M228" s="202"/>
      <c r="N228" s="202"/>
      <c r="O228" s="226">
        <f t="shared" si="12"/>
        <v>0</v>
      </c>
    </row>
    <row r="229" spans="1:15">
      <c r="A229" s="188">
        <v>101</v>
      </c>
      <c r="B229" s="192">
        <f t="shared" si="14"/>
        <v>0</v>
      </c>
      <c r="C229" s="202"/>
      <c r="D229" s="202"/>
      <c r="E229" s="202"/>
      <c r="F229" s="202"/>
      <c r="G229" s="202"/>
      <c r="H229" s="202"/>
      <c r="I229" s="202"/>
      <c r="J229" s="202"/>
      <c r="K229" s="202"/>
      <c r="L229" s="202"/>
      <c r="M229" s="202"/>
      <c r="N229" s="202"/>
      <c r="O229" s="226">
        <f t="shared" si="12"/>
        <v>0</v>
      </c>
    </row>
    <row r="230" spans="1:15">
      <c r="A230" s="188">
        <v>102</v>
      </c>
      <c r="B230" s="192">
        <f t="shared" si="14"/>
        <v>0</v>
      </c>
      <c r="C230" s="202"/>
      <c r="D230" s="202"/>
      <c r="E230" s="202"/>
      <c r="F230" s="202"/>
      <c r="G230" s="202"/>
      <c r="H230" s="202"/>
      <c r="I230" s="202"/>
      <c r="J230" s="202"/>
      <c r="K230" s="202"/>
      <c r="L230" s="202"/>
      <c r="M230" s="202"/>
      <c r="N230" s="202"/>
      <c r="O230" s="226">
        <f t="shared" si="12"/>
        <v>0</v>
      </c>
    </row>
    <row r="231" spans="1:15">
      <c r="A231" s="508" t="s">
        <v>349</v>
      </c>
      <c r="B231" s="510"/>
      <c r="C231" s="285">
        <f t="shared" ref="C231:O231" si="15">SUM(C129:C230)</f>
        <v>1990766.3999999976</v>
      </c>
      <c r="D231" s="285">
        <f t="shared" si="15"/>
        <v>1990766.3999999976</v>
      </c>
      <c r="E231" s="285">
        <f t="shared" si="15"/>
        <v>1990766.3999999976</v>
      </c>
      <c r="F231" s="285">
        <f t="shared" si="15"/>
        <v>1990766.3999999976</v>
      </c>
      <c r="G231" s="285">
        <f t="shared" si="15"/>
        <v>1990766.3999999976</v>
      </c>
      <c r="H231" s="285">
        <f t="shared" si="15"/>
        <v>1990766.3999999976</v>
      </c>
      <c r="I231" s="285">
        <f t="shared" si="15"/>
        <v>2007961.2000000002</v>
      </c>
      <c r="J231" s="285">
        <f t="shared" si="15"/>
        <v>1975498.56</v>
      </c>
      <c r="K231" s="285">
        <f t="shared" si="15"/>
        <v>1975679.16</v>
      </c>
      <c r="L231" s="285">
        <f t="shared" si="15"/>
        <v>1975763.1599999997</v>
      </c>
      <c r="M231" s="285">
        <f t="shared" si="15"/>
        <v>1975847.1599999997</v>
      </c>
      <c r="N231" s="285">
        <f t="shared" si="15"/>
        <v>0</v>
      </c>
      <c r="O231" s="285">
        <f t="shared" si="15"/>
        <v>21855347.639999989</v>
      </c>
    </row>
    <row r="235" spans="1:15">
      <c r="A235" s="188">
        <v>49</v>
      </c>
      <c r="B235" s="192" t="str">
        <f>+B117</f>
        <v>RINDI PRIANTO</v>
      </c>
      <c r="C235" s="202">
        <f t="shared" si="10"/>
        <v>32563.439999999999</v>
      </c>
      <c r="D235" s="202">
        <f t="shared" si="10"/>
        <v>32563.439999999999</v>
      </c>
      <c r="E235" s="202">
        <f t="shared" si="10"/>
        <v>32563.439999999999</v>
      </c>
      <c r="F235" s="202">
        <f t="shared" si="10"/>
        <v>32563.439999999999</v>
      </c>
      <c r="G235" s="202">
        <f t="shared" si="10"/>
        <v>32563.439999999999</v>
      </c>
      <c r="H235" s="202">
        <f t="shared" si="10"/>
        <v>32563.439999999999</v>
      </c>
      <c r="I235" s="202">
        <v>32790.239999999998</v>
      </c>
      <c r="J235" s="202">
        <v>32790.239999999998</v>
      </c>
      <c r="K235" s="202"/>
      <c r="L235" s="202"/>
      <c r="M235" s="202"/>
      <c r="N235" s="202"/>
      <c r="O235" s="226">
        <f>SUM(C235:N235)</f>
        <v>260961.11999999997</v>
      </c>
    </row>
    <row r="236" spans="1:15">
      <c r="A236" s="188">
        <v>51</v>
      </c>
      <c r="B236" s="192" t="str">
        <f>+B118</f>
        <v>PUTRA ROMADHAN</v>
      </c>
      <c r="C236" s="202">
        <f t="shared" si="11"/>
        <v>32563.439999999999</v>
      </c>
      <c r="D236" s="202">
        <f t="shared" si="11"/>
        <v>32563.439999999999</v>
      </c>
      <c r="E236" s="202">
        <f t="shared" si="11"/>
        <v>32563.439999999999</v>
      </c>
      <c r="F236" s="202">
        <f t="shared" si="11"/>
        <v>32563.439999999999</v>
      </c>
      <c r="G236" s="202">
        <f t="shared" si="11"/>
        <v>32563.439999999999</v>
      </c>
      <c r="H236" s="202">
        <f t="shared" si="11"/>
        <v>32563.439999999999</v>
      </c>
      <c r="I236" s="202">
        <v>32584.44</v>
      </c>
      <c r="J236" s="202">
        <v>32584.44</v>
      </c>
      <c r="K236" s="202"/>
      <c r="L236" s="202"/>
      <c r="M236" s="202"/>
      <c r="N236" s="202"/>
      <c r="O236" s="226">
        <f>SUM(C236:N236)</f>
        <v>260549.52</v>
      </c>
    </row>
  </sheetData>
  <mergeCells count="36">
    <mergeCell ref="L5:L6"/>
    <mergeCell ref="M5:M6"/>
    <mergeCell ref="A7:B7"/>
    <mergeCell ref="N126:N127"/>
    <mergeCell ref="O126:O127"/>
    <mergeCell ref="N5:N6"/>
    <mergeCell ref="O5:O6"/>
    <mergeCell ref="A4:A6"/>
    <mergeCell ref="B4:B6"/>
    <mergeCell ref="C4:O4"/>
    <mergeCell ref="C5:C6"/>
    <mergeCell ref="D5:D6"/>
    <mergeCell ref="E5:E6"/>
    <mergeCell ref="F5:F6"/>
    <mergeCell ref="G5:G6"/>
    <mergeCell ref="H5:H6"/>
    <mergeCell ref="I5:I6"/>
    <mergeCell ref="A110:B110"/>
    <mergeCell ref="J5:J6"/>
    <mergeCell ref="K5:K6"/>
    <mergeCell ref="A128:B128"/>
    <mergeCell ref="A231:B231"/>
    <mergeCell ref="A125:A127"/>
    <mergeCell ref="B125:B127"/>
    <mergeCell ref="C125:O125"/>
    <mergeCell ref="C126:C127"/>
    <mergeCell ref="D126:D127"/>
    <mergeCell ref="E126:E127"/>
    <mergeCell ref="F126:F127"/>
    <mergeCell ref="G126:G127"/>
    <mergeCell ref="H126:H127"/>
    <mergeCell ref="I126:I127"/>
    <mergeCell ref="J126:J127"/>
    <mergeCell ref="K126:K127"/>
    <mergeCell ref="L126:L127"/>
    <mergeCell ref="M126:M1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Q230"/>
  <sheetViews>
    <sheetView workbookViewId="0">
      <pane xSplit="2" topLeftCell="C1" activePane="topRight" state="frozen"/>
      <selection pane="topRight" activeCell="N126" sqref="N126"/>
    </sheetView>
  </sheetViews>
  <sheetFormatPr defaultRowHeight="15"/>
  <cols>
    <col min="1" max="1" width="9.140625" style="154"/>
    <col min="2" max="2" width="23.140625" style="154" bestFit="1" customWidth="1"/>
    <col min="3" max="3" width="15" style="154" customWidth="1"/>
    <col min="4" max="5" width="13.42578125" style="154" customWidth="1"/>
    <col min="6" max="6" width="14.7109375" style="154" customWidth="1"/>
    <col min="7" max="7" width="16.42578125" style="154" customWidth="1"/>
    <col min="8" max="8" width="15" style="154" customWidth="1"/>
    <col min="9" max="14" width="12.42578125" style="154" customWidth="1"/>
    <col min="15" max="15" width="14" style="154" customWidth="1"/>
    <col min="16" max="16" width="15.28515625" style="154" customWidth="1"/>
    <col min="17" max="16384" width="9.140625" style="154"/>
  </cols>
  <sheetData>
    <row r="1" spans="1:15">
      <c r="A1" s="245" t="s">
        <v>323</v>
      </c>
      <c r="B1" s="245"/>
      <c r="C1" s="245"/>
      <c r="D1" s="245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</row>
    <row r="2" spans="1:15">
      <c r="A2" s="245" t="s">
        <v>544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</row>
    <row r="3" spans="1:15">
      <c r="A3" s="245"/>
      <c r="B3" s="245"/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</row>
    <row r="4" spans="1:15">
      <c r="A4" s="484" t="s">
        <v>0</v>
      </c>
      <c r="B4" s="484" t="s">
        <v>324</v>
      </c>
      <c r="C4" s="499" t="s">
        <v>327</v>
      </c>
      <c r="D4" s="499"/>
      <c r="E4" s="499"/>
      <c r="F4" s="499"/>
      <c r="G4" s="499"/>
      <c r="H4" s="499"/>
      <c r="I4" s="499"/>
      <c r="J4" s="499"/>
      <c r="K4" s="499"/>
      <c r="L4" s="499"/>
      <c r="M4" s="499"/>
      <c r="N4" s="499"/>
      <c r="O4" s="499"/>
    </row>
    <row r="5" spans="1:15">
      <c r="A5" s="485"/>
      <c r="B5" s="485"/>
      <c r="C5" s="519" t="s">
        <v>328</v>
      </c>
      <c r="D5" s="519" t="s">
        <v>329</v>
      </c>
      <c r="E5" s="519" t="s">
        <v>330</v>
      </c>
      <c r="F5" s="519" t="s">
        <v>331</v>
      </c>
      <c r="G5" s="519" t="s">
        <v>332</v>
      </c>
      <c r="H5" s="519" t="s">
        <v>333</v>
      </c>
      <c r="I5" s="519" t="s">
        <v>334</v>
      </c>
      <c r="J5" s="519" t="s">
        <v>335</v>
      </c>
      <c r="K5" s="519" t="s">
        <v>336</v>
      </c>
      <c r="L5" s="519" t="s">
        <v>337</v>
      </c>
      <c r="M5" s="519" t="s">
        <v>338</v>
      </c>
      <c r="N5" s="519" t="s">
        <v>339</v>
      </c>
      <c r="O5" s="503" t="s">
        <v>440</v>
      </c>
    </row>
    <row r="6" spans="1:15">
      <c r="A6" s="486"/>
      <c r="B6" s="486"/>
      <c r="C6" s="520"/>
      <c r="D6" s="520"/>
      <c r="E6" s="520"/>
      <c r="F6" s="520"/>
      <c r="G6" s="520"/>
      <c r="H6" s="520"/>
      <c r="I6" s="520"/>
      <c r="J6" s="520"/>
      <c r="K6" s="520"/>
      <c r="L6" s="520"/>
      <c r="M6" s="520"/>
      <c r="N6" s="520"/>
      <c r="O6" s="504"/>
    </row>
    <row r="7" spans="1:15">
      <c r="A7" s="521" t="s">
        <v>351</v>
      </c>
      <c r="B7" s="522"/>
      <c r="C7" s="284"/>
      <c r="D7" s="284"/>
      <c r="E7" s="284"/>
      <c r="F7" s="284"/>
      <c r="G7" s="284"/>
      <c r="H7" s="284"/>
      <c r="I7" s="284"/>
      <c r="J7" s="284"/>
      <c r="K7" s="284"/>
      <c r="L7" s="284"/>
      <c r="M7" s="284"/>
      <c r="N7" s="284"/>
      <c r="O7" s="188"/>
    </row>
    <row r="8" spans="1:15">
      <c r="A8" s="188">
        <f>'[4]BULANAN PTKP BARU'!A8</f>
        <v>1</v>
      </c>
      <c r="B8" s="192" t="str">
        <f>+PERBULAN!B8</f>
        <v>SUDARMONO</v>
      </c>
      <c r="C8" s="202">
        <f>3876600*2%</f>
        <v>77532</v>
      </c>
      <c r="D8" s="202">
        <f t="shared" ref="D8:H23" si="0">3876600*2%</f>
        <v>77532</v>
      </c>
      <c r="E8" s="202">
        <f t="shared" si="0"/>
        <v>77532</v>
      </c>
      <c r="F8" s="202">
        <f t="shared" si="0"/>
        <v>77532</v>
      </c>
      <c r="G8" s="202">
        <f t="shared" si="0"/>
        <v>77532</v>
      </c>
      <c r="H8" s="202">
        <f t="shared" si="0"/>
        <v>77532</v>
      </c>
      <c r="I8" s="202">
        <v>78612</v>
      </c>
      <c r="J8" s="202">
        <v>78612</v>
      </c>
      <c r="K8" s="202">
        <v>78612</v>
      </c>
      <c r="L8" s="202">
        <v>78612</v>
      </c>
      <c r="M8" s="202">
        <v>78612</v>
      </c>
      <c r="N8" s="202">
        <v>78612</v>
      </c>
      <c r="O8" s="226">
        <f>SUM(C8:N8)</f>
        <v>936864</v>
      </c>
    </row>
    <row r="9" spans="1:15">
      <c r="A9" s="188">
        <f>'[4]BULANAN PTKP BARU'!A9</f>
        <v>2</v>
      </c>
      <c r="B9" s="192" t="str">
        <f>+PERBULAN!B9</f>
        <v>ARDIYANSA</v>
      </c>
      <c r="C9" s="202">
        <f t="shared" ref="C9:H24" si="1">3876600*2%</f>
        <v>77532</v>
      </c>
      <c r="D9" s="202">
        <f t="shared" si="0"/>
        <v>77532</v>
      </c>
      <c r="E9" s="202">
        <f t="shared" si="0"/>
        <v>77532</v>
      </c>
      <c r="F9" s="202">
        <f t="shared" si="0"/>
        <v>77532</v>
      </c>
      <c r="G9" s="202">
        <f t="shared" si="0"/>
        <v>77532</v>
      </c>
      <c r="H9" s="202">
        <f t="shared" si="0"/>
        <v>77532</v>
      </c>
      <c r="I9" s="202">
        <v>78132</v>
      </c>
      <c r="J9" s="202">
        <v>78192</v>
      </c>
      <c r="K9" s="202">
        <v>78192</v>
      </c>
      <c r="L9" s="202">
        <v>78192</v>
      </c>
      <c r="M9" s="202">
        <v>78192</v>
      </c>
      <c r="N9" s="202">
        <v>78192</v>
      </c>
      <c r="O9" s="226">
        <f t="shared" ref="O9:O70" si="2">SUM(C9:N9)</f>
        <v>934284</v>
      </c>
    </row>
    <row r="10" spans="1:15">
      <c r="A10" s="188">
        <f>'[4]BULANAN PTKP BARU'!A10</f>
        <v>3</v>
      </c>
      <c r="B10" s="192" t="str">
        <f>+PERBULAN!B10</f>
        <v>INDRA JAYA</v>
      </c>
      <c r="C10" s="202">
        <f t="shared" si="1"/>
        <v>77532</v>
      </c>
      <c r="D10" s="202">
        <f t="shared" si="0"/>
        <v>77532</v>
      </c>
      <c r="E10" s="202">
        <f t="shared" si="0"/>
        <v>77532</v>
      </c>
      <c r="F10" s="202">
        <f t="shared" si="0"/>
        <v>77532</v>
      </c>
      <c r="G10" s="202">
        <f t="shared" si="0"/>
        <v>77532</v>
      </c>
      <c r="H10" s="202">
        <f t="shared" si="0"/>
        <v>77532</v>
      </c>
      <c r="I10" s="202">
        <v>78542</v>
      </c>
      <c r="J10" s="202">
        <v>78542</v>
      </c>
      <c r="K10" s="202">
        <v>78542</v>
      </c>
      <c r="L10" s="202">
        <v>78542</v>
      </c>
      <c r="M10" s="202">
        <v>78542</v>
      </c>
      <c r="N10" s="202">
        <v>78542</v>
      </c>
      <c r="O10" s="226">
        <f>SUM(C10:N10)</f>
        <v>936444</v>
      </c>
    </row>
    <row r="11" spans="1:15">
      <c r="A11" s="188">
        <f>'[4]BULANAN PTKP BARU'!A11</f>
        <v>4</v>
      </c>
      <c r="B11" s="192" t="str">
        <f>+PERBULAN!B11</f>
        <v>USPANDI</v>
      </c>
      <c r="C11" s="202">
        <f t="shared" si="1"/>
        <v>77532</v>
      </c>
      <c r="D11" s="202">
        <f t="shared" si="0"/>
        <v>77532</v>
      </c>
      <c r="E11" s="202">
        <f t="shared" si="0"/>
        <v>77532</v>
      </c>
      <c r="F11" s="202">
        <f t="shared" si="0"/>
        <v>77532</v>
      </c>
      <c r="G11" s="202">
        <f t="shared" si="0"/>
        <v>77532</v>
      </c>
      <c r="H11" s="202">
        <f t="shared" si="0"/>
        <v>77532</v>
      </c>
      <c r="I11" s="202">
        <v>79242</v>
      </c>
      <c r="J11" s="202">
        <v>79242</v>
      </c>
      <c r="K11" s="202">
        <v>79242</v>
      </c>
      <c r="L11" s="202">
        <v>79242</v>
      </c>
      <c r="M11" s="202">
        <v>79242</v>
      </c>
      <c r="N11" s="202">
        <v>79242</v>
      </c>
      <c r="O11" s="226">
        <f t="shared" si="2"/>
        <v>940644</v>
      </c>
    </row>
    <row r="12" spans="1:15">
      <c r="A12" s="188">
        <f>'[4]BULANAN PTKP BARU'!A12</f>
        <v>5</v>
      </c>
      <c r="B12" s="192" t="str">
        <f>+PERBULAN!B12</f>
        <v>NOVI SUHAIDI</v>
      </c>
      <c r="C12" s="202">
        <f t="shared" si="1"/>
        <v>77532</v>
      </c>
      <c r="D12" s="202">
        <f t="shared" si="0"/>
        <v>77532</v>
      </c>
      <c r="E12" s="202">
        <f t="shared" si="0"/>
        <v>77532</v>
      </c>
      <c r="F12" s="202">
        <f t="shared" si="0"/>
        <v>77532</v>
      </c>
      <c r="G12" s="202">
        <f t="shared" si="0"/>
        <v>77532</v>
      </c>
      <c r="H12" s="202">
        <f t="shared" si="0"/>
        <v>77532</v>
      </c>
      <c r="I12" s="202">
        <v>78472</v>
      </c>
      <c r="J12" s="202">
        <v>78472</v>
      </c>
      <c r="K12" s="202">
        <v>78472</v>
      </c>
      <c r="L12" s="202">
        <v>78542</v>
      </c>
      <c r="M12" s="202">
        <v>78542</v>
      </c>
      <c r="N12" s="202">
        <v>78542</v>
      </c>
      <c r="O12" s="226">
        <f t="shared" si="2"/>
        <v>936234</v>
      </c>
    </row>
    <row r="13" spans="1:15">
      <c r="A13" s="188">
        <f>'[4]BULANAN PTKP BARU'!A13</f>
        <v>6</v>
      </c>
      <c r="B13" s="192" t="str">
        <f>+PERBULAN!B13</f>
        <v>ROSLI</v>
      </c>
      <c r="C13" s="202">
        <f t="shared" si="1"/>
        <v>77532</v>
      </c>
      <c r="D13" s="202">
        <f t="shared" si="0"/>
        <v>77532</v>
      </c>
      <c r="E13" s="202">
        <f t="shared" si="0"/>
        <v>77532</v>
      </c>
      <c r="F13" s="202">
        <f t="shared" si="0"/>
        <v>77532</v>
      </c>
      <c r="G13" s="202">
        <f t="shared" si="0"/>
        <v>77532</v>
      </c>
      <c r="H13" s="202">
        <f t="shared" si="0"/>
        <v>77532</v>
      </c>
      <c r="I13" s="202">
        <v>78612</v>
      </c>
      <c r="J13" s="202">
        <v>78612</v>
      </c>
      <c r="K13" s="202">
        <v>78612</v>
      </c>
      <c r="L13" s="202">
        <v>78612</v>
      </c>
      <c r="M13" s="202">
        <v>78612</v>
      </c>
      <c r="N13" s="202">
        <v>78612</v>
      </c>
      <c r="O13" s="226">
        <f t="shared" si="2"/>
        <v>936864</v>
      </c>
    </row>
    <row r="14" spans="1:15">
      <c r="A14" s="188">
        <f>'[4]BULANAN PTKP BARU'!A14</f>
        <v>7</v>
      </c>
      <c r="B14" s="192" t="str">
        <f>+PERBULAN!B14</f>
        <v>AMRIL</v>
      </c>
      <c r="C14" s="202">
        <f t="shared" si="1"/>
        <v>77532</v>
      </c>
      <c r="D14" s="202">
        <f t="shared" si="0"/>
        <v>77532</v>
      </c>
      <c r="E14" s="202">
        <f t="shared" si="0"/>
        <v>77532</v>
      </c>
      <c r="F14" s="202">
        <f t="shared" si="0"/>
        <v>77532</v>
      </c>
      <c r="G14" s="202">
        <f t="shared" si="0"/>
        <v>77532</v>
      </c>
      <c r="H14" s="202">
        <f t="shared" si="0"/>
        <v>77532</v>
      </c>
      <c r="I14" s="202">
        <v>78542</v>
      </c>
      <c r="J14" s="202">
        <v>78542</v>
      </c>
      <c r="K14" s="202">
        <v>78542</v>
      </c>
      <c r="L14" s="202">
        <v>78542</v>
      </c>
      <c r="M14" s="202">
        <v>78542</v>
      </c>
      <c r="N14" s="202">
        <v>78542</v>
      </c>
      <c r="O14" s="226">
        <f t="shared" si="2"/>
        <v>936444</v>
      </c>
    </row>
    <row r="15" spans="1:15">
      <c r="A15" s="188">
        <f>'[4]BULANAN PTKP BARU'!A15</f>
        <v>8</v>
      </c>
      <c r="B15" s="192" t="str">
        <f>+PERBULAN!B15</f>
        <v>KARMILA</v>
      </c>
      <c r="C15" s="202">
        <f t="shared" si="1"/>
        <v>77532</v>
      </c>
      <c r="D15" s="202">
        <f t="shared" si="0"/>
        <v>77532</v>
      </c>
      <c r="E15" s="202">
        <f t="shared" si="0"/>
        <v>77532</v>
      </c>
      <c r="F15" s="202">
        <f t="shared" si="0"/>
        <v>77532</v>
      </c>
      <c r="G15" s="202">
        <f t="shared" si="0"/>
        <v>77532</v>
      </c>
      <c r="H15" s="202">
        <f t="shared" si="0"/>
        <v>77532</v>
      </c>
      <c r="I15" s="202">
        <v>78542</v>
      </c>
      <c r="J15" s="202">
        <v>78542</v>
      </c>
      <c r="K15" s="202">
        <v>78542</v>
      </c>
      <c r="L15" s="202">
        <v>78542</v>
      </c>
      <c r="M15" s="202">
        <v>78542</v>
      </c>
      <c r="N15" s="202">
        <v>78542</v>
      </c>
      <c r="O15" s="226">
        <f t="shared" si="2"/>
        <v>936444</v>
      </c>
    </row>
    <row r="16" spans="1:15">
      <c r="A16" s="188">
        <f>'[4]BULANAN PTKP BARU'!A16</f>
        <v>9</v>
      </c>
      <c r="B16" s="192" t="str">
        <f>+PERBULAN!B16</f>
        <v>MARTUTI</v>
      </c>
      <c r="C16" s="202">
        <f t="shared" si="1"/>
        <v>77532</v>
      </c>
      <c r="D16" s="202">
        <f t="shared" si="0"/>
        <v>77532</v>
      </c>
      <c r="E16" s="202">
        <f t="shared" si="0"/>
        <v>77532</v>
      </c>
      <c r="F16" s="202">
        <f t="shared" si="0"/>
        <v>77532</v>
      </c>
      <c r="G16" s="202">
        <f t="shared" si="0"/>
        <v>77532</v>
      </c>
      <c r="H16" s="202">
        <f t="shared" si="0"/>
        <v>77532</v>
      </c>
      <c r="I16" s="202">
        <v>78542</v>
      </c>
      <c r="J16" s="202">
        <v>78542</v>
      </c>
      <c r="K16" s="202">
        <v>78542</v>
      </c>
      <c r="L16" s="202">
        <v>78542</v>
      </c>
      <c r="M16" s="202">
        <v>78612</v>
      </c>
      <c r="N16" s="202">
        <v>78612</v>
      </c>
      <c r="O16" s="226">
        <f t="shared" si="2"/>
        <v>936584</v>
      </c>
    </row>
    <row r="17" spans="1:15">
      <c r="A17" s="188">
        <f>'[4]BULANAN PTKP BARU'!A17</f>
        <v>10</v>
      </c>
      <c r="B17" s="192" t="str">
        <f>+PERBULAN!B17</f>
        <v>HARNIAWATI</v>
      </c>
      <c r="C17" s="202">
        <f t="shared" si="1"/>
        <v>77532</v>
      </c>
      <c r="D17" s="202">
        <f t="shared" si="0"/>
        <v>77532</v>
      </c>
      <c r="E17" s="202">
        <f t="shared" si="0"/>
        <v>77532</v>
      </c>
      <c r="F17" s="202">
        <f t="shared" si="0"/>
        <v>77532</v>
      </c>
      <c r="G17" s="202">
        <f t="shared" si="0"/>
        <v>77532</v>
      </c>
      <c r="H17" s="202">
        <f t="shared" si="0"/>
        <v>77532</v>
      </c>
      <c r="I17" s="202">
        <v>78542</v>
      </c>
      <c r="J17" s="202">
        <v>78542</v>
      </c>
      <c r="K17" s="202">
        <v>78542</v>
      </c>
      <c r="L17" s="202">
        <v>78542</v>
      </c>
      <c r="M17" s="202">
        <v>78612</v>
      </c>
      <c r="N17" s="202">
        <v>78612</v>
      </c>
      <c r="O17" s="226">
        <f t="shared" si="2"/>
        <v>936584</v>
      </c>
    </row>
    <row r="18" spans="1:15">
      <c r="A18" s="188">
        <f>'[4]BULANAN PTKP BARU'!A18</f>
        <v>11</v>
      </c>
      <c r="B18" s="192" t="str">
        <f>+PERBULAN!B18</f>
        <v>MARYATI</v>
      </c>
      <c r="C18" s="202">
        <f t="shared" si="1"/>
        <v>77532</v>
      </c>
      <c r="D18" s="202">
        <f t="shared" si="0"/>
        <v>77532</v>
      </c>
      <c r="E18" s="202">
        <f t="shared" si="0"/>
        <v>77532</v>
      </c>
      <c r="F18" s="202">
        <f t="shared" si="0"/>
        <v>77532</v>
      </c>
      <c r="G18" s="202">
        <f t="shared" si="0"/>
        <v>77532</v>
      </c>
      <c r="H18" s="202">
        <f t="shared" si="0"/>
        <v>77532</v>
      </c>
      <c r="I18" s="202">
        <v>78612</v>
      </c>
      <c r="J18" s="202">
        <v>78612</v>
      </c>
      <c r="K18" s="202">
        <v>78612</v>
      </c>
      <c r="L18" s="202">
        <v>78612</v>
      </c>
      <c r="M18" s="202">
        <v>78612</v>
      </c>
      <c r="N18" s="202">
        <v>78612</v>
      </c>
      <c r="O18" s="226">
        <f t="shared" si="2"/>
        <v>936864</v>
      </c>
    </row>
    <row r="19" spans="1:15">
      <c r="A19" s="188">
        <f>'[4]BULANAN PTKP BARU'!A19</f>
        <v>12</v>
      </c>
      <c r="B19" s="192" t="str">
        <f>+PERBULAN!B19</f>
        <v>KOPRIATI</v>
      </c>
      <c r="C19" s="202">
        <f t="shared" si="1"/>
        <v>77532</v>
      </c>
      <c r="D19" s="202">
        <f t="shared" si="0"/>
        <v>77532</v>
      </c>
      <c r="E19" s="202">
        <f t="shared" si="0"/>
        <v>77532</v>
      </c>
      <c r="F19" s="202">
        <f t="shared" si="0"/>
        <v>77532</v>
      </c>
      <c r="G19" s="202">
        <f t="shared" si="0"/>
        <v>77532</v>
      </c>
      <c r="H19" s="202">
        <f t="shared" si="0"/>
        <v>77532</v>
      </c>
      <c r="I19" s="202">
        <v>79242</v>
      </c>
      <c r="J19" s="202">
        <v>79242</v>
      </c>
      <c r="K19" s="202">
        <v>79242</v>
      </c>
      <c r="L19" s="202">
        <v>79242</v>
      </c>
      <c r="M19" s="202">
        <v>79242</v>
      </c>
      <c r="N19" s="202">
        <v>79242</v>
      </c>
      <c r="O19" s="226">
        <f t="shared" si="2"/>
        <v>940644</v>
      </c>
    </row>
    <row r="20" spans="1:15">
      <c r="A20" s="188">
        <f>'[4]BULANAN PTKP BARU'!A20</f>
        <v>13</v>
      </c>
      <c r="B20" s="192" t="str">
        <f>+PERBULAN!B20</f>
        <v>ASNIATI</v>
      </c>
      <c r="C20" s="202">
        <f t="shared" si="1"/>
        <v>77532</v>
      </c>
      <c r="D20" s="202">
        <f t="shared" si="0"/>
        <v>77532</v>
      </c>
      <c r="E20" s="202">
        <f t="shared" si="0"/>
        <v>77532</v>
      </c>
      <c r="F20" s="202">
        <f t="shared" si="0"/>
        <v>77532</v>
      </c>
      <c r="G20" s="202">
        <f t="shared" si="0"/>
        <v>77532</v>
      </c>
      <c r="H20" s="202">
        <f t="shared" si="0"/>
        <v>77532</v>
      </c>
      <c r="I20" s="202">
        <v>78542</v>
      </c>
      <c r="J20" s="202">
        <v>78542</v>
      </c>
      <c r="K20" s="202">
        <v>78542</v>
      </c>
      <c r="L20" s="202">
        <v>78542</v>
      </c>
      <c r="M20" s="202">
        <v>78542</v>
      </c>
      <c r="N20" s="202">
        <v>78542</v>
      </c>
      <c r="O20" s="226">
        <f t="shared" si="2"/>
        <v>936444</v>
      </c>
    </row>
    <row r="21" spans="1:15">
      <c r="A21" s="188">
        <f>'[4]BULANAN PTKP BARU'!A21</f>
        <v>14</v>
      </c>
      <c r="B21" s="192" t="str">
        <f>+PERBULAN!B21</f>
        <v>ANDIWATI</v>
      </c>
      <c r="C21" s="202">
        <f t="shared" si="1"/>
        <v>77532</v>
      </c>
      <c r="D21" s="202">
        <f t="shared" si="0"/>
        <v>77532</v>
      </c>
      <c r="E21" s="202">
        <f t="shared" si="0"/>
        <v>77532</v>
      </c>
      <c r="F21" s="202">
        <f t="shared" si="0"/>
        <v>77532</v>
      </c>
      <c r="G21" s="202">
        <f t="shared" si="0"/>
        <v>77532</v>
      </c>
      <c r="H21" s="202">
        <f t="shared" si="0"/>
        <v>77532</v>
      </c>
      <c r="I21" s="202">
        <v>78472</v>
      </c>
      <c r="J21" s="202">
        <v>78472</v>
      </c>
      <c r="K21" s="202">
        <v>78542</v>
      </c>
      <c r="L21" s="202">
        <v>78542</v>
      </c>
      <c r="M21" s="202">
        <v>78542</v>
      </c>
      <c r="N21" s="202">
        <v>78542</v>
      </c>
      <c r="O21" s="226">
        <f t="shared" si="2"/>
        <v>936304</v>
      </c>
    </row>
    <row r="22" spans="1:15">
      <c r="A22" s="188">
        <f>'[4]BULANAN PTKP BARU'!A22</f>
        <v>15</v>
      </c>
      <c r="B22" s="192" t="str">
        <f>+PERBULAN!B22</f>
        <v>MARYANA.So</v>
      </c>
      <c r="C22" s="202">
        <f t="shared" si="1"/>
        <v>77532</v>
      </c>
      <c r="D22" s="202">
        <f t="shared" si="0"/>
        <v>77532</v>
      </c>
      <c r="E22" s="202">
        <f t="shared" si="0"/>
        <v>77532</v>
      </c>
      <c r="F22" s="202">
        <f t="shared" si="0"/>
        <v>77532</v>
      </c>
      <c r="G22" s="202">
        <f t="shared" si="0"/>
        <v>77532</v>
      </c>
      <c r="H22" s="202">
        <f t="shared" si="0"/>
        <v>77532</v>
      </c>
      <c r="I22" s="202">
        <v>78542</v>
      </c>
      <c r="J22" s="202">
        <v>78542</v>
      </c>
      <c r="K22" s="202">
        <v>78542</v>
      </c>
      <c r="L22" s="202">
        <v>78542</v>
      </c>
      <c r="M22" s="202">
        <v>78542</v>
      </c>
      <c r="N22" s="202">
        <v>78542</v>
      </c>
      <c r="O22" s="226">
        <f t="shared" si="2"/>
        <v>936444</v>
      </c>
    </row>
    <row r="23" spans="1:15">
      <c r="A23" s="188">
        <f>'[4]BULANAN PTKP BARU'!A23</f>
        <v>16</v>
      </c>
      <c r="B23" s="192" t="str">
        <f>+PERBULAN!B23</f>
        <v>TUTI</v>
      </c>
      <c r="C23" s="202">
        <f t="shared" si="1"/>
        <v>77532</v>
      </c>
      <c r="D23" s="202">
        <f t="shared" si="0"/>
        <v>77532</v>
      </c>
      <c r="E23" s="202">
        <f t="shared" si="0"/>
        <v>77532</v>
      </c>
      <c r="F23" s="202">
        <f t="shared" si="0"/>
        <v>77532</v>
      </c>
      <c r="G23" s="202">
        <f t="shared" si="0"/>
        <v>77532</v>
      </c>
      <c r="H23" s="202">
        <f t="shared" si="0"/>
        <v>77532</v>
      </c>
      <c r="I23" s="202">
        <v>78612</v>
      </c>
      <c r="J23" s="202">
        <v>78612</v>
      </c>
      <c r="K23" s="202">
        <v>78612</v>
      </c>
      <c r="L23" s="202">
        <v>78612</v>
      </c>
      <c r="M23" s="202">
        <v>78612</v>
      </c>
      <c r="N23" s="202">
        <v>78612</v>
      </c>
      <c r="O23" s="226">
        <f t="shared" si="2"/>
        <v>936864</v>
      </c>
    </row>
    <row r="24" spans="1:15">
      <c r="A24" s="188">
        <f>'[4]BULANAN PTKP BARU'!A24</f>
        <v>17</v>
      </c>
      <c r="B24" s="192" t="str">
        <f>+PERBULAN!B24</f>
        <v>AGUSTIANA</v>
      </c>
      <c r="C24" s="202">
        <f t="shared" si="1"/>
        <v>77532</v>
      </c>
      <c r="D24" s="202">
        <f t="shared" si="1"/>
        <v>77532</v>
      </c>
      <c r="E24" s="202">
        <f t="shared" si="1"/>
        <v>77532</v>
      </c>
      <c r="F24" s="202">
        <f t="shared" si="1"/>
        <v>77532</v>
      </c>
      <c r="G24" s="202">
        <f t="shared" si="1"/>
        <v>77532</v>
      </c>
      <c r="H24" s="202">
        <f t="shared" si="1"/>
        <v>77532</v>
      </c>
      <c r="I24" s="202">
        <v>78542</v>
      </c>
      <c r="J24" s="202">
        <v>78612</v>
      </c>
      <c r="K24" s="202">
        <v>78612</v>
      </c>
      <c r="L24" s="202">
        <v>78612</v>
      </c>
      <c r="M24" s="202">
        <v>78612</v>
      </c>
      <c r="N24" s="202">
        <v>78612</v>
      </c>
      <c r="O24" s="226">
        <f t="shared" si="2"/>
        <v>936794</v>
      </c>
    </row>
    <row r="25" spans="1:15">
      <c r="A25" s="188">
        <f>'[4]BULANAN PTKP BARU'!A25</f>
        <v>18</v>
      </c>
      <c r="B25" s="192" t="str">
        <f>+PERBULAN!B25</f>
        <v>SISWANTO</v>
      </c>
      <c r="C25" s="202">
        <f t="shared" ref="C25:H40" si="3">3876600*2%</f>
        <v>77532</v>
      </c>
      <c r="D25" s="202">
        <f t="shared" si="3"/>
        <v>77532</v>
      </c>
      <c r="E25" s="202">
        <f t="shared" si="3"/>
        <v>77532</v>
      </c>
      <c r="F25" s="202">
        <f t="shared" si="3"/>
        <v>77532</v>
      </c>
      <c r="G25" s="202">
        <f t="shared" si="3"/>
        <v>77532</v>
      </c>
      <c r="H25" s="202">
        <f t="shared" si="3"/>
        <v>77532</v>
      </c>
      <c r="I25" s="202">
        <v>78612</v>
      </c>
      <c r="J25" s="202">
        <v>78612</v>
      </c>
      <c r="K25" s="202">
        <v>78682</v>
      </c>
      <c r="L25" s="202">
        <v>78682</v>
      </c>
      <c r="M25" s="202">
        <v>78682</v>
      </c>
      <c r="N25" s="202">
        <v>78682</v>
      </c>
      <c r="O25" s="226">
        <f t="shared" si="2"/>
        <v>937144</v>
      </c>
    </row>
    <row r="26" spans="1:15">
      <c r="A26" s="188">
        <f>'[4]BULANAN PTKP BARU'!A26</f>
        <v>19</v>
      </c>
      <c r="B26" s="192" t="str">
        <f>+PERBULAN!B26</f>
        <v>SUNDARI</v>
      </c>
      <c r="C26" s="202">
        <f t="shared" si="3"/>
        <v>77532</v>
      </c>
      <c r="D26" s="202">
        <f t="shared" si="3"/>
        <v>77532</v>
      </c>
      <c r="E26" s="202">
        <f t="shared" si="3"/>
        <v>77532</v>
      </c>
      <c r="F26" s="202">
        <f t="shared" si="3"/>
        <v>77532</v>
      </c>
      <c r="G26" s="202">
        <f t="shared" si="3"/>
        <v>77532</v>
      </c>
      <c r="H26" s="202">
        <f t="shared" si="3"/>
        <v>77532</v>
      </c>
      <c r="I26" s="202">
        <v>78192</v>
      </c>
      <c r="J26" s="202">
        <v>78192</v>
      </c>
      <c r="K26" s="202">
        <v>78192</v>
      </c>
      <c r="L26" s="202">
        <v>78192</v>
      </c>
      <c r="M26" s="202">
        <v>78192</v>
      </c>
      <c r="N26" s="202">
        <v>78192</v>
      </c>
      <c r="O26" s="226">
        <f t="shared" si="2"/>
        <v>934344</v>
      </c>
    </row>
    <row r="27" spans="1:15">
      <c r="A27" s="188">
        <f>'[4]BULANAN PTKP BARU'!A27</f>
        <v>20</v>
      </c>
      <c r="B27" s="192" t="str">
        <f>+PERBULAN!B27</f>
        <v>SURYATI</v>
      </c>
      <c r="C27" s="202">
        <f t="shared" si="3"/>
        <v>77532</v>
      </c>
      <c r="D27" s="202">
        <f t="shared" si="3"/>
        <v>77532</v>
      </c>
      <c r="E27" s="202">
        <f t="shared" si="3"/>
        <v>77532</v>
      </c>
      <c r="F27" s="202">
        <f t="shared" si="3"/>
        <v>77532</v>
      </c>
      <c r="G27" s="202">
        <f t="shared" si="3"/>
        <v>77532</v>
      </c>
      <c r="H27" s="202">
        <f t="shared" si="3"/>
        <v>77532</v>
      </c>
      <c r="I27" s="202">
        <v>78192</v>
      </c>
      <c r="J27" s="202">
        <v>78192</v>
      </c>
      <c r="K27" s="202">
        <v>78192</v>
      </c>
      <c r="L27" s="202">
        <v>78192</v>
      </c>
      <c r="M27" s="202">
        <v>78192</v>
      </c>
      <c r="N27" s="202">
        <v>78192</v>
      </c>
      <c r="O27" s="226">
        <f t="shared" si="2"/>
        <v>934344</v>
      </c>
    </row>
    <row r="28" spans="1:15">
      <c r="A28" s="188">
        <f>'[4]BULANAN PTKP BARU'!A28</f>
        <v>21</v>
      </c>
      <c r="B28" s="192" t="str">
        <f>+PERBULAN!B28</f>
        <v>SANTI</v>
      </c>
      <c r="C28" s="202">
        <f t="shared" si="3"/>
        <v>77532</v>
      </c>
      <c r="D28" s="202">
        <f t="shared" si="3"/>
        <v>77532</v>
      </c>
      <c r="E28" s="202">
        <f t="shared" si="3"/>
        <v>77532</v>
      </c>
      <c r="F28" s="202">
        <f t="shared" si="3"/>
        <v>77532</v>
      </c>
      <c r="G28" s="202">
        <f t="shared" si="3"/>
        <v>77532</v>
      </c>
      <c r="H28" s="202">
        <f t="shared" si="3"/>
        <v>77532</v>
      </c>
      <c r="I28" s="202">
        <v>79312</v>
      </c>
      <c r="J28" s="202">
        <v>79312</v>
      </c>
      <c r="K28" s="202">
        <v>79312</v>
      </c>
      <c r="L28" s="202">
        <v>79312</v>
      </c>
      <c r="M28" s="202">
        <v>79312</v>
      </c>
      <c r="N28" s="202">
        <v>79312</v>
      </c>
      <c r="O28" s="226">
        <f t="shared" si="2"/>
        <v>941064</v>
      </c>
    </row>
    <row r="29" spans="1:15">
      <c r="A29" s="188">
        <f>'[4]BULANAN PTKP BARU'!A29</f>
        <v>22</v>
      </c>
      <c r="B29" s="192" t="str">
        <f>+PERBULAN!B29</f>
        <v>HARYANI</v>
      </c>
      <c r="C29" s="202">
        <f t="shared" si="3"/>
        <v>77532</v>
      </c>
      <c r="D29" s="202">
        <f t="shared" si="3"/>
        <v>77532</v>
      </c>
      <c r="E29" s="202">
        <f t="shared" si="3"/>
        <v>77532</v>
      </c>
      <c r="F29" s="202">
        <f t="shared" si="3"/>
        <v>77532</v>
      </c>
      <c r="G29" s="202">
        <f t="shared" si="3"/>
        <v>77532</v>
      </c>
      <c r="H29" s="202">
        <f t="shared" si="3"/>
        <v>77532</v>
      </c>
      <c r="I29" s="202">
        <v>78612</v>
      </c>
      <c r="J29" s="202">
        <v>78612</v>
      </c>
      <c r="K29" s="202">
        <v>78612</v>
      </c>
      <c r="L29" s="202">
        <v>78682</v>
      </c>
      <c r="M29" s="202">
        <v>78682</v>
      </c>
      <c r="N29" s="202">
        <v>78682</v>
      </c>
      <c r="O29" s="226">
        <f t="shared" si="2"/>
        <v>937074</v>
      </c>
    </row>
    <row r="30" spans="1:15">
      <c r="A30" s="188">
        <f>'[4]BULANAN PTKP BARU'!A30</f>
        <v>23</v>
      </c>
      <c r="B30" s="192" t="str">
        <f>+PERBULAN!B30</f>
        <v>SUWANDI</v>
      </c>
      <c r="C30" s="202">
        <f>4400000*2%</f>
        <v>88000</v>
      </c>
      <c r="D30" s="202">
        <f t="shared" ref="D30:H30" si="4">4400000*2%</f>
        <v>88000</v>
      </c>
      <c r="E30" s="202">
        <f t="shared" si="4"/>
        <v>88000</v>
      </c>
      <c r="F30" s="202">
        <f t="shared" si="4"/>
        <v>88000</v>
      </c>
      <c r="G30" s="202">
        <f t="shared" si="4"/>
        <v>88000</v>
      </c>
      <c r="H30" s="202">
        <f t="shared" si="4"/>
        <v>88000</v>
      </c>
      <c r="I30" s="202">
        <v>89010</v>
      </c>
      <c r="J30" s="202">
        <v>78542</v>
      </c>
      <c r="K30" s="202">
        <v>78542</v>
      </c>
      <c r="L30" s="202">
        <v>78542</v>
      </c>
      <c r="M30" s="202">
        <v>78542</v>
      </c>
      <c r="N30" s="202">
        <v>89010</v>
      </c>
      <c r="O30" s="226">
        <f t="shared" si="2"/>
        <v>1020188</v>
      </c>
    </row>
    <row r="31" spans="1:15">
      <c r="A31" s="188">
        <f>'[4]BULANAN PTKP BARU'!A31</f>
        <v>24</v>
      </c>
      <c r="B31" s="192" t="str">
        <f>+PERBULAN!B31</f>
        <v>YUMNA M</v>
      </c>
      <c r="C31" s="202">
        <f t="shared" si="3"/>
        <v>77532</v>
      </c>
      <c r="D31" s="202">
        <f t="shared" si="3"/>
        <v>77532</v>
      </c>
      <c r="E31" s="202">
        <f t="shared" si="3"/>
        <v>77532</v>
      </c>
      <c r="F31" s="202">
        <f t="shared" si="3"/>
        <v>77532</v>
      </c>
      <c r="G31" s="202">
        <f t="shared" si="3"/>
        <v>77532</v>
      </c>
      <c r="H31" s="202">
        <f t="shared" si="3"/>
        <v>77532</v>
      </c>
      <c r="I31" s="202">
        <v>78542</v>
      </c>
      <c r="J31" s="202">
        <v>78542</v>
      </c>
      <c r="K31" s="202">
        <v>78542</v>
      </c>
      <c r="L31" s="202">
        <v>78542</v>
      </c>
      <c r="M31" s="202">
        <v>78542</v>
      </c>
      <c r="N31" s="202">
        <v>78542</v>
      </c>
      <c r="O31" s="226">
        <f t="shared" si="2"/>
        <v>936444</v>
      </c>
    </row>
    <row r="32" spans="1:15">
      <c r="A32" s="188">
        <f>'[4]BULANAN PTKP BARU'!A32</f>
        <v>25</v>
      </c>
      <c r="B32" s="192" t="str">
        <f>+PERBULAN!B32</f>
        <v>ANDRES</v>
      </c>
      <c r="C32" s="202">
        <f t="shared" si="3"/>
        <v>77532</v>
      </c>
      <c r="D32" s="202">
        <f t="shared" si="3"/>
        <v>77532</v>
      </c>
      <c r="E32" s="202">
        <f t="shared" si="3"/>
        <v>77532</v>
      </c>
      <c r="F32" s="202">
        <f t="shared" si="3"/>
        <v>77532</v>
      </c>
      <c r="G32" s="202">
        <f t="shared" si="3"/>
        <v>77532</v>
      </c>
      <c r="H32" s="202">
        <f t="shared" si="3"/>
        <v>77532</v>
      </c>
      <c r="I32" s="202">
        <v>77952</v>
      </c>
      <c r="J32" s="202">
        <v>77952</v>
      </c>
      <c r="K32" s="202">
        <v>77952</v>
      </c>
      <c r="L32" s="202">
        <v>77952</v>
      </c>
      <c r="M32" s="202">
        <v>77952</v>
      </c>
      <c r="N32" s="202">
        <v>77952</v>
      </c>
      <c r="O32" s="226">
        <f t="shared" si="2"/>
        <v>932904</v>
      </c>
    </row>
    <row r="33" spans="1:17">
      <c r="A33" s="188">
        <f>'[4]BULANAN PTKP BARU'!A33</f>
        <v>26</v>
      </c>
      <c r="B33" s="192" t="str">
        <f>+PERBULAN!B33</f>
        <v>SUDIAN</v>
      </c>
      <c r="C33" s="202">
        <f t="shared" si="3"/>
        <v>77532</v>
      </c>
      <c r="D33" s="202">
        <f t="shared" si="3"/>
        <v>77532</v>
      </c>
      <c r="E33" s="202">
        <f t="shared" si="3"/>
        <v>77532</v>
      </c>
      <c r="F33" s="202">
        <f t="shared" si="3"/>
        <v>77532</v>
      </c>
      <c r="G33" s="202">
        <f t="shared" si="3"/>
        <v>77532</v>
      </c>
      <c r="H33" s="202">
        <f t="shared" si="3"/>
        <v>77532</v>
      </c>
      <c r="I33" s="202">
        <v>77582</v>
      </c>
      <c r="J33" s="202">
        <v>77582</v>
      </c>
      <c r="K33" s="202">
        <v>77582</v>
      </c>
      <c r="L33" s="202">
        <v>77582</v>
      </c>
      <c r="M33" s="202">
        <v>77582</v>
      </c>
      <c r="N33" s="202">
        <v>77582</v>
      </c>
      <c r="O33" s="226">
        <f t="shared" si="2"/>
        <v>930684</v>
      </c>
    </row>
    <row r="34" spans="1:17">
      <c r="A34" s="188">
        <f>'[4]BULANAN PTKP BARU'!A34</f>
        <v>27</v>
      </c>
      <c r="B34" s="192" t="str">
        <f>+PERBULAN!B34</f>
        <v>YUDA HERMAWAN</v>
      </c>
      <c r="C34" s="202">
        <f t="shared" si="3"/>
        <v>77532</v>
      </c>
      <c r="D34" s="202">
        <f t="shared" si="3"/>
        <v>77532</v>
      </c>
      <c r="E34" s="202">
        <f t="shared" si="3"/>
        <v>77532</v>
      </c>
      <c r="F34" s="202">
        <f t="shared" si="3"/>
        <v>77532</v>
      </c>
      <c r="G34" s="202">
        <f t="shared" si="3"/>
        <v>77532</v>
      </c>
      <c r="H34" s="202">
        <f t="shared" si="3"/>
        <v>77532</v>
      </c>
      <c r="I34" s="202">
        <v>77632</v>
      </c>
      <c r="J34" s="202">
        <v>77632</v>
      </c>
      <c r="K34" s="202">
        <v>77632</v>
      </c>
      <c r="L34" s="202">
        <v>77632</v>
      </c>
      <c r="M34" s="202">
        <v>77632</v>
      </c>
      <c r="N34" s="202">
        <v>77632</v>
      </c>
      <c r="O34" s="226">
        <f t="shared" si="2"/>
        <v>930984</v>
      </c>
    </row>
    <row r="35" spans="1:17">
      <c r="A35" s="188">
        <f>'[4]BULANAN PTKP BARU'!A35</f>
        <v>28</v>
      </c>
      <c r="B35" s="192" t="str">
        <f>+PERBULAN!B35</f>
        <v>SABIBI</v>
      </c>
      <c r="C35" s="202">
        <f t="shared" si="3"/>
        <v>77532</v>
      </c>
      <c r="D35" s="202">
        <f t="shared" si="3"/>
        <v>77532</v>
      </c>
      <c r="E35" s="202">
        <f t="shared" si="3"/>
        <v>77532</v>
      </c>
      <c r="F35" s="202">
        <f t="shared" si="3"/>
        <v>77532</v>
      </c>
      <c r="G35" s="202">
        <f t="shared" si="3"/>
        <v>77532</v>
      </c>
      <c r="H35" s="202">
        <f t="shared" si="3"/>
        <v>77532</v>
      </c>
      <c r="I35" s="202">
        <v>78012</v>
      </c>
      <c r="J35" s="202">
        <v>78012</v>
      </c>
      <c r="K35" s="202">
        <v>78072</v>
      </c>
      <c r="L35" s="202">
        <v>78072</v>
      </c>
      <c r="M35" s="202">
        <v>78072</v>
      </c>
      <c r="N35" s="154">
        <v>78072</v>
      </c>
      <c r="O35" s="226">
        <f t="shared" si="2"/>
        <v>933504</v>
      </c>
      <c r="Q35" s="202"/>
    </row>
    <row r="36" spans="1:17">
      <c r="A36" s="188">
        <f>'[4]BULANAN PTKP BARU'!A36</f>
        <v>29</v>
      </c>
      <c r="B36" s="192" t="str">
        <f>+PERBULAN!B36</f>
        <v>ADI SANJAYA</v>
      </c>
      <c r="C36" s="202">
        <f t="shared" si="3"/>
        <v>77532</v>
      </c>
      <c r="D36" s="202">
        <f t="shared" si="3"/>
        <v>77532</v>
      </c>
      <c r="E36" s="202">
        <f t="shared" si="3"/>
        <v>77532</v>
      </c>
      <c r="F36" s="202">
        <f t="shared" si="3"/>
        <v>77532</v>
      </c>
      <c r="G36" s="202">
        <f t="shared" si="3"/>
        <v>77532</v>
      </c>
      <c r="H36" s="202">
        <f t="shared" si="3"/>
        <v>77532</v>
      </c>
      <c r="I36" s="202">
        <v>78012</v>
      </c>
      <c r="J36" s="202">
        <v>78012</v>
      </c>
      <c r="K36" s="202">
        <v>78012</v>
      </c>
      <c r="L36" s="202">
        <v>78012</v>
      </c>
      <c r="M36" s="202">
        <v>78072</v>
      </c>
      <c r="N36" s="202">
        <v>78072</v>
      </c>
      <c r="O36" s="226">
        <f t="shared" si="2"/>
        <v>933384</v>
      </c>
    </row>
    <row r="37" spans="1:17">
      <c r="A37" s="188">
        <f>'[4]BULANAN PTKP BARU'!A37</f>
        <v>30</v>
      </c>
      <c r="B37" s="192" t="str">
        <f>+PERBULAN!B37</f>
        <v>ANDI ( ASNA )</v>
      </c>
      <c r="C37" s="202">
        <f t="shared" si="3"/>
        <v>77532</v>
      </c>
      <c r="D37" s="202">
        <f t="shared" si="3"/>
        <v>77532</v>
      </c>
      <c r="E37" s="202">
        <f t="shared" si="3"/>
        <v>77532</v>
      </c>
      <c r="F37" s="202">
        <f t="shared" si="3"/>
        <v>77532</v>
      </c>
      <c r="G37" s="202">
        <f t="shared" si="3"/>
        <v>77532</v>
      </c>
      <c r="H37" s="202">
        <f t="shared" si="3"/>
        <v>77532</v>
      </c>
      <c r="I37" s="202">
        <v>78012</v>
      </c>
      <c r="J37" s="202">
        <v>78012</v>
      </c>
      <c r="K37" s="202">
        <v>78012</v>
      </c>
      <c r="L37" s="202">
        <v>78012</v>
      </c>
      <c r="M37" s="202">
        <v>78012</v>
      </c>
      <c r="N37" s="202">
        <v>78072</v>
      </c>
      <c r="O37" s="226">
        <f t="shared" si="2"/>
        <v>933324</v>
      </c>
    </row>
    <row r="38" spans="1:17">
      <c r="A38" s="188">
        <f>'[4]BULANAN PTKP BARU'!A38</f>
        <v>31</v>
      </c>
      <c r="B38" s="192" t="str">
        <f>+PERBULAN!B38</f>
        <v>EFRIYONO</v>
      </c>
      <c r="C38" s="202">
        <f t="shared" si="3"/>
        <v>77532</v>
      </c>
      <c r="D38" s="202">
        <f t="shared" si="3"/>
        <v>77532</v>
      </c>
      <c r="E38" s="202">
        <f t="shared" si="3"/>
        <v>77532</v>
      </c>
      <c r="F38" s="202">
        <f t="shared" si="3"/>
        <v>77532</v>
      </c>
      <c r="G38" s="202">
        <f t="shared" si="3"/>
        <v>77532</v>
      </c>
      <c r="H38" s="202">
        <f t="shared" si="3"/>
        <v>77532</v>
      </c>
      <c r="I38" s="202">
        <v>78072</v>
      </c>
      <c r="J38" s="202">
        <v>78072</v>
      </c>
      <c r="K38" s="202">
        <v>78072</v>
      </c>
      <c r="L38" s="202">
        <v>78072</v>
      </c>
      <c r="M38" s="202">
        <v>78072</v>
      </c>
      <c r="N38" s="202">
        <v>78072</v>
      </c>
      <c r="O38" s="226">
        <f t="shared" si="2"/>
        <v>933624</v>
      </c>
    </row>
    <row r="39" spans="1:17">
      <c r="A39" s="188">
        <f>'[4]BULANAN PTKP BARU'!A39</f>
        <v>32</v>
      </c>
      <c r="B39" s="192" t="str">
        <f>+PERBULAN!B39</f>
        <v>ERI HANDRAYANI</v>
      </c>
      <c r="C39" s="202">
        <f t="shared" si="3"/>
        <v>77532</v>
      </c>
      <c r="D39" s="202">
        <f t="shared" si="3"/>
        <v>77532</v>
      </c>
      <c r="E39" s="202">
        <f t="shared" si="3"/>
        <v>77532</v>
      </c>
      <c r="F39" s="202">
        <f t="shared" si="3"/>
        <v>77532</v>
      </c>
      <c r="G39" s="202">
        <f t="shared" si="3"/>
        <v>77532</v>
      </c>
      <c r="H39" s="202">
        <f t="shared" si="3"/>
        <v>77532</v>
      </c>
      <c r="I39" s="202">
        <v>78072</v>
      </c>
      <c r="J39" s="202">
        <v>78072</v>
      </c>
      <c r="K39" s="202">
        <v>78072</v>
      </c>
      <c r="L39" s="202">
        <v>78072</v>
      </c>
      <c r="M39" s="202">
        <v>78072</v>
      </c>
      <c r="N39" s="202">
        <v>78072</v>
      </c>
      <c r="O39" s="226">
        <f t="shared" si="2"/>
        <v>933624</v>
      </c>
    </row>
    <row r="40" spans="1:17">
      <c r="A40" s="188">
        <f>'[4]BULANAN PTKP BARU'!A40</f>
        <v>33</v>
      </c>
      <c r="B40" s="192" t="str">
        <f>+PERBULAN!B40</f>
        <v>FERBI H</v>
      </c>
      <c r="C40" s="202">
        <f t="shared" si="3"/>
        <v>77532</v>
      </c>
      <c r="D40" s="202">
        <f t="shared" si="3"/>
        <v>77532</v>
      </c>
      <c r="E40" s="202">
        <f t="shared" si="3"/>
        <v>77532</v>
      </c>
      <c r="F40" s="202">
        <f t="shared" si="3"/>
        <v>77532</v>
      </c>
      <c r="G40" s="202">
        <f t="shared" si="3"/>
        <v>77532</v>
      </c>
      <c r="H40" s="202">
        <f t="shared" si="3"/>
        <v>77532</v>
      </c>
      <c r="I40" s="202">
        <v>78012</v>
      </c>
      <c r="J40" s="202">
        <v>78012</v>
      </c>
      <c r="K40" s="202">
        <v>78072</v>
      </c>
      <c r="L40" s="202">
        <v>78072</v>
      </c>
      <c r="M40" s="202">
        <v>78072</v>
      </c>
      <c r="N40" s="202">
        <v>78072</v>
      </c>
      <c r="O40" s="226">
        <f t="shared" si="2"/>
        <v>933504</v>
      </c>
    </row>
    <row r="41" spans="1:17">
      <c r="A41" s="188">
        <f>'[4]BULANAN PTKP BARU'!A41</f>
        <v>34</v>
      </c>
      <c r="B41" s="192" t="str">
        <f>+PERBULAN!B41</f>
        <v>HAIDI</v>
      </c>
      <c r="C41" s="202">
        <f t="shared" ref="C41:H113" si="5">3876600*2%</f>
        <v>77532</v>
      </c>
      <c r="D41" s="202">
        <f t="shared" si="5"/>
        <v>77532</v>
      </c>
      <c r="E41" s="202">
        <f t="shared" si="5"/>
        <v>77532</v>
      </c>
      <c r="F41" s="202">
        <f t="shared" si="5"/>
        <v>77532</v>
      </c>
      <c r="G41" s="202">
        <f t="shared" si="5"/>
        <v>77532</v>
      </c>
      <c r="H41" s="202">
        <f t="shared" si="5"/>
        <v>77532</v>
      </c>
      <c r="I41" s="202">
        <v>77952</v>
      </c>
      <c r="J41" s="202">
        <v>77952</v>
      </c>
      <c r="K41" s="202">
        <v>77952</v>
      </c>
      <c r="L41" s="202">
        <v>78012</v>
      </c>
      <c r="M41" s="202">
        <v>78012</v>
      </c>
      <c r="N41" s="202">
        <v>78012</v>
      </c>
      <c r="O41" s="226">
        <f t="shared" si="2"/>
        <v>933084</v>
      </c>
    </row>
    <row r="42" spans="1:17">
      <c r="A42" s="188">
        <f>'[4]BULANAN PTKP BARU'!A42</f>
        <v>35</v>
      </c>
      <c r="B42" s="192" t="str">
        <f>+PERBULAN!B42</f>
        <v>IRHAS</v>
      </c>
      <c r="C42" s="202">
        <f t="shared" si="5"/>
        <v>77532</v>
      </c>
      <c r="D42" s="202">
        <f t="shared" si="5"/>
        <v>77532</v>
      </c>
      <c r="E42" s="202">
        <f t="shared" si="5"/>
        <v>77532</v>
      </c>
      <c r="F42" s="202">
        <f t="shared" si="5"/>
        <v>77532</v>
      </c>
      <c r="G42" s="202">
        <f t="shared" si="5"/>
        <v>77532</v>
      </c>
      <c r="H42" s="202">
        <f t="shared" si="5"/>
        <v>77532</v>
      </c>
      <c r="I42" s="202">
        <v>77952</v>
      </c>
      <c r="J42" s="202">
        <v>77952</v>
      </c>
      <c r="K42" s="202">
        <v>77952</v>
      </c>
      <c r="L42" s="202">
        <v>77952</v>
      </c>
      <c r="M42" s="202">
        <v>77952</v>
      </c>
      <c r="N42" s="202">
        <v>77952</v>
      </c>
      <c r="O42" s="226">
        <f t="shared" si="2"/>
        <v>932904</v>
      </c>
    </row>
    <row r="43" spans="1:17">
      <c r="A43" s="188">
        <f>'[4]BULANAN PTKP BARU'!A43</f>
        <v>36</v>
      </c>
      <c r="B43" s="192" t="str">
        <f>+PERBULAN!B43</f>
        <v>YANUAR</v>
      </c>
      <c r="C43" s="202">
        <f t="shared" si="5"/>
        <v>77532</v>
      </c>
      <c r="D43" s="202">
        <f t="shared" si="5"/>
        <v>77532</v>
      </c>
      <c r="E43" s="202">
        <f t="shared" si="5"/>
        <v>77532</v>
      </c>
      <c r="F43" s="202">
        <f t="shared" si="5"/>
        <v>77532</v>
      </c>
      <c r="G43" s="202">
        <f t="shared" si="5"/>
        <v>77532</v>
      </c>
      <c r="H43" s="202">
        <f t="shared" si="5"/>
        <v>77532</v>
      </c>
      <c r="I43" s="202">
        <v>78132</v>
      </c>
      <c r="J43" s="202">
        <v>78132</v>
      </c>
      <c r="K43" s="202">
        <v>78192</v>
      </c>
      <c r="L43" s="202">
        <v>78192</v>
      </c>
      <c r="M43" s="202">
        <v>78192</v>
      </c>
      <c r="N43" s="202">
        <v>78192</v>
      </c>
      <c r="O43" s="226">
        <f t="shared" si="2"/>
        <v>934224</v>
      </c>
    </row>
    <row r="44" spans="1:17">
      <c r="A44" s="188">
        <f>'[4]BULANAN PTKP BARU'!A44</f>
        <v>37</v>
      </c>
      <c r="B44" s="192" t="str">
        <f>+PERBULAN!B44</f>
        <v>SEVENDRI</v>
      </c>
      <c r="C44" s="202">
        <f t="shared" si="5"/>
        <v>77532</v>
      </c>
      <c r="D44" s="202">
        <f t="shared" si="5"/>
        <v>77532</v>
      </c>
      <c r="E44" s="202">
        <f t="shared" si="5"/>
        <v>77532</v>
      </c>
      <c r="F44" s="202">
        <f t="shared" si="5"/>
        <v>77532</v>
      </c>
      <c r="G44" s="202">
        <f t="shared" si="5"/>
        <v>77532</v>
      </c>
      <c r="H44" s="202">
        <f t="shared" si="5"/>
        <v>77532</v>
      </c>
      <c r="I44" s="202">
        <v>78072</v>
      </c>
      <c r="J44" s="202">
        <v>78072</v>
      </c>
      <c r="K44" s="202">
        <v>78072</v>
      </c>
      <c r="L44" s="202">
        <v>78072</v>
      </c>
      <c r="M44" s="202">
        <v>78072</v>
      </c>
      <c r="N44" s="202">
        <v>78072</v>
      </c>
      <c r="O44" s="226">
        <f t="shared" si="2"/>
        <v>933624</v>
      </c>
    </row>
    <row r="45" spans="1:17">
      <c r="A45" s="188">
        <f>'[4]BULANAN PTKP BARU'!A45</f>
        <v>38</v>
      </c>
      <c r="B45" s="192" t="str">
        <f>+PERBULAN!B45</f>
        <v>PURGANDI</v>
      </c>
      <c r="C45" s="202">
        <f t="shared" si="5"/>
        <v>77532</v>
      </c>
      <c r="D45" s="202">
        <f t="shared" si="5"/>
        <v>77532</v>
      </c>
      <c r="E45" s="202">
        <f t="shared" si="5"/>
        <v>77532</v>
      </c>
      <c r="F45" s="202">
        <f t="shared" si="5"/>
        <v>77532</v>
      </c>
      <c r="G45" s="202">
        <f t="shared" si="5"/>
        <v>77532</v>
      </c>
      <c r="H45" s="202">
        <f t="shared" si="5"/>
        <v>77532</v>
      </c>
      <c r="I45" s="202">
        <v>78072</v>
      </c>
      <c r="J45" s="202">
        <v>78072</v>
      </c>
      <c r="K45" s="202">
        <v>78072</v>
      </c>
      <c r="L45" s="202">
        <v>78072</v>
      </c>
      <c r="M45" s="202">
        <v>78072</v>
      </c>
      <c r="N45" s="202">
        <v>78072</v>
      </c>
      <c r="O45" s="226">
        <f t="shared" si="2"/>
        <v>933624</v>
      </c>
    </row>
    <row r="46" spans="1:17">
      <c r="A46" s="188">
        <f>'[4]BULANAN PTKP BARU'!A46</f>
        <v>39</v>
      </c>
      <c r="B46" s="192" t="str">
        <f>+PERBULAN!B46</f>
        <v>RICKI PUTRA</v>
      </c>
      <c r="C46" s="202">
        <f t="shared" si="5"/>
        <v>77532</v>
      </c>
      <c r="D46" s="202">
        <f t="shared" si="5"/>
        <v>77532</v>
      </c>
      <c r="E46" s="202">
        <f t="shared" si="5"/>
        <v>77532</v>
      </c>
      <c r="F46" s="202">
        <f t="shared" si="5"/>
        <v>77532</v>
      </c>
      <c r="G46" s="202">
        <f t="shared" si="5"/>
        <v>77532</v>
      </c>
      <c r="H46" s="202">
        <f t="shared" si="5"/>
        <v>77532</v>
      </c>
      <c r="I46" s="202">
        <v>78012</v>
      </c>
      <c r="J46" s="202">
        <v>78012</v>
      </c>
      <c r="K46" s="202">
        <v>78012</v>
      </c>
      <c r="L46" s="202">
        <v>78012</v>
      </c>
      <c r="M46" s="202">
        <v>78012</v>
      </c>
      <c r="N46" s="202">
        <v>78072</v>
      </c>
      <c r="O46" s="226">
        <f t="shared" si="2"/>
        <v>933324</v>
      </c>
    </row>
    <row r="47" spans="1:17">
      <c r="A47" s="188">
        <f>'[4]BULANAN PTKP BARU'!A47</f>
        <v>40</v>
      </c>
      <c r="B47" s="192" t="str">
        <f>+PERBULAN!B47</f>
        <v>ROLAND AGUSTA</v>
      </c>
      <c r="C47" s="202">
        <f t="shared" si="5"/>
        <v>77532</v>
      </c>
      <c r="D47" s="202">
        <f t="shared" si="5"/>
        <v>77532</v>
      </c>
      <c r="E47" s="202">
        <f t="shared" si="5"/>
        <v>77532</v>
      </c>
      <c r="F47" s="202">
        <f t="shared" si="5"/>
        <v>77532</v>
      </c>
      <c r="G47" s="202">
        <f t="shared" si="5"/>
        <v>77532</v>
      </c>
      <c r="H47" s="202">
        <f t="shared" si="5"/>
        <v>77532</v>
      </c>
      <c r="I47" s="202">
        <v>77952</v>
      </c>
      <c r="J47" s="202">
        <v>77952</v>
      </c>
      <c r="K47" s="202">
        <v>77952</v>
      </c>
      <c r="L47" s="202">
        <v>77952</v>
      </c>
      <c r="M47" s="202">
        <v>77952</v>
      </c>
      <c r="N47" s="202">
        <v>77952</v>
      </c>
      <c r="O47" s="226">
        <f t="shared" si="2"/>
        <v>932904</v>
      </c>
    </row>
    <row r="48" spans="1:17">
      <c r="A48" s="188">
        <f>'[4]BULANAN PTKP BARU'!A48</f>
        <v>41</v>
      </c>
      <c r="B48" s="192" t="str">
        <f>+PERBULAN!B48</f>
        <v>SAHDAN</v>
      </c>
      <c r="C48" s="202">
        <f t="shared" si="5"/>
        <v>77532</v>
      </c>
      <c r="D48" s="202">
        <f t="shared" si="5"/>
        <v>77532</v>
      </c>
      <c r="E48" s="202">
        <f t="shared" si="5"/>
        <v>77532</v>
      </c>
      <c r="F48" s="202">
        <f t="shared" si="5"/>
        <v>77532</v>
      </c>
      <c r="G48" s="202">
        <f t="shared" si="5"/>
        <v>77532</v>
      </c>
      <c r="H48" s="202">
        <f t="shared" si="5"/>
        <v>77532</v>
      </c>
      <c r="I48" s="202">
        <v>78072</v>
      </c>
      <c r="J48" s="202">
        <v>78072</v>
      </c>
      <c r="K48" s="202">
        <v>78072</v>
      </c>
      <c r="L48" s="202">
        <v>78072</v>
      </c>
      <c r="M48" s="202">
        <v>78072</v>
      </c>
      <c r="N48" s="202">
        <v>78072</v>
      </c>
      <c r="O48" s="226">
        <f t="shared" si="2"/>
        <v>933624</v>
      </c>
    </row>
    <row r="49" spans="1:15">
      <c r="A49" s="188">
        <f>'[4]BULANAN PTKP BARU'!A49</f>
        <v>42</v>
      </c>
      <c r="B49" s="192" t="str">
        <f>+PERBULAN!B49</f>
        <v>YOPIE ,T</v>
      </c>
      <c r="C49" s="202">
        <f t="shared" si="5"/>
        <v>77532</v>
      </c>
      <c r="D49" s="202">
        <f t="shared" si="5"/>
        <v>77532</v>
      </c>
      <c r="E49" s="202">
        <f t="shared" si="5"/>
        <v>77532</v>
      </c>
      <c r="F49" s="202">
        <f t="shared" si="5"/>
        <v>77532</v>
      </c>
      <c r="G49" s="202">
        <f t="shared" si="5"/>
        <v>77532</v>
      </c>
      <c r="H49" s="202">
        <f t="shared" si="5"/>
        <v>77532</v>
      </c>
      <c r="I49" s="202">
        <v>78072</v>
      </c>
      <c r="J49" s="202">
        <v>78072</v>
      </c>
      <c r="K49" s="202">
        <v>78072</v>
      </c>
      <c r="L49" s="202">
        <v>78072</v>
      </c>
      <c r="M49" s="202">
        <v>78072</v>
      </c>
      <c r="N49" s="202">
        <v>78072</v>
      </c>
      <c r="O49" s="226">
        <f t="shared" si="2"/>
        <v>933624</v>
      </c>
    </row>
    <row r="50" spans="1:15">
      <c r="A50" s="188">
        <f>'[4]BULANAN PTKP BARU'!A50</f>
        <v>43</v>
      </c>
      <c r="B50" s="192" t="str">
        <f>+PERBULAN!B50</f>
        <v>ELYANDI</v>
      </c>
      <c r="C50" s="202">
        <f t="shared" si="5"/>
        <v>77532</v>
      </c>
      <c r="D50" s="202">
        <f t="shared" si="5"/>
        <v>77532</v>
      </c>
      <c r="E50" s="202">
        <f t="shared" si="5"/>
        <v>77532</v>
      </c>
      <c r="F50" s="202">
        <f t="shared" si="5"/>
        <v>77532</v>
      </c>
      <c r="G50" s="202">
        <f t="shared" si="5"/>
        <v>77532</v>
      </c>
      <c r="H50" s="202">
        <f t="shared" si="5"/>
        <v>77532</v>
      </c>
      <c r="I50" s="202">
        <v>77732</v>
      </c>
      <c r="J50" s="202">
        <v>77782</v>
      </c>
      <c r="K50" s="202">
        <v>77782</v>
      </c>
      <c r="L50" s="202">
        <v>77782</v>
      </c>
      <c r="M50" s="202">
        <v>77782</v>
      </c>
      <c r="N50" s="202">
        <v>77782</v>
      </c>
      <c r="O50" s="226">
        <f t="shared" si="2"/>
        <v>931834</v>
      </c>
    </row>
    <row r="51" spans="1:15">
      <c r="A51" s="188">
        <f>'[4]BULANAN PTKP BARU'!A51</f>
        <v>44</v>
      </c>
      <c r="B51" s="192" t="str">
        <f>+PERBULAN!B51</f>
        <v>ALI MAS DESI</v>
      </c>
      <c r="C51" s="202">
        <f t="shared" si="5"/>
        <v>77532</v>
      </c>
      <c r="D51" s="202">
        <f t="shared" si="5"/>
        <v>77532</v>
      </c>
      <c r="E51" s="202">
        <f t="shared" si="5"/>
        <v>77532</v>
      </c>
      <c r="F51" s="202">
        <f t="shared" si="5"/>
        <v>77532</v>
      </c>
      <c r="G51" s="202">
        <f t="shared" si="5"/>
        <v>77532</v>
      </c>
      <c r="H51" s="202">
        <f t="shared" si="5"/>
        <v>77532</v>
      </c>
      <c r="I51" s="202">
        <v>77682</v>
      </c>
      <c r="J51" s="202">
        <v>77682</v>
      </c>
      <c r="K51" s="202">
        <v>77682</v>
      </c>
      <c r="L51" s="202">
        <v>77682</v>
      </c>
      <c r="M51" s="202">
        <v>77682</v>
      </c>
      <c r="N51" s="202">
        <v>77682</v>
      </c>
      <c r="O51" s="226">
        <f t="shared" si="2"/>
        <v>931284</v>
      </c>
    </row>
    <row r="52" spans="1:15">
      <c r="A52" s="188">
        <f>'[4]BULANAN PTKP BARU'!A52</f>
        <v>45</v>
      </c>
      <c r="B52" s="192" t="str">
        <f>+PERBULAN!B52</f>
        <v>HARYANTO</v>
      </c>
      <c r="C52" s="202">
        <f t="shared" si="5"/>
        <v>77532</v>
      </c>
      <c r="D52" s="202">
        <f t="shared" si="5"/>
        <v>77532</v>
      </c>
      <c r="E52" s="202">
        <f t="shared" si="5"/>
        <v>77532</v>
      </c>
      <c r="F52" s="202">
        <f t="shared" si="5"/>
        <v>77532</v>
      </c>
      <c r="G52" s="202">
        <f t="shared" si="5"/>
        <v>77532</v>
      </c>
      <c r="H52" s="202">
        <f t="shared" si="5"/>
        <v>77532</v>
      </c>
      <c r="I52" s="202">
        <v>78012</v>
      </c>
      <c r="J52" s="202">
        <v>78012</v>
      </c>
      <c r="K52" s="202">
        <v>78072</v>
      </c>
      <c r="L52" s="202">
        <v>78072</v>
      </c>
      <c r="M52" s="202">
        <v>78072</v>
      </c>
      <c r="N52" s="202">
        <v>78072</v>
      </c>
      <c r="O52" s="226">
        <f t="shared" si="2"/>
        <v>933504</v>
      </c>
    </row>
    <row r="53" spans="1:15">
      <c r="A53" s="188">
        <f>'[4]BULANAN PTKP BARU'!A53</f>
        <v>46</v>
      </c>
      <c r="B53" s="192" t="str">
        <f>+PERBULAN!B53</f>
        <v>ROSMANSYAH</v>
      </c>
      <c r="C53" s="202">
        <f t="shared" si="5"/>
        <v>77532</v>
      </c>
      <c r="D53" s="202">
        <f t="shared" si="5"/>
        <v>77532</v>
      </c>
      <c r="E53" s="202">
        <f t="shared" si="5"/>
        <v>77532</v>
      </c>
      <c r="F53" s="202">
        <f t="shared" si="5"/>
        <v>77532</v>
      </c>
      <c r="G53" s="202">
        <f t="shared" si="5"/>
        <v>77532</v>
      </c>
      <c r="H53" s="202">
        <f t="shared" si="5"/>
        <v>77532</v>
      </c>
      <c r="I53" s="202">
        <v>77952</v>
      </c>
      <c r="J53" s="202">
        <v>77952</v>
      </c>
      <c r="K53" s="202">
        <v>77952</v>
      </c>
      <c r="L53" s="202">
        <v>77952</v>
      </c>
      <c r="M53" s="202">
        <v>77952</v>
      </c>
      <c r="N53" s="202">
        <v>77952</v>
      </c>
      <c r="O53" s="226">
        <f t="shared" si="2"/>
        <v>932904</v>
      </c>
    </row>
    <row r="54" spans="1:15">
      <c r="A54" s="188">
        <f>'[4]BULANAN PTKP BARU'!A54</f>
        <v>47</v>
      </c>
      <c r="B54" s="192" t="str">
        <f>+PERBULAN!B54</f>
        <v>KAMALUDIN</v>
      </c>
      <c r="C54" s="202">
        <f t="shared" si="5"/>
        <v>77532</v>
      </c>
      <c r="D54" s="202">
        <f t="shared" si="5"/>
        <v>77532</v>
      </c>
      <c r="E54" s="202">
        <f t="shared" si="5"/>
        <v>77532</v>
      </c>
      <c r="F54" s="202">
        <f t="shared" si="5"/>
        <v>77532</v>
      </c>
      <c r="G54" s="202">
        <f t="shared" si="5"/>
        <v>77532</v>
      </c>
      <c r="H54" s="202">
        <f t="shared" si="5"/>
        <v>77532</v>
      </c>
      <c r="I54" s="202">
        <v>77952</v>
      </c>
      <c r="J54" s="202">
        <v>77952</v>
      </c>
      <c r="K54" s="202">
        <v>77952</v>
      </c>
      <c r="L54" s="202">
        <v>77952</v>
      </c>
      <c r="M54" s="202">
        <v>77952</v>
      </c>
      <c r="N54" s="202">
        <v>77952</v>
      </c>
      <c r="O54" s="226">
        <f t="shared" si="2"/>
        <v>932904</v>
      </c>
    </row>
    <row r="55" spans="1:15">
      <c r="A55" s="188">
        <f>'[4]BULANAN PTKP BARU'!A55</f>
        <v>48</v>
      </c>
      <c r="B55" s="192" t="str">
        <f>+PERBULAN!B55</f>
        <v>AZRI DONA</v>
      </c>
      <c r="C55" s="202">
        <f t="shared" si="5"/>
        <v>77532</v>
      </c>
      <c r="D55" s="202">
        <f t="shared" si="5"/>
        <v>77532</v>
      </c>
      <c r="E55" s="202">
        <f t="shared" si="5"/>
        <v>77532</v>
      </c>
      <c r="F55" s="202">
        <f t="shared" si="5"/>
        <v>77532</v>
      </c>
      <c r="G55" s="202">
        <f t="shared" si="5"/>
        <v>77532</v>
      </c>
      <c r="H55" s="202">
        <f t="shared" si="5"/>
        <v>77532</v>
      </c>
      <c r="I55" s="202">
        <v>78012</v>
      </c>
      <c r="J55" s="202">
        <v>78072</v>
      </c>
      <c r="K55" s="202">
        <v>78072</v>
      </c>
      <c r="L55" s="202">
        <v>78072</v>
      </c>
      <c r="M55" s="202">
        <v>78072</v>
      </c>
      <c r="N55" s="202">
        <v>78072</v>
      </c>
      <c r="O55" s="226">
        <f t="shared" si="2"/>
        <v>933564</v>
      </c>
    </row>
    <row r="56" spans="1:15">
      <c r="A56" s="188">
        <f>'[4]BULANAN PTKP BARU'!A56</f>
        <v>49</v>
      </c>
      <c r="B56" s="192" t="str">
        <f>+PERBULAN!B56</f>
        <v>HALIK</v>
      </c>
      <c r="C56" s="202">
        <f t="shared" ref="C56:H114" si="6">3876600*2%</f>
        <v>77532</v>
      </c>
      <c r="D56" s="202">
        <f t="shared" si="6"/>
        <v>77532</v>
      </c>
      <c r="E56" s="202">
        <f t="shared" si="6"/>
        <v>77532</v>
      </c>
      <c r="F56" s="202">
        <f t="shared" si="6"/>
        <v>77532</v>
      </c>
      <c r="G56" s="202">
        <f t="shared" si="6"/>
        <v>77532</v>
      </c>
      <c r="H56" s="202">
        <f t="shared" si="6"/>
        <v>77532</v>
      </c>
      <c r="I56" s="202">
        <v>77632</v>
      </c>
      <c r="J56" s="202">
        <v>77632</v>
      </c>
      <c r="K56" s="202">
        <v>77632</v>
      </c>
      <c r="L56" s="202">
        <v>77632</v>
      </c>
      <c r="M56" s="202">
        <v>77632</v>
      </c>
      <c r="N56" s="202">
        <v>77632</v>
      </c>
      <c r="O56" s="226">
        <f t="shared" si="2"/>
        <v>930984</v>
      </c>
    </row>
    <row r="57" spans="1:15">
      <c r="A57" s="188">
        <f>'[4]BULANAN PTKP BARU'!A57</f>
        <v>50</v>
      </c>
      <c r="B57" s="192" t="str">
        <f>+PERBULAN!B57</f>
        <v>KARTONO</v>
      </c>
      <c r="C57" s="202">
        <f t="shared" si="6"/>
        <v>77532</v>
      </c>
      <c r="D57" s="202">
        <f t="shared" si="6"/>
        <v>77532</v>
      </c>
      <c r="E57" s="202">
        <f t="shared" si="6"/>
        <v>77532</v>
      </c>
      <c r="F57" s="202">
        <f t="shared" si="6"/>
        <v>77532</v>
      </c>
      <c r="G57" s="202">
        <f t="shared" si="6"/>
        <v>77532</v>
      </c>
      <c r="H57" s="202">
        <f t="shared" si="6"/>
        <v>77532</v>
      </c>
      <c r="I57" s="202">
        <v>77582</v>
      </c>
      <c r="J57" s="202">
        <v>77582</v>
      </c>
      <c r="K57" s="202">
        <v>77582</v>
      </c>
      <c r="L57" s="202">
        <v>77582</v>
      </c>
      <c r="M57" s="202">
        <v>77582</v>
      </c>
      <c r="N57" s="202">
        <v>77582</v>
      </c>
      <c r="O57" s="226">
        <f t="shared" si="2"/>
        <v>930684</v>
      </c>
    </row>
    <row r="58" spans="1:15">
      <c r="A58" s="188">
        <f>'[4]BULANAN PTKP BARU'!A58</f>
        <v>51</v>
      </c>
      <c r="B58" s="192" t="str">
        <f>+PERBULAN!B58</f>
        <v>LALU MANAR HADI</v>
      </c>
      <c r="C58" s="202">
        <f t="shared" si="6"/>
        <v>77532</v>
      </c>
      <c r="D58" s="202">
        <f t="shared" si="6"/>
        <v>77532</v>
      </c>
      <c r="E58" s="202">
        <f t="shared" si="6"/>
        <v>77532</v>
      </c>
      <c r="F58" s="202">
        <f t="shared" si="6"/>
        <v>77532</v>
      </c>
      <c r="G58" s="202">
        <f t="shared" si="6"/>
        <v>77532</v>
      </c>
      <c r="H58" s="202">
        <f t="shared" si="6"/>
        <v>77532</v>
      </c>
      <c r="I58" s="202">
        <v>77532</v>
      </c>
      <c r="J58" s="202">
        <v>77532</v>
      </c>
      <c r="K58" s="202">
        <v>77582</v>
      </c>
      <c r="L58" s="202">
        <v>77582</v>
      </c>
      <c r="M58" s="202">
        <v>77582</v>
      </c>
      <c r="N58" s="202">
        <v>77582</v>
      </c>
      <c r="O58" s="226">
        <f t="shared" si="2"/>
        <v>930584</v>
      </c>
    </row>
    <row r="59" spans="1:15">
      <c r="A59" s="188">
        <f>'[4]BULANAN PTKP BARU'!A59</f>
        <v>52</v>
      </c>
      <c r="B59" s="192" t="str">
        <f>+PERBULAN!B59</f>
        <v>ANHAR</v>
      </c>
      <c r="C59" s="202">
        <f t="shared" si="6"/>
        <v>77532</v>
      </c>
      <c r="D59" s="202">
        <f t="shared" si="6"/>
        <v>77532</v>
      </c>
      <c r="E59" s="202">
        <f t="shared" si="6"/>
        <v>77532</v>
      </c>
      <c r="F59" s="202">
        <f t="shared" si="6"/>
        <v>77532</v>
      </c>
      <c r="G59" s="202">
        <f t="shared" si="6"/>
        <v>77532</v>
      </c>
      <c r="H59" s="202">
        <f t="shared" si="6"/>
        <v>77532</v>
      </c>
      <c r="I59" s="202">
        <v>77532</v>
      </c>
      <c r="J59" s="202">
        <v>77532</v>
      </c>
      <c r="K59" s="202">
        <v>77532</v>
      </c>
      <c r="L59" s="202">
        <v>77532</v>
      </c>
      <c r="M59" s="202">
        <v>77532</v>
      </c>
      <c r="N59" s="202">
        <v>77582</v>
      </c>
      <c r="O59" s="226">
        <f t="shared" si="2"/>
        <v>930434</v>
      </c>
    </row>
    <row r="60" spans="1:15">
      <c r="A60" s="188">
        <f>'[4]BULANAN PTKP BARU'!A60</f>
        <v>53</v>
      </c>
      <c r="B60" s="192" t="str">
        <f>+PERBULAN!B60</f>
        <v>IRPAN SAMSUDIN</v>
      </c>
      <c r="C60" s="202">
        <f t="shared" si="6"/>
        <v>77532</v>
      </c>
      <c r="D60" s="202">
        <f t="shared" si="6"/>
        <v>77532</v>
      </c>
      <c r="E60" s="202">
        <f t="shared" si="6"/>
        <v>77532</v>
      </c>
      <c r="F60" s="202">
        <f t="shared" si="6"/>
        <v>77532</v>
      </c>
      <c r="G60" s="202">
        <f t="shared" si="6"/>
        <v>77532</v>
      </c>
      <c r="H60" s="202">
        <f t="shared" si="6"/>
        <v>77532</v>
      </c>
      <c r="I60" s="202">
        <v>77532</v>
      </c>
      <c r="J60" s="366"/>
      <c r="K60" s="366"/>
      <c r="L60" s="366"/>
      <c r="M60" s="366"/>
      <c r="N60" s="366"/>
      <c r="O60" s="226">
        <f t="shared" si="2"/>
        <v>542724</v>
      </c>
    </row>
    <row r="61" spans="1:15">
      <c r="A61" s="188">
        <f>'[4]BULANAN PTKP BARU'!A61</f>
        <v>54</v>
      </c>
      <c r="B61" s="192" t="str">
        <f>+PERBULAN!B61</f>
        <v>ADI . JP</v>
      </c>
      <c r="C61" s="202">
        <f t="shared" si="6"/>
        <v>77532</v>
      </c>
      <c r="D61" s="202">
        <f t="shared" si="6"/>
        <v>77532</v>
      </c>
      <c r="E61" s="202">
        <f t="shared" si="6"/>
        <v>77532</v>
      </c>
      <c r="F61" s="202">
        <f t="shared" si="6"/>
        <v>77532</v>
      </c>
      <c r="G61" s="202">
        <f t="shared" si="6"/>
        <v>77532</v>
      </c>
      <c r="H61" s="202">
        <f t="shared" si="6"/>
        <v>77532</v>
      </c>
      <c r="I61" s="202">
        <v>78622</v>
      </c>
      <c r="J61" s="202">
        <v>78622</v>
      </c>
      <c r="K61" s="202">
        <v>78622</v>
      </c>
      <c r="L61" s="202">
        <v>78622</v>
      </c>
      <c r="M61" s="202">
        <v>78622</v>
      </c>
      <c r="N61" s="202">
        <v>78622</v>
      </c>
      <c r="O61" s="226">
        <f t="shared" si="2"/>
        <v>936924</v>
      </c>
    </row>
    <row r="62" spans="1:15">
      <c r="A62" s="188">
        <f>'[4]BULANAN PTKP BARU'!A62</f>
        <v>55</v>
      </c>
      <c r="B62" s="192" t="str">
        <f>+PERBULAN!B62</f>
        <v>RUDI</v>
      </c>
      <c r="C62" s="202">
        <f t="shared" si="6"/>
        <v>77532</v>
      </c>
      <c r="D62" s="202">
        <f t="shared" si="6"/>
        <v>77532</v>
      </c>
      <c r="E62" s="202">
        <f t="shared" si="6"/>
        <v>77532</v>
      </c>
      <c r="F62" s="202">
        <f t="shared" si="6"/>
        <v>77532</v>
      </c>
      <c r="G62" s="202">
        <f t="shared" si="6"/>
        <v>77532</v>
      </c>
      <c r="H62" s="202">
        <f t="shared" si="6"/>
        <v>77532</v>
      </c>
      <c r="I62" s="202">
        <v>78072</v>
      </c>
      <c r="J62" s="202">
        <v>78072</v>
      </c>
      <c r="K62" s="202">
        <v>78072</v>
      </c>
      <c r="L62" s="202">
        <v>78072</v>
      </c>
      <c r="M62" s="202">
        <v>78072</v>
      </c>
      <c r="N62" s="202">
        <v>78072</v>
      </c>
      <c r="O62" s="226">
        <f t="shared" si="2"/>
        <v>933624</v>
      </c>
    </row>
    <row r="63" spans="1:15">
      <c r="A63" s="188">
        <f>'[4]BULANAN PTKP BARU'!A63</f>
        <v>56</v>
      </c>
      <c r="B63" s="192" t="str">
        <f>+PERBULAN!B63</f>
        <v>SUDIANTO</v>
      </c>
      <c r="C63" s="202">
        <f t="shared" si="6"/>
        <v>77532</v>
      </c>
      <c r="D63" s="202">
        <f t="shared" si="6"/>
        <v>77532</v>
      </c>
      <c r="E63" s="202">
        <f t="shared" si="6"/>
        <v>77532</v>
      </c>
      <c r="F63" s="202">
        <f t="shared" si="6"/>
        <v>77532</v>
      </c>
      <c r="G63" s="202">
        <f t="shared" si="6"/>
        <v>77532</v>
      </c>
      <c r="H63" s="202">
        <f t="shared" si="6"/>
        <v>77532</v>
      </c>
      <c r="I63" s="202">
        <v>78072</v>
      </c>
      <c r="J63" s="202">
        <v>78072</v>
      </c>
      <c r="K63" s="202">
        <v>78072</v>
      </c>
      <c r="L63" s="202">
        <v>78072</v>
      </c>
      <c r="M63" s="202">
        <v>78072</v>
      </c>
      <c r="N63" s="202">
        <v>78072</v>
      </c>
      <c r="O63" s="226">
        <f t="shared" si="2"/>
        <v>933624</v>
      </c>
    </row>
    <row r="64" spans="1:15">
      <c r="A64" s="188">
        <f>'[4]BULANAN PTKP BARU'!A64</f>
        <v>57</v>
      </c>
      <c r="B64" s="192" t="str">
        <f>+PERBULAN!B64</f>
        <v>SALEH</v>
      </c>
      <c r="C64" s="202">
        <f t="shared" si="6"/>
        <v>77532</v>
      </c>
      <c r="D64" s="202">
        <f t="shared" si="6"/>
        <v>77532</v>
      </c>
      <c r="E64" s="202">
        <f t="shared" si="6"/>
        <v>77532</v>
      </c>
      <c r="F64" s="202">
        <f t="shared" si="6"/>
        <v>77532</v>
      </c>
      <c r="G64" s="202">
        <f t="shared" si="6"/>
        <v>77532</v>
      </c>
      <c r="H64" s="202">
        <f t="shared" si="6"/>
        <v>77532</v>
      </c>
      <c r="I64" s="202">
        <v>78072</v>
      </c>
      <c r="J64" s="202">
        <v>78072</v>
      </c>
      <c r="K64" s="202">
        <v>78072</v>
      </c>
      <c r="L64" s="202">
        <v>78072</v>
      </c>
      <c r="M64" s="202">
        <v>78072</v>
      </c>
      <c r="N64" s="202">
        <v>78072</v>
      </c>
      <c r="O64" s="226">
        <f t="shared" si="2"/>
        <v>933624</v>
      </c>
    </row>
    <row r="65" spans="1:15">
      <c r="A65" s="188">
        <f>'[4]BULANAN PTKP BARU'!A65</f>
        <v>58</v>
      </c>
      <c r="B65" s="192" t="str">
        <f>+PERBULAN!B65</f>
        <v>ANDRIANSYAH</v>
      </c>
      <c r="C65" s="202">
        <f t="shared" si="6"/>
        <v>77532</v>
      </c>
      <c r="D65" s="202">
        <f t="shared" si="6"/>
        <v>77532</v>
      </c>
      <c r="E65" s="202">
        <f t="shared" si="6"/>
        <v>77532</v>
      </c>
      <c r="F65" s="202">
        <f t="shared" si="6"/>
        <v>77532</v>
      </c>
      <c r="G65" s="202">
        <f t="shared" si="6"/>
        <v>77532</v>
      </c>
      <c r="H65" s="202">
        <f t="shared" si="6"/>
        <v>77532</v>
      </c>
      <c r="I65" s="202">
        <v>78072</v>
      </c>
      <c r="J65" s="202">
        <v>78072</v>
      </c>
      <c r="K65" s="202">
        <v>78072</v>
      </c>
      <c r="L65" s="202">
        <v>78072</v>
      </c>
      <c r="M65" s="202">
        <v>78072</v>
      </c>
      <c r="N65" s="202">
        <v>78072</v>
      </c>
      <c r="O65" s="226">
        <f t="shared" si="2"/>
        <v>933624</v>
      </c>
    </row>
    <row r="66" spans="1:15">
      <c r="A66" s="188">
        <f>'[4]BULANAN PTKP BARU'!A66</f>
        <v>59</v>
      </c>
      <c r="B66" s="192" t="str">
        <f>+PERBULAN!B66</f>
        <v>HENDRI</v>
      </c>
      <c r="C66" s="202">
        <f t="shared" si="6"/>
        <v>77532</v>
      </c>
      <c r="D66" s="202">
        <f t="shared" si="6"/>
        <v>77532</v>
      </c>
      <c r="E66" s="202">
        <f t="shared" si="6"/>
        <v>77532</v>
      </c>
      <c r="F66" s="202">
        <f t="shared" si="6"/>
        <v>77532</v>
      </c>
      <c r="G66" s="202">
        <f t="shared" si="6"/>
        <v>77532</v>
      </c>
      <c r="H66" s="202">
        <f t="shared" si="6"/>
        <v>77532</v>
      </c>
      <c r="I66" s="202">
        <v>78072</v>
      </c>
      <c r="J66" s="202">
        <v>78072</v>
      </c>
      <c r="K66" s="202">
        <v>78072</v>
      </c>
      <c r="L66" s="202">
        <v>78072</v>
      </c>
      <c r="M66" s="202">
        <v>78072</v>
      </c>
      <c r="N66" s="202">
        <v>78072</v>
      </c>
      <c r="O66" s="226">
        <f t="shared" si="2"/>
        <v>933624</v>
      </c>
    </row>
    <row r="67" spans="1:15">
      <c r="A67" s="188">
        <f>'[4]BULANAN PTKP BARU'!A67</f>
        <v>60</v>
      </c>
      <c r="B67" s="192" t="str">
        <f>+PERBULAN!B67</f>
        <v>POPPY ADEYANTI</v>
      </c>
      <c r="C67" s="202">
        <f t="shared" si="6"/>
        <v>77532</v>
      </c>
      <c r="D67" s="202">
        <f t="shared" si="6"/>
        <v>77532</v>
      </c>
      <c r="E67" s="202">
        <f t="shared" si="6"/>
        <v>77532</v>
      </c>
      <c r="F67" s="202">
        <f t="shared" si="6"/>
        <v>77532</v>
      </c>
      <c r="G67" s="202">
        <f t="shared" si="6"/>
        <v>77532</v>
      </c>
      <c r="H67" s="202">
        <f t="shared" si="6"/>
        <v>77532</v>
      </c>
      <c r="I67" s="202">
        <v>78192</v>
      </c>
      <c r="J67" s="202">
        <v>78192</v>
      </c>
      <c r="K67" s="202">
        <v>78192</v>
      </c>
      <c r="L67" s="202">
        <v>78192</v>
      </c>
      <c r="M67" s="202">
        <v>78192</v>
      </c>
      <c r="N67" s="202">
        <v>78192</v>
      </c>
      <c r="O67" s="226">
        <f t="shared" si="2"/>
        <v>934344</v>
      </c>
    </row>
    <row r="68" spans="1:15">
      <c r="A68" s="188">
        <f>'[4]BULANAN PTKP BARU'!A68</f>
        <v>61</v>
      </c>
      <c r="B68" s="192" t="str">
        <f>+PERBULAN!B68</f>
        <v>HARYADI</v>
      </c>
      <c r="C68" s="202">
        <f t="shared" si="6"/>
        <v>77532</v>
      </c>
      <c r="D68" s="202">
        <f t="shared" si="6"/>
        <v>77532</v>
      </c>
      <c r="E68" s="202">
        <f t="shared" si="6"/>
        <v>77532</v>
      </c>
      <c r="F68" s="202">
        <f t="shared" si="6"/>
        <v>77532</v>
      </c>
      <c r="G68" s="202">
        <f t="shared" si="6"/>
        <v>77532</v>
      </c>
      <c r="H68" s="202">
        <f t="shared" si="6"/>
        <v>77532</v>
      </c>
      <c r="I68" s="202">
        <v>78072</v>
      </c>
      <c r="J68" s="202">
        <v>78072</v>
      </c>
      <c r="K68" s="202">
        <v>78072</v>
      </c>
      <c r="L68" s="202">
        <v>78072</v>
      </c>
      <c r="M68" s="202">
        <v>78072</v>
      </c>
      <c r="N68" s="202">
        <v>78072</v>
      </c>
      <c r="O68" s="226">
        <f t="shared" si="2"/>
        <v>933624</v>
      </c>
    </row>
    <row r="69" spans="1:15">
      <c r="A69" s="188">
        <f>'[4]BULANAN PTKP BARU'!A69</f>
        <v>62</v>
      </c>
      <c r="B69" s="192">
        <f>+PERBULAN!B69</f>
        <v>0</v>
      </c>
      <c r="C69" s="202"/>
      <c r="D69" s="202"/>
      <c r="E69" s="202"/>
      <c r="F69" s="202"/>
      <c r="G69" s="202"/>
      <c r="H69" s="202"/>
      <c r="I69" s="202"/>
      <c r="J69" s="202"/>
      <c r="K69" s="202"/>
      <c r="L69" s="202"/>
      <c r="M69" s="202"/>
      <c r="N69" s="202"/>
      <c r="O69" s="226">
        <f t="shared" si="2"/>
        <v>0</v>
      </c>
    </row>
    <row r="70" spans="1:15">
      <c r="A70" s="188">
        <f>'[4]BULANAN PTKP BARU'!A70</f>
        <v>63</v>
      </c>
      <c r="B70" s="192">
        <f>+PERBULAN!B70</f>
        <v>0</v>
      </c>
      <c r="C70" s="202"/>
      <c r="D70" s="202"/>
      <c r="E70" s="202"/>
      <c r="F70" s="202"/>
      <c r="G70" s="202"/>
      <c r="H70" s="202"/>
      <c r="I70" s="202"/>
      <c r="J70" s="202"/>
      <c r="K70" s="202"/>
      <c r="L70" s="202"/>
      <c r="M70" s="202"/>
      <c r="N70" s="202"/>
      <c r="O70" s="226">
        <f t="shared" si="2"/>
        <v>0</v>
      </c>
    </row>
    <row r="71" spans="1:15">
      <c r="A71" s="188">
        <f>'[4]BULANAN PTKP BARU'!A71</f>
        <v>64</v>
      </c>
      <c r="B71" s="192">
        <f>+PERBULAN!B71</f>
        <v>0</v>
      </c>
      <c r="C71" s="202"/>
      <c r="D71" s="202"/>
      <c r="E71" s="202"/>
      <c r="F71" s="202"/>
      <c r="G71" s="202"/>
      <c r="H71" s="202"/>
      <c r="I71" s="202"/>
      <c r="J71" s="202"/>
      <c r="K71" s="202"/>
      <c r="L71" s="202"/>
      <c r="M71" s="202"/>
      <c r="N71" s="202"/>
      <c r="O71" s="226">
        <f t="shared" ref="O71:O109" si="7">SUM(C71:N71)</f>
        <v>0</v>
      </c>
    </row>
    <row r="72" spans="1:15">
      <c r="A72" s="188">
        <f>'[4]BULANAN PTKP BARU'!A72</f>
        <v>65</v>
      </c>
      <c r="B72" s="192">
        <f>+PERBULAN!B72</f>
        <v>0</v>
      </c>
      <c r="C72" s="202"/>
      <c r="D72" s="202"/>
      <c r="E72" s="202"/>
      <c r="F72" s="202"/>
      <c r="G72" s="202"/>
      <c r="H72" s="202"/>
      <c r="I72" s="202"/>
      <c r="J72" s="202"/>
      <c r="K72" s="202"/>
      <c r="L72" s="202"/>
      <c r="M72" s="202"/>
      <c r="N72" s="202"/>
      <c r="O72" s="226">
        <f t="shared" si="7"/>
        <v>0</v>
      </c>
    </row>
    <row r="73" spans="1:15">
      <c r="A73" s="188">
        <f>'[4]BULANAN PTKP BARU'!A73</f>
        <v>66</v>
      </c>
      <c r="B73" s="192">
        <f>+PERBULAN!B73</f>
        <v>0</v>
      </c>
      <c r="C73" s="202"/>
      <c r="D73" s="202"/>
      <c r="E73" s="202"/>
      <c r="F73" s="202"/>
      <c r="G73" s="202"/>
      <c r="H73" s="202"/>
      <c r="I73" s="202"/>
      <c r="J73" s="202"/>
      <c r="K73" s="202"/>
      <c r="L73" s="202"/>
      <c r="M73" s="202"/>
      <c r="N73" s="202"/>
      <c r="O73" s="226">
        <f t="shared" si="7"/>
        <v>0</v>
      </c>
    </row>
    <row r="74" spans="1:15">
      <c r="A74" s="188">
        <f>'[4]BULANAN PTKP BARU'!A74</f>
        <v>67</v>
      </c>
      <c r="B74" s="192">
        <f>+PERBULAN!B74</f>
        <v>0</v>
      </c>
      <c r="C74" s="202"/>
      <c r="D74" s="202"/>
      <c r="E74" s="202"/>
      <c r="F74" s="202"/>
      <c r="G74" s="202"/>
      <c r="H74" s="202"/>
      <c r="I74" s="202"/>
      <c r="J74" s="202"/>
      <c r="K74" s="202"/>
      <c r="L74" s="202"/>
      <c r="M74" s="202"/>
      <c r="N74" s="202"/>
      <c r="O74" s="226">
        <f t="shared" si="7"/>
        <v>0</v>
      </c>
    </row>
    <row r="75" spans="1:15">
      <c r="A75" s="188">
        <f>'[4]BULANAN PTKP BARU'!A75</f>
        <v>68</v>
      </c>
      <c r="B75" s="192">
        <f>+PERBULAN!B75</f>
        <v>0</v>
      </c>
      <c r="C75" s="202"/>
      <c r="D75" s="202"/>
      <c r="E75" s="202"/>
      <c r="F75" s="202"/>
      <c r="G75" s="202"/>
      <c r="H75" s="202"/>
      <c r="I75" s="202"/>
      <c r="J75" s="202"/>
      <c r="K75" s="202"/>
      <c r="L75" s="202"/>
      <c r="M75" s="202"/>
      <c r="N75" s="202"/>
      <c r="O75" s="226">
        <f t="shared" si="7"/>
        <v>0</v>
      </c>
    </row>
    <row r="76" spans="1:15">
      <c r="A76" s="188">
        <f>'[4]BULANAN PTKP BARU'!A76</f>
        <v>69</v>
      </c>
      <c r="B76" s="192">
        <f>+PERBULAN!B76</f>
        <v>0</v>
      </c>
      <c r="C76" s="202"/>
      <c r="D76" s="202"/>
      <c r="E76" s="202"/>
      <c r="F76" s="202"/>
      <c r="G76" s="202"/>
      <c r="H76" s="202"/>
      <c r="I76" s="202"/>
      <c r="J76" s="202"/>
      <c r="K76" s="202"/>
      <c r="L76" s="202"/>
      <c r="M76" s="202"/>
      <c r="N76" s="202"/>
      <c r="O76" s="226">
        <f t="shared" si="7"/>
        <v>0</v>
      </c>
    </row>
    <row r="77" spans="1:15">
      <c r="A77" s="188">
        <f>'[4]BULANAN PTKP BARU'!A77</f>
        <v>70</v>
      </c>
      <c r="B77" s="192">
        <f>+PERBULAN!B77</f>
        <v>0</v>
      </c>
      <c r="C77" s="202"/>
      <c r="D77" s="202"/>
      <c r="E77" s="202"/>
      <c r="F77" s="202"/>
      <c r="G77" s="202"/>
      <c r="H77" s="202"/>
      <c r="I77" s="202"/>
      <c r="J77" s="202"/>
      <c r="K77" s="202"/>
      <c r="L77" s="202"/>
      <c r="M77" s="202"/>
      <c r="N77" s="202"/>
      <c r="O77" s="226">
        <f t="shared" si="7"/>
        <v>0</v>
      </c>
    </row>
    <row r="78" spans="1:15">
      <c r="A78" s="188">
        <f>'[4]BULANAN PTKP BARU'!A78</f>
        <v>71</v>
      </c>
      <c r="B78" s="192">
        <f>+PERBULAN!B78</f>
        <v>0</v>
      </c>
      <c r="C78" s="202"/>
      <c r="D78" s="202"/>
      <c r="E78" s="202"/>
      <c r="F78" s="202"/>
      <c r="G78" s="202"/>
      <c r="H78" s="202"/>
      <c r="I78" s="202"/>
      <c r="J78" s="202"/>
      <c r="K78" s="202"/>
      <c r="L78" s="202"/>
      <c r="M78" s="202"/>
      <c r="N78" s="202"/>
      <c r="O78" s="226">
        <f t="shared" si="7"/>
        <v>0</v>
      </c>
    </row>
    <row r="79" spans="1:15">
      <c r="A79" s="188">
        <f>'[4]BULANAN PTKP BARU'!A79</f>
        <v>72</v>
      </c>
      <c r="B79" s="192">
        <f>+PERBULAN!B79</f>
        <v>0</v>
      </c>
      <c r="C79" s="202"/>
      <c r="D79" s="202"/>
      <c r="E79" s="202"/>
      <c r="F79" s="202"/>
      <c r="G79" s="202"/>
      <c r="H79" s="202"/>
      <c r="I79" s="202"/>
      <c r="J79" s="202"/>
      <c r="K79" s="202"/>
      <c r="L79" s="202"/>
      <c r="M79" s="202"/>
      <c r="N79" s="202"/>
      <c r="O79" s="226">
        <f t="shared" si="7"/>
        <v>0</v>
      </c>
    </row>
    <row r="80" spans="1:15">
      <c r="A80" s="188">
        <f>'[4]BULANAN PTKP BARU'!A80</f>
        <v>73</v>
      </c>
      <c r="B80" s="192">
        <f>+PERBULAN!B80</f>
        <v>0</v>
      </c>
      <c r="C80" s="202"/>
      <c r="D80" s="202"/>
      <c r="E80" s="202"/>
      <c r="F80" s="202"/>
      <c r="G80" s="202"/>
      <c r="H80" s="202"/>
      <c r="I80" s="202"/>
      <c r="J80" s="202"/>
      <c r="K80" s="202"/>
      <c r="L80" s="202"/>
      <c r="M80" s="202"/>
      <c r="N80" s="202"/>
      <c r="O80" s="226">
        <f t="shared" si="7"/>
        <v>0</v>
      </c>
    </row>
    <row r="81" spans="1:15">
      <c r="A81" s="188">
        <f>'[4]BULANAN PTKP BARU'!A81</f>
        <v>74</v>
      </c>
      <c r="B81" s="192">
        <f>+PERBULAN!B81</f>
        <v>0</v>
      </c>
      <c r="C81" s="202"/>
      <c r="D81" s="202"/>
      <c r="E81" s="202"/>
      <c r="F81" s="202"/>
      <c r="G81" s="202"/>
      <c r="H81" s="202"/>
      <c r="I81" s="202"/>
      <c r="J81" s="202"/>
      <c r="K81" s="202"/>
      <c r="L81" s="202"/>
      <c r="M81" s="202"/>
      <c r="N81" s="202"/>
      <c r="O81" s="226">
        <f t="shared" si="7"/>
        <v>0</v>
      </c>
    </row>
    <row r="82" spans="1:15">
      <c r="A82" s="188">
        <f>'[4]BULANAN PTKP BARU'!A82</f>
        <v>75</v>
      </c>
      <c r="B82" s="192">
        <f>+PERBULAN!B82</f>
        <v>0</v>
      </c>
      <c r="C82" s="202"/>
      <c r="D82" s="202"/>
      <c r="E82" s="202"/>
      <c r="F82" s="202"/>
      <c r="G82" s="202"/>
      <c r="H82" s="202"/>
      <c r="I82" s="202"/>
      <c r="J82" s="202"/>
      <c r="K82" s="202"/>
      <c r="L82" s="202"/>
      <c r="M82" s="202"/>
      <c r="N82" s="202"/>
      <c r="O82" s="226">
        <f t="shared" si="7"/>
        <v>0</v>
      </c>
    </row>
    <row r="83" spans="1:15">
      <c r="A83" s="188">
        <f>'[4]BULANAN PTKP BARU'!A83</f>
        <v>76</v>
      </c>
      <c r="B83" s="192">
        <f>+PERBULAN!B83</f>
        <v>0</v>
      </c>
      <c r="C83" s="202"/>
      <c r="D83" s="202"/>
      <c r="E83" s="202"/>
      <c r="F83" s="202"/>
      <c r="G83" s="202"/>
      <c r="H83" s="202"/>
      <c r="I83" s="202"/>
      <c r="J83" s="202"/>
      <c r="K83" s="202"/>
      <c r="L83" s="202"/>
      <c r="M83" s="202"/>
      <c r="N83" s="202"/>
      <c r="O83" s="226">
        <f t="shared" si="7"/>
        <v>0</v>
      </c>
    </row>
    <row r="84" spans="1:15">
      <c r="A84" s="188">
        <f>'[4]BULANAN PTKP BARU'!A84</f>
        <v>77</v>
      </c>
      <c r="B84" s="192">
        <f>+PERBULAN!B84</f>
        <v>0</v>
      </c>
      <c r="C84" s="202"/>
      <c r="D84" s="202"/>
      <c r="E84" s="202"/>
      <c r="F84" s="202"/>
      <c r="G84" s="202"/>
      <c r="H84" s="202"/>
      <c r="I84" s="202"/>
      <c r="J84" s="202"/>
      <c r="K84" s="202"/>
      <c r="L84" s="202"/>
      <c r="M84" s="202"/>
      <c r="N84" s="202"/>
      <c r="O84" s="226">
        <f t="shared" si="7"/>
        <v>0</v>
      </c>
    </row>
    <row r="85" spans="1:15">
      <c r="A85" s="188">
        <f>'[4]BULANAN PTKP BARU'!A85</f>
        <v>78</v>
      </c>
      <c r="B85" s="192">
        <f>+PERBULAN!B85</f>
        <v>0</v>
      </c>
      <c r="C85" s="202"/>
      <c r="D85" s="202"/>
      <c r="E85" s="202"/>
      <c r="F85" s="202"/>
      <c r="G85" s="202"/>
      <c r="H85" s="202"/>
      <c r="I85" s="202"/>
      <c r="J85" s="202"/>
      <c r="K85" s="202"/>
      <c r="L85" s="202"/>
      <c r="M85" s="202"/>
      <c r="N85" s="202"/>
      <c r="O85" s="226">
        <f t="shared" si="7"/>
        <v>0</v>
      </c>
    </row>
    <row r="86" spans="1:15">
      <c r="A86" s="188">
        <f>'[4]BULANAN PTKP BARU'!A86</f>
        <v>79</v>
      </c>
      <c r="B86" s="192">
        <f>+PERBULAN!B86</f>
        <v>0</v>
      </c>
      <c r="C86" s="202"/>
      <c r="D86" s="202"/>
      <c r="E86" s="202"/>
      <c r="F86" s="202"/>
      <c r="G86" s="202"/>
      <c r="H86" s="202"/>
      <c r="I86" s="202"/>
      <c r="J86" s="202"/>
      <c r="K86" s="202"/>
      <c r="L86" s="202"/>
      <c r="M86" s="202"/>
      <c r="N86" s="202"/>
      <c r="O86" s="226">
        <f t="shared" si="7"/>
        <v>0</v>
      </c>
    </row>
    <row r="87" spans="1:15">
      <c r="A87" s="188">
        <f>'[4]BULANAN PTKP BARU'!A87</f>
        <v>80</v>
      </c>
      <c r="B87" s="192">
        <f>+PERBULAN!B87</f>
        <v>0</v>
      </c>
      <c r="C87" s="202"/>
      <c r="D87" s="202"/>
      <c r="E87" s="202"/>
      <c r="F87" s="202"/>
      <c r="G87" s="202"/>
      <c r="H87" s="202"/>
      <c r="I87" s="202"/>
      <c r="J87" s="202"/>
      <c r="K87" s="202"/>
      <c r="L87" s="202"/>
      <c r="M87" s="202"/>
      <c r="N87" s="202"/>
      <c r="O87" s="226">
        <f t="shared" si="7"/>
        <v>0</v>
      </c>
    </row>
    <row r="88" spans="1:15">
      <c r="A88" s="188">
        <f>'[4]BULANAN PTKP BARU'!A88</f>
        <v>81</v>
      </c>
      <c r="B88" s="192">
        <f>+PERBULAN!B88</f>
        <v>0</v>
      </c>
      <c r="C88" s="202"/>
      <c r="D88" s="202"/>
      <c r="E88" s="202"/>
      <c r="F88" s="202"/>
      <c r="G88" s="202"/>
      <c r="H88" s="202"/>
      <c r="I88" s="202"/>
      <c r="J88" s="202"/>
      <c r="K88" s="202"/>
      <c r="L88" s="202"/>
      <c r="M88" s="202"/>
      <c r="N88" s="202"/>
      <c r="O88" s="226">
        <f t="shared" si="7"/>
        <v>0</v>
      </c>
    </row>
    <row r="89" spans="1:15">
      <c r="A89" s="188">
        <f>'[4]BULANAN PTKP BARU'!A89</f>
        <v>82</v>
      </c>
      <c r="B89" s="192">
        <f>+PERBULAN!B89</f>
        <v>0</v>
      </c>
      <c r="C89" s="202"/>
      <c r="D89" s="202"/>
      <c r="E89" s="202"/>
      <c r="F89" s="202"/>
      <c r="G89" s="202"/>
      <c r="H89" s="202"/>
      <c r="I89" s="202"/>
      <c r="J89" s="202"/>
      <c r="K89" s="202"/>
      <c r="L89" s="202"/>
      <c r="M89" s="202"/>
      <c r="N89" s="202"/>
      <c r="O89" s="226">
        <f t="shared" si="7"/>
        <v>0</v>
      </c>
    </row>
    <row r="90" spans="1:15">
      <c r="A90" s="188">
        <f>'[4]BULANAN PTKP BARU'!A90</f>
        <v>83</v>
      </c>
      <c r="B90" s="192">
        <f>+PERBULAN!B90</f>
        <v>0</v>
      </c>
      <c r="C90" s="202"/>
      <c r="D90" s="202"/>
      <c r="E90" s="202"/>
      <c r="F90" s="202"/>
      <c r="G90" s="202"/>
      <c r="H90" s="202"/>
      <c r="I90" s="202"/>
      <c r="J90" s="202"/>
      <c r="K90" s="202"/>
      <c r="L90" s="202"/>
      <c r="M90" s="202"/>
      <c r="N90" s="202"/>
      <c r="O90" s="226">
        <f t="shared" si="7"/>
        <v>0</v>
      </c>
    </row>
    <row r="91" spans="1:15">
      <c r="A91" s="188">
        <f>'[4]BULANAN PTKP BARU'!A91</f>
        <v>84</v>
      </c>
      <c r="B91" s="192">
        <f>+PERBULAN!B91</f>
        <v>0</v>
      </c>
      <c r="C91" s="202"/>
      <c r="D91" s="202"/>
      <c r="E91" s="202"/>
      <c r="F91" s="202"/>
      <c r="G91" s="202"/>
      <c r="H91" s="202"/>
      <c r="I91" s="202"/>
      <c r="J91" s="202"/>
      <c r="K91" s="202"/>
      <c r="L91" s="202"/>
      <c r="M91" s="202"/>
      <c r="N91" s="202"/>
      <c r="O91" s="226">
        <f t="shared" si="7"/>
        <v>0</v>
      </c>
    </row>
    <row r="92" spans="1:15">
      <c r="A92" s="188">
        <f>'[4]BULANAN PTKP BARU'!A92</f>
        <v>85</v>
      </c>
      <c r="B92" s="192">
        <f>+PERBULAN!B92</f>
        <v>0</v>
      </c>
      <c r="C92" s="202"/>
      <c r="D92" s="202"/>
      <c r="E92" s="202"/>
      <c r="F92" s="202"/>
      <c r="G92" s="202"/>
      <c r="H92" s="202"/>
      <c r="I92" s="202"/>
      <c r="J92" s="202"/>
      <c r="K92" s="202"/>
      <c r="L92" s="202"/>
      <c r="M92" s="202"/>
      <c r="N92" s="202"/>
      <c r="O92" s="226">
        <f t="shared" si="7"/>
        <v>0</v>
      </c>
    </row>
    <row r="93" spans="1:15">
      <c r="A93" s="188">
        <f>'[4]BULANAN PTKP BARU'!A93</f>
        <v>86</v>
      </c>
      <c r="B93" s="192">
        <f>+PERBULAN!B93</f>
        <v>0</v>
      </c>
      <c r="C93" s="202"/>
      <c r="D93" s="202"/>
      <c r="E93" s="202"/>
      <c r="F93" s="202"/>
      <c r="G93" s="202"/>
      <c r="H93" s="202"/>
      <c r="I93" s="202"/>
      <c r="J93" s="202"/>
      <c r="K93" s="202"/>
      <c r="L93" s="202"/>
      <c r="M93" s="202"/>
      <c r="N93" s="202"/>
      <c r="O93" s="226">
        <f t="shared" si="7"/>
        <v>0</v>
      </c>
    </row>
    <row r="94" spans="1:15">
      <c r="A94" s="188">
        <f>'[4]BULANAN PTKP BARU'!A94</f>
        <v>87</v>
      </c>
      <c r="B94" s="192">
        <f>+PERBULAN!B94</f>
        <v>0</v>
      </c>
      <c r="C94" s="202"/>
      <c r="D94" s="202"/>
      <c r="E94" s="202"/>
      <c r="F94" s="202"/>
      <c r="G94" s="202"/>
      <c r="H94" s="202"/>
      <c r="I94" s="202"/>
      <c r="J94" s="202"/>
      <c r="K94" s="202"/>
      <c r="L94" s="202"/>
      <c r="M94" s="202"/>
      <c r="N94" s="202"/>
      <c r="O94" s="226">
        <f t="shared" si="7"/>
        <v>0</v>
      </c>
    </row>
    <row r="95" spans="1:15">
      <c r="A95" s="188">
        <f>'[4]BULANAN PTKP BARU'!A95</f>
        <v>88</v>
      </c>
      <c r="B95" s="192">
        <f>+PERBULAN!B95</f>
        <v>0</v>
      </c>
      <c r="C95" s="202"/>
      <c r="D95" s="202"/>
      <c r="E95" s="202"/>
      <c r="F95" s="202"/>
      <c r="G95" s="202"/>
      <c r="H95" s="202"/>
      <c r="I95" s="202"/>
      <c r="J95" s="202"/>
      <c r="K95" s="202"/>
      <c r="L95" s="202"/>
      <c r="M95" s="202"/>
      <c r="N95" s="202"/>
      <c r="O95" s="226">
        <f t="shared" si="7"/>
        <v>0</v>
      </c>
    </row>
    <row r="96" spans="1:15">
      <c r="A96" s="188">
        <f>'[4]BULANAN PTKP BARU'!A96</f>
        <v>89</v>
      </c>
      <c r="B96" s="192">
        <f>+PERBULAN!B96</f>
        <v>0</v>
      </c>
      <c r="C96" s="202"/>
      <c r="D96" s="202"/>
      <c r="E96" s="202"/>
      <c r="F96" s="202"/>
      <c r="G96" s="202"/>
      <c r="H96" s="202"/>
      <c r="I96" s="202"/>
      <c r="J96" s="202"/>
      <c r="K96" s="202"/>
      <c r="L96" s="202"/>
      <c r="M96" s="202"/>
      <c r="N96" s="202"/>
      <c r="O96" s="226">
        <f t="shared" si="7"/>
        <v>0</v>
      </c>
    </row>
    <row r="97" spans="1:16">
      <c r="A97" s="188">
        <f>'[4]BULANAN PTKP BARU'!A97</f>
        <v>90</v>
      </c>
      <c r="B97" s="192">
        <f>+PERBULAN!B97</f>
        <v>0</v>
      </c>
      <c r="C97" s="202"/>
      <c r="D97" s="202"/>
      <c r="E97" s="202"/>
      <c r="F97" s="202"/>
      <c r="G97" s="202"/>
      <c r="H97" s="202"/>
      <c r="I97" s="202"/>
      <c r="J97" s="202"/>
      <c r="K97" s="202"/>
      <c r="L97" s="202"/>
      <c r="M97" s="202"/>
      <c r="N97" s="202"/>
      <c r="O97" s="226">
        <f t="shared" si="7"/>
        <v>0</v>
      </c>
    </row>
    <row r="98" spans="1:16">
      <c r="A98" s="188">
        <f>'[4]BULANAN PTKP BARU'!A98</f>
        <v>91</v>
      </c>
      <c r="B98" s="192">
        <f>+PERBULAN!B98</f>
        <v>0</v>
      </c>
      <c r="C98" s="202"/>
      <c r="D98" s="202"/>
      <c r="E98" s="202"/>
      <c r="F98" s="202"/>
      <c r="G98" s="202"/>
      <c r="H98" s="202"/>
      <c r="I98" s="202"/>
      <c r="J98" s="202"/>
      <c r="K98" s="202"/>
      <c r="L98" s="202"/>
      <c r="M98" s="202"/>
      <c r="N98" s="202"/>
      <c r="O98" s="226">
        <f t="shared" si="7"/>
        <v>0</v>
      </c>
    </row>
    <row r="99" spans="1:16">
      <c r="A99" s="188">
        <f>'[4]BULANAN PTKP BARU'!A99</f>
        <v>92</v>
      </c>
      <c r="B99" s="192">
        <f>+PERBULAN!B99</f>
        <v>0</v>
      </c>
      <c r="C99" s="202"/>
      <c r="D99" s="202"/>
      <c r="E99" s="202"/>
      <c r="F99" s="202"/>
      <c r="G99" s="202"/>
      <c r="H99" s="202"/>
      <c r="I99" s="202"/>
      <c r="J99" s="202"/>
      <c r="K99" s="202"/>
      <c r="L99" s="202"/>
      <c r="M99" s="202"/>
      <c r="N99" s="202"/>
      <c r="O99" s="226">
        <f t="shared" si="7"/>
        <v>0</v>
      </c>
    </row>
    <row r="100" spans="1:16">
      <c r="A100" s="188">
        <f>'[4]BULANAN PTKP BARU'!A100</f>
        <v>93</v>
      </c>
      <c r="B100" s="192">
        <f>+PERBULAN!B100</f>
        <v>0</v>
      </c>
      <c r="C100" s="202"/>
      <c r="D100" s="202"/>
      <c r="E100" s="202"/>
      <c r="F100" s="202"/>
      <c r="G100" s="202"/>
      <c r="H100" s="202"/>
      <c r="I100" s="202"/>
      <c r="J100" s="202"/>
      <c r="K100" s="202"/>
      <c r="L100" s="202"/>
      <c r="M100" s="202"/>
      <c r="N100" s="202"/>
      <c r="O100" s="226">
        <f t="shared" si="7"/>
        <v>0</v>
      </c>
    </row>
    <row r="101" spans="1:16">
      <c r="A101" s="188">
        <f>'[4]BULANAN PTKP BARU'!A101</f>
        <v>94</v>
      </c>
      <c r="B101" s="192">
        <f>+PERBULAN!B101</f>
        <v>0</v>
      </c>
      <c r="C101" s="202"/>
      <c r="D101" s="202"/>
      <c r="E101" s="202"/>
      <c r="F101" s="202"/>
      <c r="G101" s="202"/>
      <c r="H101" s="202"/>
      <c r="I101" s="202"/>
      <c r="J101" s="202"/>
      <c r="K101" s="202"/>
      <c r="L101" s="202"/>
      <c r="M101" s="202"/>
      <c r="N101" s="202"/>
      <c r="O101" s="226">
        <f t="shared" si="7"/>
        <v>0</v>
      </c>
    </row>
    <row r="102" spans="1:16">
      <c r="A102" s="188">
        <f>'[4]BULANAN PTKP BARU'!A102</f>
        <v>95</v>
      </c>
      <c r="B102" s="192">
        <f>+PERBULAN!B102</f>
        <v>0</v>
      </c>
      <c r="C102" s="202"/>
      <c r="D102" s="202"/>
      <c r="E102" s="202"/>
      <c r="F102" s="202"/>
      <c r="G102" s="202"/>
      <c r="H102" s="202"/>
      <c r="I102" s="202"/>
      <c r="J102" s="202"/>
      <c r="K102" s="202"/>
      <c r="L102" s="202"/>
      <c r="M102" s="202"/>
      <c r="N102" s="202"/>
      <c r="O102" s="226">
        <f t="shared" si="7"/>
        <v>0</v>
      </c>
    </row>
    <row r="103" spans="1:16">
      <c r="A103" s="188">
        <f>'[4]BULANAN PTKP BARU'!A103</f>
        <v>96</v>
      </c>
      <c r="B103" s="192">
        <f>+PERBULAN!B103</f>
        <v>0</v>
      </c>
      <c r="C103" s="202"/>
      <c r="D103" s="202"/>
      <c r="E103" s="202"/>
      <c r="F103" s="202"/>
      <c r="G103" s="202"/>
      <c r="H103" s="202"/>
      <c r="I103" s="202"/>
      <c r="J103" s="202"/>
      <c r="K103" s="202"/>
      <c r="L103" s="202"/>
      <c r="M103" s="202"/>
      <c r="N103" s="202"/>
      <c r="O103" s="226">
        <f t="shared" si="7"/>
        <v>0</v>
      </c>
    </row>
    <row r="104" spans="1:16">
      <c r="A104" s="188">
        <f>'[4]BULANAN PTKP BARU'!A104</f>
        <v>97</v>
      </c>
      <c r="B104" s="192">
        <f>+PERBULAN!B104</f>
        <v>0</v>
      </c>
      <c r="C104" s="202"/>
      <c r="D104" s="202"/>
      <c r="E104" s="202"/>
      <c r="F104" s="202"/>
      <c r="G104" s="202"/>
      <c r="H104" s="202"/>
      <c r="I104" s="202"/>
      <c r="J104" s="202"/>
      <c r="K104" s="202"/>
      <c r="L104" s="202"/>
      <c r="M104" s="202"/>
      <c r="N104" s="202"/>
      <c r="O104" s="226">
        <f t="shared" si="7"/>
        <v>0</v>
      </c>
    </row>
    <row r="105" spans="1:16">
      <c r="A105" s="188">
        <f>'[4]BULANAN PTKP BARU'!A105</f>
        <v>98</v>
      </c>
      <c r="B105" s="192">
        <f>+PERBULAN!B105</f>
        <v>0</v>
      </c>
      <c r="C105" s="202"/>
      <c r="D105" s="202"/>
      <c r="E105" s="202"/>
      <c r="F105" s="202"/>
      <c r="G105" s="202"/>
      <c r="H105" s="202"/>
      <c r="I105" s="202"/>
      <c r="J105" s="202"/>
      <c r="K105" s="202"/>
      <c r="L105" s="202"/>
      <c r="M105" s="202"/>
      <c r="N105" s="202"/>
      <c r="O105" s="226">
        <f t="shared" si="7"/>
        <v>0</v>
      </c>
    </row>
    <row r="106" spans="1:16">
      <c r="A106" s="188">
        <f>'[4]BULANAN PTKP BARU'!A106</f>
        <v>99</v>
      </c>
      <c r="B106" s="192">
        <f>+PERBULAN!B106</f>
        <v>0</v>
      </c>
      <c r="C106" s="202"/>
      <c r="D106" s="202"/>
      <c r="E106" s="202"/>
      <c r="F106" s="202"/>
      <c r="G106" s="202"/>
      <c r="H106" s="202"/>
      <c r="I106" s="202"/>
      <c r="J106" s="202"/>
      <c r="K106" s="202"/>
      <c r="L106" s="202"/>
      <c r="M106" s="202"/>
      <c r="N106" s="202"/>
      <c r="O106" s="226">
        <f t="shared" si="7"/>
        <v>0</v>
      </c>
    </row>
    <row r="107" spans="1:16">
      <c r="A107" s="188">
        <f>'[4]BULANAN PTKP BARU'!A107</f>
        <v>100</v>
      </c>
      <c r="B107" s="192">
        <f>+PERBULAN!B107</f>
        <v>0</v>
      </c>
      <c r="C107" s="202"/>
      <c r="D107" s="202"/>
      <c r="E107" s="202"/>
      <c r="F107" s="202"/>
      <c r="G107" s="202"/>
      <c r="H107" s="202"/>
      <c r="I107" s="202"/>
      <c r="J107" s="202"/>
      <c r="K107" s="202"/>
      <c r="L107" s="202"/>
      <c r="M107" s="202"/>
      <c r="N107" s="202"/>
      <c r="O107" s="226">
        <f t="shared" si="7"/>
        <v>0</v>
      </c>
    </row>
    <row r="108" spans="1:16">
      <c r="A108" s="188">
        <f>'[4]BULANAN PTKP BARU'!A108</f>
        <v>101</v>
      </c>
      <c r="B108" s="192">
        <f>+PERBULAN!B108</f>
        <v>0</v>
      </c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26">
        <f t="shared" si="7"/>
        <v>0</v>
      </c>
    </row>
    <row r="109" spans="1:16">
      <c r="A109" s="188">
        <f>'[4]BULANAN PTKP BARU'!A109</f>
        <v>102</v>
      </c>
      <c r="B109" s="192">
        <f>+PERBULAN!B109</f>
        <v>0</v>
      </c>
      <c r="C109" s="202"/>
      <c r="D109" s="202"/>
      <c r="E109" s="202"/>
      <c r="F109" s="202"/>
      <c r="G109" s="202"/>
      <c r="H109" s="202"/>
      <c r="I109" s="202"/>
      <c r="J109" s="202"/>
      <c r="K109" s="202"/>
      <c r="L109" s="202"/>
      <c r="M109" s="202"/>
      <c r="N109" s="202"/>
      <c r="O109" s="226">
        <f t="shared" si="7"/>
        <v>0</v>
      </c>
    </row>
    <row r="110" spans="1:16">
      <c r="A110" s="508" t="s">
        <v>349</v>
      </c>
      <c r="B110" s="510"/>
      <c r="C110" s="285">
        <f t="shared" ref="C110:O110" si="8">SUM(C8:C109)</f>
        <v>4739920</v>
      </c>
      <c r="D110" s="285">
        <f t="shared" si="8"/>
        <v>4739920</v>
      </c>
      <c r="E110" s="285">
        <f t="shared" si="8"/>
        <v>4739920</v>
      </c>
      <c r="F110" s="285">
        <f t="shared" si="8"/>
        <v>4739920</v>
      </c>
      <c r="G110" s="285">
        <f t="shared" si="8"/>
        <v>4739920</v>
      </c>
      <c r="H110" s="285">
        <f t="shared" si="8"/>
        <v>4739920</v>
      </c>
      <c r="I110" s="285">
        <f t="shared" si="8"/>
        <v>4780860</v>
      </c>
      <c r="J110" s="285">
        <f t="shared" si="8"/>
        <v>4693100</v>
      </c>
      <c r="K110" s="285">
        <f t="shared" si="8"/>
        <v>4693530</v>
      </c>
      <c r="L110" s="285">
        <f t="shared" si="8"/>
        <v>4693730</v>
      </c>
      <c r="M110" s="285">
        <f t="shared" si="8"/>
        <v>4693930</v>
      </c>
      <c r="N110" s="285">
        <f t="shared" si="8"/>
        <v>4704568</v>
      </c>
      <c r="O110" s="285">
        <f t="shared" si="8"/>
        <v>56699238</v>
      </c>
      <c r="P110" s="259">
        <f>O110+O225</f>
        <v>85048857</v>
      </c>
    </row>
    <row r="111" spans="1:16">
      <c r="A111" s="286"/>
      <c r="B111" s="287"/>
      <c r="C111" s="288"/>
      <c r="D111" s="286"/>
      <c r="E111" s="286"/>
      <c r="F111" s="289"/>
      <c r="G111" s="286"/>
      <c r="H111" s="286"/>
      <c r="I111" s="286"/>
      <c r="J111" s="286"/>
      <c r="K111" s="286"/>
      <c r="L111" s="246"/>
      <c r="M111" s="245"/>
      <c r="N111" s="290"/>
      <c r="O111" s="245"/>
    </row>
    <row r="112" spans="1:16">
      <c r="H112" s="259"/>
      <c r="L112" s="259"/>
      <c r="M112" s="259"/>
    </row>
    <row r="113" spans="1:15">
      <c r="A113" s="188">
        <f>'[4]BULANAN PTKP BARU'!A56</f>
        <v>49</v>
      </c>
      <c r="B113" s="192" t="str">
        <f>+PERBULAN!B117</f>
        <v>RINDI PRIANTO</v>
      </c>
      <c r="C113" s="202">
        <f t="shared" si="5"/>
        <v>77532</v>
      </c>
      <c r="D113" s="202">
        <f t="shared" si="5"/>
        <v>77532</v>
      </c>
      <c r="E113" s="202">
        <f t="shared" si="5"/>
        <v>77532</v>
      </c>
      <c r="F113" s="202">
        <f t="shared" si="5"/>
        <v>77532</v>
      </c>
      <c r="G113" s="202">
        <f t="shared" si="5"/>
        <v>77532</v>
      </c>
      <c r="H113" s="202">
        <f t="shared" si="5"/>
        <v>77532</v>
      </c>
      <c r="I113" s="202">
        <v>78072</v>
      </c>
      <c r="J113" s="202">
        <v>78072</v>
      </c>
      <c r="K113" s="202"/>
      <c r="L113" s="202"/>
      <c r="M113" s="202"/>
      <c r="N113" s="202"/>
      <c r="O113" s="226">
        <f>SUM(C113:N113)</f>
        <v>621336</v>
      </c>
    </row>
    <row r="114" spans="1:15">
      <c r="A114" s="188">
        <f>'[4]BULANAN PTKP BARU'!A58</f>
        <v>51</v>
      </c>
      <c r="B114" s="192" t="str">
        <f>+PERBULAN!B118</f>
        <v>PUTRA ROMADHAN</v>
      </c>
      <c r="C114" s="202">
        <f t="shared" si="6"/>
        <v>77532</v>
      </c>
      <c r="D114" s="202">
        <f t="shared" si="6"/>
        <v>77532</v>
      </c>
      <c r="E114" s="202">
        <f t="shared" si="6"/>
        <v>77532</v>
      </c>
      <c r="F114" s="202">
        <f t="shared" si="6"/>
        <v>77532</v>
      </c>
      <c r="G114" s="202">
        <f t="shared" si="6"/>
        <v>77532</v>
      </c>
      <c r="H114" s="202">
        <f t="shared" si="6"/>
        <v>77532</v>
      </c>
      <c r="I114" s="202">
        <v>77582</v>
      </c>
      <c r="J114" s="202">
        <v>77582</v>
      </c>
      <c r="K114" s="202"/>
      <c r="L114" s="202"/>
      <c r="M114" s="202"/>
      <c r="N114" s="202"/>
      <c r="O114" s="226">
        <f>SUM(C114:N114)</f>
        <v>620356</v>
      </c>
    </row>
    <row r="116" spans="1:15">
      <c r="A116" s="245" t="s">
        <v>323</v>
      </c>
      <c r="B116" s="245"/>
      <c r="C116" s="245"/>
      <c r="D116" s="245"/>
      <c r="E116" s="245"/>
      <c r="F116" s="245"/>
      <c r="G116" s="245"/>
      <c r="H116" s="245"/>
      <c r="I116" s="245"/>
      <c r="J116" s="245"/>
      <c r="K116" s="245"/>
      <c r="L116" s="245"/>
      <c r="M116" s="245"/>
      <c r="N116" s="245"/>
      <c r="O116" s="245"/>
    </row>
    <row r="117" spans="1:15">
      <c r="A117" s="245" t="s">
        <v>546</v>
      </c>
      <c r="B117" s="245"/>
      <c r="C117" s="245"/>
      <c r="D117" s="245"/>
      <c r="E117" s="245"/>
      <c r="F117" s="245"/>
      <c r="G117" s="245"/>
      <c r="H117" s="245"/>
      <c r="I117" s="245"/>
      <c r="J117" s="245"/>
      <c r="K117" s="245"/>
      <c r="L117" s="245"/>
      <c r="M117" s="245"/>
      <c r="N117" s="245"/>
      <c r="O117" s="245"/>
    </row>
    <row r="118" spans="1:15">
      <c r="A118" s="245"/>
      <c r="B118" s="245"/>
      <c r="C118" s="245"/>
      <c r="D118" s="245"/>
      <c r="E118" s="245"/>
      <c r="F118" s="245"/>
      <c r="G118" s="245"/>
      <c r="H118" s="245"/>
      <c r="I118" s="245"/>
      <c r="J118" s="245"/>
      <c r="K118" s="245"/>
      <c r="L118" s="245"/>
      <c r="M118" s="245"/>
      <c r="N118" s="245"/>
      <c r="O118" s="245"/>
    </row>
    <row r="119" spans="1:15">
      <c r="A119" s="484" t="s">
        <v>0</v>
      </c>
      <c r="B119" s="484" t="s">
        <v>324</v>
      </c>
      <c r="C119" s="499" t="s">
        <v>327</v>
      </c>
      <c r="D119" s="499"/>
      <c r="E119" s="499"/>
      <c r="F119" s="499"/>
      <c r="G119" s="499"/>
      <c r="H119" s="499"/>
      <c r="I119" s="499"/>
      <c r="J119" s="499"/>
      <c r="K119" s="499"/>
      <c r="L119" s="499"/>
      <c r="M119" s="499"/>
      <c r="N119" s="499"/>
      <c r="O119" s="499"/>
    </row>
    <row r="120" spans="1:15">
      <c r="A120" s="485"/>
      <c r="B120" s="485"/>
      <c r="C120" s="519" t="s">
        <v>328</v>
      </c>
      <c r="D120" s="519" t="s">
        <v>329</v>
      </c>
      <c r="E120" s="519" t="s">
        <v>330</v>
      </c>
      <c r="F120" s="519" t="s">
        <v>331</v>
      </c>
      <c r="G120" s="519" t="s">
        <v>332</v>
      </c>
      <c r="H120" s="519" t="s">
        <v>333</v>
      </c>
      <c r="I120" s="519" t="s">
        <v>334</v>
      </c>
      <c r="J120" s="519" t="s">
        <v>335</v>
      </c>
      <c r="K120" s="519" t="s">
        <v>336</v>
      </c>
      <c r="L120" s="519" t="s">
        <v>337</v>
      </c>
      <c r="M120" s="519" t="s">
        <v>338</v>
      </c>
      <c r="N120" s="519" t="s">
        <v>339</v>
      </c>
      <c r="O120" s="503" t="s">
        <v>440</v>
      </c>
    </row>
    <row r="121" spans="1:15">
      <c r="A121" s="486"/>
      <c r="B121" s="486"/>
      <c r="C121" s="520"/>
      <c r="D121" s="520"/>
      <c r="E121" s="520"/>
      <c r="F121" s="520"/>
      <c r="G121" s="520"/>
      <c r="H121" s="520"/>
      <c r="I121" s="520"/>
      <c r="J121" s="520"/>
      <c r="K121" s="520"/>
      <c r="L121" s="520"/>
      <c r="M121" s="520"/>
      <c r="N121" s="520"/>
      <c r="O121" s="504"/>
    </row>
    <row r="122" spans="1:15">
      <c r="A122" s="521" t="s">
        <v>351</v>
      </c>
      <c r="B122" s="522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188"/>
    </row>
    <row r="123" spans="1:15">
      <c r="A123" s="188">
        <v>1</v>
      </c>
      <c r="B123" s="192" t="str">
        <f t="shared" ref="B123:B154" si="9">+B8</f>
        <v>SUDARMONO</v>
      </c>
      <c r="C123" s="202">
        <f>3876600*1%</f>
        <v>38766</v>
      </c>
      <c r="D123" s="202">
        <f t="shared" ref="D123:H138" si="10">3876600*1%</f>
        <v>38766</v>
      </c>
      <c r="E123" s="202">
        <f t="shared" si="10"/>
        <v>38766</v>
      </c>
      <c r="F123" s="202">
        <f t="shared" si="10"/>
        <v>38766</v>
      </c>
      <c r="G123" s="202">
        <f t="shared" si="10"/>
        <v>38766</v>
      </c>
      <c r="H123" s="202">
        <f t="shared" si="10"/>
        <v>38766</v>
      </c>
      <c r="I123" s="202">
        <v>39306</v>
      </c>
      <c r="J123" s="202">
        <v>39306</v>
      </c>
      <c r="K123" s="202">
        <v>39306</v>
      </c>
      <c r="L123" s="202">
        <v>39306</v>
      </c>
      <c r="M123" s="202">
        <v>39306</v>
      </c>
      <c r="N123" s="202">
        <v>39306</v>
      </c>
      <c r="O123" s="226">
        <f>SUM(C123:N123)</f>
        <v>468432</v>
      </c>
    </row>
    <row r="124" spans="1:15">
      <c r="A124" s="188">
        <v>2</v>
      </c>
      <c r="B124" s="192" t="str">
        <f t="shared" si="9"/>
        <v>ARDIYANSA</v>
      </c>
      <c r="C124" s="202">
        <f t="shared" ref="C124:H139" si="11">3876600*1%</f>
        <v>38766</v>
      </c>
      <c r="D124" s="202">
        <f t="shared" si="10"/>
        <v>38766</v>
      </c>
      <c r="E124" s="202">
        <f t="shared" si="10"/>
        <v>38766</v>
      </c>
      <c r="F124" s="202">
        <f t="shared" si="10"/>
        <v>38766</v>
      </c>
      <c r="G124" s="202">
        <f t="shared" si="10"/>
        <v>38766</v>
      </c>
      <c r="H124" s="202">
        <f t="shared" si="10"/>
        <v>38766</v>
      </c>
      <c r="I124" s="202">
        <v>39066</v>
      </c>
      <c r="J124" s="202">
        <v>39096</v>
      </c>
      <c r="K124" s="202">
        <v>39096</v>
      </c>
      <c r="L124" s="202">
        <v>39096</v>
      </c>
      <c r="M124" s="202">
        <v>39096</v>
      </c>
      <c r="N124" s="202">
        <v>39096</v>
      </c>
      <c r="O124" s="226">
        <f t="shared" ref="O124:O185" si="12">SUM(C124:N124)</f>
        <v>467142</v>
      </c>
    </row>
    <row r="125" spans="1:15">
      <c r="A125" s="188">
        <v>3</v>
      </c>
      <c r="B125" s="192" t="str">
        <f t="shared" si="9"/>
        <v>INDRA JAYA</v>
      </c>
      <c r="C125" s="202">
        <f t="shared" si="11"/>
        <v>38766</v>
      </c>
      <c r="D125" s="202">
        <f t="shared" si="10"/>
        <v>38766</v>
      </c>
      <c r="E125" s="202">
        <f t="shared" si="10"/>
        <v>38766</v>
      </c>
      <c r="F125" s="202">
        <f t="shared" si="10"/>
        <v>38766</v>
      </c>
      <c r="G125" s="202">
        <f t="shared" si="10"/>
        <v>38766</v>
      </c>
      <c r="H125" s="202">
        <f t="shared" si="10"/>
        <v>38766</v>
      </c>
      <c r="I125" s="202">
        <v>39271</v>
      </c>
      <c r="J125" s="202">
        <v>39271</v>
      </c>
      <c r="K125" s="202">
        <v>39271</v>
      </c>
      <c r="L125" s="202">
        <v>39271</v>
      </c>
      <c r="M125" s="202">
        <v>39271</v>
      </c>
      <c r="N125" s="202">
        <v>39271</v>
      </c>
      <c r="O125" s="226">
        <f t="shared" si="12"/>
        <v>468222</v>
      </c>
    </row>
    <row r="126" spans="1:15">
      <c r="A126" s="188">
        <v>4</v>
      </c>
      <c r="B126" s="192" t="str">
        <f t="shared" si="9"/>
        <v>USPANDI</v>
      </c>
      <c r="C126" s="202">
        <f t="shared" si="11"/>
        <v>38766</v>
      </c>
      <c r="D126" s="202">
        <f t="shared" si="10"/>
        <v>38766</v>
      </c>
      <c r="E126" s="202">
        <f t="shared" si="10"/>
        <v>38766</v>
      </c>
      <c r="F126" s="202">
        <f t="shared" si="10"/>
        <v>38766</v>
      </c>
      <c r="G126" s="202">
        <f t="shared" si="10"/>
        <v>38766</v>
      </c>
      <c r="H126" s="202">
        <f t="shared" si="10"/>
        <v>38766</v>
      </c>
      <c r="I126" s="202">
        <v>39621</v>
      </c>
      <c r="J126" s="202">
        <v>39621</v>
      </c>
      <c r="K126" s="202">
        <v>39621</v>
      </c>
      <c r="L126" s="202">
        <v>39621</v>
      </c>
      <c r="M126" s="202">
        <v>39621</v>
      </c>
      <c r="N126" s="202">
        <v>39621</v>
      </c>
      <c r="O126" s="226">
        <f t="shared" si="12"/>
        <v>470322</v>
      </c>
    </row>
    <row r="127" spans="1:15">
      <c r="A127" s="188">
        <v>5</v>
      </c>
      <c r="B127" s="192" t="str">
        <f t="shared" si="9"/>
        <v>NOVI SUHAIDI</v>
      </c>
      <c r="C127" s="202">
        <f t="shared" si="11"/>
        <v>38766</v>
      </c>
      <c r="D127" s="202">
        <f t="shared" si="10"/>
        <v>38766</v>
      </c>
      <c r="E127" s="202">
        <f t="shared" si="10"/>
        <v>38766</v>
      </c>
      <c r="F127" s="202">
        <f t="shared" si="10"/>
        <v>38766</v>
      </c>
      <c r="G127" s="202">
        <f t="shared" si="10"/>
        <v>38766</v>
      </c>
      <c r="H127" s="202">
        <f t="shared" si="10"/>
        <v>38766</v>
      </c>
      <c r="I127" s="202">
        <v>39236</v>
      </c>
      <c r="J127" s="202">
        <v>39236</v>
      </c>
      <c r="K127" s="202">
        <v>39236</v>
      </c>
      <c r="L127" s="202">
        <v>39271</v>
      </c>
      <c r="M127" s="202">
        <v>39271</v>
      </c>
      <c r="N127" s="202">
        <v>39271</v>
      </c>
      <c r="O127" s="226">
        <f t="shared" si="12"/>
        <v>468117</v>
      </c>
    </row>
    <row r="128" spans="1:15">
      <c r="A128" s="188">
        <v>6</v>
      </c>
      <c r="B128" s="192" t="str">
        <f t="shared" si="9"/>
        <v>ROSLI</v>
      </c>
      <c r="C128" s="202">
        <f t="shared" si="11"/>
        <v>38766</v>
      </c>
      <c r="D128" s="202">
        <f t="shared" si="10"/>
        <v>38766</v>
      </c>
      <c r="E128" s="202">
        <f t="shared" si="10"/>
        <v>38766</v>
      </c>
      <c r="F128" s="202">
        <f t="shared" si="10"/>
        <v>38766</v>
      </c>
      <c r="G128" s="202">
        <f t="shared" si="10"/>
        <v>38766</v>
      </c>
      <c r="H128" s="202">
        <f t="shared" si="10"/>
        <v>38766</v>
      </c>
      <c r="I128" s="202">
        <v>39306</v>
      </c>
      <c r="J128" s="202">
        <v>39306</v>
      </c>
      <c r="K128" s="202">
        <v>39306</v>
      </c>
      <c r="L128" s="202">
        <v>39306</v>
      </c>
      <c r="M128" s="202">
        <v>39306</v>
      </c>
      <c r="N128" s="202">
        <v>39306</v>
      </c>
      <c r="O128" s="226">
        <f t="shared" si="12"/>
        <v>468432</v>
      </c>
    </row>
    <row r="129" spans="1:15">
      <c r="A129" s="188">
        <v>7</v>
      </c>
      <c r="B129" s="192" t="str">
        <f t="shared" si="9"/>
        <v>AMRIL</v>
      </c>
      <c r="C129" s="202">
        <f t="shared" si="11"/>
        <v>38766</v>
      </c>
      <c r="D129" s="202">
        <f t="shared" si="10"/>
        <v>38766</v>
      </c>
      <c r="E129" s="202">
        <f t="shared" si="10"/>
        <v>38766</v>
      </c>
      <c r="F129" s="202">
        <f t="shared" si="10"/>
        <v>38766</v>
      </c>
      <c r="G129" s="202">
        <f t="shared" si="10"/>
        <v>38766</v>
      </c>
      <c r="H129" s="202">
        <f t="shared" si="10"/>
        <v>38766</v>
      </c>
      <c r="I129" s="202">
        <v>39271</v>
      </c>
      <c r="J129" s="202">
        <v>39271</v>
      </c>
      <c r="K129" s="202">
        <v>39271</v>
      </c>
      <c r="L129" s="202">
        <v>39271</v>
      </c>
      <c r="M129" s="202">
        <v>39271</v>
      </c>
      <c r="N129" s="202">
        <v>39271</v>
      </c>
      <c r="O129" s="226">
        <f t="shared" si="12"/>
        <v>468222</v>
      </c>
    </row>
    <row r="130" spans="1:15">
      <c r="A130" s="188">
        <v>8</v>
      </c>
      <c r="B130" s="192" t="str">
        <f t="shared" si="9"/>
        <v>KARMILA</v>
      </c>
      <c r="C130" s="202">
        <f t="shared" si="11"/>
        <v>38766</v>
      </c>
      <c r="D130" s="202">
        <f t="shared" si="10"/>
        <v>38766</v>
      </c>
      <c r="E130" s="202">
        <f t="shared" si="10"/>
        <v>38766</v>
      </c>
      <c r="F130" s="202">
        <f t="shared" si="10"/>
        <v>38766</v>
      </c>
      <c r="G130" s="202">
        <f t="shared" si="10"/>
        <v>38766</v>
      </c>
      <c r="H130" s="202">
        <f t="shared" si="10"/>
        <v>38766</v>
      </c>
      <c r="I130" s="202">
        <v>39271</v>
      </c>
      <c r="J130" s="202">
        <v>39271</v>
      </c>
      <c r="K130" s="202">
        <v>39271</v>
      </c>
      <c r="L130" s="202">
        <v>39271</v>
      </c>
      <c r="M130" s="202">
        <v>39271</v>
      </c>
      <c r="N130" s="202">
        <v>39271</v>
      </c>
      <c r="O130" s="226">
        <f t="shared" si="12"/>
        <v>468222</v>
      </c>
    </row>
    <row r="131" spans="1:15">
      <c r="A131" s="188">
        <v>9</v>
      </c>
      <c r="B131" s="192" t="str">
        <f t="shared" si="9"/>
        <v>MARTUTI</v>
      </c>
      <c r="C131" s="202">
        <f t="shared" si="11"/>
        <v>38766</v>
      </c>
      <c r="D131" s="202">
        <f t="shared" si="10"/>
        <v>38766</v>
      </c>
      <c r="E131" s="202">
        <f t="shared" si="10"/>
        <v>38766</v>
      </c>
      <c r="F131" s="202">
        <f t="shared" si="10"/>
        <v>38766</v>
      </c>
      <c r="G131" s="202">
        <f t="shared" si="10"/>
        <v>38766</v>
      </c>
      <c r="H131" s="202">
        <f t="shared" si="10"/>
        <v>38766</v>
      </c>
      <c r="I131" s="202">
        <v>39271</v>
      </c>
      <c r="J131" s="202">
        <v>39271</v>
      </c>
      <c r="K131" s="202">
        <v>39271</v>
      </c>
      <c r="L131" s="202">
        <v>39271</v>
      </c>
      <c r="M131" s="202">
        <v>39306</v>
      </c>
      <c r="N131" s="202">
        <v>39306</v>
      </c>
      <c r="O131" s="226">
        <f t="shared" si="12"/>
        <v>468292</v>
      </c>
    </row>
    <row r="132" spans="1:15">
      <c r="A132" s="188">
        <v>10</v>
      </c>
      <c r="B132" s="192" t="str">
        <f t="shared" si="9"/>
        <v>HARNIAWATI</v>
      </c>
      <c r="C132" s="202">
        <f t="shared" si="11"/>
        <v>38766</v>
      </c>
      <c r="D132" s="202">
        <f t="shared" si="10"/>
        <v>38766</v>
      </c>
      <c r="E132" s="202">
        <f t="shared" si="10"/>
        <v>38766</v>
      </c>
      <c r="F132" s="202">
        <f t="shared" si="10"/>
        <v>38766</v>
      </c>
      <c r="G132" s="202">
        <f t="shared" si="10"/>
        <v>38766</v>
      </c>
      <c r="H132" s="202">
        <f t="shared" si="10"/>
        <v>38766</v>
      </c>
      <c r="I132" s="202">
        <v>39271</v>
      </c>
      <c r="J132" s="202">
        <v>39271</v>
      </c>
      <c r="K132" s="202">
        <v>39271</v>
      </c>
      <c r="L132" s="202">
        <v>39271</v>
      </c>
      <c r="M132" s="202">
        <v>39306</v>
      </c>
      <c r="N132" s="202">
        <v>39306</v>
      </c>
      <c r="O132" s="226">
        <f t="shared" si="12"/>
        <v>468292</v>
      </c>
    </row>
    <row r="133" spans="1:15">
      <c r="A133" s="188">
        <v>11</v>
      </c>
      <c r="B133" s="192" t="str">
        <f t="shared" si="9"/>
        <v>MARYATI</v>
      </c>
      <c r="C133" s="202">
        <f t="shared" si="11"/>
        <v>38766</v>
      </c>
      <c r="D133" s="202">
        <f t="shared" si="10"/>
        <v>38766</v>
      </c>
      <c r="E133" s="202">
        <f t="shared" si="10"/>
        <v>38766</v>
      </c>
      <c r="F133" s="202">
        <f t="shared" si="10"/>
        <v>38766</v>
      </c>
      <c r="G133" s="202">
        <f t="shared" si="10"/>
        <v>38766</v>
      </c>
      <c r="H133" s="202">
        <f t="shared" si="10"/>
        <v>38766</v>
      </c>
      <c r="I133" s="202">
        <v>39306</v>
      </c>
      <c r="J133" s="202">
        <v>39306</v>
      </c>
      <c r="K133" s="202">
        <v>39306</v>
      </c>
      <c r="L133" s="202">
        <v>39306</v>
      </c>
      <c r="M133" s="202">
        <v>39306</v>
      </c>
      <c r="N133" s="202">
        <v>39306</v>
      </c>
      <c r="O133" s="226">
        <f t="shared" si="12"/>
        <v>468432</v>
      </c>
    </row>
    <row r="134" spans="1:15">
      <c r="A134" s="188">
        <v>12</v>
      </c>
      <c r="B134" s="192" t="str">
        <f t="shared" si="9"/>
        <v>KOPRIATI</v>
      </c>
      <c r="C134" s="202">
        <f t="shared" si="11"/>
        <v>38766</v>
      </c>
      <c r="D134" s="202">
        <f t="shared" si="10"/>
        <v>38766</v>
      </c>
      <c r="E134" s="202">
        <f t="shared" si="10"/>
        <v>38766</v>
      </c>
      <c r="F134" s="202">
        <f t="shared" si="10"/>
        <v>38766</v>
      </c>
      <c r="G134" s="202">
        <f t="shared" si="10"/>
        <v>38766</v>
      </c>
      <c r="H134" s="202">
        <f t="shared" si="10"/>
        <v>38766</v>
      </c>
      <c r="I134" s="202">
        <v>39621</v>
      </c>
      <c r="J134" s="202">
        <v>39621</v>
      </c>
      <c r="K134" s="202">
        <v>39621</v>
      </c>
      <c r="L134" s="202">
        <v>39621</v>
      </c>
      <c r="M134" s="202">
        <v>39621</v>
      </c>
      <c r="N134" s="202">
        <v>39621</v>
      </c>
      <c r="O134" s="226">
        <f t="shared" si="12"/>
        <v>470322</v>
      </c>
    </row>
    <row r="135" spans="1:15">
      <c r="A135" s="188">
        <v>13</v>
      </c>
      <c r="B135" s="192" t="str">
        <f t="shared" si="9"/>
        <v>ASNIATI</v>
      </c>
      <c r="C135" s="202">
        <f t="shared" si="11"/>
        <v>38766</v>
      </c>
      <c r="D135" s="202">
        <f t="shared" si="10"/>
        <v>38766</v>
      </c>
      <c r="E135" s="202">
        <f t="shared" si="10"/>
        <v>38766</v>
      </c>
      <c r="F135" s="202">
        <f t="shared" si="10"/>
        <v>38766</v>
      </c>
      <c r="G135" s="202">
        <f t="shared" si="10"/>
        <v>38766</v>
      </c>
      <c r="H135" s="202">
        <f t="shared" si="10"/>
        <v>38766</v>
      </c>
      <c r="I135" s="202">
        <v>39271</v>
      </c>
      <c r="J135" s="202">
        <v>39271</v>
      </c>
      <c r="K135" s="202">
        <v>39271</v>
      </c>
      <c r="L135" s="202">
        <v>39271</v>
      </c>
      <c r="M135" s="202">
        <v>39271</v>
      </c>
      <c r="N135" s="202">
        <v>39271</v>
      </c>
      <c r="O135" s="226">
        <f t="shared" si="12"/>
        <v>468222</v>
      </c>
    </row>
    <row r="136" spans="1:15">
      <c r="A136" s="188">
        <v>14</v>
      </c>
      <c r="B136" s="192" t="str">
        <f t="shared" si="9"/>
        <v>ANDIWATI</v>
      </c>
      <c r="C136" s="202">
        <f t="shared" si="11"/>
        <v>38766</v>
      </c>
      <c r="D136" s="202">
        <f t="shared" si="10"/>
        <v>38766</v>
      </c>
      <c r="E136" s="202">
        <f t="shared" si="10"/>
        <v>38766</v>
      </c>
      <c r="F136" s="202">
        <f t="shared" si="10"/>
        <v>38766</v>
      </c>
      <c r="G136" s="202">
        <f t="shared" si="10"/>
        <v>38766</v>
      </c>
      <c r="H136" s="202">
        <f t="shared" si="10"/>
        <v>38766</v>
      </c>
      <c r="I136" s="202">
        <v>39236</v>
      </c>
      <c r="J136" s="202">
        <v>39236</v>
      </c>
      <c r="K136" s="202">
        <v>39271</v>
      </c>
      <c r="L136" s="202">
        <v>39271</v>
      </c>
      <c r="M136" s="202">
        <v>39271</v>
      </c>
      <c r="N136" s="202">
        <v>39271</v>
      </c>
      <c r="O136" s="226">
        <f t="shared" si="12"/>
        <v>468152</v>
      </c>
    </row>
    <row r="137" spans="1:15">
      <c r="A137" s="188">
        <v>15</v>
      </c>
      <c r="B137" s="192" t="str">
        <f t="shared" si="9"/>
        <v>MARYANA.So</v>
      </c>
      <c r="C137" s="202">
        <f t="shared" si="11"/>
        <v>38766</v>
      </c>
      <c r="D137" s="202">
        <f t="shared" si="10"/>
        <v>38766</v>
      </c>
      <c r="E137" s="202">
        <f t="shared" si="10"/>
        <v>38766</v>
      </c>
      <c r="F137" s="202">
        <f t="shared" si="10"/>
        <v>38766</v>
      </c>
      <c r="G137" s="202">
        <f t="shared" si="10"/>
        <v>38766</v>
      </c>
      <c r="H137" s="202">
        <f t="shared" si="10"/>
        <v>38766</v>
      </c>
      <c r="I137" s="202">
        <v>39271</v>
      </c>
      <c r="J137" s="202">
        <v>39271</v>
      </c>
      <c r="K137" s="202">
        <v>39271</v>
      </c>
      <c r="L137" s="202">
        <v>39271</v>
      </c>
      <c r="M137" s="202">
        <v>39271</v>
      </c>
      <c r="N137" s="202">
        <v>39271</v>
      </c>
      <c r="O137" s="226">
        <f t="shared" si="12"/>
        <v>468222</v>
      </c>
    </row>
    <row r="138" spans="1:15">
      <c r="A138" s="188">
        <v>16</v>
      </c>
      <c r="B138" s="192" t="str">
        <f t="shared" si="9"/>
        <v>TUTI</v>
      </c>
      <c r="C138" s="202">
        <f t="shared" si="11"/>
        <v>38766</v>
      </c>
      <c r="D138" s="202">
        <f t="shared" si="10"/>
        <v>38766</v>
      </c>
      <c r="E138" s="202">
        <f t="shared" si="10"/>
        <v>38766</v>
      </c>
      <c r="F138" s="202">
        <f t="shared" si="10"/>
        <v>38766</v>
      </c>
      <c r="G138" s="202">
        <f t="shared" si="10"/>
        <v>38766</v>
      </c>
      <c r="H138" s="202">
        <f t="shared" si="10"/>
        <v>38766</v>
      </c>
      <c r="I138" s="202">
        <v>39306</v>
      </c>
      <c r="J138" s="202">
        <v>39306</v>
      </c>
      <c r="K138" s="202">
        <v>39306</v>
      </c>
      <c r="L138" s="202">
        <v>39306</v>
      </c>
      <c r="M138" s="202">
        <v>39306</v>
      </c>
      <c r="N138" s="202">
        <v>39306</v>
      </c>
      <c r="O138" s="226">
        <f t="shared" si="12"/>
        <v>468432</v>
      </c>
    </row>
    <row r="139" spans="1:15">
      <c r="A139" s="188">
        <v>17</v>
      </c>
      <c r="B139" s="192" t="str">
        <f t="shared" si="9"/>
        <v>AGUSTIANA</v>
      </c>
      <c r="C139" s="202">
        <f t="shared" si="11"/>
        <v>38766</v>
      </c>
      <c r="D139" s="202">
        <f t="shared" si="11"/>
        <v>38766</v>
      </c>
      <c r="E139" s="202">
        <f t="shared" si="11"/>
        <v>38766</v>
      </c>
      <c r="F139" s="202">
        <f t="shared" si="11"/>
        <v>38766</v>
      </c>
      <c r="G139" s="202">
        <f t="shared" si="11"/>
        <v>38766</v>
      </c>
      <c r="H139" s="202">
        <f t="shared" si="11"/>
        <v>38766</v>
      </c>
      <c r="I139" s="202">
        <v>39271</v>
      </c>
      <c r="J139" s="202">
        <v>39306</v>
      </c>
      <c r="K139" s="202">
        <v>39306</v>
      </c>
      <c r="L139" s="202">
        <v>39306</v>
      </c>
      <c r="M139" s="202">
        <v>39306</v>
      </c>
      <c r="N139" s="202">
        <v>39306</v>
      </c>
      <c r="O139" s="226">
        <f t="shared" si="12"/>
        <v>468397</v>
      </c>
    </row>
    <row r="140" spans="1:15">
      <c r="A140" s="188">
        <v>18</v>
      </c>
      <c r="B140" s="192" t="str">
        <f t="shared" si="9"/>
        <v>SISWANTO</v>
      </c>
      <c r="C140" s="202">
        <f t="shared" ref="C140:H155" si="13">3876600*1%</f>
        <v>38766</v>
      </c>
      <c r="D140" s="202">
        <f t="shared" si="13"/>
        <v>38766</v>
      </c>
      <c r="E140" s="202">
        <f t="shared" si="13"/>
        <v>38766</v>
      </c>
      <c r="F140" s="202">
        <f t="shared" si="13"/>
        <v>38766</v>
      </c>
      <c r="G140" s="202">
        <f t="shared" si="13"/>
        <v>38766</v>
      </c>
      <c r="H140" s="202">
        <f t="shared" si="13"/>
        <v>38766</v>
      </c>
      <c r="I140" s="202">
        <v>39306</v>
      </c>
      <c r="J140" s="202">
        <v>39306</v>
      </c>
      <c r="K140" s="202">
        <v>39341</v>
      </c>
      <c r="L140" s="202">
        <v>39341</v>
      </c>
      <c r="M140" s="202">
        <v>39341</v>
      </c>
      <c r="N140" s="202">
        <v>39341</v>
      </c>
      <c r="O140" s="226">
        <f t="shared" si="12"/>
        <v>468572</v>
      </c>
    </row>
    <row r="141" spans="1:15">
      <c r="A141" s="188">
        <v>19</v>
      </c>
      <c r="B141" s="192" t="str">
        <f t="shared" si="9"/>
        <v>SUNDARI</v>
      </c>
      <c r="C141" s="202">
        <f t="shared" si="13"/>
        <v>38766</v>
      </c>
      <c r="D141" s="202">
        <f t="shared" si="13"/>
        <v>38766</v>
      </c>
      <c r="E141" s="202">
        <f t="shared" si="13"/>
        <v>38766</v>
      </c>
      <c r="F141" s="202">
        <f t="shared" si="13"/>
        <v>38766</v>
      </c>
      <c r="G141" s="202">
        <f t="shared" si="13"/>
        <v>38766</v>
      </c>
      <c r="H141" s="202">
        <f t="shared" si="13"/>
        <v>38766</v>
      </c>
      <c r="I141" s="202">
        <v>39096</v>
      </c>
      <c r="J141" s="202">
        <v>39096</v>
      </c>
      <c r="K141" s="202">
        <v>39096</v>
      </c>
      <c r="L141" s="202">
        <v>39096</v>
      </c>
      <c r="M141" s="202">
        <v>39096</v>
      </c>
      <c r="N141" s="202">
        <v>39096</v>
      </c>
      <c r="O141" s="226">
        <f t="shared" si="12"/>
        <v>467172</v>
      </c>
    </row>
    <row r="142" spans="1:15">
      <c r="A142" s="188">
        <v>20</v>
      </c>
      <c r="B142" s="192" t="str">
        <f t="shared" si="9"/>
        <v>SURYATI</v>
      </c>
      <c r="C142" s="202">
        <f t="shared" si="13"/>
        <v>38766</v>
      </c>
      <c r="D142" s="202">
        <f t="shared" si="13"/>
        <v>38766</v>
      </c>
      <c r="E142" s="202">
        <f t="shared" si="13"/>
        <v>38766</v>
      </c>
      <c r="F142" s="202">
        <f t="shared" si="13"/>
        <v>38766</v>
      </c>
      <c r="G142" s="202">
        <f t="shared" si="13"/>
        <v>38766</v>
      </c>
      <c r="H142" s="202">
        <f t="shared" si="13"/>
        <v>38766</v>
      </c>
      <c r="I142" s="202">
        <v>39096</v>
      </c>
      <c r="J142" s="202">
        <v>39096</v>
      </c>
      <c r="K142" s="202">
        <v>39096</v>
      </c>
      <c r="L142" s="202">
        <v>39096</v>
      </c>
      <c r="M142" s="202">
        <v>39096</v>
      </c>
      <c r="N142" s="202">
        <v>39096</v>
      </c>
      <c r="O142" s="226">
        <f t="shared" si="12"/>
        <v>467172</v>
      </c>
    </row>
    <row r="143" spans="1:15">
      <c r="A143" s="188">
        <v>21</v>
      </c>
      <c r="B143" s="192" t="str">
        <f t="shared" si="9"/>
        <v>SANTI</v>
      </c>
      <c r="C143" s="202">
        <f t="shared" si="13"/>
        <v>38766</v>
      </c>
      <c r="D143" s="202">
        <f t="shared" si="13"/>
        <v>38766</v>
      </c>
      <c r="E143" s="202">
        <f t="shared" si="13"/>
        <v>38766</v>
      </c>
      <c r="F143" s="202">
        <f t="shared" si="13"/>
        <v>38766</v>
      </c>
      <c r="G143" s="202">
        <f t="shared" si="13"/>
        <v>38766</v>
      </c>
      <c r="H143" s="202">
        <f t="shared" si="13"/>
        <v>38766</v>
      </c>
      <c r="I143" s="202">
        <v>39656</v>
      </c>
      <c r="J143" s="202">
        <v>39656</v>
      </c>
      <c r="K143" s="202">
        <v>39656</v>
      </c>
      <c r="L143" s="202">
        <v>39656</v>
      </c>
      <c r="M143" s="202">
        <v>39656</v>
      </c>
      <c r="N143" s="202">
        <v>39656</v>
      </c>
      <c r="O143" s="226">
        <f t="shared" si="12"/>
        <v>470532</v>
      </c>
    </row>
    <row r="144" spans="1:15">
      <c r="A144" s="188">
        <v>22</v>
      </c>
      <c r="B144" s="192" t="str">
        <f t="shared" si="9"/>
        <v>HARYANI</v>
      </c>
      <c r="C144" s="202">
        <f t="shared" si="13"/>
        <v>38766</v>
      </c>
      <c r="D144" s="202">
        <f t="shared" si="13"/>
        <v>38766</v>
      </c>
      <c r="E144" s="202">
        <f t="shared" si="13"/>
        <v>38766</v>
      </c>
      <c r="F144" s="202">
        <f t="shared" si="13"/>
        <v>38766</v>
      </c>
      <c r="G144" s="202">
        <f t="shared" si="13"/>
        <v>38766</v>
      </c>
      <c r="H144" s="202">
        <f t="shared" si="13"/>
        <v>38766</v>
      </c>
      <c r="I144" s="202">
        <v>39306</v>
      </c>
      <c r="J144" s="202">
        <v>39306</v>
      </c>
      <c r="K144" s="202">
        <v>39306</v>
      </c>
      <c r="L144" s="202">
        <v>39341</v>
      </c>
      <c r="M144" s="202">
        <v>39341</v>
      </c>
      <c r="N144" s="202">
        <v>39341</v>
      </c>
      <c r="O144" s="226">
        <f t="shared" si="12"/>
        <v>468537</v>
      </c>
    </row>
    <row r="145" spans="1:15">
      <c r="A145" s="188">
        <v>23</v>
      </c>
      <c r="B145" s="192" t="str">
        <f t="shared" si="9"/>
        <v>SUWANDI</v>
      </c>
      <c r="C145" s="202">
        <f>4400000*1%</f>
        <v>44000</v>
      </c>
      <c r="D145" s="202">
        <f t="shared" ref="D145:H145" si="14">4400000*1%</f>
        <v>44000</v>
      </c>
      <c r="E145" s="202">
        <f t="shared" si="14"/>
        <v>44000</v>
      </c>
      <c r="F145" s="202">
        <f t="shared" si="14"/>
        <v>44000</v>
      </c>
      <c r="G145" s="202">
        <f t="shared" si="14"/>
        <v>44000</v>
      </c>
      <c r="H145" s="202">
        <f t="shared" si="14"/>
        <v>44000</v>
      </c>
      <c r="I145" s="202">
        <v>44505</v>
      </c>
      <c r="J145" s="202">
        <v>39271</v>
      </c>
      <c r="K145" s="202">
        <v>39271</v>
      </c>
      <c r="L145" s="202">
        <v>39271</v>
      </c>
      <c r="M145" s="202">
        <v>39271</v>
      </c>
      <c r="N145" s="202">
        <v>44505</v>
      </c>
      <c r="O145" s="226">
        <f t="shared" si="12"/>
        <v>510094</v>
      </c>
    </row>
    <row r="146" spans="1:15">
      <c r="A146" s="188">
        <v>24</v>
      </c>
      <c r="B146" s="192" t="str">
        <f t="shared" si="9"/>
        <v>YUMNA M</v>
      </c>
      <c r="C146" s="202">
        <f t="shared" si="13"/>
        <v>38766</v>
      </c>
      <c r="D146" s="202">
        <f t="shared" si="13"/>
        <v>38766</v>
      </c>
      <c r="E146" s="202">
        <f t="shared" si="13"/>
        <v>38766</v>
      </c>
      <c r="F146" s="202">
        <f t="shared" si="13"/>
        <v>38766</v>
      </c>
      <c r="G146" s="202">
        <f t="shared" si="13"/>
        <v>38766</v>
      </c>
      <c r="H146" s="202">
        <f t="shared" si="13"/>
        <v>38766</v>
      </c>
      <c r="I146" s="202">
        <v>39271</v>
      </c>
      <c r="J146" s="202">
        <v>39271</v>
      </c>
      <c r="K146" s="202">
        <v>39271</v>
      </c>
      <c r="L146" s="202">
        <v>39271</v>
      </c>
      <c r="M146" s="202">
        <v>39271</v>
      </c>
      <c r="N146" s="202">
        <v>39271</v>
      </c>
      <c r="O146" s="226">
        <f t="shared" si="12"/>
        <v>468222</v>
      </c>
    </row>
    <row r="147" spans="1:15">
      <c r="A147" s="188">
        <v>25</v>
      </c>
      <c r="B147" s="192" t="str">
        <f t="shared" si="9"/>
        <v>ANDRES</v>
      </c>
      <c r="C147" s="202">
        <f t="shared" si="13"/>
        <v>38766</v>
      </c>
      <c r="D147" s="202">
        <f t="shared" si="13"/>
        <v>38766</v>
      </c>
      <c r="E147" s="202">
        <f t="shared" si="13"/>
        <v>38766</v>
      </c>
      <c r="F147" s="202">
        <f t="shared" si="13"/>
        <v>38766</v>
      </c>
      <c r="G147" s="202">
        <f t="shared" si="13"/>
        <v>38766</v>
      </c>
      <c r="H147" s="202">
        <f t="shared" si="13"/>
        <v>38766</v>
      </c>
      <c r="I147" s="202">
        <v>38976</v>
      </c>
      <c r="J147" s="202">
        <v>38976</v>
      </c>
      <c r="K147" s="202">
        <v>38976</v>
      </c>
      <c r="L147" s="202">
        <v>38976</v>
      </c>
      <c r="M147" s="202">
        <v>38976</v>
      </c>
      <c r="N147" s="202">
        <v>38976</v>
      </c>
      <c r="O147" s="226">
        <f t="shared" si="12"/>
        <v>466452</v>
      </c>
    </row>
    <row r="148" spans="1:15">
      <c r="A148" s="188">
        <v>26</v>
      </c>
      <c r="B148" s="192" t="str">
        <f t="shared" si="9"/>
        <v>SUDIAN</v>
      </c>
      <c r="C148" s="202">
        <f t="shared" si="13"/>
        <v>38766</v>
      </c>
      <c r="D148" s="202">
        <f t="shared" si="13"/>
        <v>38766</v>
      </c>
      <c r="E148" s="202">
        <f t="shared" si="13"/>
        <v>38766</v>
      </c>
      <c r="F148" s="202">
        <f t="shared" si="13"/>
        <v>38766</v>
      </c>
      <c r="G148" s="202">
        <f t="shared" si="13"/>
        <v>38766</v>
      </c>
      <c r="H148" s="202">
        <f t="shared" si="13"/>
        <v>38766</v>
      </c>
      <c r="I148" s="202">
        <v>38791</v>
      </c>
      <c r="J148" s="202">
        <v>38791</v>
      </c>
      <c r="K148" s="202">
        <v>38791</v>
      </c>
      <c r="L148" s="202">
        <v>38791</v>
      </c>
      <c r="M148" s="202">
        <v>38791</v>
      </c>
      <c r="N148" s="202">
        <v>38791</v>
      </c>
      <c r="O148" s="226">
        <f t="shared" si="12"/>
        <v>465342</v>
      </c>
    </row>
    <row r="149" spans="1:15">
      <c r="A149" s="188">
        <v>27</v>
      </c>
      <c r="B149" s="192" t="str">
        <f t="shared" si="9"/>
        <v>YUDA HERMAWAN</v>
      </c>
      <c r="C149" s="202">
        <f t="shared" si="13"/>
        <v>38766</v>
      </c>
      <c r="D149" s="202">
        <f t="shared" si="13"/>
        <v>38766</v>
      </c>
      <c r="E149" s="202">
        <f t="shared" si="13"/>
        <v>38766</v>
      </c>
      <c r="F149" s="202">
        <f t="shared" si="13"/>
        <v>38766</v>
      </c>
      <c r="G149" s="202">
        <f t="shared" si="13"/>
        <v>38766</v>
      </c>
      <c r="H149" s="202">
        <f t="shared" si="13"/>
        <v>38766</v>
      </c>
      <c r="I149" s="202">
        <v>38816</v>
      </c>
      <c r="J149" s="202">
        <v>38816</v>
      </c>
      <c r="K149" s="202">
        <v>38816</v>
      </c>
      <c r="L149" s="202">
        <v>38816</v>
      </c>
      <c r="M149" s="202">
        <v>38816</v>
      </c>
      <c r="N149" s="202">
        <v>38816</v>
      </c>
      <c r="O149" s="226">
        <f t="shared" si="12"/>
        <v>465492</v>
      </c>
    </row>
    <row r="150" spans="1:15">
      <c r="A150" s="188">
        <v>28</v>
      </c>
      <c r="B150" s="192" t="str">
        <f t="shared" si="9"/>
        <v>SABIBI</v>
      </c>
      <c r="C150" s="202">
        <f t="shared" si="13"/>
        <v>38766</v>
      </c>
      <c r="D150" s="202">
        <f t="shared" si="13"/>
        <v>38766</v>
      </c>
      <c r="E150" s="202">
        <f t="shared" si="13"/>
        <v>38766</v>
      </c>
      <c r="F150" s="202">
        <f t="shared" si="13"/>
        <v>38766</v>
      </c>
      <c r="G150" s="202">
        <f t="shared" si="13"/>
        <v>38766</v>
      </c>
      <c r="H150" s="202">
        <f t="shared" si="13"/>
        <v>38766</v>
      </c>
      <c r="I150" s="202">
        <v>39006</v>
      </c>
      <c r="J150" s="202">
        <v>39006</v>
      </c>
      <c r="K150" s="202">
        <v>39036</v>
      </c>
      <c r="L150" s="202">
        <v>39036</v>
      </c>
      <c r="M150" s="202">
        <v>39036</v>
      </c>
      <c r="N150" s="202">
        <v>39036</v>
      </c>
      <c r="O150" s="226">
        <f t="shared" si="12"/>
        <v>466752</v>
      </c>
    </row>
    <row r="151" spans="1:15">
      <c r="A151" s="188">
        <v>29</v>
      </c>
      <c r="B151" s="192" t="str">
        <f t="shared" si="9"/>
        <v>ADI SANJAYA</v>
      </c>
      <c r="C151" s="202">
        <f t="shared" si="13"/>
        <v>38766</v>
      </c>
      <c r="D151" s="202">
        <f t="shared" si="13"/>
        <v>38766</v>
      </c>
      <c r="E151" s="202">
        <f t="shared" si="13"/>
        <v>38766</v>
      </c>
      <c r="F151" s="202">
        <f t="shared" si="13"/>
        <v>38766</v>
      </c>
      <c r="G151" s="202">
        <f t="shared" si="13"/>
        <v>38766</v>
      </c>
      <c r="H151" s="202">
        <f t="shared" si="13"/>
        <v>38766</v>
      </c>
      <c r="I151" s="202">
        <v>39006</v>
      </c>
      <c r="J151" s="202">
        <v>39006</v>
      </c>
      <c r="K151" s="202">
        <v>39006</v>
      </c>
      <c r="L151" s="202">
        <v>39006</v>
      </c>
      <c r="M151" s="202">
        <v>39036</v>
      </c>
      <c r="N151" s="202">
        <v>39036</v>
      </c>
      <c r="O151" s="226">
        <f t="shared" si="12"/>
        <v>466692</v>
      </c>
    </row>
    <row r="152" spans="1:15">
      <c r="A152" s="188">
        <v>30</v>
      </c>
      <c r="B152" s="192" t="str">
        <f t="shared" si="9"/>
        <v>ANDI ( ASNA )</v>
      </c>
      <c r="C152" s="202">
        <f t="shared" si="13"/>
        <v>38766</v>
      </c>
      <c r="D152" s="202">
        <f t="shared" si="13"/>
        <v>38766</v>
      </c>
      <c r="E152" s="202">
        <f t="shared" si="13"/>
        <v>38766</v>
      </c>
      <c r="F152" s="202">
        <f t="shared" si="13"/>
        <v>38766</v>
      </c>
      <c r="G152" s="202">
        <f t="shared" si="13"/>
        <v>38766</v>
      </c>
      <c r="H152" s="202">
        <f t="shared" si="13"/>
        <v>38766</v>
      </c>
      <c r="I152" s="202">
        <v>39006</v>
      </c>
      <c r="J152" s="202">
        <v>39006</v>
      </c>
      <c r="K152" s="202">
        <v>39006</v>
      </c>
      <c r="L152" s="202">
        <v>39006</v>
      </c>
      <c r="M152" s="202">
        <v>39006</v>
      </c>
      <c r="N152" s="202">
        <v>39036</v>
      </c>
      <c r="O152" s="226">
        <f t="shared" si="12"/>
        <v>466662</v>
      </c>
    </row>
    <row r="153" spans="1:15">
      <c r="A153" s="188">
        <v>31</v>
      </c>
      <c r="B153" s="192" t="str">
        <f t="shared" si="9"/>
        <v>EFRIYONO</v>
      </c>
      <c r="C153" s="202">
        <f t="shared" si="13"/>
        <v>38766</v>
      </c>
      <c r="D153" s="202">
        <f t="shared" si="13"/>
        <v>38766</v>
      </c>
      <c r="E153" s="202">
        <f t="shared" si="13"/>
        <v>38766</v>
      </c>
      <c r="F153" s="202">
        <f t="shared" si="13"/>
        <v>38766</v>
      </c>
      <c r="G153" s="202">
        <f t="shared" si="13"/>
        <v>38766</v>
      </c>
      <c r="H153" s="202">
        <f t="shared" si="13"/>
        <v>38766</v>
      </c>
      <c r="I153" s="202">
        <v>39036</v>
      </c>
      <c r="J153" s="202">
        <v>39036</v>
      </c>
      <c r="K153" s="202">
        <v>39036</v>
      </c>
      <c r="L153" s="202">
        <v>39036</v>
      </c>
      <c r="M153" s="202">
        <v>39036</v>
      </c>
      <c r="N153" s="202">
        <v>39036</v>
      </c>
      <c r="O153" s="226">
        <f t="shared" si="12"/>
        <v>466812</v>
      </c>
    </row>
    <row r="154" spans="1:15">
      <c r="A154" s="188">
        <v>32</v>
      </c>
      <c r="B154" s="192" t="str">
        <f t="shared" si="9"/>
        <v>ERI HANDRAYANI</v>
      </c>
      <c r="C154" s="202">
        <f t="shared" si="13"/>
        <v>38766</v>
      </c>
      <c r="D154" s="202">
        <f t="shared" si="13"/>
        <v>38766</v>
      </c>
      <c r="E154" s="202">
        <f t="shared" si="13"/>
        <v>38766</v>
      </c>
      <c r="F154" s="202">
        <f t="shared" si="13"/>
        <v>38766</v>
      </c>
      <c r="G154" s="202">
        <f t="shared" si="13"/>
        <v>38766</v>
      </c>
      <c r="H154" s="202">
        <f t="shared" si="13"/>
        <v>38766</v>
      </c>
      <c r="I154" s="202">
        <v>39036</v>
      </c>
      <c r="J154" s="202">
        <v>39036</v>
      </c>
      <c r="K154" s="202">
        <v>39036</v>
      </c>
      <c r="L154" s="202">
        <v>39036</v>
      </c>
      <c r="M154" s="202">
        <v>39036</v>
      </c>
      <c r="N154" s="202">
        <v>39036</v>
      </c>
      <c r="O154" s="226">
        <f t="shared" si="12"/>
        <v>466812</v>
      </c>
    </row>
    <row r="155" spans="1:15">
      <c r="A155" s="188">
        <v>33</v>
      </c>
      <c r="B155" s="192" t="str">
        <f t="shared" ref="B155:B186" si="15">+B40</f>
        <v>FERBI H</v>
      </c>
      <c r="C155" s="202">
        <f t="shared" si="13"/>
        <v>38766</v>
      </c>
      <c r="D155" s="202">
        <f t="shared" si="13"/>
        <v>38766</v>
      </c>
      <c r="E155" s="202">
        <f t="shared" si="13"/>
        <v>38766</v>
      </c>
      <c r="F155" s="202">
        <f t="shared" si="13"/>
        <v>38766</v>
      </c>
      <c r="G155" s="202">
        <f t="shared" si="13"/>
        <v>38766</v>
      </c>
      <c r="H155" s="202">
        <f t="shared" si="13"/>
        <v>38766</v>
      </c>
      <c r="I155" s="202">
        <v>39006</v>
      </c>
      <c r="J155" s="202">
        <v>39006</v>
      </c>
      <c r="K155" s="202">
        <v>39036</v>
      </c>
      <c r="L155" s="202">
        <v>39036</v>
      </c>
      <c r="M155" s="202">
        <v>39036</v>
      </c>
      <c r="N155" s="202">
        <v>39036</v>
      </c>
      <c r="O155" s="226">
        <f t="shared" si="12"/>
        <v>466752</v>
      </c>
    </row>
    <row r="156" spans="1:15">
      <c r="A156" s="188">
        <v>34</v>
      </c>
      <c r="B156" s="192" t="str">
        <f t="shared" si="15"/>
        <v>HAIDI</v>
      </c>
      <c r="C156" s="202">
        <f t="shared" ref="C156:H229" si="16">3876600*1%</f>
        <v>38766</v>
      </c>
      <c r="D156" s="202">
        <f t="shared" si="16"/>
        <v>38766</v>
      </c>
      <c r="E156" s="202">
        <f t="shared" si="16"/>
        <v>38766</v>
      </c>
      <c r="F156" s="202">
        <f t="shared" si="16"/>
        <v>38766</v>
      </c>
      <c r="G156" s="202">
        <f t="shared" si="16"/>
        <v>38766</v>
      </c>
      <c r="H156" s="202">
        <f t="shared" si="16"/>
        <v>38766</v>
      </c>
      <c r="I156" s="202">
        <v>38976</v>
      </c>
      <c r="J156" s="202">
        <v>38976</v>
      </c>
      <c r="K156" s="202">
        <v>38976</v>
      </c>
      <c r="L156" s="202">
        <v>39006</v>
      </c>
      <c r="M156" s="202">
        <v>39006</v>
      </c>
      <c r="N156" s="202">
        <v>39006</v>
      </c>
      <c r="O156" s="226">
        <f t="shared" si="12"/>
        <v>466542</v>
      </c>
    </row>
    <row r="157" spans="1:15">
      <c r="A157" s="188">
        <v>35</v>
      </c>
      <c r="B157" s="192" t="str">
        <f t="shared" si="15"/>
        <v>IRHAS</v>
      </c>
      <c r="C157" s="202">
        <f t="shared" si="16"/>
        <v>38766</v>
      </c>
      <c r="D157" s="202">
        <f t="shared" si="16"/>
        <v>38766</v>
      </c>
      <c r="E157" s="202">
        <f t="shared" si="16"/>
        <v>38766</v>
      </c>
      <c r="F157" s="202">
        <f t="shared" si="16"/>
        <v>38766</v>
      </c>
      <c r="G157" s="202">
        <f t="shared" si="16"/>
        <v>38766</v>
      </c>
      <c r="H157" s="202">
        <f t="shared" si="16"/>
        <v>38766</v>
      </c>
      <c r="I157" s="202">
        <v>38976</v>
      </c>
      <c r="J157" s="202">
        <v>38976</v>
      </c>
      <c r="K157" s="202">
        <v>38976</v>
      </c>
      <c r="L157" s="202">
        <v>38976</v>
      </c>
      <c r="M157" s="202">
        <v>38976</v>
      </c>
      <c r="N157" s="202">
        <v>38976</v>
      </c>
      <c r="O157" s="226">
        <f t="shared" si="12"/>
        <v>466452</v>
      </c>
    </row>
    <row r="158" spans="1:15">
      <c r="A158" s="188">
        <v>36</v>
      </c>
      <c r="B158" s="192" t="str">
        <f t="shared" si="15"/>
        <v>YANUAR</v>
      </c>
      <c r="C158" s="202">
        <f t="shared" si="16"/>
        <v>38766</v>
      </c>
      <c r="D158" s="202">
        <f t="shared" si="16"/>
        <v>38766</v>
      </c>
      <c r="E158" s="202">
        <f t="shared" si="16"/>
        <v>38766</v>
      </c>
      <c r="F158" s="202">
        <f t="shared" si="16"/>
        <v>38766</v>
      </c>
      <c r="G158" s="202">
        <f t="shared" si="16"/>
        <v>38766</v>
      </c>
      <c r="H158" s="202">
        <f t="shared" si="16"/>
        <v>38766</v>
      </c>
      <c r="I158" s="202">
        <v>39066</v>
      </c>
      <c r="J158" s="202">
        <v>39066</v>
      </c>
      <c r="K158" s="202">
        <v>39096</v>
      </c>
      <c r="L158" s="202">
        <v>39096</v>
      </c>
      <c r="M158" s="202">
        <v>39096</v>
      </c>
      <c r="N158" s="202">
        <v>39096</v>
      </c>
      <c r="O158" s="226">
        <f t="shared" si="12"/>
        <v>467112</v>
      </c>
    </row>
    <row r="159" spans="1:15">
      <c r="A159" s="188">
        <v>37</v>
      </c>
      <c r="B159" s="192" t="str">
        <f t="shared" si="15"/>
        <v>SEVENDRI</v>
      </c>
      <c r="C159" s="202">
        <f t="shared" si="16"/>
        <v>38766</v>
      </c>
      <c r="D159" s="202">
        <f t="shared" si="16"/>
        <v>38766</v>
      </c>
      <c r="E159" s="202">
        <f t="shared" si="16"/>
        <v>38766</v>
      </c>
      <c r="F159" s="202">
        <f t="shared" si="16"/>
        <v>38766</v>
      </c>
      <c r="G159" s="202">
        <f t="shared" si="16"/>
        <v>38766</v>
      </c>
      <c r="H159" s="202">
        <f t="shared" si="16"/>
        <v>38766</v>
      </c>
      <c r="I159" s="202">
        <v>39036</v>
      </c>
      <c r="J159" s="202">
        <v>39036</v>
      </c>
      <c r="K159" s="202">
        <v>39036</v>
      </c>
      <c r="L159" s="202">
        <v>39036</v>
      </c>
      <c r="M159" s="202">
        <v>39036</v>
      </c>
      <c r="N159" s="202">
        <v>39036</v>
      </c>
      <c r="O159" s="226">
        <f t="shared" si="12"/>
        <v>466812</v>
      </c>
    </row>
    <row r="160" spans="1:15">
      <c r="A160" s="188">
        <v>38</v>
      </c>
      <c r="B160" s="192" t="str">
        <f t="shared" si="15"/>
        <v>PURGANDI</v>
      </c>
      <c r="C160" s="202">
        <f t="shared" si="16"/>
        <v>38766</v>
      </c>
      <c r="D160" s="202">
        <f t="shared" si="16"/>
        <v>38766</v>
      </c>
      <c r="E160" s="202">
        <f t="shared" si="16"/>
        <v>38766</v>
      </c>
      <c r="F160" s="202">
        <f t="shared" si="16"/>
        <v>38766</v>
      </c>
      <c r="G160" s="202">
        <f t="shared" si="16"/>
        <v>38766</v>
      </c>
      <c r="H160" s="202">
        <f t="shared" si="16"/>
        <v>38766</v>
      </c>
      <c r="I160" s="202">
        <v>39036</v>
      </c>
      <c r="J160" s="202">
        <v>39036</v>
      </c>
      <c r="K160" s="202">
        <v>39036</v>
      </c>
      <c r="L160" s="202">
        <v>39036</v>
      </c>
      <c r="M160" s="202">
        <v>39036</v>
      </c>
      <c r="N160" s="202">
        <v>39036</v>
      </c>
      <c r="O160" s="226">
        <f t="shared" si="12"/>
        <v>466812</v>
      </c>
    </row>
    <row r="161" spans="1:15">
      <c r="A161" s="188">
        <v>39</v>
      </c>
      <c r="B161" s="192" t="str">
        <f t="shared" si="15"/>
        <v>RICKI PUTRA</v>
      </c>
      <c r="C161" s="202">
        <f t="shared" si="16"/>
        <v>38766</v>
      </c>
      <c r="D161" s="202">
        <f t="shared" si="16"/>
        <v>38766</v>
      </c>
      <c r="E161" s="202">
        <f t="shared" si="16"/>
        <v>38766</v>
      </c>
      <c r="F161" s="202">
        <f t="shared" si="16"/>
        <v>38766</v>
      </c>
      <c r="G161" s="202">
        <f t="shared" si="16"/>
        <v>38766</v>
      </c>
      <c r="H161" s="202">
        <f t="shared" si="16"/>
        <v>38766</v>
      </c>
      <c r="I161" s="202">
        <v>39006</v>
      </c>
      <c r="J161" s="202">
        <v>39006</v>
      </c>
      <c r="K161" s="202">
        <v>39006</v>
      </c>
      <c r="L161" s="202">
        <v>39006</v>
      </c>
      <c r="M161" s="202">
        <v>39006</v>
      </c>
      <c r="N161" s="202">
        <v>39036</v>
      </c>
      <c r="O161" s="226">
        <f t="shared" si="12"/>
        <v>466662</v>
      </c>
    </row>
    <row r="162" spans="1:15">
      <c r="A162" s="188">
        <v>40</v>
      </c>
      <c r="B162" s="192" t="str">
        <f t="shared" si="15"/>
        <v>ROLAND AGUSTA</v>
      </c>
      <c r="C162" s="202">
        <f t="shared" si="16"/>
        <v>38766</v>
      </c>
      <c r="D162" s="202">
        <f t="shared" si="16"/>
        <v>38766</v>
      </c>
      <c r="E162" s="202">
        <f t="shared" si="16"/>
        <v>38766</v>
      </c>
      <c r="F162" s="202">
        <f t="shared" si="16"/>
        <v>38766</v>
      </c>
      <c r="G162" s="202">
        <f t="shared" si="16"/>
        <v>38766</v>
      </c>
      <c r="H162" s="202">
        <f t="shared" si="16"/>
        <v>38766</v>
      </c>
      <c r="I162" s="202">
        <v>38976</v>
      </c>
      <c r="J162" s="202">
        <v>38976</v>
      </c>
      <c r="K162" s="202">
        <v>38976</v>
      </c>
      <c r="L162" s="202">
        <v>38976</v>
      </c>
      <c r="M162" s="202">
        <v>38976</v>
      </c>
      <c r="N162" s="202">
        <v>38976</v>
      </c>
      <c r="O162" s="226">
        <f t="shared" si="12"/>
        <v>466452</v>
      </c>
    </row>
    <row r="163" spans="1:15">
      <c r="A163" s="188">
        <v>41</v>
      </c>
      <c r="B163" s="192" t="str">
        <f t="shared" si="15"/>
        <v>SAHDAN</v>
      </c>
      <c r="C163" s="202">
        <f t="shared" si="16"/>
        <v>38766</v>
      </c>
      <c r="D163" s="202">
        <f t="shared" si="16"/>
        <v>38766</v>
      </c>
      <c r="E163" s="202">
        <f t="shared" si="16"/>
        <v>38766</v>
      </c>
      <c r="F163" s="202">
        <f t="shared" si="16"/>
        <v>38766</v>
      </c>
      <c r="G163" s="202">
        <f t="shared" si="16"/>
        <v>38766</v>
      </c>
      <c r="H163" s="202">
        <f t="shared" si="16"/>
        <v>38766</v>
      </c>
      <c r="I163" s="202">
        <v>39036</v>
      </c>
      <c r="J163" s="202">
        <v>39036</v>
      </c>
      <c r="K163" s="202">
        <v>39036</v>
      </c>
      <c r="L163" s="202">
        <v>39036</v>
      </c>
      <c r="M163" s="202">
        <v>39036</v>
      </c>
      <c r="N163" s="202">
        <v>39036</v>
      </c>
      <c r="O163" s="226">
        <f t="shared" si="12"/>
        <v>466812</v>
      </c>
    </row>
    <row r="164" spans="1:15">
      <c r="A164" s="188">
        <v>42</v>
      </c>
      <c r="B164" s="192" t="str">
        <f t="shared" si="15"/>
        <v>YOPIE ,T</v>
      </c>
      <c r="C164" s="202">
        <f t="shared" si="16"/>
        <v>38766</v>
      </c>
      <c r="D164" s="202">
        <f t="shared" si="16"/>
        <v>38766</v>
      </c>
      <c r="E164" s="202">
        <f t="shared" si="16"/>
        <v>38766</v>
      </c>
      <c r="F164" s="202">
        <f t="shared" si="16"/>
        <v>38766</v>
      </c>
      <c r="G164" s="202">
        <f t="shared" si="16"/>
        <v>38766</v>
      </c>
      <c r="H164" s="202">
        <f t="shared" si="16"/>
        <v>38766</v>
      </c>
      <c r="I164" s="202">
        <v>39036</v>
      </c>
      <c r="J164" s="202">
        <v>39036</v>
      </c>
      <c r="K164" s="202">
        <v>39036</v>
      </c>
      <c r="L164" s="202">
        <v>39036</v>
      </c>
      <c r="M164" s="202">
        <v>39036</v>
      </c>
      <c r="N164" s="202">
        <v>39036</v>
      </c>
      <c r="O164" s="226">
        <f t="shared" si="12"/>
        <v>466812</v>
      </c>
    </row>
    <row r="165" spans="1:15">
      <c r="A165" s="188">
        <v>43</v>
      </c>
      <c r="B165" s="192" t="str">
        <f t="shared" si="15"/>
        <v>ELYANDI</v>
      </c>
      <c r="C165" s="202">
        <f t="shared" si="16"/>
        <v>38766</v>
      </c>
      <c r="D165" s="202">
        <f t="shared" si="16"/>
        <v>38766</v>
      </c>
      <c r="E165" s="202">
        <f t="shared" si="16"/>
        <v>38766</v>
      </c>
      <c r="F165" s="202">
        <f t="shared" si="16"/>
        <v>38766</v>
      </c>
      <c r="G165" s="202">
        <f t="shared" si="16"/>
        <v>38766</v>
      </c>
      <c r="H165" s="202">
        <f t="shared" si="16"/>
        <v>38766</v>
      </c>
      <c r="I165" s="202">
        <v>38866</v>
      </c>
      <c r="J165" s="202">
        <v>38891</v>
      </c>
      <c r="K165" s="202">
        <v>38891</v>
      </c>
      <c r="L165" s="202">
        <v>38891</v>
      </c>
      <c r="M165" s="202">
        <v>38891</v>
      </c>
      <c r="N165" s="202">
        <v>38891</v>
      </c>
      <c r="O165" s="226">
        <f t="shared" si="12"/>
        <v>465917</v>
      </c>
    </row>
    <row r="166" spans="1:15">
      <c r="A166" s="188">
        <v>44</v>
      </c>
      <c r="B166" s="192" t="str">
        <f t="shared" si="15"/>
        <v>ALI MAS DESI</v>
      </c>
      <c r="C166" s="202">
        <f t="shared" si="16"/>
        <v>38766</v>
      </c>
      <c r="D166" s="202">
        <f t="shared" si="16"/>
        <v>38766</v>
      </c>
      <c r="E166" s="202">
        <f t="shared" si="16"/>
        <v>38766</v>
      </c>
      <c r="F166" s="202">
        <f t="shared" si="16"/>
        <v>38766</v>
      </c>
      <c r="G166" s="202">
        <f t="shared" si="16"/>
        <v>38766</v>
      </c>
      <c r="H166" s="202">
        <f t="shared" si="16"/>
        <v>38766</v>
      </c>
      <c r="I166" s="202">
        <v>38841</v>
      </c>
      <c r="J166" s="202">
        <v>38841</v>
      </c>
      <c r="K166" s="202">
        <v>38841</v>
      </c>
      <c r="L166" s="202">
        <v>38841</v>
      </c>
      <c r="M166" s="202">
        <v>38841</v>
      </c>
      <c r="N166" s="202">
        <v>38841</v>
      </c>
      <c r="O166" s="226">
        <f t="shared" si="12"/>
        <v>465642</v>
      </c>
    </row>
    <row r="167" spans="1:15">
      <c r="A167" s="188">
        <v>45</v>
      </c>
      <c r="B167" s="192" t="str">
        <f t="shared" si="15"/>
        <v>HARYANTO</v>
      </c>
      <c r="C167" s="202">
        <f t="shared" si="16"/>
        <v>38766</v>
      </c>
      <c r="D167" s="202">
        <f t="shared" si="16"/>
        <v>38766</v>
      </c>
      <c r="E167" s="202">
        <f t="shared" si="16"/>
        <v>38766</v>
      </c>
      <c r="F167" s="202">
        <f t="shared" si="16"/>
        <v>38766</v>
      </c>
      <c r="G167" s="202">
        <f t="shared" si="16"/>
        <v>38766</v>
      </c>
      <c r="H167" s="202">
        <f t="shared" si="16"/>
        <v>38766</v>
      </c>
      <c r="I167" s="202">
        <v>39006</v>
      </c>
      <c r="J167" s="202">
        <v>39006</v>
      </c>
      <c r="K167" s="202">
        <v>39036</v>
      </c>
      <c r="L167" s="202">
        <v>39036</v>
      </c>
      <c r="M167" s="202">
        <v>39036</v>
      </c>
      <c r="N167" s="202">
        <v>39036</v>
      </c>
      <c r="O167" s="226">
        <f t="shared" si="12"/>
        <v>466752</v>
      </c>
    </row>
    <row r="168" spans="1:15">
      <c r="A168" s="188">
        <v>46</v>
      </c>
      <c r="B168" s="192" t="str">
        <f t="shared" si="15"/>
        <v>ROSMANSYAH</v>
      </c>
      <c r="C168" s="202">
        <f t="shared" si="16"/>
        <v>38766</v>
      </c>
      <c r="D168" s="202">
        <f t="shared" si="16"/>
        <v>38766</v>
      </c>
      <c r="E168" s="202">
        <f t="shared" si="16"/>
        <v>38766</v>
      </c>
      <c r="F168" s="202">
        <f t="shared" si="16"/>
        <v>38766</v>
      </c>
      <c r="G168" s="202">
        <f t="shared" si="16"/>
        <v>38766</v>
      </c>
      <c r="H168" s="202">
        <f t="shared" si="16"/>
        <v>38766</v>
      </c>
      <c r="I168" s="202">
        <v>38976</v>
      </c>
      <c r="J168" s="202">
        <v>38976</v>
      </c>
      <c r="K168" s="202">
        <v>38976</v>
      </c>
      <c r="L168" s="202">
        <v>38976</v>
      </c>
      <c r="M168" s="202">
        <v>38976</v>
      </c>
      <c r="N168" s="202">
        <v>38976</v>
      </c>
      <c r="O168" s="226">
        <f t="shared" si="12"/>
        <v>466452</v>
      </c>
    </row>
    <row r="169" spans="1:15">
      <c r="A169" s="188">
        <v>47</v>
      </c>
      <c r="B169" s="192" t="str">
        <f t="shared" si="15"/>
        <v>KAMALUDIN</v>
      </c>
      <c r="C169" s="202">
        <f t="shared" si="16"/>
        <v>38766</v>
      </c>
      <c r="D169" s="202">
        <f t="shared" si="16"/>
        <v>38766</v>
      </c>
      <c r="E169" s="202">
        <f t="shared" si="16"/>
        <v>38766</v>
      </c>
      <c r="F169" s="202">
        <f t="shared" si="16"/>
        <v>38766</v>
      </c>
      <c r="G169" s="202">
        <f t="shared" si="16"/>
        <v>38766</v>
      </c>
      <c r="H169" s="202">
        <f t="shared" si="16"/>
        <v>38766</v>
      </c>
      <c r="I169" s="202">
        <v>38976</v>
      </c>
      <c r="J169" s="202">
        <v>38976</v>
      </c>
      <c r="K169" s="202">
        <v>38976</v>
      </c>
      <c r="L169" s="202">
        <v>38976</v>
      </c>
      <c r="M169" s="202">
        <v>38976</v>
      </c>
      <c r="N169" s="202">
        <v>38976</v>
      </c>
      <c r="O169" s="226">
        <f t="shared" si="12"/>
        <v>466452</v>
      </c>
    </row>
    <row r="170" spans="1:15">
      <c r="A170" s="188">
        <v>48</v>
      </c>
      <c r="B170" s="192" t="str">
        <f t="shared" si="15"/>
        <v>AZRI DONA</v>
      </c>
      <c r="C170" s="202">
        <f t="shared" si="16"/>
        <v>38766</v>
      </c>
      <c r="D170" s="202">
        <f t="shared" si="16"/>
        <v>38766</v>
      </c>
      <c r="E170" s="202">
        <f t="shared" si="16"/>
        <v>38766</v>
      </c>
      <c r="F170" s="202">
        <f t="shared" si="16"/>
        <v>38766</v>
      </c>
      <c r="G170" s="202">
        <f t="shared" si="16"/>
        <v>38766</v>
      </c>
      <c r="H170" s="202">
        <f t="shared" si="16"/>
        <v>38766</v>
      </c>
      <c r="I170" s="202">
        <v>39006</v>
      </c>
      <c r="J170" s="202">
        <v>39036</v>
      </c>
      <c r="K170" s="202">
        <v>39036</v>
      </c>
      <c r="L170" s="202">
        <v>39036</v>
      </c>
      <c r="M170" s="202">
        <v>39036</v>
      </c>
      <c r="N170" s="202">
        <v>39036</v>
      </c>
      <c r="O170" s="226">
        <f t="shared" si="12"/>
        <v>466782</v>
      </c>
    </row>
    <row r="171" spans="1:15">
      <c r="A171" s="188">
        <v>49</v>
      </c>
      <c r="B171" s="192" t="str">
        <f t="shared" si="15"/>
        <v>HALIK</v>
      </c>
      <c r="C171" s="202">
        <f t="shared" ref="C171:H230" si="17">3876600*1%</f>
        <v>38766</v>
      </c>
      <c r="D171" s="202">
        <f t="shared" si="17"/>
        <v>38766</v>
      </c>
      <c r="E171" s="202">
        <f t="shared" si="17"/>
        <v>38766</v>
      </c>
      <c r="F171" s="202">
        <f t="shared" si="17"/>
        <v>38766</v>
      </c>
      <c r="G171" s="202">
        <f t="shared" si="17"/>
        <v>38766</v>
      </c>
      <c r="H171" s="202">
        <f t="shared" si="17"/>
        <v>38766</v>
      </c>
      <c r="I171" s="202">
        <v>38816</v>
      </c>
      <c r="J171" s="202">
        <v>38816</v>
      </c>
      <c r="K171" s="202">
        <v>38816</v>
      </c>
      <c r="L171" s="202">
        <v>38816</v>
      </c>
      <c r="M171" s="202">
        <v>38816</v>
      </c>
      <c r="N171" s="202">
        <v>38816</v>
      </c>
      <c r="O171" s="226">
        <f t="shared" si="12"/>
        <v>465492</v>
      </c>
    </row>
    <row r="172" spans="1:15">
      <c r="A172" s="188">
        <v>50</v>
      </c>
      <c r="B172" s="192" t="str">
        <f t="shared" si="15"/>
        <v>KARTONO</v>
      </c>
      <c r="C172" s="202">
        <f t="shared" si="17"/>
        <v>38766</v>
      </c>
      <c r="D172" s="202">
        <f t="shared" si="17"/>
        <v>38766</v>
      </c>
      <c r="E172" s="202">
        <f t="shared" si="17"/>
        <v>38766</v>
      </c>
      <c r="F172" s="202">
        <f t="shared" si="17"/>
        <v>38766</v>
      </c>
      <c r="G172" s="202">
        <f t="shared" si="17"/>
        <v>38766</v>
      </c>
      <c r="H172" s="202">
        <f t="shared" si="17"/>
        <v>38766</v>
      </c>
      <c r="I172" s="202">
        <v>38791</v>
      </c>
      <c r="J172" s="202">
        <v>38791</v>
      </c>
      <c r="K172" s="202">
        <v>38791</v>
      </c>
      <c r="L172" s="202">
        <v>38791</v>
      </c>
      <c r="M172" s="202">
        <v>38791</v>
      </c>
      <c r="N172" s="202">
        <v>38791</v>
      </c>
      <c r="O172" s="226">
        <f t="shared" si="12"/>
        <v>465342</v>
      </c>
    </row>
    <row r="173" spans="1:15">
      <c r="A173" s="188">
        <v>51</v>
      </c>
      <c r="B173" s="192" t="str">
        <f t="shared" si="15"/>
        <v>LALU MANAR HADI</v>
      </c>
      <c r="C173" s="202">
        <f t="shared" si="17"/>
        <v>38766</v>
      </c>
      <c r="D173" s="202">
        <f t="shared" si="17"/>
        <v>38766</v>
      </c>
      <c r="E173" s="202">
        <f t="shared" si="17"/>
        <v>38766</v>
      </c>
      <c r="F173" s="202">
        <f t="shared" si="17"/>
        <v>38766</v>
      </c>
      <c r="G173" s="202">
        <f t="shared" si="17"/>
        <v>38766</v>
      </c>
      <c r="H173" s="202">
        <f t="shared" si="17"/>
        <v>38766</v>
      </c>
      <c r="I173" s="202">
        <v>38766</v>
      </c>
      <c r="J173" s="202">
        <v>38766</v>
      </c>
      <c r="K173" s="202">
        <v>38791</v>
      </c>
      <c r="L173" s="202">
        <v>38791</v>
      </c>
      <c r="M173" s="202">
        <v>38791</v>
      </c>
      <c r="N173" s="202">
        <v>38791</v>
      </c>
      <c r="O173" s="226">
        <f t="shared" si="12"/>
        <v>465292</v>
      </c>
    </row>
    <row r="174" spans="1:15">
      <c r="A174" s="188">
        <v>52</v>
      </c>
      <c r="B174" s="192" t="str">
        <f t="shared" si="15"/>
        <v>ANHAR</v>
      </c>
      <c r="C174" s="202">
        <f t="shared" si="17"/>
        <v>38766</v>
      </c>
      <c r="D174" s="202">
        <f t="shared" si="17"/>
        <v>38766</v>
      </c>
      <c r="E174" s="202">
        <f t="shared" si="17"/>
        <v>38766</v>
      </c>
      <c r="F174" s="202">
        <f t="shared" si="17"/>
        <v>38766</v>
      </c>
      <c r="G174" s="202">
        <f t="shared" si="17"/>
        <v>38766</v>
      </c>
      <c r="H174" s="202">
        <f t="shared" si="17"/>
        <v>38766</v>
      </c>
      <c r="I174" s="202">
        <v>38766</v>
      </c>
      <c r="J174" s="202">
        <v>38766</v>
      </c>
      <c r="K174" s="202">
        <v>38766</v>
      </c>
      <c r="L174" s="202">
        <v>38766</v>
      </c>
      <c r="M174" s="202">
        <v>38766</v>
      </c>
      <c r="N174" s="202">
        <v>38791</v>
      </c>
      <c r="O174" s="226">
        <f t="shared" si="12"/>
        <v>465217</v>
      </c>
    </row>
    <row r="175" spans="1:15">
      <c r="A175" s="188">
        <v>53</v>
      </c>
      <c r="B175" s="192" t="str">
        <f t="shared" si="15"/>
        <v>IRPAN SAMSUDIN</v>
      </c>
      <c r="C175" s="202">
        <f t="shared" si="17"/>
        <v>38766</v>
      </c>
      <c r="D175" s="202">
        <f t="shared" si="17"/>
        <v>38766</v>
      </c>
      <c r="E175" s="202">
        <f t="shared" si="17"/>
        <v>38766</v>
      </c>
      <c r="F175" s="202">
        <f t="shared" si="17"/>
        <v>38766</v>
      </c>
      <c r="G175" s="202">
        <f t="shared" si="17"/>
        <v>38766</v>
      </c>
      <c r="H175" s="202">
        <f t="shared" si="17"/>
        <v>38766</v>
      </c>
      <c r="I175" s="202">
        <v>38766</v>
      </c>
      <c r="J175" s="366"/>
      <c r="K175" s="366"/>
      <c r="L175" s="366"/>
      <c r="M175" s="366"/>
      <c r="N175" s="366"/>
      <c r="O175" s="226">
        <f t="shared" si="12"/>
        <v>271362</v>
      </c>
    </row>
    <row r="176" spans="1:15">
      <c r="A176" s="188">
        <v>54</v>
      </c>
      <c r="B176" s="192" t="str">
        <f t="shared" si="15"/>
        <v>ADI . JP</v>
      </c>
      <c r="C176" s="202">
        <f t="shared" si="17"/>
        <v>38766</v>
      </c>
      <c r="D176" s="202">
        <f t="shared" si="17"/>
        <v>38766</v>
      </c>
      <c r="E176" s="202">
        <f t="shared" si="17"/>
        <v>38766</v>
      </c>
      <c r="F176" s="202">
        <f t="shared" si="17"/>
        <v>38766</v>
      </c>
      <c r="G176" s="202">
        <f t="shared" si="17"/>
        <v>38766</v>
      </c>
      <c r="H176" s="202">
        <f t="shared" si="17"/>
        <v>38766</v>
      </c>
      <c r="I176" s="202">
        <v>39311</v>
      </c>
      <c r="J176" s="202">
        <v>39311</v>
      </c>
      <c r="K176" s="202">
        <v>39311</v>
      </c>
      <c r="L176" s="202">
        <v>39311</v>
      </c>
      <c r="M176" s="202">
        <v>39311</v>
      </c>
      <c r="N176" s="202">
        <v>39311</v>
      </c>
      <c r="O176" s="226">
        <f t="shared" si="12"/>
        <v>468462</v>
      </c>
    </row>
    <row r="177" spans="1:15">
      <c r="A177" s="188">
        <v>55</v>
      </c>
      <c r="B177" s="192" t="str">
        <f t="shared" si="15"/>
        <v>RUDI</v>
      </c>
      <c r="C177" s="202">
        <f t="shared" si="17"/>
        <v>38766</v>
      </c>
      <c r="D177" s="202">
        <f t="shared" si="17"/>
        <v>38766</v>
      </c>
      <c r="E177" s="202">
        <f t="shared" si="17"/>
        <v>38766</v>
      </c>
      <c r="F177" s="202">
        <f t="shared" si="17"/>
        <v>38766</v>
      </c>
      <c r="G177" s="202">
        <f t="shared" si="17"/>
        <v>38766</v>
      </c>
      <c r="H177" s="202">
        <f t="shared" si="17"/>
        <v>38766</v>
      </c>
      <c r="I177" s="202">
        <v>39036</v>
      </c>
      <c r="J177" s="202">
        <v>39036</v>
      </c>
      <c r="K177" s="202">
        <v>39036</v>
      </c>
      <c r="L177" s="202">
        <v>39036</v>
      </c>
      <c r="M177" s="202">
        <v>39036</v>
      </c>
      <c r="N177" s="202">
        <v>39036</v>
      </c>
      <c r="O177" s="226">
        <f t="shared" si="12"/>
        <v>466812</v>
      </c>
    </row>
    <row r="178" spans="1:15">
      <c r="A178" s="188">
        <v>56</v>
      </c>
      <c r="B178" s="192" t="str">
        <f t="shared" si="15"/>
        <v>SUDIANTO</v>
      </c>
      <c r="C178" s="202">
        <f t="shared" si="17"/>
        <v>38766</v>
      </c>
      <c r="D178" s="202">
        <f t="shared" si="17"/>
        <v>38766</v>
      </c>
      <c r="E178" s="202">
        <f t="shared" si="17"/>
        <v>38766</v>
      </c>
      <c r="F178" s="202">
        <f t="shared" si="17"/>
        <v>38766</v>
      </c>
      <c r="G178" s="202">
        <f t="shared" si="17"/>
        <v>38766</v>
      </c>
      <c r="H178" s="202">
        <f t="shared" si="17"/>
        <v>38766</v>
      </c>
      <c r="I178" s="202">
        <v>39036</v>
      </c>
      <c r="J178" s="202">
        <v>39036</v>
      </c>
      <c r="K178" s="202">
        <v>39036</v>
      </c>
      <c r="L178" s="202">
        <v>39036</v>
      </c>
      <c r="M178" s="202">
        <v>39036</v>
      </c>
      <c r="N178" s="202">
        <v>39036</v>
      </c>
      <c r="O178" s="226">
        <f t="shared" si="12"/>
        <v>466812</v>
      </c>
    </row>
    <row r="179" spans="1:15">
      <c r="A179" s="188">
        <v>57</v>
      </c>
      <c r="B179" s="192" t="str">
        <f t="shared" si="15"/>
        <v>SALEH</v>
      </c>
      <c r="C179" s="202">
        <f t="shared" si="17"/>
        <v>38766</v>
      </c>
      <c r="D179" s="202">
        <f t="shared" si="17"/>
        <v>38766</v>
      </c>
      <c r="E179" s="202">
        <f t="shared" si="17"/>
        <v>38766</v>
      </c>
      <c r="F179" s="202">
        <f t="shared" si="17"/>
        <v>38766</v>
      </c>
      <c r="G179" s="202">
        <f t="shared" si="17"/>
        <v>38766</v>
      </c>
      <c r="H179" s="202">
        <f t="shared" si="17"/>
        <v>38766</v>
      </c>
      <c r="I179" s="202">
        <v>39036</v>
      </c>
      <c r="J179" s="202">
        <v>39036</v>
      </c>
      <c r="K179" s="202">
        <v>39036</v>
      </c>
      <c r="L179" s="202">
        <v>39036</v>
      </c>
      <c r="M179" s="202">
        <v>39036</v>
      </c>
      <c r="N179" s="202">
        <v>39036</v>
      </c>
      <c r="O179" s="226">
        <f t="shared" si="12"/>
        <v>466812</v>
      </c>
    </row>
    <row r="180" spans="1:15">
      <c r="A180" s="188">
        <v>58</v>
      </c>
      <c r="B180" s="192" t="str">
        <f t="shared" si="15"/>
        <v>ANDRIANSYAH</v>
      </c>
      <c r="C180" s="202">
        <f t="shared" si="17"/>
        <v>38766</v>
      </c>
      <c r="D180" s="202">
        <f t="shared" si="17"/>
        <v>38766</v>
      </c>
      <c r="E180" s="202">
        <f t="shared" si="17"/>
        <v>38766</v>
      </c>
      <c r="F180" s="202">
        <f t="shared" si="17"/>
        <v>38766</v>
      </c>
      <c r="G180" s="202">
        <f t="shared" si="17"/>
        <v>38766</v>
      </c>
      <c r="H180" s="202">
        <f t="shared" si="17"/>
        <v>38766</v>
      </c>
      <c r="I180" s="202">
        <v>39036</v>
      </c>
      <c r="J180" s="202">
        <v>39036</v>
      </c>
      <c r="K180" s="202">
        <v>39036</v>
      </c>
      <c r="L180" s="202">
        <v>39036</v>
      </c>
      <c r="M180" s="202">
        <v>39036</v>
      </c>
      <c r="N180" s="202">
        <v>39036</v>
      </c>
      <c r="O180" s="226">
        <f t="shared" si="12"/>
        <v>466812</v>
      </c>
    </row>
    <row r="181" spans="1:15">
      <c r="A181" s="188">
        <v>59</v>
      </c>
      <c r="B181" s="192" t="str">
        <f t="shared" si="15"/>
        <v>HENDRI</v>
      </c>
      <c r="C181" s="202">
        <f t="shared" si="17"/>
        <v>38766</v>
      </c>
      <c r="D181" s="202">
        <f t="shared" si="17"/>
        <v>38766</v>
      </c>
      <c r="E181" s="202">
        <f t="shared" si="17"/>
        <v>38766</v>
      </c>
      <c r="F181" s="202">
        <f t="shared" si="17"/>
        <v>38766</v>
      </c>
      <c r="G181" s="202">
        <f t="shared" si="17"/>
        <v>38766</v>
      </c>
      <c r="H181" s="202">
        <f t="shared" si="17"/>
        <v>38766</v>
      </c>
      <c r="I181" s="202">
        <v>39036</v>
      </c>
      <c r="J181" s="202">
        <v>39036</v>
      </c>
      <c r="K181" s="202">
        <v>39036</v>
      </c>
      <c r="L181" s="202">
        <v>39036</v>
      </c>
      <c r="M181" s="202">
        <v>39036</v>
      </c>
      <c r="N181" s="202">
        <v>39036</v>
      </c>
      <c r="O181" s="226">
        <f t="shared" si="12"/>
        <v>466812</v>
      </c>
    </row>
    <row r="182" spans="1:15">
      <c r="A182" s="188">
        <v>60</v>
      </c>
      <c r="B182" s="192" t="str">
        <f t="shared" si="15"/>
        <v>POPPY ADEYANTI</v>
      </c>
      <c r="C182" s="202">
        <f t="shared" si="17"/>
        <v>38766</v>
      </c>
      <c r="D182" s="202">
        <f t="shared" si="17"/>
        <v>38766</v>
      </c>
      <c r="E182" s="202">
        <f t="shared" si="17"/>
        <v>38766</v>
      </c>
      <c r="F182" s="202">
        <f t="shared" si="17"/>
        <v>38766</v>
      </c>
      <c r="G182" s="202">
        <f t="shared" si="17"/>
        <v>38766</v>
      </c>
      <c r="H182" s="202">
        <f t="shared" si="17"/>
        <v>38766</v>
      </c>
      <c r="I182" s="202">
        <v>39096</v>
      </c>
      <c r="J182" s="202">
        <v>39096</v>
      </c>
      <c r="K182" s="202">
        <v>39096</v>
      </c>
      <c r="L182" s="202">
        <v>39096</v>
      </c>
      <c r="M182" s="202">
        <v>39096</v>
      </c>
      <c r="N182" s="202">
        <v>39096</v>
      </c>
      <c r="O182" s="226">
        <f t="shared" si="12"/>
        <v>467172</v>
      </c>
    </row>
    <row r="183" spans="1:15">
      <c r="A183" s="188">
        <v>61</v>
      </c>
      <c r="B183" s="192" t="str">
        <f t="shared" si="15"/>
        <v>HARYADI</v>
      </c>
      <c r="C183" s="202">
        <f t="shared" si="17"/>
        <v>38766</v>
      </c>
      <c r="D183" s="202">
        <f t="shared" si="17"/>
        <v>38766</v>
      </c>
      <c r="E183" s="202">
        <f t="shared" si="17"/>
        <v>38766</v>
      </c>
      <c r="F183" s="202">
        <f t="shared" si="17"/>
        <v>38766</v>
      </c>
      <c r="G183" s="202">
        <f t="shared" si="17"/>
        <v>38766</v>
      </c>
      <c r="H183" s="202">
        <f t="shared" si="17"/>
        <v>38766</v>
      </c>
      <c r="I183" s="202">
        <v>39036</v>
      </c>
      <c r="J183" s="202">
        <v>39036</v>
      </c>
      <c r="K183" s="202">
        <v>39036</v>
      </c>
      <c r="L183" s="202">
        <v>39036</v>
      </c>
      <c r="M183" s="202">
        <v>39036</v>
      </c>
      <c r="N183" s="202">
        <v>39036</v>
      </c>
      <c r="O183" s="226">
        <f t="shared" si="12"/>
        <v>466812</v>
      </c>
    </row>
    <row r="184" spans="1:15">
      <c r="A184" s="188">
        <v>62</v>
      </c>
      <c r="B184" s="192">
        <f t="shared" si="15"/>
        <v>0</v>
      </c>
      <c r="C184" s="202"/>
      <c r="D184" s="202"/>
      <c r="E184" s="202"/>
      <c r="F184" s="202"/>
      <c r="G184" s="202"/>
      <c r="H184" s="202"/>
      <c r="I184" s="202"/>
      <c r="J184" s="202"/>
      <c r="K184" s="202"/>
      <c r="L184" s="202"/>
      <c r="M184" s="202"/>
      <c r="N184" s="202"/>
      <c r="O184" s="226">
        <f t="shared" si="12"/>
        <v>0</v>
      </c>
    </row>
    <row r="185" spans="1:15">
      <c r="A185" s="188">
        <v>63</v>
      </c>
      <c r="B185" s="192">
        <f t="shared" si="15"/>
        <v>0</v>
      </c>
      <c r="C185" s="202"/>
      <c r="D185" s="202"/>
      <c r="E185" s="202"/>
      <c r="F185" s="202"/>
      <c r="G185" s="202"/>
      <c r="H185" s="202"/>
      <c r="I185" s="202"/>
      <c r="J185" s="202"/>
      <c r="K185" s="202"/>
      <c r="L185" s="202"/>
      <c r="M185" s="202"/>
      <c r="N185" s="202"/>
      <c r="O185" s="226">
        <f t="shared" si="12"/>
        <v>0</v>
      </c>
    </row>
    <row r="186" spans="1:15">
      <c r="A186" s="188">
        <v>64</v>
      </c>
      <c r="B186" s="192">
        <f t="shared" si="15"/>
        <v>0</v>
      </c>
      <c r="C186" s="202"/>
      <c r="D186" s="202"/>
      <c r="E186" s="202"/>
      <c r="F186" s="202"/>
      <c r="G186" s="202"/>
      <c r="H186" s="202"/>
      <c r="I186" s="202"/>
      <c r="J186" s="202"/>
      <c r="K186" s="202"/>
      <c r="L186" s="202"/>
      <c r="M186" s="202"/>
      <c r="N186" s="202"/>
      <c r="O186" s="226">
        <f t="shared" ref="O186:O224" si="18">SUM(C186:N186)</f>
        <v>0</v>
      </c>
    </row>
    <row r="187" spans="1:15">
      <c r="A187" s="188">
        <v>65</v>
      </c>
      <c r="B187" s="192">
        <f t="shared" ref="B187:B218" si="19">+B72</f>
        <v>0</v>
      </c>
      <c r="C187" s="202"/>
      <c r="D187" s="202"/>
      <c r="E187" s="202"/>
      <c r="F187" s="202"/>
      <c r="G187" s="202"/>
      <c r="H187" s="202"/>
      <c r="I187" s="202"/>
      <c r="J187" s="202"/>
      <c r="K187" s="202"/>
      <c r="L187" s="202"/>
      <c r="M187" s="202"/>
      <c r="N187" s="202"/>
      <c r="O187" s="226">
        <f t="shared" si="18"/>
        <v>0</v>
      </c>
    </row>
    <row r="188" spans="1:15">
      <c r="A188" s="188">
        <v>66</v>
      </c>
      <c r="B188" s="192">
        <f t="shared" si="19"/>
        <v>0</v>
      </c>
      <c r="C188" s="202"/>
      <c r="D188" s="202"/>
      <c r="E188" s="202"/>
      <c r="F188" s="202"/>
      <c r="G188" s="202"/>
      <c r="H188" s="202"/>
      <c r="I188" s="202"/>
      <c r="J188" s="202"/>
      <c r="K188" s="202"/>
      <c r="L188" s="202"/>
      <c r="M188" s="202"/>
      <c r="N188" s="202"/>
      <c r="O188" s="226">
        <f t="shared" si="18"/>
        <v>0</v>
      </c>
    </row>
    <row r="189" spans="1:15">
      <c r="A189" s="188">
        <v>67</v>
      </c>
      <c r="B189" s="192">
        <f t="shared" si="19"/>
        <v>0</v>
      </c>
      <c r="C189" s="202"/>
      <c r="D189" s="202"/>
      <c r="E189" s="202"/>
      <c r="F189" s="202"/>
      <c r="G189" s="202"/>
      <c r="H189" s="202"/>
      <c r="I189" s="202"/>
      <c r="J189" s="202"/>
      <c r="K189" s="202"/>
      <c r="L189" s="202"/>
      <c r="M189" s="202"/>
      <c r="N189" s="202"/>
      <c r="O189" s="226">
        <f t="shared" si="18"/>
        <v>0</v>
      </c>
    </row>
    <row r="190" spans="1:15">
      <c r="A190" s="188">
        <v>68</v>
      </c>
      <c r="B190" s="192">
        <f t="shared" si="19"/>
        <v>0</v>
      </c>
      <c r="C190" s="202"/>
      <c r="D190" s="202"/>
      <c r="E190" s="202"/>
      <c r="F190" s="202"/>
      <c r="G190" s="202"/>
      <c r="H190" s="202"/>
      <c r="I190" s="202"/>
      <c r="J190" s="202"/>
      <c r="K190" s="202"/>
      <c r="L190" s="202"/>
      <c r="M190" s="202"/>
      <c r="N190" s="202"/>
      <c r="O190" s="226">
        <f t="shared" si="18"/>
        <v>0</v>
      </c>
    </row>
    <row r="191" spans="1:15">
      <c r="A191" s="188">
        <v>69</v>
      </c>
      <c r="B191" s="192">
        <f t="shared" si="19"/>
        <v>0</v>
      </c>
      <c r="C191" s="202"/>
      <c r="D191" s="202"/>
      <c r="E191" s="202"/>
      <c r="F191" s="202"/>
      <c r="G191" s="202"/>
      <c r="H191" s="202"/>
      <c r="I191" s="202"/>
      <c r="J191" s="202"/>
      <c r="K191" s="202"/>
      <c r="L191" s="202"/>
      <c r="M191" s="202"/>
      <c r="N191" s="202"/>
      <c r="O191" s="226">
        <f t="shared" si="18"/>
        <v>0</v>
      </c>
    </row>
    <row r="192" spans="1:15">
      <c r="A192" s="188">
        <v>70</v>
      </c>
      <c r="B192" s="192">
        <f t="shared" si="19"/>
        <v>0</v>
      </c>
      <c r="C192" s="202"/>
      <c r="D192" s="202"/>
      <c r="E192" s="202"/>
      <c r="F192" s="202"/>
      <c r="G192" s="202"/>
      <c r="H192" s="202"/>
      <c r="I192" s="202"/>
      <c r="J192" s="202"/>
      <c r="K192" s="202"/>
      <c r="L192" s="202"/>
      <c r="M192" s="202"/>
      <c r="N192" s="202"/>
      <c r="O192" s="226">
        <f t="shared" si="18"/>
        <v>0</v>
      </c>
    </row>
    <row r="193" spans="1:15">
      <c r="A193" s="188">
        <v>71</v>
      </c>
      <c r="B193" s="192">
        <f t="shared" si="19"/>
        <v>0</v>
      </c>
      <c r="C193" s="202"/>
      <c r="D193" s="202"/>
      <c r="E193" s="202"/>
      <c r="F193" s="202"/>
      <c r="G193" s="202"/>
      <c r="H193" s="202"/>
      <c r="I193" s="202"/>
      <c r="J193" s="202"/>
      <c r="K193" s="202"/>
      <c r="L193" s="202"/>
      <c r="M193" s="202"/>
      <c r="N193" s="202"/>
      <c r="O193" s="226">
        <f t="shared" si="18"/>
        <v>0</v>
      </c>
    </row>
    <row r="194" spans="1:15">
      <c r="A194" s="188">
        <v>72</v>
      </c>
      <c r="B194" s="192">
        <f t="shared" si="19"/>
        <v>0</v>
      </c>
      <c r="C194" s="202"/>
      <c r="D194" s="202"/>
      <c r="E194" s="202"/>
      <c r="F194" s="202"/>
      <c r="G194" s="202"/>
      <c r="H194" s="202"/>
      <c r="I194" s="202"/>
      <c r="J194" s="202"/>
      <c r="K194" s="202"/>
      <c r="L194" s="202"/>
      <c r="M194" s="202"/>
      <c r="N194" s="202"/>
      <c r="O194" s="226">
        <f t="shared" si="18"/>
        <v>0</v>
      </c>
    </row>
    <row r="195" spans="1:15">
      <c r="A195" s="188">
        <v>73</v>
      </c>
      <c r="B195" s="192">
        <f t="shared" si="19"/>
        <v>0</v>
      </c>
      <c r="C195" s="202"/>
      <c r="D195" s="202"/>
      <c r="E195" s="202"/>
      <c r="F195" s="202"/>
      <c r="G195" s="202"/>
      <c r="H195" s="202"/>
      <c r="I195" s="202"/>
      <c r="J195" s="202"/>
      <c r="K195" s="202"/>
      <c r="L195" s="202"/>
      <c r="M195" s="202"/>
      <c r="N195" s="202"/>
      <c r="O195" s="226">
        <f t="shared" si="18"/>
        <v>0</v>
      </c>
    </row>
    <row r="196" spans="1:15">
      <c r="A196" s="188">
        <v>74</v>
      </c>
      <c r="B196" s="192">
        <f t="shared" si="19"/>
        <v>0</v>
      </c>
      <c r="C196" s="202"/>
      <c r="D196" s="202"/>
      <c r="E196" s="202"/>
      <c r="F196" s="202"/>
      <c r="G196" s="202"/>
      <c r="H196" s="202"/>
      <c r="I196" s="202"/>
      <c r="J196" s="202"/>
      <c r="K196" s="202"/>
      <c r="L196" s="202"/>
      <c r="M196" s="202"/>
      <c r="N196" s="202"/>
      <c r="O196" s="226">
        <f t="shared" si="18"/>
        <v>0</v>
      </c>
    </row>
    <row r="197" spans="1:15">
      <c r="A197" s="188">
        <v>75</v>
      </c>
      <c r="B197" s="192">
        <f t="shared" si="19"/>
        <v>0</v>
      </c>
      <c r="C197" s="202"/>
      <c r="D197" s="202"/>
      <c r="E197" s="202"/>
      <c r="F197" s="202"/>
      <c r="G197" s="202"/>
      <c r="H197" s="202"/>
      <c r="I197" s="202"/>
      <c r="J197" s="202"/>
      <c r="K197" s="202"/>
      <c r="L197" s="202"/>
      <c r="M197" s="202"/>
      <c r="N197" s="202"/>
      <c r="O197" s="226">
        <f t="shared" si="18"/>
        <v>0</v>
      </c>
    </row>
    <row r="198" spans="1:15">
      <c r="A198" s="188">
        <v>76</v>
      </c>
      <c r="B198" s="192">
        <f t="shared" si="19"/>
        <v>0</v>
      </c>
      <c r="C198" s="202"/>
      <c r="D198" s="202"/>
      <c r="E198" s="202"/>
      <c r="F198" s="202"/>
      <c r="G198" s="202"/>
      <c r="H198" s="202"/>
      <c r="I198" s="202"/>
      <c r="J198" s="202"/>
      <c r="K198" s="202"/>
      <c r="L198" s="202"/>
      <c r="M198" s="202"/>
      <c r="N198" s="202"/>
      <c r="O198" s="226">
        <f t="shared" si="18"/>
        <v>0</v>
      </c>
    </row>
    <row r="199" spans="1:15">
      <c r="A199" s="188">
        <v>77</v>
      </c>
      <c r="B199" s="192">
        <f t="shared" si="19"/>
        <v>0</v>
      </c>
      <c r="C199" s="202"/>
      <c r="D199" s="202"/>
      <c r="E199" s="202"/>
      <c r="F199" s="202"/>
      <c r="G199" s="202"/>
      <c r="H199" s="202"/>
      <c r="I199" s="202"/>
      <c r="J199" s="202"/>
      <c r="K199" s="202"/>
      <c r="L199" s="202"/>
      <c r="M199" s="202"/>
      <c r="N199" s="202"/>
      <c r="O199" s="226">
        <f t="shared" si="18"/>
        <v>0</v>
      </c>
    </row>
    <row r="200" spans="1:15">
      <c r="A200" s="188">
        <v>78</v>
      </c>
      <c r="B200" s="192">
        <f t="shared" si="19"/>
        <v>0</v>
      </c>
      <c r="C200" s="202"/>
      <c r="D200" s="202"/>
      <c r="E200" s="202"/>
      <c r="F200" s="202"/>
      <c r="G200" s="202"/>
      <c r="H200" s="202"/>
      <c r="I200" s="202"/>
      <c r="J200" s="202"/>
      <c r="K200" s="202"/>
      <c r="L200" s="202"/>
      <c r="M200" s="202"/>
      <c r="N200" s="202"/>
      <c r="O200" s="226">
        <f t="shared" si="18"/>
        <v>0</v>
      </c>
    </row>
    <row r="201" spans="1:15">
      <c r="A201" s="188">
        <v>79</v>
      </c>
      <c r="B201" s="192">
        <f t="shared" si="19"/>
        <v>0</v>
      </c>
      <c r="C201" s="202"/>
      <c r="D201" s="202"/>
      <c r="E201" s="202"/>
      <c r="F201" s="202"/>
      <c r="G201" s="202"/>
      <c r="H201" s="202"/>
      <c r="I201" s="202"/>
      <c r="J201" s="202"/>
      <c r="K201" s="202"/>
      <c r="L201" s="202"/>
      <c r="M201" s="202"/>
      <c r="N201" s="202"/>
      <c r="O201" s="226">
        <f t="shared" si="18"/>
        <v>0</v>
      </c>
    </row>
    <row r="202" spans="1:15">
      <c r="A202" s="188">
        <v>80</v>
      </c>
      <c r="B202" s="192">
        <f t="shared" si="19"/>
        <v>0</v>
      </c>
      <c r="C202" s="202"/>
      <c r="D202" s="202"/>
      <c r="E202" s="202"/>
      <c r="F202" s="202"/>
      <c r="G202" s="202"/>
      <c r="H202" s="202"/>
      <c r="I202" s="202"/>
      <c r="J202" s="202"/>
      <c r="K202" s="202"/>
      <c r="L202" s="202"/>
      <c r="M202" s="202"/>
      <c r="N202" s="202"/>
      <c r="O202" s="226">
        <f t="shared" si="18"/>
        <v>0</v>
      </c>
    </row>
    <row r="203" spans="1:15">
      <c r="A203" s="188">
        <v>81</v>
      </c>
      <c r="B203" s="192">
        <f t="shared" si="19"/>
        <v>0</v>
      </c>
      <c r="C203" s="202"/>
      <c r="D203" s="202"/>
      <c r="E203" s="202"/>
      <c r="F203" s="202"/>
      <c r="G203" s="202"/>
      <c r="H203" s="202"/>
      <c r="I203" s="202"/>
      <c r="J203" s="202"/>
      <c r="K203" s="202"/>
      <c r="L203" s="202"/>
      <c r="M203" s="202"/>
      <c r="N203" s="202"/>
      <c r="O203" s="226">
        <f t="shared" si="18"/>
        <v>0</v>
      </c>
    </row>
    <row r="204" spans="1:15">
      <c r="A204" s="188">
        <v>82</v>
      </c>
      <c r="B204" s="192">
        <f t="shared" si="19"/>
        <v>0</v>
      </c>
      <c r="C204" s="202"/>
      <c r="D204" s="202"/>
      <c r="E204" s="202"/>
      <c r="F204" s="202"/>
      <c r="G204" s="202"/>
      <c r="H204" s="202"/>
      <c r="I204" s="202"/>
      <c r="J204" s="202"/>
      <c r="K204" s="202"/>
      <c r="L204" s="202"/>
      <c r="M204" s="202"/>
      <c r="N204" s="202"/>
      <c r="O204" s="226">
        <f t="shared" si="18"/>
        <v>0</v>
      </c>
    </row>
    <row r="205" spans="1:15">
      <c r="A205" s="188">
        <v>83</v>
      </c>
      <c r="B205" s="192">
        <f t="shared" si="19"/>
        <v>0</v>
      </c>
      <c r="C205" s="202"/>
      <c r="D205" s="202"/>
      <c r="E205" s="202"/>
      <c r="F205" s="202"/>
      <c r="G205" s="202"/>
      <c r="H205" s="202"/>
      <c r="I205" s="202"/>
      <c r="J205" s="202"/>
      <c r="K205" s="202"/>
      <c r="L205" s="202"/>
      <c r="M205" s="202"/>
      <c r="N205" s="202"/>
      <c r="O205" s="226">
        <f t="shared" si="18"/>
        <v>0</v>
      </c>
    </row>
    <row r="206" spans="1:15">
      <c r="A206" s="188">
        <v>84</v>
      </c>
      <c r="B206" s="192">
        <f t="shared" si="19"/>
        <v>0</v>
      </c>
      <c r="C206" s="202"/>
      <c r="D206" s="202"/>
      <c r="E206" s="202"/>
      <c r="F206" s="202"/>
      <c r="G206" s="202"/>
      <c r="H206" s="202"/>
      <c r="I206" s="202"/>
      <c r="J206" s="202"/>
      <c r="K206" s="202"/>
      <c r="L206" s="202"/>
      <c r="M206" s="202"/>
      <c r="N206" s="202"/>
      <c r="O206" s="226">
        <f t="shared" si="18"/>
        <v>0</v>
      </c>
    </row>
    <row r="207" spans="1:15">
      <c r="A207" s="188">
        <v>85</v>
      </c>
      <c r="B207" s="192">
        <f t="shared" si="19"/>
        <v>0</v>
      </c>
      <c r="C207" s="202"/>
      <c r="D207" s="202"/>
      <c r="E207" s="202"/>
      <c r="F207" s="202"/>
      <c r="G207" s="202"/>
      <c r="H207" s="202"/>
      <c r="I207" s="202"/>
      <c r="J207" s="202"/>
      <c r="K207" s="202"/>
      <c r="L207" s="202"/>
      <c r="M207" s="202"/>
      <c r="N207" s="202"/>
      <c r="O207" s="226">
        <f t="shared" si="18"/>
        <v>0</v>
      </c>
    </row>
    <row r="208" spans="1:15">
      <c r="A208" s="188">
        <v>86</v>
      </c>
      <c r="B208" s="192">
        <f t="shared" si="19"/>
        <v>0</v>
      </c>
      <c r="C208" s="202"/>
      <c r="D208" s="202"/>
      <c r="E208" s="202"/>
      <c r="F208" s="202"/>
      <c r="G208" s="202"/>
      <c r="H208" s="202"/>
      <c r="I208" s="202"/>
      <c r="J208" s="202"/>
      <c r="K208" s="202"/>
      <c r="L208" s="202"/>
      <c r="M208" s="202"/>
      <c r="N208" s="202"/>
      <c r="O208" s="226">
        <f t="shared" si="18"/>
        <v>0</v>
      </c>
    </row>
    <row r="209" spans="1:15">
      <c r="A209" s="188">
        <v>87</v>
      </c>
      <c r="B209" s="192">
        <f t="shared" si="19"/>
        <v>0</v>
      </c>
      <c r="C209" s="202"/>
      <c r="D209" s="202"/>
      <c r="E209" s="202"/>
      <c r="F209" s="202"/>
      <c r="G209" s="202"/>
      <c r="H209" s="202"/>
      <c r="I209" s="202"/>
      <c r="J209" s="202"/>
      <c r="K209" s="202"/>
      <c r="L209" s="202"/>
      <c r="M209" s="202"/>
      <c r="N209" s="202"/>
      <c r="O209" s="226">
        <f t="shared" si="18"/>
        <v>0</v>
      </c>
    </row>
    <row r="210" spans="1:15">
      <c r="A210" s="188">
        <v>88</v>
      </c>
      <c r="B210" s="192">
        <f t="shared" si="19"/>
        <v>0</v>
      </c>
      <c r="C210" s="202"/>
      <c r="D210" s="202"/>
      <c r="E210" s="202"/>
      <c r="F210" s="202"/>
      <c r="G210" s="202"/>
      <c r="H210" s="202"/>
      <c r="I210" s="202"/>
      <c r="J210" s="202"/>
      <c r="K210" s="202"/>
      <c r="L210" s="202"/>
      <c r="M210" s="202"/>
      <c r="N210" s="202"/>
      <c r="O210" s="226">
        <f t="shared" si="18"/>
        <v>0</v>
      </c>
    </row>
    <row r="211" spans="1:15">
      <c r="A211" s="188">
        <v>89</v>
      </c>
      <c r="B211" s="192">
        <f t="shared" si="19"/>
        <v>0</v>
      </c>
      <c r="C211" s="202"/>
      <c r="D211" s="202"/>
      <c r="E211" s="202"/>
      <c r="F211" s="202"/>
      <c r="G211" s="202"/>
      <c r="H211" s="202"/>
      <c r="I211" s="202"/>
      <c r="J211" s="202"/>
      <c r="K211" s="202"/>
      <c r="L211" s="202"/>
      <c r="M211" s="202"/>
      <c r="N211" s="202"/>
      <c r="O211" s="226">
        <f t="shared" si="18"/>
        <v>0</v>
      </c>
    </row>
    <row r="212" spans="1:15">
      <c r="A212" s="188">
        <v>90</v>
      </c>
      <c r="B212" s="192">
        <f t="shared" si="19"/>
        <v>0</v>
      </c>
      <c r="C212" s="202"/>
      <c r="D212" s="202"/>
      <c r="E212" s="202"/>
      <c r="F212" s="202"/>
      <c r="G212" s="202"/>
      <c r="H212" s="202"/>
      <c r="I212" s="202"/>
      <c r="J212" s="202"/>
      <c r="K212" s="202"/>
      <c r="L212" s="202"/>
      <c r="M212" s="202"/>
      <c r="N212" s="202"/>
      <c r="O212" s="226">
        <f t="shared" si="18"/>
        <v>0</v>
      </c>
    </row>
    <row r="213" spans="1:15">
      <c r="A213" s="188">
        <v>91</v>
      </c>
      <c r="B213" s="192">
        <f t="shared" si="19"/>
        <v>0</v>
      </c>
      <c r="C213" s="202"/>
      <c r="D213" s="202"/>
      <c r="E213" s="202"/>
      <c r="F213" s="202"/>
      <c r="G213" s="202"/>
      <c r="H213" s="202"/>
      <c r="I213" s="202"/>
      <c r="J213" s="202"/>
      <c r="K213" s="202"/>
      <c r="L213" s="202"/>
      <c r="M213" s="202"/>
      <c r="N213" s="202"/>
      <c r="O213" s="226">
        <f t="shared" si="18"/>
        <v>0</v>
      </c>
    </row>
    <row r="214" spans="1:15">
      <c r="A214" s="188">
        <v>92</v>
      </c>
      <c r="B214" s="192">
        <f t="shared" si="19"/>
        <v>0</v>
      </c>
      <c r="C214" s="202"/>
      <c r="D214" s="202"/>
      <c r="E214" s="202"/>
      <c r="F214" s="202"/>
      <c r="G214" s="202"/>
      <c r="H214" s="202"/>
      <c r="I214" s="202"/>
      <c r="J214" s="202"/>
      <c r="K214" s="202"/>
      <c r="L214" s="202"/>
      <c r="M214" s="202"/>
      <c r="N214" s="202"/>
      <c r="O214" s="226">
        <f t="shared" si="18"/>
        <v>0</v>
      </c>
    </row>
    <row r="215" spans="1:15">
      <c r="A215" s="188">
        <v>93</v>
      </c>
      <c r="B215" s="192">
        <f t="shared" si="19"/>
        <v>0</v>
      </c>
      <c r="C215" s="202"/>
      <c r="D215" s="202"/>
      <c r="E215" s="202"/>
      <c r="F215" s="202"/>
      <c r="G215" s="202"/>
      <c r="H215" s="202"/>
      <c r="I215" s="202"/>
      <c r="J215" s="202"/>
      <c r="K215" s="202"/>
      <c r="L215" s="202"/>
      <c r="M215" s="202"/>
      <c r="N215" s="202"/>
      <c r="O215" s="226">
        <f t="shared" si="18"/>
        <v>0</v>
      </c>
    </row>
    <row r="216" spans="1:15">
      <c r="A216" s="188">
        <v>94</v>
      </c>
      <c r="B216" s="192">
        <f t="shared" si="19"/>
        <v>0</v>
      </c>
      <c r="C216" s="202"/>
      <c r="D216" s="202"/>
      <c r="E216" s="202"/>
      <c r="F216" s="202"/>
      <c r="G216" s="202"/>
      <c r="H216" s="202"/>
      <c r="I216" s="202"/>
      <c r="J216" s="202"/>
      <c r="K216" s="202"/>
      <c r="L216" s="202"/>
      <c r="M216" s="202"/>
      <c r="N216" s="202"/>
      <c r="O216" s="226">
        <f t="shared" si="18"/>
        <v>0</v>
      </c>
    </row>
    <row r="217" spans="1:15">
      <c r="A217" s="188">
        <v>95</v>
      </c>
      <c r="B217" s="192">
        <f t="shared" si="19"/>
        <v>0</v>
      </c>
      <c r="C217" s="202"/>
      <c r="D217" s="202"/>
      <c r="E217" s="202"/>
      <c r="F217" s="202"/>
      <c r="G217" s="202"/>
      <c r="H217" s="202"/>
      <c r="I217" s="202"/>
      <c r="J217" s="202"/>
      <c r="K217" s="202"/>
      <c r="L217" s="202"/>
      <c r="M217" s="202"/>
      <c r="N217" s="202"/>
      <c r="O217" s="226">
        <f t="shared" si="18"/>
        <v>0</v>
      </c>
    </row>
    <row r="218" spans="1:15">
      <c r="A218" s="188">
        <v>96</v>
      </c>
      <c r="B218" s="192">
        <f t="shared" si="19"/>
        <v>0</v>
      </c>
      <c r="C218" s="202"/>
      <c r="D218" s="202"/>
      <c r="E218" s="202"/>
      <c r="F218" s="202"/>
      <c r="G218" s="202"/>
      <c r="H218" s="202"/>
      <c r="I218" s="202"/>
      <c r="J218" s="202"/>
      <c r="K218" s="202"/>
      <c r="L218" s="202"/>
      <c r="M218" s="202"/>
      <c r="N218" s="202"/>
      <c r="O218" s="226">
        <f t="shared" si="18"/>
        <v>0</v>
      </c>
    </row>
    <row r="219" spans="1:15">
      <c r="A219" s="188">
        <v>97</v>
      </c>
      <c r="B219" s="192">
        <f t="shared" ref="B219:B224" si="20">+B104</f>
        <v>0</v>
      </c>
      <c r="C219" s="202"/>
      <c r="D219" s="202"/>
      <c r="E219" s="202"/>
      <c r="F219" s="202"/>
      <c r="G219" s="202"/>
      <c r="H219" s="202"/>
      <c r="I219" s="202"/>
      <c r="J219" s="202"/>
      <c r="K219" s="202"/>
      <c r="L219" s="202"/>
      <c r="M219" s="202"/>
      <c r="N219" s="202"/>
      <c r="O219" s="226">
        <f t="shared" si="18"/>
        <v>0</v>
      </c>
    </row>
    <row r="220" spans="1:15">
      <c r="A220" s="188">
        <v>98</v>
      </c>
      <c r="B220" s="192">
        <f t="shared" si="20"/>
        <v>0</v>
      </c>
      <c r="C220" s="202"/>
      <c r="D220" s="202"/>
      <c r="E220" s="202"/>
      <c r="F220" s="202"/>
      <c r="G220" s="202"/>
      <c r="H220" s="202"/>
      <c r="I220" s="202"/>
      <c r="J220" s="202"/>
      <c r="K220" s="202"/>
      <c r="L220" s="202"/>
      <c r="M220" s="202"/>
      <c r="N220" s="202"/>
      <c r="O220" s="226">
        <f t="shared" si="18"/>
        <v>0</v>
      </c>
    </row>
    <row r="221" spans="1:15">
      <c r="A221" s="188">
        <v>99</v>
      </c>
      <c r="B221" s="192">
        <f t="shared" si="20"/>
        <v>0</v>
      </c>
      <c r="C221" s="202"/>
      <c r="D221" s="202"/>
      <c r="E221" s="202"/>
      <c r="F221" s="202"/>
      <c r="G221" s="202"/>
      <c r="H221" s="202"/>
      <c r="I221" s="202"/>
      <c r="J221" s="202"/>
      <c r="K221" s="202"/>
      <c r="L221" s="202"/>
      <c r="M221" s="202"/>
      <c r="N221" s="202"/>
      <c r="O221" s="226">
        <f t="shared" si="18"/>
        <v>0</v>
      </c>
    </row>
    <row r="222" spans="1:15">
      <c r="A222" s="188">
        <v>100</v>
      </c>
      <c r="B222" s="192">
        <f t="shared" si="20"/>
        <v>0</v>
      </c>
      <c r="C222" s="202"/>
      <c r="D222" s="202"/>
      <c r="E222" s="202"/>
      <c r="F222" s="202"/>
      <c r="G222" s="202"/>
      <c r="H222" s="202"/>
      <c r="I222" s="202"/>
      <c r="J222" s="202"/>
      <c r="K222" s="202"/>
      <c r="L222" s="202"/>
      <c r="M222" s="202"/>
      <c r="N222" s="202"/>
      <c r="O222" s="226">
        <f t="shared" si="18"/>
        <v>0</v>
      </c>
    </row>
    <row r="223" spans="1:15">
      <c r="A223" s="188">
        <v>101</v>
      </c>
      <c r="B223" s="192">
        <f t="shared" si="20"/>
        <v>0</v>
      </c>
      <c r="C223" s="202"/>
      <c r="D223" s="202"/>
      <c r="E223" s="202"/>
      <c r="F223" s="202"/>
      <c r="G223" s="202"/>
      <c r="H223" s="202"/>
      <c r="I223" s="202"/>
      <c r="J223" s="202"/>
      <c r="K223" s="202"/>
      <c r="L223" s="202"/>
      <c r="M223" s="202"/>
      <c r="N223" s="202"/>
      <c r="O223" s="226">
        <f t="shared" si="18"/>
        <v>0</v>
      </c>
    </row>
    <row r="224" spans="1:15">
      <c r="A224" s="188">
        <v>102</v>
      </c>
      <c r="B224" s="192">
        <f t="shared" si="20"/>
        <v>0</v>
      </c>
      <c r="C224" s="202"/>
      <c r="D224" s="202"/>
      <c r="E224" s="202"/>
      <c r="F224" s="202"/>
      <c r="G224" s="202"/>
      <c r="H224" s="202"/>
      <c r="I224" s="202"/>
      <c r="J224" s="202"/>
      <c r="K224" s="202"/>
      <c r="L224" s="202"/>
      <c r="M224" s="202"/>
      <c r="N224" s="202"/>
      <c r="O224" s="226">
        <f t="shared" si="18"/>
        <v>0</v>
      </c>
    </row>
    <row r="225" spans="1:15">
      <c r="A225" s="508" t="s">
        <v>349</v>
      </c>
      <c r="B225" s="510"/>
      <c r="C225" s="285">
        <f t="shared" ref="C225:O225" si="21">SUM(C123:C224)</f>
        <v>2369960</v>
      </c>
      <c r="D225" s="285">
        <f t="shared" si="21"/>
        <v>2369960</v>
      </c>
      <c r="E225" s="285">
        <f t="shared" si="21"/>
        <v>2369960</v>
      </c>
      <c r="F225" s="285">
        <f t="shared" si="21"/>
        <v>2369960</v>
      </c>
      <c r="G225" s="285">
        <f t="shared" si="21"/>
        <v>2369960</v>
      </c>
      <c r="H225" s="285">
        <f t="shared" si="21"/>
        <v>2369960</v>
      </c>
      <c r="I225" s="285">
        <f t="shared" si="21"/>
        <v>2390430</v>
      </c>
      <c r="J225" s="285">
        <f t="shared" si="21"/>
        <v>2346550</v>
      </c>
      <c r="K225" s="285">
        <f t="shared" si="21"/>
        <v>2346765</v>
      </c>
      <c r="L225" s="285">
        <f t="shared" si="21"/>
        <v>2346865</v>
      </c>
      <c r="M225" s="285">
        <f t="shared" si="21"/>
        <v>2346965</v>
      </c>
      <c r="N225" s="285">
        <f t="shared" si="21"/>
        <v>2352284</v>
      </c>
      <c r="O225" s="285">
        <f t="shared" si="21"/>
        <v>28349619</v>
      </c>
    </row>
    <row r="229" spans="1:15">
      <c r="A229" s="188">
        <v>49</v>
      </c>
      <c r="B229" s="192" t="str">
        <f>+B113</f>
        <v>RINDI PRIANTO</v>
      </c>
      <c r="C229" s="202">
        <f t="shared" si="16"/>
        <v>38766</v>
      </c>
      <c r="D229" s="202">
        <f t="shared" si="16"/>
        <v>38766</v>
      </c>
      <c r="E229" s="202">
        <f t="shared" si="16"/>
        <v>38766</v>
      </c>
      <c r="F229" s="202">
        <f t="shared" si="16"/>
        <v>38766</v>
      </c>
      <c r="G229" s="202">
        <f t="shared" si="16"/>
        <v>38766</v>
      </c>
      <c r="H229" s="202">
        <f t="shared" si="16"/>
        <v>38766</v>
      </c>
      <c r="I229" s="202">
        <v>39036</v>
      </c>
      <c r="J229" s="202">
        <v>39036</v>
      </c>
      <c r="K229" s="202"/>
      <c r="L229" s="202"/>
      <c r="M229" s="202"/>
      <c r="N229" s="202"/>
      <c r="O229" s="226">
        <f>SUM(C229:N229)</f>
        <v>310668</v>
      </c>
    </row>
    <row r="230" spans="1:15">
      <c r="A230" s="188">
        <v>51</v>
      </c>
      <c r="B230" s="192" t="str">
        <f>+B114</f>
        <v>PUTRA ROMADHAN</v>
      </c>
      <c r="C230" s="202">
        <f t="shared" si="17"/>
        <v>38766</v>
      </c>
      <c r="D230" s="202">
        <f t="shared" si="17"/>
        <v>38766</v>
      </c>
      <c r="E230" s="202">
        <f t="shared" si="17"/>
        <v>38766</v>
      </c>
      <c r="F230" s="202">
        <f t="shared" si="17"/>
        <v>38766</v>
      </c>
      <c r="G230" s="202">
        <f t="shared" si="17"/>
        <v>38766</v>
      </c>
      <c r="H230" s="202">
        <f t="shared" si="17"/>
        <v>38766</v>
      </c>
      <c r="I230" s="202">
        <v>38791</v>
      </c>
      <c r="J230" s="202">
        <v>38791</v>
      </c>
      <c r="K230" s="202"/>
      <c r="L230" s="202"/>
      <c r="M230" s="202"/>
      <c r="N230" s="202"/>
      <c r="O230" s="226">
        <f>SUM(C230:N230)</f>
        <v>310178</v>
      </c>
    </row>
  </sheetData>
  <mergeCells count="36">
    <mergeCell ref="O5:O6"/>
    <mergeCell ref="A4:A6"/>
    <mergeCell ref="B4:B6"/>
    <mergeCell ref="C4:O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A7:B7"/>
    <mergeCell ref="A110:B110"/>
    <mergeCell ref="A119:A121"/>
    <mergeCell ref="B119:B121"/>
    <mergeCell ref="C119:O119"/>
    <mergeCell ref="C120:C121"/>
    <mergeCell ref="D120:D121"/>
    <mergeCell ref="E120:E121"/>
    <mergeCell ref="F120:F121"/>
    <mergeCell ref="G120:G121"/>
    <mergeCell ref="N120:N121"/>
    <mergeCell ref="O120:O121"/>
    <mergeCell ref="K120:K121"/>
    <mergeCell ref="L120:L121"/>
    <mergeCell ref="M120:M121"/>
    <mergeCell ref="A122:B122"/>
    <mergeCell ref="A225:B225"/>
    <mergeCell ref="H120:H121"/>
    <mergeCell ref="I120:I121"/>
    <mergeCell ref="J120:J1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4</vt:i4>
      </vt:variant>
    </vt:vector>
  </HeadingPairs>
  <TitlesOfParts>
    <vt:vector size="12" baseType="lpstr">
      <vt:lpstr>TARIF</vt:lpstr>
      <vt:lpstr>Des</vt:lpstr>
      <vt:lpstr>PPH EXGRATIA</vt:lpstr>
      <vt:lpstr>PERBULAN</vt:lpstr>
      <vt:lpstr>SETAHUN</vt:lpstr>
      <vt:lpstr>PAJAK JAN-NOV</vt:lpstr>
      <vt:lpstr>BPJS</vt:lpstr>
      <vt:lpstr>ASTEK-DIISI SMPAI DES</vt:lpstr>
      <vt:lpstr>Des!Print_Area</vt:lpstr>
      <vt:lpstr>Ter_A</vt:lpstr>
      <vt:lpstr>Ter_B</vt:lpstr>
      <vt:lpstr>Ter_C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Octavianus Tommy Santoso</dc:creator>
  <cp:lastModifiedBy>PG2B</cp:lastModifiedBy>
  <cp:lastPrinted>2026-01-05T08:27:08Z</cp:lastPrinted>
  <dcterms:created xsi:type="dcterms:W3CDTF">2023-11-09T03:35:36Z</dcterms:created>
  <dcterms:modified xsi:type="dcterms:W3CDTF">2026-01-07T08:28:22Z</dcterms:modified>
</cp:coreProperties>
</file>